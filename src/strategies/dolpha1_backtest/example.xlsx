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P\Desktop\Codes\D_Strategy\TA_BTM\"/>
    </mc:Choice>
  </mc:AlternateContent>
  <bookViews>
    <workbookView xWindow="0" yWindow="0" windowWidth="28800" windowHeight="12270" activeTab="3"/>
  </bookViews>
  <sheets>
    <sheet name="data" sheetId="3" r:id="rId1"/>
    <sheet name="data2" sheetId="4" r:id="rId2"/>
    <sheet name="20240325_example" sheetId="5" r:id="rId3"/>
    <sheet name="20240401_example" sheetId="1" r:id="rId4"/>
    <sheet name="Graph" sheetId="2" r:id="rId5"/>
  </sheets>
  <calcPr calcId="152511"/>
</workbook>
</file>

<file path=xl/calcChain.xml><?xml version="1.0" encoding="utf-8"?>
<calcChain xmlns="http://schemas.openxmlformats.org/spreadsheetml/2006/main">
  <c r="CD4" i="1" l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17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212" i="1"/>
  <c r="CD213" i="1"/>
  <c r="CD214" i="1"/>
  <c r="CD215" i="1"/>
  <c r="CD216" i="1"/>
  <c r="CD217" i="1"/>
  <c r="CD218" i="1"/>
  <c r="CD219" i="1"/>
  <c r="CD220" i="1"/>
  <c r="CD221" i="1"/>
  <c r="CD222" i="1"/>
  <c r="CD223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" i="1"/>
  <c r="CE3" i="1" s="1"/>
  <c r="CE4" i="1" s="1"/>
  <c r="CE5" i="1" s="1"/>
  <c r="CE6" i="1" s="1"/>
  <c r="CE7" i="1" s="1"/>
  <c r="CE8" i="1" s="1"/>
  <c r="CE9" i="1" s="1"/>
  <c r="CE10" i="1" s="1"/>
  <c r="CE11" i="1" s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2" i="1"/>
  <c r="CC213" i="1"/>
  <c r="CC214" i="1"/>
  <c r="CC215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B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CA17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212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BX383" i="1"/>
  <c r="BU383" i="1"/>
  <c r="BV383" i="1" s="1"/>
  <c r="BX382" i="1"/>
  <c r="BU382" i="1"/>
  <c r="BV382" i="1" s="1"/>
  <c r="BX381" i="1"/>
  <c r="BU381" i="1"/>
  <c r="BV381" i="1" s="1"/>
  <c r="BX380" i="1"/>
  <c r="BU380" i="1"/>
  <c r="BV380" i="1" s="1"/>
  <c r="BX379" i="1"/>
  <c r="BU379" i="1"/>
  <c r="BV379" i="1" s="1"/>
  <c r="BX378" i="1"/>
  <c r="BU378" i="1"/>
  <c r="BV378" i="1" s="1"/>
  <c r="BX377" i="1"/>
  <c r="BU377" i="1"/>
  <c r="BV377" i="1" s="1"/>
  <c r="BX376" i="1"/>
  <c r="BU376" i="1"/>
  <c r="BV376" i="1" s="1"/>
  <c r="BX375" i="1"/>
  <c r="BU375" i="1"/>
  <c r="BV375" i="1" s="1"/>
  <c r="BX374" i="1"/>
  <c r="BU374" i="1"/>
  <c r="BV374" i="1" s="1"/>
  <c r="BX373" i="1"/>
  <c r="BU373" i="1"/>
  <c r="BV373" i="1" s="1"/>
  <c r="BX372" i="1"/>
  <c r="BU372" i="1"/>
  <c r="BV372" i="1" s="1"/>
  <c r="BX371" i="1"/>
  <c r="BU371" i="1"/>
  <c r="BV371" i="1" s="1"/>
  <c r="BX370" i="1"/>
  <c r="BU370" i="1"/>
  <c r="BV370" i="1" s="1"/>
  <c r="BX369" i="1"/>
  <c r="BU369" i="1"/>
  <c r="BV369" i="1" s="1"/>
  <c r="BX368" i="1"/>
  <c r="BU368" i="1"/>
  <c r="BV368" i="1" s="1"/>
  <c r="BX367" i="1"/>
  <c r="BV367" i="1"/>
  <c r="BU367" i="1"/>
  <c r="BX366" i="1"/>
  <c r="BU366" i="1"/>
  <c r="BV366" i="1" s="1"/>
  <c r="BX365" i="1"/>
  <c r="BU365" i="1"/>
  <c r="BV365" i="1" s="1"/>
  <c r="BX364" i="1"/>
  <c r="BU364" i="1"/>
  <c r="BV364" i="1" s="1"/>
  <c r="BX363" i="1"/>
  <c r="BU363" i="1"/>
  <c r="BV363" i="1" s="1"/>
  <c r="BX362" i="1"/>
  <c r="BU362" i="1"/>
  <c r="BV362" i="1" s="1"/>
  <c r="BX361" i="1"/>
  <c r="BU361" i="1"/>
  <c r="BV361" i="1" s="1"/>
  <c r="BX360" i="1"/>
  <c r="BU360" i="1"/>
  <c r="BV360" i="1" s="1"/>
  <c r="BX359" i="1"/>
  <c r="BV359" i="1"/>
  <c r="BU359" i="1"/>
  <c r="BX358" i="1"/>
  <c r="BV358" i="1"/>
  <c r="BU358" i="1"/>
  <c r="BX357" i="1"/>
  <c r="BU357" i="1"/>
  <c r="BV357" i="1" s="1"/>
  <c r="BX356" i="1"/>
  <c r="BV356" i="1"/>
  <c r="BU356" i="1"/>
  <c r="BX355" i="1"/>
  <c r="BU355" i="1"/>
  <c r="BV355" i="1" s="1"/>
  <c r="BX354" i="1"/>
  <c r="BU354" i="1"/>
  <c r="BV354" i="1" s="1"/>
  <c r="BX353" i="1"/>
  <c r="BU353" i="1"/>
  <c r="BV353" i="1" s="1"/>
  <c r="BX352" i="1"/>
  <c r="BU352" i="1"/>
  <c r="BV352" i="1" s="1"/>
  <c r="BX351" i="1"/>
  <c r="BV351" i="1"/>
  <c r="BU351" i="1"/>
  <c r="BX350" i="1"/>
  <c r="BU350" i="1"/>
  <c r="BV350" i="1" s="1"/>
  <c r="BX349" i="1"/>
  <c r="BU349" i="1"/>
  <c r="BV349" i="1" s="1"/>
  <c r="BX348" i="1"/>
  <c r="BU348" i="1"/>
  <c r="BV348" i="1" s="1"/>
  <c r="BX347" i="1"/>
  <c r="BU347" i="1"/>
  <c r="BV347" i="1" s="1"/>
  <c r="BX346" i="1"/>
  <c r="BU346" i="1"/>
  <c r="BV346" i="1" s="1"/>
  <c r="BX345" i="1"/>
  <c r="BU345" i="1"/>
  <c r="BV345" i="1" s="1"/>
  <c r="BX344" i="1"/>
  <c r="BU344" i="1"/>
  <c r="BV344" i="1" s="1"/>
  <c r="BX343" i="1"/>
  <c r="BV343" i="1"/>
  <c r="BU343" i="1"/>
  <c r="BX342" i="1"/>
  <c r="BU342" i="1"/>
  <c r="BV342" i="1" s="1"/>
  <c r="BX341" i="1"/>
  <c r="BU341" i="1"/>
  <c r="BV341" i="1" s="1"/>
  <c r="BX340" i="1"/>
  <c r="BU340" i="1"/>
  <c r="BV340" i="1" s="1"/>
  <c r="BX339" i="1"/>
  <c r="BV339" i="1"/>
  <c r="BU339" i="1"/>
  <c r="BX338" i="1"/>
  <c r="BU338" i="1"/>
  <c r="BV338" i="1" s="1"/>
  <c r="BX337" i="1"/>
  <c r="BU337" i="1"/>
  <c r="BV337" i="1" s="1"/>
  <c r="BX336" i="1"/>
  <c r="BV336" i="1"/>
  <c r="BU336" i="1"/>
  <c r="BX335" i="1"/>
  <c r="BV335" i="1"/>
  <c r="BU335" i="1"/>
  <c r="BX334" i="1"/>
  <c r="BV334" i="1"/>
  <c r="BU334" i="1"/>
  <c r="BX333" i="1"/>
  <c r="BU333" i="1"/>
  <c r="BV333" i="1" s="1"/>
  <c r="BX332" i="1"/>
  <c r="BV332" i="1"/>
  <c r="BU332" i="1"/>
  <c r="BX331" i="1"/>
  <c r="BU331" i="1"/>
  <c r="BV331" i="1" s="1"/>
  <c r="BX330" i="1"/>
  <c r="BU330" i="1"/>
  <c r="BV330" i="1" s="1"/>
  <c r="BX329" i="1"/>
  <c r="BV329" i="1"/>
  <c r="BU329" i="1"/>
  <c r="BX328" i="1"/>
  <c r="BV328" i="1"/>
  <c r="BU328" i="1"/>
  <c r="BX327" i="1"/>
  <c r="BU327" i="1"/>
  <c r="BV327" i="1" s="1"/>
  <c r="BX326" i="1"/>
  <c r="BU326" i="1"/>
  <c r="BV326" i="1" s="1"/>
  <c r="BX325" i="1"/>
  <c r="BU325" i="1"/>
  <c r="BV325" i="1" s="1"/>
  <c r="BX324" i="1"/>
  <c r="BU324" i="1"/>
  <c r="BV324" i="1" s="1"/>
  <c r="BX323" i="1"/>
  <c r="BV323" i="1"/>
  <c r="BU323" i="1"/>
  <c r="BX322" i="1"/>
  <c r="BU322" i="1"/>
  <c r="BV322" i="1" s="1"/>
  <c r="BX321" i="1"/>
  <c r="BU321" i="1"/>
  <c r="BV321" i="1" s="1"/>
  <c r="BX320" i="1"/>
  <c r="BV320" i="1"/>
  <c r="BU320" i="1"/>
  <c r="BX319" i="1"/>
  <c r="BU319" i="1"/>
  <c r="BV319" i="1" s="1"/>
  <c r="BX318" i="1"/>
  <c r="BU318" i="1"/>
  <c r="BV318" i="1" s="1"/>
  <c r="BX317" i="1"/>
  <c r="BV317" i="1"/>
  <c r="BU317" i="1"/>
  <c r="BX316" i="1"/>
  <c r="BU316" i="1"/>
  <c r="BV316" i="1" s="1"/>
  <c r="BX315" i="1"/>
  <c r="BU315" i="1"/>
  <c r="BV315" i="1" s="1"/>
  <c r="BX314" i="1"/>
  <c r="BV314" i="1"/>
  <c r="BU314" i="1"/>
  <c r="BX313" i="1"/>
  <c r="BV313" i="1"/>
  <c r="BU313" i="1"/>
  <c r="BX312" i="1"/>
  <c r="BU312" i="1"/>
  <c r="BV312" i="1" s="1"/>
  <c r="BX311" i="1"/>
  <c r="BV311" i="1"/>
  <c r="BU311" i="1"/>
  <c r="BX310" i="1"/>
  <c r="BU310" i="1"/>
  <c r="BV310" i="1" s="1"/>
  <c r="BX309" i="1"/>
  <c r="BV309" i="1"/>
  <c r="BU309" i="1"/>
  <c r="BX308" i="1"/>
  <c r="BU308" i="1"/>
  <c r="BV308" i="1" s="1"/>
  <c r="BX307" i="1"/>
  <c r="BU307" i="1"/>
  <c r="BV307" i="1" s="1"/>
  <c r="BX306" i="1"/>
  <c r="BU306" i="1"/>
  <c r="BV306" i="1" s="1"/>
  <c r="BX305" i="1"/>
  <c r="BU305" i="1"/>
  <c r="BV305" i="1" s="1"/>
  <c r="BX304" i="1"/>
  <c r="BU304" i="1"/>
  <c r="BV304" i="1" s="1"/>
  <c r="BX303" i="1"/>
  <c r="BU303" i="1"/>
  <c r="BV303" i="1" s="1"/>
  <c r="BX302" i="1"/>
  <c r="BU302" i="1"/>
  <c r="BV302" i="1" s="1"/>
  <c r="BX301" i="1"/>
  <c r="BU301" i="1"/>
  <c r="BV301" i="1" s="1"/>
  <c r="BX300" i="1"/>
  <c r="BU300" i="1"/>
  <c r="BV300" i="1" s="1"/>
  <c r="BX299" i="1"/>
  <c r="BU299" i="1"/>
  <c r="BV299" i="1" s="1"/>
  <c r="BX298" i="1"/>
  <c r="BU298" i="1"/>
  <c r="BV298" i="1" s="1"/>
  <c r="BX297" i="1"/>
  <c r="BV297" i="1"/>
  <c r="BU297" i="1"/>
  <c r="BX296" i="1"/>
  <c r="BU296" i="1"/>
  <c r="BV296" i="1" s="1"/>
  <c r="BX295" i="1"/>
  <c r="BU295" i="1"/>
  <c r="BV295" i="1" s="1"/>
  <c r="BX294" i="1"/>
  <c r="BU294" i="1"/>
  <c r="BV294" i="1" s="1"/>
  <c r="BX293" i="1"/>
  <c r="BU293" i="1"/>
  <c r="BV293" i="1" s="1"/>
  <c r="BX292" i="1"/>
  <c r="BU292" i="1"/>
  <c r="BV292" i="1" s="1"/>
  <c r="BX291" i="1"/>
  <c r="BU291" i="1"/>
  <c r="BV291" i="1" s="1"/>
  <c r="BX290" i="1"/>
  <c r="BU290" i="1"/>
  <c r="BV290" i="1" s="1"/>
  <c r="BX289" i="1"/>
  <c r="BU289" i="1"/>
  <c r="BV289" i="1" s="1"/>
  <c r="BX288" i="1"/>
  <c r="BU288" i="1"/>
  <c r="BV288" i="1" s="1"/>
  <c r="BX287" i="1"/>
  <c r="BU287" i="1"/>
  <c r="BV287" i="1" s="1"/>
  <c r="BX286" i="1"/>
  <c r="BU286" i="1"/>
  <c r="BV286" i="1" s="1"/>
  <c r="BX285" i="1"/>
  <c r="BV285" i="1"/>
  <c r="BU285" i="1"/>
  <c r="BX284" i="1"/>
  <c r="BU284" i="1"/>
  <c r="BV284" i="1" s="1"/>
  <c r="BX283" i="1"/>
  <c r="BV283" i="1"/>
  <c r="BU283" i="1"/>
  <c r="BX282" i="1"/>
  <c r="BU282" i="1"/>
  <c r="BV282" i="1" s="1"/>
  <c r="BX281" i="1"/>
  <c r="BV281" i="1"/>
  <c r="BU281" i="1"/>
  <c r="BX280" i="1"/>
  <c r="BV280" i="1"/>
  <c r="BU280" i="1"/>
  <c r="BX279" i="1"/>
  <c r="BU279" i="1"/>
  <c r="BV279" i="1" s="1"/>
  <c r="BX278" i="1"/>
  <c r="BU278" i="1"/>
  <c r="BV278" i="1" s="1"/>
  <c r="BX277" i="1"/>
  <c r="BU277" i="1"/>
  <c r="BV277" i="1" s="1"/>
  <c r="BX276" i="1"/>
  <c r="BV276" i="1"/>
  <c r="BU276" i="1"/>
  <c r="BX275" i="1"/>
  <c r="BV275" i="1"/>
  <c r="BU275" i="1"/>
  <c r="BX274" i="1"/>
  <c r="BV274" i="1"/>
  <c r="BU274" i="1"/>
  <c r="BX273" i="1"/>
  <c r="BV273" i="1"/>
  <c r="BU273" i="1"/>
  <c r="BX272" i="1"/>
  <c r="BU272" i="1"/>
  <c r="BV272" i="1" s="1"/>
  <c r="BX271" i="1"/>
  <c r="BU271" i="1"/>
  <c r="BV271" i="1" s="1"/>
  <c r="BX270" i="1"/>
  <c r="BV270" i="1"/>
  <c r="BU270" i="1"/>
  <c r="BX269" i="1"/>
  <c r="BV269" i="1"/>
  <c r="BU269" i="1"/>
  <c r="BX268" i="1"/>
  <c r="BV268" i="1"/>
  <c r="BU268" i="1"/>
  <c r="BX267" i="1"/>
  <c r="BU267" i="1"/>
  <c r="BV267" i="1" s="1"/>
  <c r="BX266" i="1"/>
  <c r="BU266" i="1"/>
  <c r="BV266" i="1" s="1"/>
  <c r="BX265" i="1"/>
  <c r="BU265" i="1"/>
  <c r="BV265" i="1" s="1"/>
  <c r="BX264" i="1"/>
  <c r="BV264" i="1"/>
  <c r="BU264" i="1"/>
  <c r="BX263" i="1"/>
  <c r="BV263" i="1"/>
  <c r="BU263" i="1"/>
  <c r="BX262" i="1"/>
  <c r="BV262" i="1"/>
  <c r="BU262" i="1"/>
  <c r="BX261" i="1"/>
  <c r="BU261" i="1"/>
  <c r="BV261" i="1" s="1"/>
  <c r="BX260" i="1"/>
  <c r="BU260" i="1"/>
  <c r="BV260" i="1" s="1"/>
  <c r="BX259" i="1"/>
  <c r="BU259" i="1"/>
  <c r="BV259" i="1" s="1"/>
  <c r="BX258" i="1"/>
  <c r="BU258" i="1"/>
  <c r="BV258" i="1" s="1"/>
  <c r="BX257" i="1"/>
  <c r="BV257" i="1"/>
  <c r="BU257" i="1"/>
  <c r="BX256" i="1"/>
  <c r="BV256" i="1"/>
  <c r="BU256" i="1"/>
  <c r="BX255" i="1"/>
  <c r="BV255" i="1"/>
  <c r="BU255" i="1"/>
  <c r="BX254" i="1"/>
  <c r="BU254" i="1"/>
  <c r="BV254" i="1" s="1"/>
  <c r="BX253" i="1"/>
  <c r="BU253" i="1"/>
  <c r="BV253" i="1" s="1"/>
  <c r="BX252" i="1"/>
  <c r="BV252" i="1"/>
  <c r="BU252" i="1"/>
  <c r="BX251" i="1"/>
  <c r="BU251" i="1"/>
  <c r="BV251" i="1" s="1"/>
  <c r="BX250" i="1"/>
  <c r="BU250" i="1"/>
  <c r="BV250" i="1" s="1"/>
  <c r="BX249" i="1"/>
  <c r="BU249" i="1"/>
  <c r="BV249" i="1" s="1"/>
  <c r="BX248" i="1"/>
  <c r="BU248" i="1"/>
  <c r="BV248" i="1" s="1"/>
  <c r="BX247" i="1"/>
  <c r="BU247" i="1"/>
  <c r="BV247" i="1" s="1"/>
  <c r="BX246" i="1"/>
  <c r="BU246" i="1"/>
  <c r="BV246" i="1" s="1"/>
  <c r="BX245" i="1"/>
  <c r="BU245" i="1"/>
  <c r="BV245" i="1" s="1"/>
  <c r="BX244" i="1"/>
  <c r="BU244" i="1"/>
  <c r="BV244" i="1" s="1"/>
  <c r="BX243" i="1"/>
  <c r="BV243" i="1"/>
  <c r="BU243" i="1"/>
  <c r="BX242" i="1"/>
  <c r="BU242" i="1"/>
  <c r="BV242" i="1" s="1"/>
  <c r="BX241" i="1"/>
  <c r="BU241" i="1"/>
  <c r="BV241" i="1" s="1"/>
  <c r="BX240" i="1"/>
  <c r="BU240" i="1"/>
  <c r="BV240" i="1" s="1"/>
  <c r="BX239" i="1"/>
  <c r="BU239" i="1"/>
  <c r="BV239" i="1" s="1"/>
  <c r="BX238" i="1"/>
  <c r="BU238" i="1"/>
  <c r="BV238" i="1" s="1"/>
  <c r="BX237" i="1"/>
  <c r="BV237" i="1"/>
  <c r="BU237" i="1"/>
  <c r="BX236" i="1"/>
  <c r="BU236" i="1"/>
  <c r="BV236" i="1" s="1"/>
  <c r="BX235" i="1"/>
  <c r="BU235" i="1"/>
  <c r="BV235" i="1" s="1"/>
  <c r="BX234" i="1"/>
  <c r="BU234" i="1"/>
  <c r="BV234" i="1" s="1"/>
  <c r="BX233" i="1"/>
  <c r="BU233" i="1"/>
  <c r="BV233" i="1" s="1"/>
  <c r="BX232" i="1"/>
  <c r="BU232" i="1"/>
  <c r="BV232" i="1" s="1"/>
  <c r="BX231" i="1"/>
  <c r="BV231" i="1"/>
  <c r="BU231" i="1"/>
  <c r="BX230" i="1"/>
  <c r="BU230" i="1"/>
  <c r="BV230" i="1" s="1"/>
  <c r="BX229" i="1"/>
  <c r="BU229" i="1"/>
  <c r="BV229" i="1" s="1"/>
  <c r="BX228" i="1"/>
  <c r="BV228" i="1"/>
  <c r="BU228" i="1"/>
  <c r="BX227" i="1"/>
  <c r="BV227" i="1"/>
  <c r="BU227" i="1"/>
  <c r="BX226" i="1"/>
  <c r="BV226" i="1"/>
  <c r="BU226" i="1"/>
  <c r="BX225" i="1"/>
  <c r="BV225" i="1"/>
  <c r="BU225" i="1"/>
  <c r="BX224" i="1"/>
  <c r="BU224" i="1"/>
  <c r="BV224" i="1" s="1"/>
  <c r="BX223" i="1"/>
  <c r="BU223" i="1"/>
  <c r="BV223" i="1" s="1"/>
  <c r="BX222" i="1"/>
  <c r="BV222" i="1"/>
  <c r="BU222" i="1"/>
  <c r="BX221" i="1"/>
  <c r="BU221" i="1"/>
  <c r="BV221" i="1" s="1"/>
  <c r="BX220" i="1"/>
  <c r="BV220" i="1"/>
  <c r="BU220" i="1"/>
  <c r="BX219" i="1"/>
  <c r="BU219" i="1"/>
  <c r="BV219" i="1" s="1"/>
  <c r="BX218" i="1"/>
  <c r="BU218" i="1"/>
  <c r="BV218" i="1" s="1"/>
  <c r="BX217" i="1"/>
  <c r="BU217" i="1"/>
  <c r="BV217" i="1" s="1"/>
  <c r="BX216" i="1"/>
  <c r="BU216" i="1"/>
  <c r="BV216" i="1" s="1"/>
  <c r="BX215" i="1"/>
  <c r="BV215" i="1"/>
  <c r="BU215" i="1"/>
  <c r="BX214" i="1"/>
  <c r="BV214" i="1"/>
  <c r="BU214" i="1"/>
  <c r="BX213" i="1"/>
  <c r="BU213" i="1"/>
  <c r="BV213" i="1" s="1"/>
  <c r="BX212" i="1"/>
  <c r="BV212" i="1"/>
  <c r="BU212" i="1"/>
  <c r="BX211" i="1"/>
  <c r="BU211" i="1"/>
  <c r="BV211" i="1" s="1"/>
  <c r="BX210" i="1"/>
  <c r="BU210" i="1"/>
  <c r="BV210" i="1" s="1"/>
  <c r="BX209" i="1"/>
  <c r="BV209" i="1"/>
  <c r="BU209" i="1"/>
  <c r="BX208" i="1"/>
  <c r="BV208" i="1"/>
  <c r="BU208" i="1"/>
  <c r="BX207" i="1"/>
  <c r="BU207" i="1"/>
  <c r="BV207" i="1" s="1"/>
  <c r="BX206" i="1"/>
  <c r="BU206" i="1"/>
  <c r="BV206" i="1" s="1"/>
  <c r="BX205" i="1"/>
  <c r="BV205" i="1"/>
  <c r="BU205" i="1"/>
  <c r="BX204" i="1"/>
  <c r="BU204" i="1"/>
  <c r="BV204" i="1" s="1"/>
  <c r="BX203" i="1"/>
  <c r="BV203" i="1"/>
  <c r="BU203" i="1"/>
  <c r="BX202" i="1"/>
  <c r="BV202" i="1"/>
  <c r="BU202" i="1"/>
  <c r="BX201" i="1"/>
  <c r="BV201" i="1"/>
  <c r="BU201" i="1"/>
  <c r="BX200" i="1"/>
  <c r="BU200" i="1"/>
  <c r="BV200" i="1" s="1"/>
  <c r="BX199" i="1"/>
  <c r="BV199" i="1"/>
  <c r="BU199" i="1"/>
  <c r="BX198" i="1"/>
  <c r="BU198" i="1"/>
  <c r="BV198" i="1" s="1"/>
  <c r="BX197" i="1"/>
  <c r="BU197" i="1"/>
  <c r="BV197" i="1" s="1"/>
  <c r="BX196" i="1"/>
  <c r="BU196" i="1"/>
  <c r="BV196" i="1" s="1"/>
  <c r="BX195" i="1"/>
  <c r="BU195" i="1"/>
  <c r="BV195" i="1" s="1"/>
  <c r="BX194" i="1"/>
  <c r="BU194" i="1"/>
  <c r="BV194" i="1" s="1"/>
  <c r="BX193" i="1"/>
  <c r="BU193" i="1"/>
  <c r="BV193" i="1" s="1"/>
  <c r="BX192" i="1"/>
  <c r="BV192" i="1"/>
  <c r="BU192" i="1"/>
  <c r="BX191" i="1"/>
  <c r="BU191" i="1"/>
  <c r="BV191" i="1" s="1"/>
  <c r="BX190" i="1"/>
  <c r="BU190" i="1"/>
  <c r="BV190" i="1" s="1"/>
  <c r="BX189" i="1"/>
  <c r="BU189" i="1"/>
  <c r="BV189" i="1" s="1"/>
  <c r="BX188" i="1"/>
  <c r="BU188" i="1"/>
  <c r="BV188" i="1" s="1"/>
  <c r="BX187" i="1"/>
  <c r="BU187" i="1"/>
  <c r="BV187" i="1" s="1"/>
  <c r="BX186" i="1"/>
  <c r="BU186" i="1"/>
  <c r="BV186" i="1" s="1"/>
  <c r="BX185" i="1"/>
  <c r="BU185" i="1"/>
  <c r="BV185" i="1" s="1"/>
  <c r="BX184" i="1"/>
  <c r="BU184" i="1"/>
  <c r="BV184" i="1" s="1"/>
  <c r="BX183" i="1"/>
  <c r="BU183" i="1"/>
  <c r="BV183" i="1" s="1"/>
  <c r="BX182" i="1"/>
  <c r="BU182" i="1"/>
  <c r="BV182" i="1" s="1"/>
  <c r="BX181" i="1"/>
  <c r="BU181" i="1"/>
  <c r="BV181" i="1" s="1"/>
  <c r="BX180" i="1"/>
  <c r="BU180" i="1"/>
  <c r="BV180" i="1" s="1"/>
  <c r="BX179" i="1"/>
  <c r="BU179" i="1"/>
  <c r="BV179" i="1" s="1"/>
  <c r="BX178" i="1"/>
  <c r="BU178" i="1"/>
  <c r="BV178" i="1" s="1"/>
  <c r="BX177" i="1"/>
  <c r="BU177" i="1"/>
  <c r="BV177" i="1" s="1"/>
  <c r="BX176" i="1"/>
  <c r="BU176" i="1"/>
  <c r="BV176" i="1" s="1"/>
  <c r="BX175" i="1"/>
  <c r="BU175" i="1"/>
  <c r="BV175" i="1" s="1"/>
  <c r="BX174" i="1"/>
  <c r="BV174" i="1"/>
  <c r="BU174" i="1"/>
  <c r="BX173" i="1"/>
  <c r="BU173" i="1"/>
  <c r="BV173" i="1" s="1"/>
  <c r="BX172" i="1"/>
  <c r="BU172" i="1"/>
  <c r="BV172" i="1" s="1"/>
  <c r="BX171" i="1"/>
  <c r="BV171" i="1"/>
  <c r="BU171" i="1"/>
  <c r="BX170" i="1"/>
  <c r="BU170" i="1"/>
  <c r="BV170" i="1" s="1"/>
  <c r="BX169" i="1"/>
  <c r="BV169" i="1"/>
  <c r="BU169" i="1"/>
  <c r="BX168" i="1"/>
  <c r="BU168" i="1"/>
  <c r="BV168" i="1" s="1"/>
  <c r="BX167" i="1"/>
  <c r="BU167" i="1"/>
  <c r="BV167" i="1" s="1"/>
  <c r="BX166" i="1"/>
  <c r="BU166" i="1"/>
  <c r="BV166" i="1" s="1"/>
  <c r="BX165" i="1"/>
  <c r="BU165" i="1"/>
  <c r="BV165" i="1" s="1"/>
  <c r="BX164" i="1"/>
  <c r="BU164" i="1"/>
  <c r="BV164" i="1" s="1"/>
  <c r="BX163" i="1"/>
  <c r="BU163" i="1"/>
  <c r="BV163" i="1" s="1"/>
  <c r="BX162" i="1"/>
  <c r="BV162" i="1"/>
  <c r="BU162" i="1"/>
  <c r="BX161" i="1"/>
  <c r="BU161" i="1"/>
  <c r="BV161" i="1" s="1"/>
  <c r="BX160" i="1"/>
  <c r="BU160" i="1"/>
  <c r="BV160" i="1" s="1"/>
  <c r="BX159" i="1"/>
  <c r="BU159" i="1"/>
  <c r="BV159" i="1" s="1"/>
  <c r="BX158" i="1"/>
  <c r="BU158" i="1"/>
  <c r="BV158" i="1" s="1"/>
  <c r="BX157" i="1"/>
  <c r="BU157" i="1"/>
  <c r="BV157" i="1" s="1"/>
  <c r="BX156" i="1"/>
  <c r="BU156" i="1"/>
  <c r="BV156" i="1" s="1"/>
  <c r="BX155" i="1"/>
  <c r="BU155" i="1"/>
  <c r="BV155" i="1" s="1"/>
  <c r="BX154" i="1"/>
  <c r="BU154" i="1"/>
  <c r="BV154" i="1" s="1"/>
  <c r="BX153" i="1"/>
  <c r="BU153" i="1"/>
  <c r="BV153" i="1" s="1"/>
  <c r="BX152" i="1"/>
  <c r="BU152" i="1"/>
  <c r="BV152" i="1" s="1"/>
  <c r="BX151" i="1"/>
  <c r="BU151" i="1"/>
  <c r="BV151" i="1" s="1"/>
  <c r="BX150" i="1"/>
  <c r="BU150" i="1"/>
  <c r="BV150" i="1" s="1"/>
  <c r="BX149" i="1"/>
  <c r="BU149" i="1"/>
  <c r="BV149" i="1" s="1"/>
  <c r="BX148" i="1"/>
  <c r="BU148" i="1"/>
  <c r="BV148" i="1" s="1"/>
  <c r="BX147" i="1"/>
  <c r="BV147" i="1"/>
  <c r="BU147" i="1"/>
  <c r="BX146" i="1"/>
  <c r="BU146" i="1"/>
  <c r="BV146" i="1" s="1"/>
  <c r="BX145" i="1"/>
  <c r="BU145" i="1"/>
  <c r="BV145" i="1" s="1"/>
  <c r="BX144" i="1"/>
  <c r="BV144" i="1"/>
  <c r="BU144" i="1"/>
  <c r="BX143" i="1"/>
  <c r="BV143" i="1"/>
  <c r="BU143" i="1"/>
  <c r="BX142" i="1"/>
  <c r="BU142" i="1"/>
  <c r="BV142" i="1" s="1"/>
  <c r="BX141" i="1"/>
  <c r="BU141" i="1"/>
  <c r="BV141" i="1" s="1"/>
  <c r="BX140" i="1"/>
  <c r="BU140" i="1"/>
  <c r="BV140" i="1" s="1"/>
  <c r="BX139" i="1"/>
  <c r="BU139" i="1"/>
  <c r="BV139" i="1" s="1"/>
  <c r="BX138" i="1"/>
  <c r="BU138" i="1"/>
  <c r="BV138" i="1" s="1"/>
  <c r="BX137" i="1"/>
  <c r="BU137" i="1"/>
  <c r="BV137" i="1" s="1"/>
  <c r="BX136" i="1"/>
  <c r="BU136" i="1"/>
  <c r="BV136" i="1" s="1"/>
  <c r="BX135" i="1"/>
  <c r="BU135" i="1"/>
  <c r="BV135" i="1" s="1"/>
  <c r="BX134" i="1"/>
  <c r="BU134" i="1"/>
  <c r="BV134" i="1" s="1"/>
  <c r="BX133" i="1"/>
  <c r="BU133" i="1"/>
  <c r="BV133" i="1" s="1"/>
  <c r="BX132" i="1"/>
  <c r="BU132" i="1"/>
  <c r="BV132" i="1" s="1"/>
  <c r="BX131" i="1"/>
  <c r="BU131" i="1"/>
  <c r="BV131" i="1" s="1"/>
  <c r="BX130" i="1"/>
  <c r="BU130" i="1"/>
  <c r="BV130" i="1" s="1"/>
  <c r="BX129" i="1"/>
  <c r="BU129" i="1"/>
  <c r="BV129" i="1" s="1"/>
  <c r="BX128" i="1"/>
  <c r="BU128" i="1"/>
  <c r="BV128" i="1" s="1"/>
  <c r="BX127" i="1"/>
  <c r="BU127" i="1"/>
  <c r="BV127" i="1" s="1"/>
  <c r="BX126" i="1"/>
  <c r="BU126" i="1"/>
  <c r="BV126" i="1" s="1"/>
  <c r="BX125" i="1"/>
  <c r="BU125" i="1"/>
  <c r="BV125" i="1" s="1"/>
  <c r="BX124" i="1"/>
  <c r="BU124" i="1"/>
  <c r="BV124" i="1" s="1"/>
  <c r="BX123" i="1"/>
  <c r="BU123" i="1"/>
  <c r="BV123" i="1" s="1"/>
  <c r="BX122" i="1"/>
  <c r="BU122" i="1"/>
  <c r="BV122" i="1" s="1"/>
  <c r="BX121" i="1"/>
  <c r="BU121" i="1"/>
  <c r="BV121" i="1" s="1"/>
  <c r="BX120" i="1"/>
  <c r="BU120" i="1"/>
  <c r="BV120" i="1" s="1"/>
  <c r="BX119" i="1"/>
  <c r="BU119" i="1"/>
  <c r="BV119" i="1" s="1"/>
  <c r="BX118" i="1"/>
  <c r="BU118" i="1"/>
  <c r="BV118" i="1" s="1"/>
  <c r="BX117" i="1"/>
  <c r="BU117" i="1"/>
  <c r="BV117" i="1" s="1"/>
  <c r="BX116" i="1"/>
  <c r="BU116" i="1"/>
  <c r="BV116" i="1" s="1"/>
  <c r="BX115" i="1"/>
  <c r="BV115" i="1"/>
  <c r="BU115" i="1"/>
  <c r="BX114" i="1"/>
  <c r="BU114" i="1"/>
  <c r="BV114" i="1" s="1"/>
  <c r="BX113" i="1"/>
  <c r="BU113" i="1"/>
  <c r="BV113" i="1" s="1"/>
  <c r="BX112" i="1"/>
  <c r="BU112" i="1"/>
  <c r="BV112" i="1" s="1"/>
  <c r="BX111" i="1"/>
  <c r="BU111" i="1"/>
  <c r="BV111" i="1" s="1"/>
  <c r="BX110" i="1"/>
  <c r="BU110" i="1"/>
  <c r="BV110" i="1" s="1"/>
  <c r="BX109" i="1"/>
  <c r="BU109" i="1"/>
  <c r="BV109" i="1" s="1"/>
  <c r="BX108" i="1"/>
  <c r="BU108" i="1"/>
  <c r="BV108" i="1" s="1"/>
  <c r="BX107" i="1"/>
  <c r="BU107" i="1"/>
  <c r="BV107" i="1" s="1"/>
  <c r="BX106" i="1"/>
  <c r="BU106" i="1"/>
  <c r="BV106" i="1" s="1"/>
  <c r="BX105" i="1"/>
  <c r="BU105" i="1"/>
  <c r="BV105" i="1" s="1"/>
  <c r="BX104" i="1"/>
  <c r="BU104" i="1"/>
  <c r="BV104" i="1" s="1"/>
  <c r="BX103" i="1"/>
  <c r="BU103" i="1"/>
  <c r="BV103" i="1" s="1"/>
  <c r="BX102" i="1"/>
  <c r="BU102" i="1"/>
  <c r="BV102" i="1" s="1"/>
  <c r="BX101" i="1"/>
  <c r="BU101" i="1"/>
  <c r="BV101" i="1" s="1"/>
  <c r="BX100" i="1"/>
  <c r="BU100" i="1"/>
  <c r="BV100" i="1" s="1"/>
  <c r="BX99" i="1"/>
  <c r="BU99" i="1"/>
  <c r="BV99" i="1" s="1"/>
  <c r="BX98" i="1"/>
  <c r="BU98" i="1"/>
  <c r="BV98" i="1" s="1"/>
  <c r="BX97" i="1"/>
  <c r="BU97" i="1"/>
  <c r="BV97" i="1" s="1"/>
  <c r="BX96" i="1"/>
  <c r="BU96" i="1"/>
  <c r="BV96" i="1" s="1"/>
  <c r="BX95" i="1"/>
  <c r="BU95" i="1"/>
  <c r="BV95" i="1" s="1"/>
  <c r="BX94" i="1"/>
  <c r="BU94" i="1"/>
  <c r="BV94" i="1" s="1"/>
  <c r="BX93" i="1"/>
  <c r="BU93" i="1"/>
  <c r="BV93" i="1" s="1"/>
  <c r="BX92" i="1"/>
  <c r="BU92" i="1"/>
  <c r="BV92" i="1" s="1"/>
  <c r="BX91" i="1"/>
  <c r="BU91" i="1"/>
  <c r="BV91" i="1" s="1"/>
  <c r="BX90" i="1"/>
  <c r="BU90" i="1"/>
  <c r="BV90" i="1" s="1"/>
  <c r="BX89" i="1"/>
  <c r="BU89" i="1"/>
  <c r="BV89" i="1" s="1"/>
  <c r="BX88" i="1"/>
  <c r="BU88" i="1"/>
  <c r="BV88" i="1" s="1"/>
  <c r="BX87" i="1"/>
  <c r="BV87" i="1"/>
  <c r="BU87" i="1"/>
  <c r="BX86" i="1"/>
  <c r="BU86" i="1"/>
  <c r="BV86" i="1" s="1"/>
  <c r="BX85" i="1"/>
  <c r="BU85" i="1"/>
  <c r="BV85" i="1" s="1"/>
  <c r="BX84" i="1"/>
  <c r="BU84" i="1"/>
  <c r="BV84" i="1" s="1"/>
  <c r="BX83" i="1"/>
  <c r="BU83" i="1"/>
  <c r="BV83" i="1" s="1"/>
  <c r="BX82" i="1"/>
  <c r="BU82" i="1"/>
  <c r="BV82" i="1" s="1"/>
  <c r="BX81" i="1"/>
  <c r="BU81" i="1"/>
  <c r="BV81" i="1" s="1"/>
  <c r="BX80" i="1"/>
  <c r="BU80" i="1"/>
  <c r="BV80" i="1" s="1"/>
  <c r="BX79" i="1"/>
  <c r="BU79" i="1"/>
  <c r="BV79" i="1" s="1"/>
  <c r="BX78" i="1"/>
  <c r="BU78" i="1"/>
  <c r="BV78" i="1" s="1"/>
  <c r="BX77" i="1"/>
  <c r="BU77" i="1"/>
  <c r="BV77" i="1" s="1"/>
  <c r="BX76" i="1"/>
  <c r="BV76" i="1"/>
  <c r="BU76" i="1"/>
  <c r="BX75" i="1"/>
  <c r="BU75" i="1"/>
  <c r="BV75" i="1" s="1"/>
  <c r="BX74" i="1"/>
  <c r="BV74" i="1"/>
  <c r="BU74" i="1"/>
  <c r="BX73" i="1"/>
  <c r="BU73" i="1"/>
  <c r="BV73" i="1" s="1"/>
  <c r="BX72" i="1"/>
  <c r="BU72" i="1"/>
  <c r="BV72" i="1" s="1"/>
  <c r="BX71" i="1"/>
  <c r="BU71" i="1"/>
  <c r="BV71" i="1" s="1"/>
  <c r="BX70" i="1"/>
  <c r="BU70" i="1"/>
  <c r="BV70" i="1" s="1"/>
  <c r="BX69" i="1"/>
  <c r="BU69" i="1"/>
  <c r="BV69" i="1" s="1"/>
  <c r="BX68" i="1"/>
  <c r="BU68" i="1"/>
  <c r="BV68" i="1" s="1"/>
  <c r="BX67" i="1"/>
  <c r="BV67" i="1"/>
  <c r="BU67" i="1"/>
  <c r="BX66" i="1"/>
  <c r="BU66" i="1"/>
  <c r="BV66" i="1" s="1"/>
  <c r="BX65" i="1"/>
  <c r="BU65" i="1"/>
  <c r="BV65" i="1" s="1"/>
  <c r="BX64" i="1"/>
  <c r="BU64" i="1"/>
  <c r="BV64" i="1" s="1"/>
  <c r="BX63" i="1"/>
  <c r="BV63" i="1"/>
  <c r="BU63" i="1"/>
  <c r="BX62" i="1"/>
  <c r="BU62" i="1"/>
  <c r="BV62" i="1" s="1"/>
  <c r="BX61" i="1"/>
  <c r="BU61" i="1"/>
  <c r="BV61" i="1" s="1"/>
  <c r="BX60" i="1"/>
  <c r="BV60" i="1"/>
  <c r="BU60" i="1"/>
  <c r="BX59" i="1"/>
  <c r="BV59" i="1"/>
  <c r="BU59" i="1"/>
  <c r="BX58" i="1"/>
  <c r="BU58" i="1"/>
  <c r="BV58" i="1" s="1"/>
  <c r="BX57" i="1"/>
  <c r="BU57" i="1"/>
  <c r="BV57" i="1" s="1"/>
  <c r="BX56" i="1"/>
  <c r="BU56" i="1"/>
  <c r="BV56" i="1" s="1"/>
  <c r="BX55" i="1"/>
  <c r="BU55" i="1"/>
  <c r="BV55" i="1" s="1"/>
  <c r="BX54" i="1"/>
  <c r="BU54" i="1"/>
  <c r="BV54" i="1" s="1"/>
  <c r="BX53" i="1"/>
  <c r="BU53" i="1"/>
  <c r="BV53" i="1" s="1"/>
  <c r="BX52" i="1"/>
  <c r="BU52" i="1"/>
  <c r="BV52" i="1" s="1"/>
  <c r="BX51" i="1"/>
  <c r="BU51" i="1"/>
  <c r="BV51" i="1" s="1"/>
  <c r="BX50" i="1"/>
  <c r="BU50" i="1"/>
  <c r="BV50" i="1" s="1"/>
  <c r="BX49" i="1"/>
  <c r="BV49" i="1"/>
  <c r="BU49" i="1"/>
  <c r="BX48" i="1"/>
  <c r="BU48" i="1"/>
  <c r="BV48" i="1" s="1"/>
  <c r="BX47" i="1"/>
  <c r="BU47" i="1"/>
  <c r="BV47" i="1" s="1"/>
  <c r="BX46" i="1"/>
  <c r="BU46" i="1"/>
  <c r="BV46" i="1" s="1"/>
  <c r="BX45" i="1"/>
  <c r="BU45" i="1"/>
  <c r="BV45" i="1" s="1"/>
  <c r="BX44" i="1"/>
  <c r="BU44" i="1"/>
  <c r="BV44" i="1" s="1"/>
  <c r="BX43" i="1"/>
  <c r="BU43" i="1"/>
  <c r="BV43" i="1" s="1"/>
  <c r="BX42" i="1"/>
  <c r="BU42" i="1"/>
  <c r="BV42" i="1" s="1"/>
  <c r="BX41" i="1"/>
  <c r="BU41" i="1"/>
  <c r="BV41" i="1" s="1"/>
  <c r="BX40" i="1"/>
  <c r="BU40" i="1"/>
  <c r="BV40" i="1" s="1"/>
  <c r="BX39" i="1"/>
  <c r="BV39" i="1"/>
  <c r="BU39" i="1"/>
  <c r="BX38" i="1"/>
  <c r="BU38" i="1"/>
  <c r="BV38" i="1" s="1"/>
  <c r="BX37" i="1"/>
  <c r="BU37" i="1"/>
  <c r="BV37" i="1" s="1"/>
  <c r="BX36" i="1"/>
  <c r="BU36" i="1"/>
  <c r="BV36" i="1" s="1"/>
  <c r="BX35" i="1"/>
  <c r="BU35" i="1"/>
  <c r="BV35" i="1" s="1"/>
  <c r="BX34" i="1"/>
  <c r="BU34" i="1"/>
  <c r="BV34" i="1" s="1"/>
  <c r="BX33" i="1"/>
  <c r="BU33" i="1"/>
  <c r="BV33" i="1" s="1"/>
  <c r="BX32" i="1"/>
  <c r="BU32" i="1"/>
  <c r="BV32" i="1" s="1"/>
  <c r="BX31" i="1"/>
  <c r="BV31" i="1"/>
  <c r="BU31" i="1"/>
  <c r="BX30" i="1"/>
  <c r="BU30" i="1"/>
  <c r="BV30" i="1" s="1"/>
  <c r="BX29" i="1"/>
  <c r="BU29" i="1"/>
  <c r="BV29" i="1" s="1"/>
  <c r="BX28" i="1"/>
  <c r="BU28" i="1"/>
  <c r="BV28" i="1" s="1"/>
  <c r="BX27" i="1"/>
  <c r="BU27" i="1"/>
  <c r="BV27" i="1" s="1"/>
  <c r="BX26" i="1"/>
  <c r="BU26" i="1"/>
  <c r="BV26" i="1" s="1"/>
  <c r="BX25" i="1"/>
  <c r="BU25" i="1"/>
  <c r="BV25" i="1" s="1"/>
  <c r="BX24" i="1"/>
  <c r="BU24" i="1"/>
  <c r="BV24" i="1" s="1"/>
  <c r="BX23" i="1"/>
  <c r="BU23" i="1"/>
  <c r="BV23" i="1" s="1"/>
  <c r="BX22" i="1"/>
  <c r="BU22" i="1"/>
  <c r="BV22" i="1" s="1"/>
  <c r="BX21" i="1"/>
  <c r="BV21" i="1"/>
  <c r="BU21" i="1"/>
  <c r="BX20" i="1"/>
  <c r="BU20" i="1"/>
  <c r="BV20" i="1" s="1"/>
  <c r="BX19" i="1"/>
  <c r="BU19" i="1"/>
  <c r="BV19" i="1" s="1"/>
  <c r="BX18" i="1"/>
  <c r="BU18" i="1"/>
  <c r="BV18" i="1" s="1"/>
  <c r="BX17" i="1"/>
  <c r="BU17" i="1"/>
  <c r="BV17" i="1" s="1"/>
  <c r="BX16" i="1"/>
  <c r="BU16" i="1"/>
  <c r="BV16" i="1" s="1"/>
  <c r="BX15" i="1"/>
  <c r="BV15" i="1"/>
  <c r="BU15" i="1"/>
  <c r="BX14" i="1"/>
  <c r="BU14" i="1"/>
  <c r="BV14" i="1" s="1"/>
  <c r="BX13" i="1"/>
  <c r="BU13" i="1"/>
  <c r="BV13" i="1" s="1"/>
  <c r="BX12" i="1"/>
  <c r="BU12" i="1"/>
  <c r="BV12" i="1" s="1"/>
  <c r="BX11" i="1"/>
  <c r="BU11" i="1"/>
  <c r="BV11" i="1" s="1"/>
  <c r="BX10" i="1"/>
  <c r="BU10" i="1"/>
  <c r="BV10" i="1" s="1"/>
  <c r="BX9" i="1"/>
  <c r="BU9" i="1"/>
  <c r="BV9" i="1" s="1"/>
  <c r="BX8" i="1"/>
  <c r="BU8" i="1"/>
  <c r="BV8" i="1" s="1"/>
  <c r="BX7" i="1"/>
  <c r="BU7" i="1"/>
  <c r="BV7" i="1" s="1"/>
  <c r="BX6" i="1"/>
  <c r="BV6" i="1"/>
  <c r="BU6" i="1"/>
  <c r="BX5" i="1"/>
  <c r="BU5" i="1"/>
  <c r="BV5" i="1" s="1"/>
  <c r="BX4" i="1"/>
  <c r="BU4" i="1"/>
  <c r="BV4" i="1" s="1"/>
  <c r="BX3" i="1"/>
  <c r="BV3" i="1"/>
  <c r="BU3" i="1"/>
  <c r="BY4" i="5"/>
  <c r="BY5" i="5"/>
  <c r="BY6" i="5"/>
  <c r="BY7" i="5"/>
  <c r="BY8" i="5"/>
  <c r="BY9" i="5"/>
  <c r="BY10" i="5"/>
  <c r="BY11" i="5"/>
  <c r="BY12" i="5"/>
  <c r="BY13" i="5"/>
  <c r="BY14" i="5"/>
  <c r="BY15" i="5"/>
  <c r="BY16" i="5"/>
  <c r="BY17" i="5"/>
  <c r="BY18" i="5"/>
  <c r="BY19" i="5"/>
  <c r="BY20" i="5"/>
  <c r="BY21" i="5"/>
  <c r="BY22" i="5"/>
  <c r="BY23" i="5"/>
  <c r="BY24" i="5"/>
  <c r="BY25" i="5"/>
  <c r="BY26" i="5"/>
  <c r="BY27" i="5"/>
  <c r="BY28" i="5"/>
  <c r="BY29" i="5"/>
  <c r="BY30" i="5"/>
  <c r="BY31" i="5"/>
  <c r="BY32" i="5"/>
  <c r="BY33" i="5"/>
  <c r="BY34" i="5"/>
  <c r="BY35" i="5"/>
  <c r="BY36" i="5"/>
  <c r="BY37" i="5"/>
  <c r="BY38" i="5"/>
  <c r="BY39" i="5"/>
  <c r="BY40" i="5"/>
  <c r="BY41" i="5"/>
  <c r="BY42" i="5"/>
  <c r="BY43" i="5"/>
  <c r="BY44" i="5"/>
  <c r="BY45" i="5"/>
  <c r="BY46" i="5"/>
  <c r="BY47" i="5"/>
  <c r="BY48" i="5"/>
  <c r="BY49" i="5"/>
  <c r="BY50" i="5"/>
  <c r="BY51" i="5"/>
  <c r="BY52" i="5"/>
  <c r="BY53" i="5"/>
  <c r="BY54" i="5"/>
  <c r="BY55" i="5"/>
  <c r="BY56" i="5"/>
  <c r="BY57" i="5"/>
  <c r="BY58" i="5"/>
  <c r="BY59" i="5"/>
  <c r="BY60" i="5"/>
  <c r="BY61" i="5"/>
  <c r="BY62" i="5"/>
  <c r="BY63" i="5"/>
  <c r="BY64" i="5"/>
  <c r="BY65" i="5"/>
  <c r="BY66" i="5"/>
  <c r="BY67" i="5"/>
  <c r="BY68" i="5"/>
  <c r="BY69" i="5"/>
  <c r="BY70" i="5"/>
  <c r="BY71" i="5"/>
  <c r="BY72" i="5"/>
  <c r="BY73" i="5"/>
  <c r="BY74" i="5"/>
  <c r="BY75" i="5"/>
  <c r="BY76" i="5"/>
  <c r="BY77" i="5"/>
  <c r="BY78" i="5"/>
  <c r="BY79" i="5"/>
  <c r="BY80" i="5"/>
  <c r="BY81" i="5"/>
  <c r="BY82" i="5"/>
  <c r="BY83" i="5"/>
  <c r="BY84" i="5"/>
  <c r="BY85" i="5"/>
  <c r="BY86" i="5"/>
  <c r="BY87" i="5"/>
  <c r="BY88" i="5"/>
  <c r="BY89" i="5"/>
  <c r="BY90" i="5"/>
  <c r="BY91" i="5"/>
  <c r="BY92" i="5"/>
  <c r="BY93" i="5"/>
  <c r="BY94" i="5"/>
  <c r="BY95" i="5"/>
  <c r="BY96" i="5"/>
  <c r="BY97" i="5"/>
  <c r="BY98" i="5"/>
  <c r="BY99" i="5"/>
  <c r="BY100" i="5"/>
  <c r="BY101" i="5"/>
  <c r="BY102" i="5"/>
  <c r="BY103" i="5"/>
  <c r="BY104" i="5"/>
  <c r="BY105" i="5"/>
  <c r="BY106" i="5"/>
  <c r="BY107" i="5"/>
  <c r="BY108" i="5"/>
  <c r="BY109" i="5"/>
  <c r="BY110" i="5"/>
  <c r="BY111" i="5"/>
  <c r="BY112" i="5"/>
  <c r="BY113" i="5"/>
  <c r="BY114" i="5"/>
  <c r="BY115" i="5"/>
  <c r="BY116" i="5"/>
  <c r="BY117" i="5"/>
  <c r="BY118" i="5"/>
  <c r="BY119" i="5"/>
  <c r="BY120" i="5"/>
  <c r="BY121" i="5"/>
  <c r="BY122" i="5"/>
  <c r="BY123" i="5"/>
  <c r="BY124" i="5"/>
  <c r="BY125" i="5"/>
  <c r="BY126" i="5"/>
  <c r="BY127" i="5"/>
  <c r="BY128" i="5"/>
  <c r="BY129" i="5"/>
  <c r="BY130" i="5"/>
  <c r="BY131" i="5"/>
  <c r="BY132" i="5"/>
  <c r="BY133" i="5"/>
  <c r="BY134" i="5"/>
  <c r="BY135" i="5"/>
  <c r="BY136" i="5"/>
  <c r="BY137" i="5"/>
  <c r="BY138" i="5"/>
  <c r="BY139" i="5"/>
  <c r="BY140" i="5"/>
  <c r="BY141" i="5"/>
  <c r="BY142" i="5"/>
  <c r="BY143" i="5"/>
  <c r="BY144" i="5"/>
  <c r="BY145" i="5"/>
  <c r="BY146" i="5"/>
  <c r="BY147" i="5"/>
  <c r="BY148" i="5"/>
  <c r="BY149" i="5"/>
  <c r="BY150" i="5"/>
  <c r="BY151" i="5"/>
  <c r="BY152" i="5"/>
  <c r="BY153" i="5"/>
  <c r="BY154" i="5"/>
  <c r="BY155" i="5"/>
  <c r="BY156" i="5"/>
  <c r="BY157" i="5"/>
  <c r="BY158" i="5"/>
  <c r="BY159" i="5"/>
  <c r="BY160" i="5"/>
  <c r="BY161" i="5"/>
  <c r="BY162" i="5"/>
  <c r="BY163" i="5"/>
  <c r="BY164" i="5"/>
  <c r="BY165" i="5"/>
  <c r="BY166" i="5"/>
  <c r="BY167" i="5"/>
  <c r="BY168" i="5"/>
  <c r="BY169" i="5"/>
  <c r="BY170" i="5"/>
  <c r="BY171" i="5"/>
  <c r="BY172" i="5"/>
  <c r="BY173" i="5"/>
  <c r="BY174" i="5"/>
  <c r="BY175" i="5"/>
  <c r="BY176" i="5"/>
  <c r="BY177" i="5"/>
  <c r="BY178" i="5"/>
  <c r="BY179" i="5"/>
  <c r="BY180" i="5"/>
  <c r="BY181" i="5"/>
  <c r="BY182" i="5"/>
  <c r="BY183" i="5"/>
  <c r="BY184" i="5"/>
  <c r="BY185" i="5"/>
  <c r="BY186" i="5"/>
  <c r="BY187" i="5"/>
  <c r="BY188" i="5"/>
  <c r="BY189" i="5"/>
  <c r="BY190" i="5"/>
  <c r="BY191" i="5"/>
  <c r="BY192" i="5"/>
  <c r="BY193" i="5"/>
  <c r="BY194" i="5"/>
  <c r="BY195" i="5"/>
  <c r="BY196" i="5"/>
  <c r="BY197" i="5"/>
  <c r="BY198" i="5"/>
  <c r="BY199" i="5"/>
  <c r="BY200" i="5"/>
  <c r="BY201" i="5"/>
  <c r="BY202" i="5"/>
  <c r="BY203" i="5"/>
  <c r="BY204" i="5"/>
  <c r="BY205" i="5"/>
  <c r="BY206" i="5"/>
  <c r="BY207" i="5"/>
  <c r="BY208" i="5"/>
  <c r="BY209" i="5"/>
  <c r="BY210" i="5"/>
  <c r="BY211" i="5"/>
  <c r="BY212" i="5"/>
  <c r="BY213" i="5"/>
  <c r="BY214" i="5"/>
  <c r="BY215" i="5"/>
  <c r="BY216" i="5"/>
  <c r="BY217" i="5"/>
  <c r="BY218" i="5"/>
  <c r="BY219" i="5"/>
  <c r="BY220" i="5"/>
  <c r="BY221" i="5"/>
  <c r="BY222" i="5"/>
  <c r="BY223" i="5"/>
  <c r="BY224" i="5"/>
  <c r="BY225" i="5"/>
  <c r="BY226" i="5"/>
  <c r="BY227" i="5"/>
  <c r="BY228" i="5"/>
  <c r="BY229" i="5"/>
  <c r="BY230" i="5"/>
  <c r="BY231" i="5"/>
  <c r="BY232" i="5"/>
  <c r="BY233" i="5"/>
  <c r="BY234" i="5"/>
  <c r="BY235" i="5"/>
  <c r="BY236" i="5"/>
  <c r="BY237" i="5"/>
  <c r="BY238" i="5"/>
  <c r="BY239" i="5"/>
  <c r="BY240" i="5"/>
  <c r="BY241" i="5"/>
  <c r="BY242" i="5"/>
  <c r="BY243" i="5"/>
  <c r="BY244" i="5"/>
  <c r="BY245" i="5"/>
  <c r="BY246" i="5"/>
  <c r="BY247" i="5"/>
  <c r="BY248" i="5"/>
  <c r="BY249" i="5"/>
  <c r="BY250" i="5"/>
  <c r="BY251" i="5"/>
  <c r="BY252" i="5"/>
  <c r="BY253" i="5"/>
  <c r="BY254" i="5"/>
  <c r="BY255" i="5"/>
  <c r="BY256" i="5"/>
  <c r="BY257" i="5"/>
  <c r="BY258" i="5"/>
  <c r="BY259" i="5"/>
  <c r="BY260" i="5"/>
  <c r="BY261" i="5"/>
  <c r="BY262" i="5"/>
  <c r="BY263" i="5"/>
  <c r="BY264" i="5"/>
  <c r="BY265" i="5"/>
  <c r="BY266" i="5"/>
  <c r="BY267" i="5"/>
  <c r="BY268" i="5"/>
  <c r="BY269" i="5"/>
  <c r="BY270" i="5"/>
  <c r="BY271" i="5"/>
  <c r="BY272" i="5"/>
  <c r="BY273" i="5"/>
  <c r="BY274" i="5"/>
  <c r="BY275" i="5"/>
  <c r="BY276" i="5"/>
  <c r="BY277" i="5"/>
  <c r="BY278" i="5"/>
  <c r="BY279" i="5"/>
  <c r="BY280" i="5"/>
  <c r="BY281" i="5"/>
  <c r="BY282" i="5"/>
  <c r="BY283" i="5"/>
  <c r="BY284" i="5"/>
  <c r="BY285" i="5"/>
  <c r="BY286" i="5"/>
  <c r="BY287" i="5"/>
  <c r="BY288" i="5"/>
  <c r="BY289" i="5"/>
  <c r="BY290" i="5"/>
  <c r="BY291" i="5"/>
  <c r="BY292" i="5"/>
  <c r="BY293" i="5"/>
  <c r="BY294" i="5"/>
  <c r="BY295" i="5"/>
  <c r="BY296" i="5"/>
  <c r="BY297" i="5"/>
  <c r="BY298" i="5"/>
  <c r="BY299" i="5"/>
  <c r="BY300" i="5"/>
  <c r="BY301" i="5"/>
  <c r="BY302" i="5"/>
  <c r="BY303" i="5"/>
  <c r="BY304" i="5"/>
  <c r="BY305" i="5"/>
  <c r="BY306" i="5"/>
  <c r="BY307" i="5"/>
  <c r="BY308" i="5"/>
  <c r="BY309" i="5"/>
  <c r="BY310" i="5"/>
  <c r="BY311" i="5"/>
  <c r="BY312" i="5"/>
  <c r="BY313" i="5"/>
  <c r="BY314" i="5"/>
  <c r="BY315" i="5"/>
  <c r="BY316" i="5"/>
  <c r="BY317" i="5"/>
  <c r="BY318" i="5"/>
  <c r="BY319" i="5"/>
  <c r="BY320" i="5"/>
  <c r="BY321" i="5"/>
  <c r="BY322" i="5"/>
  <c r="BY323" i="5"/>
  <c r="BY324" i="5"/>
  <c r="BY325" i="5"/>
  <c r="BY326" i="5"/>
  <c r="BY327" i="5"/>
  <c r="BY328" i="5"/>
  <c r="BY329" i="5"/>
  <c r="BY330" i="5"/>
  <c r="BY331" i="5"/>
  <c r="BY332" i="5"/>
  <c r="BY333" i="5"/>
  <c r="BY334" i="5"/>
  <c r="BY335" i="5"/>
  <c r="BY336" i="5"/>
  <c r="BY337" i="5"/>
  <c r="BY338" i="5"/>
  <c r="BY339" i="5"/>
  <c r="BY340" i="5"/>
  <c r="BY341" i="5"/>
  <c r="BY342" i="5"/>
  <c r="BY343" i="5"/>
  <c r="BY344" i="5"/>
  <c r="BY345" i="5"/>
  <c r="BY346" i="5"/>
  <c r="BY347" i="5"/>
  <c r="BY348" i="5"/>
  <c r="BY349" i="5"/>
  <c r="BY350" i="5"/>
  <c r="BY351" i="5"/>
  <c r="BY352" i="5"/>
  <c r="BY353" i="5"/>
  <c r="BY354" i="5"/>
  <c r="BY355" i="5"/>
  <c r="BY356" i="5"/>
  <c r="BY357" i="5"/>
  <c r="BY358" i="5"/>
  <c r="BY359" i="5"/>
  <c r="BY360" i="5"/>
  <c r="BY361" i="5"/>
  <c r="BY362" i="5"/>
  <c r="BY363" i="5"/>
  <c r="BY364" i="5"/>
  <c r="BY365" i="5"/>
  <c r="BY366" i="5"/>
  <c r="BY367" i="5"/>
  <c r="BY368" i="5"/>
  <c r="BY369" i="5"/>
  <c r="BY370" i="5"/>
  <c r="BY371" i="5"/>
  <c r="BY372" i="5"/>
  <c r="BY373" i="5"/>
  <c r="BY374" i="5"/>
  <c r="BY375" i="5"/>
  <c r="BY376" i="5"/>
  <c r="BY377" i="5"/>
  <c r="BY378" i="5"/>
  <c r="BY379" i="5"/>
  <c r="BY380" i="5"/>
  <c r="BY381" i="5"/>
  <c r="BY382" i="5"/>
  <c r="BY383" i="5"/>
  <c r="BY3" i="5"/>
  <c r="BX4" i="5"/>
  <c r="BX5" i="5"/>
  <c r="BX6" i="5"/>
  <c r="BX7" i="5"/>
  <c r="BX8" i="5"/>
  <c r="BX9" i="5"/>
  <c r="BX10" i="5"/>
  <c r="BX11" i="5"/>
  <c r="BX12" i="5"/>
  <c r="BX13" i="5"/>
  <c r="BX14" i="5"/>
  <c r="BX15" i="5"/>
  <c r="BX16" i="5"/>
  <c r="BX17" i="5"/>
  <c r="BX18" i="5"/>
  <c r="BX19" i="5"/>
  <c r="BX20" i="5"/>
  <c r="BX21" i="5"/>
  <c r="BX22" i="5"/>
  <c r="BX23" i="5"/>
  <c r="BX24" i="5"/>
  <c r="BX25" i="5"/>
  <c r="BX26" i="5"/>
  <c r="BX27" i="5"/>
  <c r="BX28" i="5"/>
  <c r="BX29" i="5"/>
  <c r="BX30" i="5"/>
  <c r="BX31" i="5"/>
  <c r="BX32" i="5"/>
  <c r="BX33" i="5"/>
  <c r="BX34" i="5"/>
  <c r="BX35" i="5"/>
  <c r="BX36" i="5"/>
  <c r="BX37" i="5"/>
  <c r="BX38" i="5"/>
  <c r="BX39" i="5"/>
  <c r="BX40" i="5"/>
  <c r="BX41" i="5"/>
  <c r="BX42" i="5"/>
  <c r="BX43" i="5"/>
  <c r="BX44" i="5"/>
  <c r="BX45" i="5"/>
  <c r="BX46" i="5"/>
  <c r="BX47" i="5"/>
  <c r="BX48" i="5"/>
  <c r="BX49" i="5"/>
  <c r="BX50" i="5"/>
  <c r="BX51" i="5"/>
  <c r="BX52" i="5"/>
  <c r="BX53" i="5"/>
  <c r="BX54" i="5"/>
  <c r="BX55" i="5"/>
  <c r="BX56" i="5"/>
  <c r="BX57" i="5"/>
  <c r="BX58" i="5"/>
  <c r="BX59" i="5"/>
  <c r="BX60" i="5"/>
  <c r="BX61" i="5"/>
  <c r="BX62" i="5"/>
  <c r="BX63" i="5"/>
  <c r="BX64" i="5"/>
  <c r="BX65" i="5"/>
  <c r="BX66" i="5"/>
  <c r="BX67" i="5"/>
  <c r="BX68" i="5"/>
  <c r="BX69" i="5"/>
  <c r="BX70" i="5"/>
  <c r="BX71" i="5"/>
  <c r="BX72" i="5"/>
  <c r="BX73" i="5"/>
  <c r="BX74" i="5"/>
  <c r="BX75" i="5"/>
  <c r="BX76" i="5"/>
  <c r="BX77" i="5"/>
  <c r="BX78" i="5"/>
  <c r="BX79" i="5"/>
  <c r="BX80" i="5"/>
  <c r="BX81" i="5"/>
  <c r="BX82" i="5"/>
  <c r="BX83" i="5"/>
  <c r="BX84" i="5"/>
  <c r="BX85" i="5"/>
  <c r="BX86" i="5"/>
  <c r="BX87" i="5"/>
  <c r="BX88" i="5"/>
  <c r="BX89" i="5"/>
  <c r="BX90" i="5"/>
  <c r="BX91" i="5"/>
  <c r="BX92" i="5"/>
  <c r="BX93" i="5"/>
  <c r="BX94" i="5"/>
  <c r="BX95" i="5"/>
  <c r="BX96" i="5"/>
  <c r="BX97" i="5"/>
  <c r="BX98" i="5"/>
  <c r="BX99" i="5"/>
  <c r="BX100" i="5"/>
  <c r="BX101" i="5"/>
  <c r="BX102" i="5"/>
  <c r="BX103" i="5"/>
  <c r="BX104" i="5"/>
  <c r="BX105" i="5"/>
  <c r="BX106" i="5"/>
  <c r="BX107" i="5"/>
  <c r="BX108" i="5"/>
  <c r="BX109" i="5"/>
  <c r="BX110" i="5"/>
  <c r="BX111" i="5"/>
  <c r="BX112" i="5"/>
  <c r="BX113" i="5"/>
  <c r="BX114" i="5"/>
  <c r="BX115" i="5"/>
  <c r="BX116" i="5"/>
  <c r="BX117" i="5"/>
  <c r="BX118" i="5"/>
  <c r="BX119" i="5"/>
  <c r="BX120" i="5"/>
  <c r="BX121" i="5"/>
  <c r="BX122" i="5"/>
  <c r="BX123" i="5"/>
  <c r="BX124" i="5"/>
  <c r="BX125" i="5"/>
  <c r="BX126" i="5"/>
  <c r="BX127" i="5"/>
  <c r="BX128" i="5"/>
  <c r="BX129" i="5"/>
  <c r="BX130" i="5"/>
  <c r="BX131" i="5"/>
  <c r="BX132" i="5"/>
  <c r="BX133" i="5"/>
  <c r="BX134" i="5"/>
  <c r="BX135" i="5"/>
  <c r="BX136" i="5"/>
  <c r="BX137" i="5"/>
  <c r="BX138" i="5"/>
  <c r="BX139" i="5"/>
  <c r="BX140" i="5"/>
  <c r="BX141" i="5"/>
  <c r="BX142" i="5"/>
  <c r="BX143" i="5"/>
  <c r="BX144" i="5"/>
  <c r="BX145" i="5"/>
  <c r="BX146" i="5"/>
  <c r="BX147" i="5"/>
  <c r="BX148" i="5"/>
  <c r="BX149" i="5"/>
  <c r="BX150" i="5"/>
  <c r="BX151" i="5"/>
  <c r="BX152" i="5"/>
  <c r="BX153" i="5"/>
  <c r="BX154" i="5"/>
  <c r="BX155" i="5"/>
  <c r="BX156" i="5"/>
  <c r="BX157" i="5"/>
  <c r="BX158" i="5"/>
  <c r="BX159" i="5"/>
  <c r="BX160" i="5"/>
  <c r="BX161" i="5"/>
  <c r="BX162" i="5"/>
  <c r="BX163" i="5"/>
  <c r="BX164" i="5"/>
  <c r="BX165" i="5"/>
  <c r="BX166" i="5"/>
  <c r="BX167" i="5"/>
  <c r="BX168" i="5"/>
  <c r="BX169" i="5"/>
  <c r="BX170" i="5"/>
  <c r="BX171" i="5"/>
  <c r="BX172" i="5"/>
  <c r="BX173" i="5"/>
  <c r="BX174" i="5"/>
  <c r="BX175" i="5"/>
  <c r="BX176" i="5"/>
  <c r="BX177" i="5"/>
  <c r="BX178" i="5"/>
  <c r="BX179" i="5"/>
  <c r="BX180" i="5"/>
  <c r="BX181" i="5"/>
  <c r="BX182" i="5"/>
  <c r="BX183" i="5"/>
  <c r="BX184" i="5"/>
  <c r="BX185" i="5"/>
  <c r="BX186" i="5"/>
  <c r="BX187" i="5"/>
  <c r="BX188" i="5"/>
  <c r="BX189" i="5"/>
  <c r="BX190" i="5"/>
  <c r="BX191" i="5"/>
  <c r="BX192" i="5"/>
  <c r="BX193" i="5"/>
  <c r="BX194" i="5"/>
  <c r="BX195" i="5"/>
  <c r="BX196" i="5"/>
  <c r="BX197" i="5"/>
  <c r="BX198" i="5"/>
  <c r="BX199" i="5"/>
  <c r="BX200" i="5"/>
  <c r="BX201" i="5"/>
  <c r="BX202" i="5"/>
  <c r="BX203" i="5"/>
  <c r="BX204" i="5"/>
  <c r="BX205" i="5"/>
  <c r="BX206" i="5"/>
  <c r="BX207" i="5"/>
  <c r="BX208" i="5"/>
  <c r="BX209" i="5"/>
  <c r="BX210" i="5"/>
  <c r="BX211" i="5"/>
  <c r="BX212" i="5"/>
  <c r="BX213" i="5"/>
  <c r="BX214" i="5"/>
  <c r="BX215" i="5"/>
  <c r="BX216" i="5"/>
  <c r="BX217" i="5"/>
  <c r="BX218" i="5"/>
  <c r="BX219" i="5"/>
  <c r="BX220" i="5"/>
  <c r="BX221" i="5"/>
  <c r="BX222" i="5"/>
  <c r="BX223" i="5"/>
  <c r="BX224" i="5"/>
  <c r="BX225" i="5"/>
  <c r="BX226" i="5"/>
  <c r="BX227" i="5"/>
  <c r="BX228" i="5"/>
  <c r="BX229" i="5"/>
  <c r="BX230" i="5"/>
  <c r="BX231" i="5"/>
  <c r="BX232" i="5"/>
  <c r="BX233" i="5"/>
  <c r="BX234" i="5"/>
  <c r="BX235" i="5"/>
  <c r="BX236" i="5"/>
  <c r="BX237" i="5"/>
  <c r="BX238" i="5"/>
  <c r="BX239" i="5"/>
  <c r="BX240" i="5"/>
  <c r="BX241" i="5"/>
  <c r="BX242" i="5"/>
  <c r="BX243" i="5"/>
  <c r="BX244" i="5"/>
  <c r="BX245" i="5"/>
  <c r="BX246" i="5"/>
  <c r="BX247" i="5"/>
  <c r="BX248" i="5"/>
  <c r="BX249" i="5"/>
  <c r="BX250" i="5"/>
  <c r="BX251" i="5"/>
  <c r="BX252" i="5"/>
  <c r="BX253" i="5"/>
  <c r="BX254" i="5"/>
  <c r="BX255" i="5"/>
  <c r="BX256" i="5"/>
  <c r="BX257" i="5"/>
  <c r="BX258" i="5"/>
  <c r="BX259" i="5"/>
  <c r="BX260" i="5"/>
  <c r="BX261" i="5"/>
  <c r="BX262" i="5"/>
  <c r="BX263" i="5"/>
  <c r="BX264" i="5"/>
  <c r="BX265" i="5"/>
  <c r="BX266" i="5"/>
  <c r="BX267" i="5"/>
  <c r="BX268" i="5"/>
  <c r="BX269" i="5"/>
  <c r="BX270" i="5"/>
  <c r="BX271" i="5"/>
  <c r="BX272" i="5"/>
  <c r="BX273" i="5"/>
  <c r="BX274" i="5"/>
  <c r="BX275" i="5"/>
  <c r="BX276" i="5"/>
  <c r="BX277" i="5"/>
  <c r="BX278" i="5"/>
  <c r="BX279" i="5"/>
  <c r="BX280" i="5"/>
  <c r="BX281" i="5"/>
  <c r="BX282" i="5"/>
  <c r="BX283" i="5"/>
  <c r="BX284" i="5"/>
  <c r="BX285" i="5"/>
  <c r="BX286" i="5"/>
  <c r="BX287" i="5"/>
  <c r="BX288" i="5"/>
  <c r="BX289" i="5"/>
  <c r="BX290" i="5"/>
  <c r="BX291" i="5"/>
  <c r="BX292" i="5"/>
  <c r="BX293" i="5"/>
  <c r="BX294" i="5"/>
  <c r="BX295" i="5"/>
  <c r="BX296" i="5"/>
  <c r="BX297" i="5"/>
  <c r="BX298" i="5"/>
  <c r="BX299" i="5"/>
  <c r="BX300" i="5"/>
  <c r="BX301" i="5"/>
  <c r="BX302" i="5"/>
  <c r="BX303" i="5"/>
  <c r="BX304" i="5"/>
  <c r="BX305" i="5"/>
  <c r="BX306" i="5"/>
  <c r="BX307" i="5"/>
  <c r="BX308" i="5"/>
  <c r="BX309" i="5"/>
  <c r="BX310" i="5"/>
  <c r="BX311" i="5"/>
  <c r="BX312" i="5"/>
  <c r="BX313" i="5"/>
  <c r="BX314" i="5"/>
  <c r="BX315" i="5"/>
  <c r="BX316" i="5"/>
  <c r="BX317" i="5"/>
  <c r="BX318" i="5"/>
  <c r="BX319" i="5"/>
  <c r="BX320" i="5"/>
  <c r="BX321" i="5"/>
  <c r="BX322" i="5"/>
  <c r="BX323" i="5"/>
  <c r="BX324" i="5"/>
  <c r="BX325" i="5"/>
  <c r="BX326" i="5"/>
  <c r="BX327" i="5"/>
  <c r="BX328" i="5"/>
  <c r="BX329" i="5"/>
  <c r="BX330" i="5"/>
  <c r="BX331" i="5"/>
  <c r="BX332" i="5"/>
  <c r="BX333" i="5"/>
  <c r="BX334" i="5"/>
  <c r="BX335" i="5"/>
  <c r="BX336" i="5"/>
  <c r="BX337" i="5"/>
  <c r="BX338" i="5"/>
  <c r="BX339" i="5"/>
  <c r="BX340" i="5"/>
  <c r="BX341" i="5"/>
  <c r="BX342" i="5"/>
  <c r="BX343" i="5"/>
  <c r="BX344" i="5"/>
  <c r="BX345" i="5"/>
  <c r="BX346" i="5"/>
  <c r="BX347" i="5"/>
  <c r="BX348" i="5"/>
  <c r="BX349" i="5"/>
  <c r="BX350" i="5"/>
  <c r="BX351" i="5"/>
  <c r="BX352" i="5"/>
  <c r="BX353" i="5"/>
  <c r="BX354" i="5"/>
  <c r="BX355" i="5"/>
  <c r="BX356" i="5"/>
  <c r="BX357" i="5"/>
  <c r="BX358" i="5"/>
  <c r="BX359" i="5"/>
  <c r="BX360" i="5"/>
  <c r="BX361" i="5"/>
  <c r="BX362" i="5"/>
  <c r="BX363" i="5"/>
  <c r="BX364" i="5"/>
  <c r="BX365" i="5"/>
  <c r="BX366" i="5"/>
  <c r="BX367" i="5"/>
  <c r="BX368" i="5"/>
  <c r="BX369" i="5"/>
  <c r="BX370" i="5"/>
  <c r="BX371" i="5"/>
  <c r="BX372" i="5"/>
  <c r="BX373" i="5"/>
  <c r="BX374" i="5"/>
  <c r="BX375" i="5"/>
  <c r="BX376" i="5"/>
  <c r="BX377" i="5"/>
  <c r="BX378" i="5"/>
  <c r="BX379" i="5"/>
  <c r="BX380" i="5"/>
  <c r="BX381" i="5"/>
  <c r="BX382" i="5"/>
  <c r="BX383" i="5"/>
  <c r="BX3" i="5"/>
  <c r="BW4" i="5"/>
  <c r="BW5" i="5"/>
  <c r="BW6" i="5"/>
  <c r="BW7" i="5"/>
  <c r="BW8" i="5"/>
  <c r="BW9" i="5"/>
  <c r="BW10" i="5"/>
  <c r="BW11" i="5"/>
  <c r="BW12" i="5"/>
  <c r="BW13" i="5"/>
  <c r="BW14" i="5"/>
  <c r="BW15" i="5"/>
  <c r="BW16" i="5"/>
  <c r="BW17" i="5"/>
  <c r="BW18" i="5"/>
  <c r="BW19" i="5"/>
  <c r="BW20" i="5"/>
  <c r="BW21" i="5"/>
  <c r="BW22" i="5"/>
  <c r="BW23" i="5"/>
  <c r="BW24" i="5"/>
  <c r="BW25" i="5"/>
  <c r="BW26" i="5"/>
  <c r="BW27" i="5"/>
  <c r="BW28" i="5"/>
  <c r="BW29" i="5"/>
  <c r="BW30" i="5"/>
  <c r="BW31" i="5"/>
  <c r="BW32" i="5"/>
  <c r="BW33" i="5"/>
  <c r="BW34" i="5"/>
  <c r="BW35" i="5"/>
  <c r="BW36" i="5"/>
  <c r="BW37" i="5"/>
  <c r="BW38" i="5"/>
  <c r="BW39" i="5"/>
  <c r="BW40" i="5"/>
  <c r="BW41" i="5"/>
  <c r="BW42" i="5"/>
  <c r="BW43" i="5"/>
  <c r="BW44" i="5"/>
  <c r="BW45" i="5"/>
  <c r="BW46" i="5"/>
  <c r="BW47" i="5"/>
  <c r="BW48" i="5"/>
  <c r="BW49" i="5"/>
  <c r="BW50" i="5"/>
  <c r="BW51" i="5"/>
  <c r="BW52" i="5"/>
  <c r="BW53" i="5"/>
  <c r="BW54" i="5"/>
  <c r="BW55" i="5"/>
  <c r="BW56" i="5"/>
  <c r="BW57" i="5"/>
  <c r="BW58" i="5"/>
  <c r="BW59" i="5"/>
  <c r="BW60" i="5"/>
  <c r="BW61" i="5"/>
  <c r="BW62" i="5"/>
  <c r="BW63" i="5"/>
  <c r="BW64" i="5"/>
  <c r="BW65" i="5"/>
  <c r="BW66" i="5"/>
  <c r="BW67" i="5"/>
  <c r="BW68" i="5"/>
  <c r="BW69" i="5"/>
  <c r="BW70" i="5"/>
  <c r="BW71" i="5"/>
  <c r="BW72" i="5"/>
  <c r="BW73" i="5"/>
  <c r="BW74" i="5"/>
  <c r="BW75" i="5"/>
  <c r="BW76" i="5"/>
  <c r="BW77" i="5"/>
  <c r="BW78" i="5"/>
  <c r="BW79" i="5"/>
  <c r="BW80" i="5"/>
  <c r="BW81" i="5"/>
  <c r="BW82" i="5"/>
  <c r="BW83" i="5"/>
  <c r="BW84" i="5"/>
  <c r="BW85" i="5"/>
  <c r="BW86" i="5"/>
  <c r="BW87" i="5"/>
  <c r="BW88" i="5"/>
  <c r="BW89" i="5"/>
  <c r="BW90" i="5"/>
  <c r="BW91" i="5"/>
  <c r="BW92" i="5"/>
  <c r="BW93" i="5"/>
  <c r="BW94" i="5"/>
  <c r="BW95" i="5"/>
  <c r="BW96" i="5"/>
  <c r="BW97" i="5"/>
  <c r="BW98" i="5"/>
  <c r="BW99" i="5"/>
  <c r="BW100" i="5"/>
  <c r="BW101" i="5"/>
  <c r="BW102" i="5"/>
  <c r="BW103" i="5"/>
  <c r="BW104" i="5"/>
  <c r="BW105" i="5"/>
  <c r="BW106" i="5"/>
  <c r="BW107" i="5"/>
  <c r="BW108" i="5"/>
  <c r="BW109" i="5"/>
  <c r="BW110" i="5"/>
  <c r="BW111" i="5"/>
  <c r="BW112" i="5"/>
  <c r="BW113" i="5"/>
  <c r="BW114" i="5"/>
  <c r="BW115" i="5"/>
  <c r="BW116" i="5"/>
  <c r="BW117" i="5"/>
  <c r="BW118" i="5"/>
  <c r="BW119" i="5"/>
  <c r="BW120" i="5"/>
  <c r="BW121" i="5"/>
  <c r="BW122" i="5"/>
  <c r="BW123" i="5"/>
  <c r="BW124" i="5"/>
  <c r="BW125" i="5"/>
  <c r="BW126" i="5"/>
  <c r="BW127" i="5"/>
  <c r="BW128" i="5"/>
  <c r="BW129" i="5"/>
  <c r="BW130" i="5"/>
  <c r="BW131" i="5"/>
  <c r="BW132" i="5"/>
  <c r="BW133" i="5"/>
  <c r="BW134" i="5"/>
  <c r="BW135" i="5"/>
  <c r="BW136" i="5"/>
  <c r="BW137" i="5"/>
  <c r="BW138" i="5"/>
  <c r="BW139" i="5"/>
  <c r="BW140" i="5"/>
  <c r="BW141" i="5"/>
  <c r="BW142" i="5"/>
  <c r="BW143" i="5"/>
  <c r="BW144" i="5"/>
  <c r="BW145" i="5"/>
  <c r="BW146" i="5"/>
  <c r="BW147" i="5"/>
  <c r="BW148" i="5"/>
  <c r="BW149" i="5"/>
  <c r="BW150" i="5"/>
  <c r="BW151" i="5"/>
  <c r="BW152" i="5"/>
  <c r="BW153" i="5"/>
  <c r="BW154" i="5"/>
  <c r="BW155" i="5"/>
  <c r="BW156" i="5"/>
  <c r="BW157" i="5"/>
  <c r="BW158" i="5"/>
  <c r="BW159" i="5"/>
  <c r="BW160" i="5"/>
  <c r="BW161" i="5"/>
  <c r="BW162" i="5"/>
  <c r="BW163" i="5"/>
  <c r="BW164" i="5"/>
  <c r="BW165" i="5"/>
  <c r="BW166" i="5"/>
  <c r="BW167" i="5"/>
  <c r="BW168" i="5"/>
  <c r="BW169" i="5"/>
  <c r="BW170" i="5"/>
  <c r="BW171" i="5"/>
  <c r="BW172" i="5"/>
  <c r="BW173" i="5"/>
  <c r="BW174" i="5"/>
  <c r="BW175" i="5"/>
  <c r="BW176" i="5"/>
  <c r="BW177" i="5"/>
  <c r="BW178" i="5"/>
  <c r="BW179" i="5"/>
  <c r="BW180" i="5"/>
  <c r="BW181" i="5"/>
  <c r="BW182" i="5"/>
  <c r="BW183" i="5"/>
  <c r="BW184" i="5"/>
  <c r="BW185" i="5"/>
  <c r="BW186" i="5"/>
  <c r="BW187" i="5"/>
  <c r="BW188" i="5"/>
  <c r="BW189" i="5"/>
  <c r="BW190" i="5"/>
  <c r="BW191" i="5"/>
  <c r="BW192" i="5"/>
  <c r="BW193" i="5"/>
  <c r="BW194" i="5"/>
  <c r="BW195" i="5"/>
  <c r="BW196" i="5"/>
  <c r="BW197" i="5"/>
  <c r="BW198" i="5"/>
  <c r="BW199" i="5"/>
  <c r="BW200" i="5"/>
  <c r="BW201" i="5"/>
  <c r="BW202" i="5"/>
  <c r="BW203" i="5"/>
  <c r="BW204" i="5"/>
  <c r="BW205" i="5"/>
  <c r="BW206" i="5"/>
  <c r="BW207" i="5"/>
  <c r="BW208" i="5"/>
  <c r="BW209" i="5"/>
  <c r="BW210" i="5"/>
  <c r="BW211" i="5"/>
  <c r="BW212" i="5"/>
  <c r="BW213" i="5"/>
  <c r="BW214" i="5"/>
  <c r="BW215" i="5"/>
  <c r="BW216" i="5"/>
  <c r="BW217" i="5"/>
  <c r="BW218" i="5"/>
  <c r="BW219" i="5"/>
  <c r="BW220" i="5"/>
  <c r="BW221" i="5"/>
  <c r="BW222" i="5"/>
  <c r="BW223" i="5"/>
  <c r="BW224" i="5"/>
  <c r="BW225" i="5"/>
  <c r="BW226" i="5"/>
  <c r="BW227" i="5"/>
  <c r="BW228" i="5"/>
  <c r="BW229" i="5"/>
  <c r="BW230" i="5"/>
  <c r="BW231" i="5"/>
  <c r="BW232" i="5"/>
  <c r="BW233" i="5"/>
  <c r="BW234" i="5"/>
  <c r="BW235" i="5"/>
  <c r="BW236" i="5"/>
  <c r="BW237" i="5"/>
  <c r="BW238" i="5"/>
  <c r="BW239" i="5"/>
  <c r="BW240" i="5"/>
  <c r="BW241" i="5"/>
  <c r="BW242" i="5"/>
  <c r="BW243" i="5"/>
  <c r="BW244" i="5"/>
  <c r="BW245" i="5"/>
  <c r="BW246" i="5"/>
  <c r="BW247" i="5"/>
  <c r="BW248" i="5"/>
  <c r="BW249" i="5"/>
  <c r="BW250" i="5"/>
  <c r="BW251" i="5"/>
  <c r="BW252" i="5"/>
  <c r="BW253" i="5"/>
  <c r="BW254" i="5"/>
  <c r="BW255" i="5"/>
  <c r="BW256" i="5"/>
  <c r="BW257" i="5"/>
  <c r="BW258" i="5"/>
  <c r="BW259" i="5"/>
  <c r="BW260" i="5"/>
  <c r="BW261" i="5"/>
  <c r="BW262" i="5"/>
  <c r="BW263" i="5"/>
  <c r="BW264" i="5"/>
  <c r="BW265" i="5"/>
  <c r="BW266" i="5"/>
  <c r="BW267" i="5"/>
  <c r="BW268" i="5"/>
  <c r="BW269" i="5"/>
  <c r="BW270" i="5"/>
  <c r="BW271" i="5"/>
  <c r="BW272" i="5"/>
  <c r="BW273" i="5"/>
  <c r="BW274" i="5"/>
  <c r="BW275" i="5"/>
  <c r="BW276" i="5"/>
  <c r="BW277" i="5"/>
  <c r="BW278" i="5"/>
  <c r="BW279" i="5"/>
  <c r="BW280" i="5"/>
  <c r="BW281" i="5"/>
  <c r="BW282" i="5"/>
  <c r="BW283" i="5"/>
  <c r="BW284" i="5"/>
  <c r="BW285" i="5"/>
  <c r="BW286" i="5"/>
  <c r="BW287" i="5"/>
  <c r="BW288" i="5"/>
  <c r="BW289" i="5"/>
  <c r="BW290" i="5"/>
  <c r="BW291" i="5"/>
  <c r="BW292" i="5"/>
  <c r="BW293" i="5"/>
  <c r="BW294" i="5"/>
  <c r="BW295" i="5"/>
  <c r="BW296" i="5"/>
  <c r="BW297" i="5"/>
  <c r="BW298" i="5"/>
  <c r="BW299" i="5"/>
  <c r="BW300" i="5"/>
  <c r="BW301" i="5"/>
  <c r="BW302" i="5"/>
  <c r="BW303" i="5"/>
  <c r="BW304" i="5"/>
  <c r="BW305" i="5"/>
  <c r="BW306" i="5"/>
  <c r="BW307" i="5"/>
  <c r="BW308" i="5"/>
  <c r="BW309" i="5"/>
  <c r="BW310" i="5"/>
  <c r="BW311" i="5"/>
  <c r="BW312" i="5"/>
  <c r="BW313" i="5"/>
  <c r="BW314" i="5"/>
  <c r="BW315" i="5"/>
  <c r="BW316" i="5"/>
  <c r="BW317" i="5"/>
  <c r="BW318" i="5"/>
  <c r="BW319" i="5"/>
  <c r="BW320" i="5"/>
  <c r="BW321" i="5"/>
  <c r="BW322" i="5"/>
  <c r="BW323" i="5"/>
  <c r="BW324" i="5"/>
  <c r="BW325" i="5"/>
  <c r="BW326" i="5"/>
  <c r="BW327" i="5"/>
  <c r="BW328" i="5"/>
  <c r="BW329" i="5"/>
  <c r="BW330" i="5"/>
  <c r="BW331" i="5"/>
  <c r="BW332" i="5"/>
  <c r="BW333" i="5"/>
  <c r="BW334" i="5"/>
  <c r="BW335" i="5"/>
  <c r="BW336" i="5"/>
  <c r="BW337" i="5"/>
  <c r="BW338" i="5"/>
  <c r="BW339" i="5"/>
  <c r="BW340" i="5"/>
  <c r="BW341" i="5"/>
  <c r="BW342" i="5"/>
  <c r="BW343" i="5"/>
  <c r="BW344" i="5"/>
  <c r="BW345" i="5"/>
  <c r="BW346" i="5"/>
  <c r="BW347" i="5"/>
  <c r="BW348" i="5"/>
  <c r="BW349" i="5"/>
  <c r="BW350" i="5"/>
  <c r="BW351" i="5"/>
  <c r="BW352" i="5"/>
  <c r="BW353" i="5"/>
  <c r="BW354" i="5"/>
  <c r="BW355" i="5"/>
  <c r="BW356" i="5"/>
  <c r="BW357" i="5"/>
  <c r="BW358" i="5"/>
  <c r="BW359" i="5"/>
  <c r="BW360" i="5"/>
  <c r="BW361" i="5"/>
  <c r="BW362" i="5"/>
  <c r="BW363" i="5"/>
  <c r="BW364" i="5"/>
  <c r="BW365" i="5"/>
  <c r="BW366" i="5"/>
  <c r="BW367" i="5"/>
  <c r="BW368" i="5"/>
  <c r="BW369" i="5"/>
  <c r="BW370" i="5"/>
  <c r="BW371" i="5"/>
  <c r="BW372" i="5"/>
  <c r="BW373" i="5"/>
  <c r="BW374" i="5"/>
  <c r="BW375" i="5"/>
  <c r="BW376" i="5"/>
  <c r="BW377" i="5"/>
  <c r="BW378" i="5"/>
  <c r="BW379" i="5"/>
  <c r="BW380" i="5"/>
  <c r="BW381" i="5"/>
  <c r="BW382" i="5"/>
  <c r="BW383" i="5"/>
  <c r="BW3" i="5"/>
  <c r="BV4" i="5"/>
  <c r="BV5" i="5"/>
  <c r="BV6" i="5"/>
  <c r="BV7" i="5"/>
  <c r="BV8" i="5"/>
  <c r="BV9" i="5"/>
  <c r="BV10" i="5"/>
  <c r="BV11" i="5"/>
  <c r="BV12" i="5"/>
  <c r="BV13" i="5"/>
  <c r="BV14" i="5"/>
  <c r="BV15" i="5"/>
  <c r="BV16" i="5"/>
  <c r="BV17" i="5"/>
  <c r="BV18" i="5"/>
  <c r="BV19" i="5"/>
  <c r="BV20" i="5"/>
  <c r="BV21" i="5"/>
  <c r="BV22" i="5"/>
  <c r="BV23" i="5"/>
  <c r="BV24" i="5"/>
  <c r="BV25" i="5"/>
  <c r="BV26" i="5"/>
  <c r="BV27" i="5"/>
  <c r="BV28" i="5"/>
  <c r="BV29" i="5"/>
  <c r="BV30" i="5"/>
  <c r="BV31" i="5"/>
  <c r="BV32" i="5"/>
  <c r="BV33" i="5"/>
  <c r="BV34" i="5"/>
  <c r="BV35" i="5"/>
  <c r="BV36" i="5"/>
  <c r="BV37" i="5"/>
  <c r="BV38" i="5"/>
  <c r="BV39" i="5"/>
  <c r="BV40" i="5"/>
  <c r="BV41" i="5"/>
  <c r="BV42" i="5"/>
  <c r="BV43" i="5"/>
  <c r="BV44" i="5"/>
  <c r="BV45" i="5"/>
  <c r="BV46" i="5"/>
  <c r="BV47" i="5"/>
  <c r="BV48" i="5"/>
  <c r="BV49" i="5"/>
  <c r="BV50" i="5"/>
  <c r="BV51" i="5"/>
  <c r="BV52" i="5"/>
  <c r="BV53" i="5"/>
  <c r="BV54" i="5"/>
  <c r="BV55" i="5"/>
  <c r="BV56" i="5"/>
  <c r="BV57" i="5"/>
  <c r="BV58" i="5"/>
  <c r="BV59" i="5"/>
  <c r="BV60" i="5"/>
  <c r="BV61" i="5"/>
  <c r="BV62" i="5"/>
  <c r="BV63" i="5"/>
  <c r="BV64" i="5"/>
  <c r="BV65" i="5"/>
  <c r="BV66" i="5"/>
  <c r="BV67" i="5"/>
  <c r="BV68" i="5"/>
  <c r="BV69" i="5"/>
  <c r="BV70" i="5"/>
  <c r="BV71" i="5"/>
  <c r="BV72" i="5"/>
  <c r="BV73" i="5"/>
  <c r="BV74" i="5"/>
  <c r="BV75" i="5"/>
  <c r="BV76" i="5"/>
  <c r="BV77" i="5"/>
  <c r="BV78" i="5"/>
  <c r="BV79" i="5"/>
  <c r="BV80" i="5"/>
  <c r="BV81" i="5"/>
  <c r="BV82" i="5"/>
  <c r="BV83" i="5"/>
  <c r="BV84" i="5"/>
  <c r="BV85" i="5"/>
  <c r="BV86" i="5"/>
  <c r="BV87" i="5"/>
  <c r="BV88" i="5"/>
  <c r="BV89" i="5"/>
  <c r="BV90" i="5"/>
  <c r="BV91" i="5"/>
  <c r="BV92" i="5"/>
  <c r="BV93" i="5"/>
  <c r="BV94" i="5"/>
  <c r="BV95" i="5"/>
  <c r="BV96" i="5"/>
  <c r="BV97" i="5"/>
  <c r="BV98" i="5"/>
  <c r="BV99" i="5"/>
  <c r="BV100" i="5"/>
  <c r="BV101" i="5"/>
  <c r="BV102" i="5"/>
  <c r="BV103" i="5"/>
  <c r="BV104" i="5"/>
  <c r="BV105" i="5"/>
  <c r="BV106" i="5"/>
  <c r="BV107" i="5"/>
  <c r="BV108" i="5"/>
  <c r="BV109" i="5"/>
  <c r="BV110" i="5"/>
  <c r="BV111" i="5"/>
  <c r="BV112" i="5"/>
  <c r="BV113" i="5"/>
  <c r="BV114" i="5"/>
  <c r="BV115" i="5"/>
  <c r="BV116" i="5"/>
  <c r="BV117" i="5"/>
  <c r="BV118" i="5"/>
  <c r="BV119" i="5"/>
  <c r="BV120" i="5"/>
  <c r="BV121" i="5"/>
  <c r="BV122" i="5"/>
  <c r="BV123" i="5"/>
  <c r="BV124" i="5"/>
  <c r="BV125" i="5"/>
  <c r="BV126" i="5"/>
  <c r="BV127" i="5"/>
  <c r="BV128" i="5"/>
  <c r="BV129" i="5"/>
  <c r="BV130" i="5"/>
  <c r="BV131" i="5"/>
  <c r="BV132" i="5"/>
  <c r="BV133" i="5"/>
  <c r="BV134" i="5"/>
  <c r="BV135" i="5"/>
  <c r="BV136" i="5"/>
  <c r="BV137" i="5"/>
  <c r="BV138" i="5"/>
  <c r="BV139" i="5"/>
  <c r="BV140" i="5"/>
  <c r="BV141" i="5"/>
  <c r="BV142" i="5"/>
  <c r="BV143" i="5"/>
  <c r="BV144" i="5"/>
  <c r="BV145" i="5"/>
  <c r="BV146" i="5"/>
  <c r="BV147" i="5"/>
  <c r="BV148" i="5"/>
  <c r="BV149" i="5"/>
  <c r="BV150" i="5"/>
  <c r="BV151" i="5"/>
  <c r="BV152" i="5"/>
  <c r="BV153" i="5"/>
  <c r="BV154" i="5"/>
  <c r="BV155" i="5"/>
  <c r="BV156" i="5"/>
  <c r="BV157" i="5"/>
  <c r="BV158" i="5"/>
  <c r="BV159" i="5"/>
  <c r="BV160" i="5"/>
  <c r="BV161" i="5"/>
  <c r="BV162" i="5"/>
  <c r="BV163" i="5"/>
  <c r="BV164" i="5"/>
  <c r="BV165" i="5"/>
  <c r="BV166" i="5"/>
  <c r="BV167" i="5"/>
  <c r="BV168" i="5"/>
  <c r="BV169" i="5"/>
  <c r="BV170" i="5"/>
  <c r="BV171" i="5"/>
  <c r="BV172" i="5"/>
  <c r="BV173" i="5"/>
  <c r="BV174" i="5"/>
  <c r="BV175" i="5"/>
  <c r="BV176" i="5"/>
  <c r="BV177" i="5"/>
  <c r="BV178" i="5"/>
  <c r="BV179" i="5"/>
  <c r="BV180" i="5"/>
  <c r="BV181" i="5"/>
  <c r="BV182" i="5"/>
  <c r="BV183" i="5"/>
  <c r="BV184" i="5"/>
  <c r="BV185" i="5"/>
  <c r="BV186" i="5"/>
  <c r="BV187" i="5"/>
  <c r="BV188" i="5"/>
  <c r="BV189" i="5"/>
  <c r="BV190" i="5"/>
  <c r="BV191" i="5"/>
  <c r="BV192" i="5"/>
  <c r="BV193" i="5"/>
  <c r="BV194" i="5"/>
  <c r="BV195" i="5"/>
  <c r="BV196" i="5"/>
  <c r="BV197" i="5"/>
  <c r="BV198" i="5"/>
  <c r="BV199" i="5"/>
  <c r="BV200" i="5"/>
  <c r="BV201" i="5"/>
  <c r="BV202" i="5"/>
  <c r="BV203" i="5"/>
  <c r="BV204" i="5"/>
  <c r="BV205" i="5"/>
  <c r="BV206" i="5"/>
  <c r="BV207" i="5"/>
  <c r="BV208" i="5"/>
  <c r="BV209" i="5"/>
  <c r="BV210" i="5"/>
  <c r="BV211" i="5"/>
  <c r="BV212" i="5"/>
  <c r="BV213" i="5"/>
  <c r="BV214" i="5"/>
  <c r="BV215" i="5"/>
  <c r="BV216" i="5"/>
  <c r="BV217" i="5"/>
  <c r="BV218" i="5"/>
  <c r="BV219" i="5"/>
  <c r="BV220" i="5"/>
  <c r="BV221" i="5"/>
  <c r="BV222" i="5"/>
  <c r="BV223" i="5"/>
  <c r="BV224" i="5"/>
  <c r="BV225" i="5"/>
  <c r="BV226" i="5"/>
  <c r="BV227" i="5"/>
  <c r="BV228" i="5"/>
  <c r="BV229" i="5"/>
  <c r="BV230" i="5"/>
  <c r="BV231" i="5"/>
  <c r="BV232" i="5"/>
  <c r="BV233" i="5"/>
  <c r="BV234" i="5"/>
  <c r="BV235" i="5"/>
  <c r="BV236" i="5"/>
  <c r="BV237" i="5"/>
  <c r="BV238" i="5"/>
  <c r="BV239" i="5"/>
  <c r="BV240" i="5"/>
  <c r="BV241" i="5"/>
  <c r="BV242" i="5"/>
  <c r="BV243" i="5"/>
  <c r="BV244" i="5"/>
  <c r="BV245" i="5"/>
  <c r="BV246" i="5"/>
  <c r="BV247" i="5"/>
  <c r="BV248" i="5"/>
  <c r="BV249" i="5"/>
  <c r="BV250" i="5"/>
  <c r="BV251" i="5"/>
  <c r="BV252" i="5"/>
  <c r="BV253" i="5"/>
  <c r="BV254" i="5"/>
  <c r="BV255" i="5"/>
  <c r="BV256" i="5"/>
  <c r="BV257" i="5"/>
  <c r="BV258" i="5"/>
  <c r="BV259" i="5"/>
  <c r="BV260" i="5"/>
  <c r="BV261" i="5"/>
  <c r="BV262" i="5"/>
  <c r="BV263" i="5"/>
  <c r="BV264" i="5"/>
  <c r="BV265" i="5"/>
  <c r="BV266" i="5"/>
  <c r="BV267" i="5"/>
  <c r="BV268" i="5"/>
  <c r="BV269" i="5"/>
  <c r="BV270" i="5"/>
  <c r="BV271" i="5"/>
  <c r="BV272" i="5"/>
  <c r="BV273" i="5"/>
  <c r="BV274" i="5"/>
  <c r="BV275" i="5"/>
  <c r="BV276" i="5"/>
  <c r="BV277" i="5"/>
  <c r="BV278" i="5"/>
  <c r="BV279" i="5"/>
  <c r="BV280" i="5"/>
  <c r="BV281" i="5"/>
  <c r="BV282" i="5"/>
  <c r="BV283" i="5"/>
  <c r="BV284" i="5"/>
  <c r="BV285" i="5"/>
  <c r="BV286" i="5"/>
  <c r="BV287" i="5"/>
  <c r="BV288" i="5"/>
  <c r="BV289" i="5"/>
  <c r="BV290" i="5"/>
  <c r="BV291" i="5"/>
  <c r="BV292" i="5"/>
  <c r="BV293" i="5"/>
  <c r="BV294" i="5"/>
  <c r="BV295" i="5"/>
  <c r="BV296" i="5"/>
  <c r="BV297" i="5"/>
  <c r="BV298" i="5"/>
  <c r="BV299" i="5"/>
  <c r="BV300" i="5"/>
  <c r="BV301" i="5"/>
  <c r="BV302" i="5"/>
  <c r="BV303" i="5"/>
  <c r="BV304" i="5"/>
  <c r="BV305" i="5"/>
  <c r="BV306" i="5"/>
  <c r="BV307" i="5"/>
  <c r="BV308" i="5"/>
  <c r="BV309" i="5"/>
  <c r="BV310" i="5"/>
  <c r="BV311" i="5"/>
  <c r="BV312" i="5"/>
  <c r="BV313" i="5"/>
  <c r="BV314" i="5"/>
  <c r="BV315" i="5"/>
  <c r="BV316" i="5"/>
  <c r="BV317" i="5"/>
  <c r="BV318" i="5"/>
  <c r="BV319" i="5"/>
  <c r="BV320" i="5"/>
  <c r="BV321" i="5"/>
  <c r="BV322" i="5"/>
  <c r="BV323" i="5"/>
  <c r="BV324" i="5"/>
  <c r="BV325" i="5"/>
  <c r="BV326" i="5"/>
  <c r="BV327" i="5"/>
  <c r="BV328" i="5"/>
  <c r="BV329" i="5"/>
  <c r="BV330" i="5"/>
  <c r="BV331" i="5"/>
  <c r="BV332" i="5"/>
  <c r="BV333" i="5"/>
  <c r="BV334" i="5"/>
  <c r="BV335" i="5"/>
  <c r="BV336" i="5"/>
  <c r="BV337" i="5"/>
  <c r="BV338" i="5"/>
  <c r="BV339" i="5"/>
  <c r="BV340" i="5"/>
  <c r="BV341" i="5"/>
  <c r="BV342" i="5"/>
  <c r="BV343" i="5"/>
  <c r="BV344" i="5"/>
  <c r="BV345" i="5"/>
  <c r="BV346" i="5"/>
  <c r="BV347" i="5"/>
  <c r="BV348" i="5"/>
  <c r="BV349" i="5"/>
  <c r="BV350" i="5"/>
  <c r="BV351" i="5"/>
  <c r="BV352" i="5"/>
  <c r="BV353" i="5"/>
  <c r="BV354" i="5"/>
  <c r="BV355" i="5"/>
  <c r="BV356" i="5"/>
  <c r="BV357" i="5"/>
  <c r="BV358" i="5"/>
  <c r="BV359" i="5"/>
  <c r="BV360" i="5"/>
  <c r="BV361" i="5"/>
  <c r="BV362" i="5"/>
  <c r="BV363" i="5"/>
  <c r="BV364" i="5"/>
  <c r="BV365" i="5"/>
  <c r="BV366" i="5"/>
  <c r="BV367" i="5"/>
  <c r="BV368" i="5"/>
  <c r="BV369" i="5"/>
  <c r="BV370" i="5"/>
  <c r="BV371" i="5"/>
  <c r="BV372" i="5"/>
  <c r="BV373" i="5"/>
  <c r="BV374" i="5"/>
  <c r="BV375" i="5"/>
  <c r="BV376" i="5"/>
  <c r="BV377" i="5"/>
  <c r="BV378" i="5"/>
  <c r="BV379" i="5"/>
  <c r="BV380" i="5"/>
  <c r="BV381" i="5"/>
  <c r="BV382" i="5"/>
  <c r="BV383" i="5"/>
  <c r="BV3" i="5"/>
  <c r="BU4" i="5"/>
  <c r="BU5" i="5"/>
  <c r="BU6" i="5"/>
  <c r="BU7" i="5"/>
  <c r="BU8" i="5"/>
  <c r="BU9" i="5"/>
  <c r="BU10" i="5"/>
  <c r="BU11" i="5"/>
  <c r="BU12" i="5"/>
  <c r="BU13" i="5"/>
  <c r="BU14" i="5"/>
  <c r="BU15" i="5"/>
  <c r="BU16" i="5"/>
  <c r="BU17" i="5"/>
  <c r="BU18" i="5"/>
  <c r="BU19" i="5"/>
  <c r="BU20" i="5"/>
  <c r="BU21" i="5"/>
  <c r="BU22" i="5"/>
  <c r="BU23" i="5"/>
  <c r="BU24" i="5"/>
  <c r="BU25" i="5"/>
  <c r="BU26" i="5"/>
  <c r="BU27" i="5"/>
  <c r="BU28" i="5"/>
  <c r="BU29" i="5"/>
  <c r="BU30" i="5"/>
  <c r="BU31" i="5"/>
  <c r="BU32" i="5"/>
  <c r="BU33" i="5"/>
  <c r="BU34" i="5"/>
  <c r="BU35" i="5"/>
  <c r="BU36" i="5"/>
  <c r="BU37" i="5"/>
  <c r="BU38" i="5"/>
  <c r="BU39" i="5"/>
  <c r="BU40" i="5"/>
  <c r="BU41" i="5"/>
  <c r="BU42" i="5"/>
  <c r="BU43" i="5"/>
  <c r="BU44" i="5"/>
  <c r="BU45" i="5"/>
  <c r="BU46" i="5"/>
  <c r="BU47" i="5"/>
  <c r="BU48" i="5"/>
  <c r="BU49" i="5"/>
  <c r="BU50" i="5"/>
  <c r="BU51" i="5"/>
  <c r="BU52" i="5"/>
  <c r="BU53" i="5"/>
  <c r="BU54" i="5"/>
  <c r="BU55" i="5"/>
  <c r="BU56" i="5"/>
  <c r="BU57" i="5"/>
  <c r="BU58" i="5"/>
  <c r="BU59" i="5"/>
  <c r="BU60" i="5"/>
  <c r="BU61" i="5"/>
  <c r="BU62" i="5"/>
  <c r="BU63" i="5"/>
  <c r="BU64" i="5"/>
  <c r="BU65" i="5"/>
  <c r="BU66" i="5"/>
  <c r="BU67" i="5"/>
  <c r="BU68" i="5"/>
  <c r="BU69" i="5"/>
  <c r="BU70" i="5"/>
  <c r="BU71" i="5"/>
  <c r="BU72" i="5"/>
  <c r="BU73" i="5"/>
  <c r="BU74" i="5"/>
  <c r="BU75" i="5"/>
  <c r="BU76" i="5"/>
  <c r="BU77" i="5"/>
  <c r="BU78" i="5"/>
  <c r="BU79" i="5"/>
  <c r="BU80" i="5"/>
  <c r="BU81" i="5"/>
  <c r="BU82" i="5"/>
  <c r="BU83" i="5"/>
  <c r="BU84" i="5"/>
  <c r="BU85" i="5"/>
  <c r="BU86" i="5"/>
  <c r="BU87" i="5"/>
  <c r="BU88" i="5"/>
  <c r="BU89" i="5"/>
  <c r="BU90" i="5"/>
  <c r="BU91" i="5"/>
  <c r="BU92" i="5"/>
  <c r="BU93" i="5"/>
  <c r="BU94" i="5"/>
  <c r="BU95" i="5"/>
  <c r="BU96" i="5"/>
  <c r="BU97" i="5"/>
  <c r="BU98" i="5"/>
  <c r="BU99" i="5"/>
  <c r="BU100" i="5"/>
  <c r="BU101" i="5"/>
  <c r="BU102" i="5"/>
  <c r="BU103" i="5"/>
  <c r="BU104" i="5"/>
  <c r="BU105" i="5"/>
  <c r="BU106" i="5"/>
  <c r="BU107" i="5"/>
  <c r="BU108" i="5"/>
  <c r="BU109" i="5"/>
  <c r="BU110" i="5"/>
  <c r="BU111" i="5"/>
  <c r="BU112" i="5"/>
  <c r="BU113" i="5"/>
  <c r="BU114" i="5"/>
  <c r="BU115" i="5"/>
  <c r="BU116" i="5"/>
  <c r="BU117" i="5"/>
  <c r="BU118" i="5"/>
  <c r="BU119" i="5"/>
  <c r="BU120" i="5"/>
  <c r="BU121" i="5"/>
  <c r="BU122" i="5"/>
  <c r="BU123" i="5"/>
  <c r="BU124" i="5"/>
  <c r="BU125" i="5"/>
  <c r="BU126" i="5"/>
  <c r="BU127" i="5"/>
  <c r="BU128" i="5"/>
  <c r="BU129" i="5"/>
  <c r="BU130" i="5"/>
  <c r="BU131" i="5"/>
  <c r="BU132" i="5"/>
  <c r="BU133" i="5"/>
  <c r="BU134" i="5"/>
  <c r="BU135" i="5"/>
  <c r="BU136" i="5"/>
  <c r="BU137" i="5"/>
  <c r="BU138" i="5"/>
  <c r="BU139" i="5"/>
  <c r="BU140" i="5"/>
  <c r="BU141" i="5"/>
  <c r="BU142" i="5"/>
  <c r="BU143" i="5"/>
  <c r="BU144" i="5"/>
  <c r="BU145" i="5"/>
  <c r="BU146" i="5"/>
  <c r="BU147" i="5"/>
  <c r="BU148" i="5"/>
  <c r="BU149" i="5"/>
  <c r="BU150" i="5"/>
  <c r="BU151" i="5"/>
  <c r="BU152" i="5"/>
  <c r="BU153" i="5"/>
  <c r="BU154" i="5"/>
  <c r="BU155" i="5"/>
  <c r="BU156" i="5"/>
  <c r="BU157" i="5"/>
  <c r="BU158" i="5"/>
  <c r="BU159" i="5"/>
  <c r="BU160" i="5"/>
  <c r="BU161" i="5"/>
  <c r="BU162" i="5"/>
  <c r="BU163" i="5"/>
  <c r="BU164" i="5"/>
  <c r="BU165" i="5"/>
  <c r="BU166" i="5"/>
  <c r="BU167" i="5"/>
  <c r="BU168" i="5"/>
  <c r="BU169" i="5"/>
  <c r="BU170" i="5"/>
  <c r="BU171" i="5"/>
  <c r="BU172" i="5"/>
  <c r="BU173" i="5"/>
  <c r="BU174" i="5"/>
  <c r="BU175" i="5"/>
  <c r="BU176" i="5"/>
  <c r="BU177" i="5"/>
  <c r="BU178" i="5"/>
  <c r="BU179" i="5"/>
  <c r="BU180" i="5"/>
  <c r="BU181" i="5"/>
  <c r="BU182" i="5"/>
  <c r="BU183" i="5"/>
  <c r="BU184" i="5"/>
  <c r="BU185" i="5"/>
  <c r="BU186" i="5"/>
  <c r="BU187" i="5"/>
  <c r="BU188" i="5"/>
  <c r="BU189" i="5"/>
  <c r="BU190" i="5"/>
  <c r="BU191" i="5"/>
  <c r="BU192" i="5"/>
  <c r="BU193" i="5"/>
  <c r="BU194" i="5"/>
  <c r="BU195" i="5"/>
  <c r="BU196" i="5"/>
  <c r="BU197" i="5"/>
  <c r="BU198" i="5"/>
  <c r="BU199" i="5"/>
  <c r="BU200" i="5"/>
  <c r="BU201" i="5"/>
  <c r="BU202" i="5"/>
  <c r="BU203" i="5"/>
  <c r="BU204" i="5"/>
  <c r="BU205" i="5"/>
  <c r="BU206" i="5"/>
  <c r="BU207" i="5"/>
  <c r="BU208" i="5"/>
  <c r="BU209" i="5"/>
  <c r="BU210" i="5"/>
  <c r="BU211" i="5"/>
  <c r="BU212" i="5"/>
  <c r="BU213" i="5"/>
  <c r="BU214" i="5"/>
  <c r="BU215" i="5"/>
  <c r="BU216" i="5"/>
  <c r="BU217" i="5"/>
  <c r="BU218" i="5"/>
  <c r="BU219" i="5"/>
  <c r="BU220" i="5"/>
  <c r="BU221" i="5"/>
  <c r="BU222" i="5"/>
  <c r="BU223" i="5"/>
  <c r="BU224" i="5"/>
  <c r="BU225" i="5"/>
  <c r="BU226" i="5"/>
  <c r="BU227" i="5"/>
  <c r="BU228" i="5"/>
  <c r="BU229" i="5"/>
  <c r="BU230" i="5"/>
  <c r="BU231" i="5"/>
  <c r="BU232" i="5"/>
  <c r="BU233" i="5"/>
  <c r="BU234" i="5"/>
  <c r="BU235" i="5"/>
  <c r="BU236" i="5"/>
  <c r="BU237" i="5"/>
  <c r="BU238" i="5"/>
  <c r="BU239" i="5"/>
  <c r="BU240" i="5"/>
  <c r="BU241" i="5"/>
  <c r="BU242" i="5"/>
  <c r="BU243" i="5"/>
  <c r="BU244" i="5"/>
  <c r="BU245" i="5"/>
  <c r="BU246" i="5"/>
  <c r="BU247" i="5"/>
  <c r="BU248" i="5"/>
  <c r="BU249" i="5"/>
  <c r="BU250" i="5"/>
  <c r="BU251" i="5"/>
  <c r="BU252" i="5"/>
  <c r="BU253" i="5"/>
  <c r="BU254" i="5"/>
  <c r="BU255" i="5"/>
  <c r="BU256" i="5"/>
  <c r="BU257" i="5"/>
  <c r="BU258" i="5"/>
  <c r="BU259" i="5"/>
  <c r="BU260" i="5"/>
  <c r="BU261" i="5"/>
  <c r="BU262" i="5"/>
  <c r="BU263" i="5"/>
  <c r="BU264" i="5"/>
  <c r="BU265" i="5"/>
  <c r="BU266" i="5"/>
  <c r="BU267" i="5"/>
  <c r="BU268" i="5"/>
  <c r="BU269" i="5"/>
  <c r="BU270" i="5"/>
  <c r="BU271" i="5"/>
  <c r="BU272" i="5"/>
  <c r="BU273" i="5"/>
  <c r="BU274" i="5"/>
  <c r="BU275" i="5"/>
  <c r="BU276" i="5"/>
  <c r="BU277" i="5"/>
  <c r="BU278" i="5"/>
  <c r="BU279" i="5"/>
  <c r="BU280" i="5"/>
  <c r="BU281" i="5"/>
  <c r="BU282" i="5"/>
  <c r="BU283" i="5"/>
  <c r="BU284" i="5"/>
  <c r="BU285" i="5"/>
  <c r="BU286" i="5"/>
  <c r="BU287" i="5"/>
  <c r="BU288" i="5"/>
  <c r="BU289" i="5"/>
  <c r="BU290" i="5"/>
  <c r="BU291" i="5"/>
  <c r="BU292" i="5"/>
  <c r="BU293" i="5"/>
  <c r="BU294" i="5"/>
  <c r="BU295" i="5"/>
  <c r="BU296" i="5"/>
  <c r="BU297" i="5"/>
  <c r="BU298" i="5"/>
  <c r="BU299" i="5"/>
  <c r="BU300" i="5"/>
  <c r="BU301" i="5"/>
  <c r="BU302" i="5"/>
  <c r="BU303" i="5"/>
  <c r="BU304" i="5"/>
  <c r="BU305" i="5"/>
  <c r="BU306" i="5"/>
  <c r="BU307" i="5"/>
  <c r="BU308" i="5"/>
  <c r="BU309" i="5"/>
  <c r="BU310" i="5"/>
  <c r="BU311" i="5"/>
  <c r="BU312" i="5"/>
  <c r="BU313" i="5"/>
  <c r="BU314" i="5"/>
  <c r="BU315" i="5"/>
  <c r="BU316" i="5"/>
  <c r="BU317" i="5"/>
  <c r="BU318" i="5"/>
  <c r="BU319" i="5"/>
  <c r="BU320" i="5"/>
  <c r="BU321" i="5"/>
  <c r="BU322" i="5"/>
  <c r="BU323" i="5"/>
  <c r="BU324" i="5"/>
  <c r="BU325" i="5"/>
  <c r="BU326" i="5"/>
  <c r="BU327" i="5"/>
  <c r="BU328" i="5"/>
  <c r="BU329" i="5"/>
  <c r="BU330" i="5"/>
  <c r="BU331" i="5"/>
  <c r="BU332" i="5"/>
  <c r="BU333" i="5"/>
  <c r="BU334" i="5"/>
  <c r="BU335" i="5"/>
  <c r="BU336" i="5"/>
  <c r="BU337" i="5"/>
  <c r="BU338" i="5"/>
  <c r="BU339" i="5"/>
  <c r="BU340" i="5"/>
  <c r="BU341" i="5"/>
  <c r="BU342" i="5"/>
  <c r="BU343" i="5"/>
  <c r="BU344" i="5"/>
  <c r="BU345" i="5"/>
  <c r="BU346" i="5"/>
  <c r="BU347" i="5"/>
  <c r="BU348" i="5"/>
  <c r="BU349" i="5"/>
  <c r="BU350" i="5"/>
  <c r="BU351" i="5"/>
  <c r="BU352" i="5"/>
  <c r="BU353" i="5"/>
  <c r="BU354" i="5"/>
  <c r="BU355" i="5"/>
  <c r="BU356" i="5"/>
  <c r="BU357" i="5"/>
  <c r="BU358" i="5"/>
  <c r="BU359" i="5"/>
  <c r="BU360" i="5"/>
  <c r="BU361" i="5"/>
  <c r="BU362" i="5"/>
  <c r="BU363" i="5"/>
  <c r="BU364" i="5"/>
  <c r="BU365" i="5"/>
  <c r="BU366" i="5"/>
  <c r="BU367" i="5"/>
  <c r="BU368" i="5"/>
  <c r="BU369" i="5"/>
  <c r="BU370" i="5"/>
  <c r="BU371" i="5"/>
  <c r="BU372" i="5"/>
  <c r="BU373" i="5"/>
  <c r="BU374" i="5"/>
  <c r="BU375" i="5"/>
  <c r="BU376" i="5"/>
  <c r="BU377" i="5"/>
  <c r="BU378" i="5"/>
  <c r="BU379" i="5"/>
  <c r="BU380" i="5"/>
  <c r="BU381" i="5"/>
  <c r="BU382" i="5"/>
  <c r="BU383" i="5"/>
  <c r="BU3" i="5"/>
  <c r="CE12" i="1" l="1"/>
  <c r="CE13" i="1" s="1"/>
  <c r="CE14" i="1" s="1"/>
  <c r="CE15" i="1" s="1"/>
  <c r="CE16" i="1" s="1"/>
  <c r="CE17" i="1" s="1"/>
  <c r="CE18" i="1" s="1"/>
  <c r="CE19" i="1" s="1"/>
  <c r="CE20" i="1" s="1"/>
  <c r="CE21" i="1" s="1"/>
  <c r="CE22" i="1" s="1"/>
  <c r="CE23" i="1" s="1"/>
  <c r="CE24" i="1" s="1"/>
  <c r="CE25" i="1" s="1"/>
  <c r="CE26" i="1" s="1"/>
  <c r="CE27" i="1" s="1"/>
  <c r="CE28" i="1" s="1"/>
  <c r="CE29" i="1" s="1"/>
  <c r="CE30" i="1" s="1"/>
  <c r="CE31" i="1" s="1"/>
  <c r="CE32" i="1" s="1"/>
  <c r="CE33" i="1" s="1"/>
  <c r="CE34" i="1" s="1"/>
  <c r="CE35" i="1" s="1"/>
  <c r="CE36" i="1" s="1"/>
  <c r="CE37" i="1" s="1"/>
  <c r="CE38" i="1" s="1"/>
  <c r="CE39" i="1" s="1"/>
  <c r="CE40" i="1" s="1"/>
  <c r="CE41" i="1" s="1"/>
  <c r="CE42" i="1" s="1"/>
  <c r="CE43" i="1" s="1"/>
  <c r="CE44" i="1" s="1"/>
  <c r="CE45" i="1" s="1"/>
  <c r="CE46" i="1" s="1"/>
  <c r="CE47" i="1" s="1"/>
  <c r="CE48" i="1" s="1"/>
  <c r="CE49" i="1" s="1"/>
  <c r="CE50" i="1" s="1"/>
  <c r="CE51" i="1" s="1"/>
  <c r="CE52" i="1" s="1"/>
  <c r="CE53" i="1" s="1"/>
  <c r="CE54" i="1" s="1"/>
  <c r="CE55" i="1" s="1"/>
  <c r="CE56" i="1" s="1"/>
  <c r="CE57" i="1" s="1"/>
  <c r="CE58" i="1" s="1"/>
  <c r="CE59" i="1" s="1"/>
  <c r="CE60" i="1" s="1"/>
  <c r="CE61" i="1" s="1"/>
  <c r="CE62" i="1" s="1"/>
  <c r="CE63" i="1" s="1"/>
  <c r="CE64" i="1" s="1"/>
  <c r="CE65" i="1" s="1"/>
  <c r="CE66" i="1" s="1"/>
  <c r="CE67" i="1" s="1"/>
  <c r="CE68" i="1" s="1"/>
  <c r="CE69" i="1" s="1"/>
  <c r="CE70" i="1" s="1"/>
  <c r="CE71" i="1" s="1"/>
  <c r="CE72" i="1" s="1"/>
  <c r="CE73" i="1" s="1"/>
  <c r="CE74" i="1" s="1"/>
  <c r="CE75" i="1" s="1"/>
  <c r="CE76" i="1" s="1"/>
  <c r="CE77" i="1" s="1"/>
  <c r="CE78" i="1" s="1"/>
  <c r="CE79" i="1" s="1"/>
  <c r="CE80" i="1" s="1"/>
  <c r="CE81" i="1" s="1"/>
  <c r="CE82" i="1" s="1"/>
  <c r="CE83" i="1" s="1"/>
  <c r="CE84" i="1" s="1"/>
  <c r="CE85" i="1" s="1"/>
  <c r="CE86" i="1" s="1"/>
  <c r="CE87" i="1" s="1"/>
  <c r="CE88" i="1" s="1"/>
  <c r="CE89" i="1" s="1"/>
  <c r="CE90" i="1" s="1"/>
  <c r="CE91" i="1" s="1"/>
  <c r="CE92" i="1" s="1"/>
  <c r="CE93" i="1" s="1"/>
  <c r="CE94" i="1" s="1"/>
  <c r="CE95" i="1" s="1"/>
  <c r="CE96" i="1" s="1"/>
  <c r="CE97" i="1" s="1"/>
  <c r="CE98" i="1" s="1"/>
  <c r="CE99" i="1" s="1"/>
  <c r="CE100" i="1" s="1"/>
  <c r="CE101" i="1" s="1"/>
  <c r="CE102" i="1" s="1"/>
  <c r="CE103" i="1" s="1"/>
  <c r="CE104" i="1" s="1"/>
  <c r="CE105" i="1" s="1"/>
  <c r="CE106" i="1" s="1"/>
  <c r="CE107" i="1" s="1"/>
  <c r="CE108" i="1" s="1"/>
  <c r="CE109" i="1" s="1"/>
  <c r="CE110" i="1" s="1"/>
  <c r="CE111" i="1" s="1"/>
  <c r="CE112" i="1" s="1"/>
  <c r="CE113" i="1" s="1"/>
  <c r="CE114" i="1" s="1"/>
  <c r="CE115" i="1" s="1"/>
  <c r="CE116" i="1" s="1"/>
  <c r="CE117" i="1" s="1"/>
  <c r="CE118" i="1" s="1"/>
  <c r="CE119" i="1" s="1"/>
  <c r="CE120" i="1" s="1"/>
  <c r="CE121" i="1" s="1"/>
  <c r="CE122" i="1" s="1"/>
  <c r="CE123" i="1" s="1"/>
  <c r="CE124" i="1" s="1"/>
  <c r="CE125" i="1" s="1"/>
  <c r="CE126" i="1" s="1"/>
  <c r="CE127" i="1" s="1"/>
  <c r="CE128" i="1" s="1"/>
  <c r="CE129" i="1" s="1"/>
  <c r="CE130" i="1" s="1"/>
  <c r="CE131" i="1" s="1"/>
  <c r="CE132" i="1" s="1"/>
  <c r="CE133" i="1" s="1"/>
  <c r="CE134" i="1" s="1"/>
  <c r="CE135" i="1" s="1"/>
  <c r="CE136" i="1" s="1"/>
  <c r="CE137" i="1" s="1"/>
  <c r="CE138" i="1" s="1"/>
  <c r="CE139" i="1" s="1"/>
  <c r="CE140" i="1" s="1"/>
  <c r="CE141" i="1" s="1"/>
  <c r="CE142" i="1" s="1"/>
  <c r="CE143" i="1" s="1"/>
  <c r="CE144" i="1" s="1"/>
  <c r="CE145" i="1" s="1"/>
  <c r="CE146" i="1" s="1"/>
  <c r="CE147" i="1" s="1"/>
  <c r="CE148" i="1" s="1"/>
  <c r="CE149" i="1" s="1"/>
  <c r="CE150" i="1" s="1"/>
  <c r="CE151" i="1" s="1"/>
  <c r="CE152" i="1" s="1"/>
  <c r="CE153" i="1" s="1"/>
  <c r="CE154" i="1" s="1"/>
  <c r="CE155" i="1" s="1"/>
  <c r="CE156" i="1" s="1"/>
  <c r="CE157" i="1" s="1"/>
  <c r="CE158" i="1" s="1"/>
  <c r="CE159" i="1" s="1"/>
  <c r="CE160" i="1" s="1"/>
  <c r="CE161" i="1" s="1"/>
  <c r="CE162" i="1" s="1"/>
  <c r="CE163" i="1" s="1"/>
  <c r="CE164" i="1" s="1"/>
  <c r="CE165" i="1" s="1"/>
  <c r="CE166" i="1" s="1"/>
  <c r="CE167" i="1" s="1"/>
  <c r="CE168" i="1" s="1"/>
  <c r="CE169" i="1" s="1"/>
  <c r="CE170" i="1" s="1"/>
  <c r="CE171" i="1" s="1"/>
  <c r="CE172" i="1" s="1"/>
  <c r="CE173" i="1" s="1"/>
  <c r="CE174" i="1" s="1"/>
  <c r="CE175" i="1" s="1"/>
  <c r="CE176" i="1" s="1"/>
  <c r="CE177" i="1" s="1"/>
  <c r="CE178" i="1" s="1"/>
  <c r="CE179" i="1" s="1"/>
  <c r="CE180" i="1" s="1"/>
  <c r="CE181" i="1" s="1"/>
  <c r="CE182" i="1" s="1"/>
  <c r="CE183" i="1" s="1"/>
  <c r="CE184" i="1" s="1"/>
  <c r="CE185" i="1" s="1"/>
  <c r="CE186" i="1" s="1"/>
  <c r="CE187" i="1" s="1"/>
  <c r="CE188" i="1" s="1"/>
  <c r="CE189" i="1" s="1"/>
  <c r="CE190" i="1" s="1"/>
  <c r="CE191" i="1" s="1"/>
  <c r="CE192" i="1" s="1"/>
  <c r="CE193" i="1" s="1"/>
  <c r="CE194" i="1" s="1"/>
  <c r="CE195" i="1" s="1"/>
  <c r="CE196" i="1" s="1"/>
  <c r="CE197" i="1" s="1"/>
  <c r="CE198" i="1" s="1"/>
  <c r="CE199" i="1" s="1"/>
  <c r="CE200" i="1" s="1"/>
  <c r="CE201" i="1" s="1"/>
  <c r="CE202" i="1" s="1"/>
  <c r="CE203" i="1" s="1"/>
  <c r="CE204" i="1" s="1"/>
  <c r="CE205" i="1" s="1"/>
  <c r="CE206" i="1" s="1"/>
  <c r="CE207" i="1" s="1"/>
  <c r="CE208" i="1" s="1"/>
  <c r="CE209" i="1" s="1"/>
  <c r="CE210" i="1" s="1"/>
  <c r="CE211" i="1" s="1"/>
  <c r="CE212" i="1" s="1"/>
  <c r="CE213" i="1" s="1"/>
  <c r="CE214" i="1" s="1"/>
  <c r="CE215" i="1" s="1"/>
  <c r="CE216" i="1" s="1"/>
  <c r="CE217" i="1" s="1"/>
  <c r="CE218" i="1" s="1"/>
  <c r="CE219" i="1" s="1"/>
  <c r="CE220" i="1" s="1"/>
  <c r="CE221" i="1" s="1"/>
  <c r="CE222" i="1" s="1"/>
  <c r="CE223" i="1" s="1"/>
  <c r="CE224" i="1" s="1"/>
  <c r="CE225" i="1" s="1"/>
  <c r="CE226" i="1" s="1"/>
  <c r="CE227" i="1" s="1"/>
  <c r="CE228" i="1" s="1"/>
  <c r="CE229" i="1" s="1"/>
  <c r="CE230" i="1" s="1"/>
  <c r="CE231" i="1" s="1"/>
  <c r="CE232" i="1" s="1"/>
  <c r="CE233" i="1" s="1"/>
  <c r="CE234" i="1" s="1"/>
  <c r="CE235" i="1" s="1"/>
  <c r="CE236" i="1" s="1"/>
  <c r="CE237" i="1" s="1"/>
  <c r="CE238" i="1" s="1"/>
  <c r="CE239" i="1" s="1"/>
  <c r="CE240" i="1" s="1"/>
  <c r="CE241" i="1" s="1"/>
  <c r="CE242" i="1" s="1"/>
  <c r="CE243" i="1" s="1"/>
  <c r="CE244" i="1" s="1"/>
  <c r="CE245" i="1" s="1"/>
  <c r="CE246" i="1" s="1"/>
  <c r="CE247" i="1" s="1"/>
  <c r="CE248" i="1" s="1"/>
  <c r="CE249" i="1" s="1"/>
  <c r="CE250" i="1" s="1"/>
  <c r="CE251" i="1" s="1"/>
  <c r="CE252" i="1" s="1"/>
  <c r="CE253" i="1" s="1"/>
  <c r="CE254" i="1" s="1"/>
  <c r="CE255" i="1" s="1"/>
  <c r="CE256" i="1" s="1"/>
  <c r="CE257" i="1" s="1"/>
  <c r="CE258" i="1" s="1"/>
  <c r="CE259" i="1" s="1"/>
  <c r="CE260" i="1" s="1"/>
  <c r="CE261" i="1" s="1"/>
  <c r="CE262" i="1" s="1"/>
  <c r="CE263" i="1" s="1"/>
  <c r="CE264" i="1" s="1"/>
  <c r="CE265" i="1" s="1"/>
  <c r="CE266" i="1" s="1"/>
  <c r="CE267" i="1" s="1"/>
  <c r="CE268" i="1" s="1"/>
  <c r="CE269" i="1" s="1"/>
  <c r="CE270" i="1" s="1"/>
  <c r="CE271" i="1" s="1"/>
  <c r="CE272" i="1" s="1"/>
  <c r="CE273" i="1" s="1"/>
  <c r="CE274" i="1" s="1"/>
  <c r="CE275" i="1" s="1"/>
  <c r="CE276" i="1" s="1"/>
  <c r="CE277" i="1" s="1"/>
  <c r="CE278" i="1" s="1"/>
  <c r="CE279" i="1" s="1"/>
  <c r="CE280" i="1" s="1"/>
  <c r="CE281" i="1" s="1"/>
  <c r="CE282" i="1" s="1"/>
  <c r="CE283" i="1" s="1"/>
  <c r="CE284" i="1" s="1"/>
  <c r="CE285" i="1" s="1"/>
  <c r="CE286" i="1" s="1"/>
  <c r="CE287" i="1" s="1"/>
  <c r="CE288" i="1" s="1"/>
  <c r="CE289" i="1" s="1"/>
  <c r="CE290" i="1" s="1"/>
  <c r="CE291" i="1" s="1"/>
  <c r="CE292" i="1" s="1"/>
  <c r="CE293" i="1" s="1"/>
  <c r="CE294" i="1" s="1"/>
  <c r="CE295" i="1" s="1"/>
  <c r="CE296" i="1" s="1"/>
  <c r="CE297" i="1" s="1"/>
  <c r="CE298" i="1" s="1"/>
  <c r="CE299" i="1" s="1"/>
  <c r="CE300" i="1" s="1"/>
  <c r="CE301" i="1" s="1"/>
  <c r="CE302" i="1" s="1"/>
  <c r="CE303" i="1" s="1"/>
  <c r="CE304" i="1" s="1"/>
  <c r="CE305" i="1" s="1"/>
  <c r="CE306" i="1" s="1"/>
  <c r="CE307" i="1" s="1"/>
  <c r="CE308" i="1" s="1"/>
  <c r="CE309" i="1" s="1"/>
  <c r="CE310" i="1" s="1"/>
  <c r="CE311" i="1" s="1"/>
  <c r="CE312" i="1" s="1"/>
  <c r="CE313" i="1" s="1"/>
  <c r="CE314" i="1" s="1"/>
  <c r="CE315" i="1" s="1"/>
  <c r="CE316" i="1" s="1"/>
  <c r="CE317" i="1" s="1"/>
  <c r="CE318" i="1" s="1"/>
  <c r="CE319" i="1" s="1"/>
  <c r="CE320" i="1" s="1"/>
  <c r="CE321" i="1" s="1"/>
  <c r="CE322" i="1" s="1"/>
  <c r="CE323" i="1" s="1"/>
  <c r="CE324" i="1" s="1"/>
  <c r="CE325" i="1" s="1"/>
  <c r="CE326" i="1" s="1"/>
  <c r="CE327" i="1" s="1"/>
  <c r="CE328" i="1" s="1"/>
  <c r="CE329" i="1" s="1"/>
  <c r="CE330" i="1" s="1"/>
  <c r="CE331" i="1" s="1"/>
  <c r="CE332" i="1" s="1"/>
  <c r="CE333" i="1" s="1"/>
  <c r="CE334" i="1" s="1"/>
  <c r="CE335" i="1" s="1"/>
  <c r="CE336" i="1" s="1"/>
  <c r="CE337" i="1" s="1"/>
  <c r="CE338" i="1" s="1"/>
  <c r="CE339" i="1" s="1"/>
  <c r="CE340" i="1" s="1"/>
  <c r="CE341" i="1" s="1"/>
  <c r="CE342" i="1" s="1"/>
  <c r="CE343" i="1" s="1"/>
  <c r="CE344" i="1" s="1"/>
  <c r="CE345" i="1" s="1"/>
  <c r="CE346" i="1" s="1"/>
  <c r="CE347" i="1" s="1"/>
  <c r="CE348" i="1" s="1"/>
  <c r="CE349" i="1" s="1"/>
  <c r="CE350" i="1" s="1"/>
  <c r="CE351" i="1" s="1"/>
  <c r="CE352" i="1" s="1"/>
  <c r="CE353" i="1" s="1"/>
  <c r="CE354" i="1" s="1"/>
  <c r="CE355" i="1" s="1"/>
  <c r="CE356" i="1" s="1"/>
  <c r="CE357" i="1" s="1"/>
  <c r="CE358" i="1" s="1"/>
  <c r="CE359" i="1" s="1"/>
  <c r="CE360" i="1" s="1"/>
  <c r="CE361" i="1" s="1"/>
  <c r="CE362" i="1" s="1"/>
  <c r="CE363" i="1" s="1"/>
  <c r="CE364" i="1" s="1"/>
  <c r="CE365" i="1" s="1"/>
  <c r="CE366" i="1" s="1"/>
  <c r="CE367" i="1" s="1"/>
  <c r="CE368" i="1" s="1"/>
  <c r="CE369" i="1" s="1"/>
  <c r="CE370" i="1" s="1"/>
  <c r="CE371" i="1" s="1"/>
  <c r="CE372" i="1" s="1"/>
  <c r="CE373" i="1" s="1"/>
  <c r="CE374" i="1" s="1"/>
  <c r="CE375" i="1" s="1"/>
  <c r="CE376" i="1" s="1"/>
  <c r="CE377" i="1" s="1"/>
  <c r="CE378" i="1" s="1"/>
  <c r="CE379" i="1" s="1"/>
  <c r="CE380" i="1" s="1"/>
  <c r="CE381" i="1" s="1"/>
  <c r="CE382" i="1" s="1"/>
  <c r="CE383" i="1" s="1"/>
  <c r="BW281" i="1"/>
  <c r="BY281" i="1" s="1"/>
  <c r="BW369" i="1"/>
  <c r="BY369" i="1" s="1"/>
  <c r="BW341" i="1"/>
  <c r="BY341" i="1" s="1"/>
  <c r="BW306" i="1"/>
  <c r="BY306" i="1" s="1"/>
  <c r="BW261" i="1"/>
  <c r="BY261" i="1" s="1"/>
  <c r="BW253" i="1"/>
  <c r="BY253" i="1" s="1"/>
  <c r="BW225" i="1"/>
  <c r="BY225" i="1" s="1"/>
  <c r="BW116" i="1"/>
  <c r="BY116" i="1" s="1"/>
  <c r="BW96" i="1"/>
  <c r="BY96" i="1" s="1"/>
  <c r="BW233" i="1"/>
  <c r="BY233" i="1" s="1"/>
  <c r="BW170" i="1"/>
  <c r="BY170" i="1" s="1"/>
  <c r="BW332" i="1"/>
  <c r="BY332" i="1" s="1"/>
  <c r="BW314" i="1"/>
  <c r="BY314" i="1" s="1"/>
  <c r="BW134" i="1"/>
  <c r="BY134" i="1" s="1"/>
  <c r="BW125" i="1"/>
  <c r="BY125" i="1" s="1"/>
  <c r="BW86" i="1"/>
  <c r="BY86" i="1" s="1"/>
  <c r="BW67" i="1"/>
  <c r="BY67" i="1" s="1"/>
  <c r="BW323" i="1"/>
  <c r="BY323" i="1" s="1"/>
  <c r="BW189" i="1"/>
  <c r="BY189" i="1" s="1"/>
  <c r="BW365" i="1"/>
  <c r="BY365" i="1" s="1"/>
  <c r="BW229" i="1"/>
  <c r="BY229" i="1" s="1"/>
  <c r="BW45" i="1"/>
  <c r="BY45" i="1" s="1"/>
  <c r="BW264" i="1"/>
  <c r="BY264" i="1" s="1"/>
  <c r="BW373" i="1"/>
  <c r="BY373" i="1" s="1"/>
  <c r="BW158" i="1"/>
  <c r="BY158" i="1" s="1"/>
  <c r="BW132" i="1"/>
  <c r="BY132" i="1" s="1"/>
  <c r="BW302" i="1"/>
  <c r="BY302" i="1" s="1"/>
  <c r="BW56" i="1"/>
  <c r="BY56" i="1" s="1"/>
  <c r="BW337" i="1"/>
  <c r="BY337" i="1" s="1"/>
  <c r="BW239" i="1"/>
  <c r="BY239" i="1" s="1"/>
  <c r="BW222" i="1"/>
  <c r="BY222" i="1" s="1"/>
  <c r="BW26" i="1"/>
  <c r="BY26" i="1" s="1"/>
  <c r="BW356" i="1"/>
  <c r="BY356" i="1" s="1"/>
  <c r="BW257" i="1"/>
  <c r="BY257" i="1" s="1"/>
  <c r="BW139" i="1"/>
  <c r="BY139" i="1" s="1"/>
  <c r="BW63" i="1"/>
  <c r="BY63" i="1" s="1"/>
  <c r="BW7" i="1"/>
  <c r="BY7" i="1" s="1"/>
  <c r="BW111" i="1"/>
  <c r="BY111" i="1" s="1"/>
  <c r="BW91" i="1"/>
  <c r="BY91" i="1" s="1"/>
  <c r="BW212" i="1"/>
  <c r="BY212" i="1" s="1"/>
  <c r="BW185" i="1"/>
  <c r="BY185" i="1" s="1"/>
  <c r="BW336" i="1"/>
  <c r="BY336" i="1" s="1"/>
  <c r="BW15" i="1"/>
  <c r="BY15" i="1" s="1"/>
  <c r="BW216" i="1"/>
  <c r="BY216" i="1" s="1"/>
  <c r="BW205" i="1"/>
  <c r="BY205" i="1" s="1"/>
  <c r="BW230" i="1"/>
  <c r="BY230" i="1" s="1"/>
  <c r="BW283" i="1"/>
  <c r="BY283" i="1" s="1"/>
  <c r="BW293" i="1"/>
  <c r="BY293" i="1" s="1"/>
  <c r="BW197" i="1"/>
  <c r="BY197" i="1" s="1"/>
  <c r="BW240" i="1"/>
  <c r="BY240" i="1" s="1"/>
  <c r="BW330" i="1"/>
  <c r="BY330" i="1" s="1"/>
  <c r="BW18" i="1"/>
  <c r="BY18" i="1" s="1"/>
  <c r="BW84" i="1"/>
  <c r="BY84" i="1" s="1"/>
  <c r="BW123" i="1"/>
  <c r="BY123" i="1" s="1"/>
  <c r="BW177" i="1"/>
  <c r="BY177" i="1" s="1"/>
  <c r="BW348" i="1"/>
  <c r="BY348" i="1" s="1"/>
  <c r="BW377" i="1"/>
  <c r="BY377" i="1" s="1"/>
  <c r="BW38" i="1"/>
  <c r="BY38" i="1" s="1"/>
  <c r="BW223" i="1"/>
  <c r="BY223" i="1" s="1"/>
  <c r="BW267" i="1"/>
  <c r="BY267" i="1" s="1"/>
  <c r="BW294" i="1"/>
  <c r="BY294" i="1" s="1"/>
  <c r="BW313" i="1"/>
  <c r="BY313" i="1" s="1"/>
  <c r="BW57" i="1"/>
  <c r="BY57" i="1" s="1"/>
  <c r="BW141" i="1"/>
  <c r="BY141" i="1" s="1"/>
  <c r="BW169" i="1"/>
  <c r="BY169" i="1" s="1"/>
  <c r="BW276" i="1"/>
  <c r="BY276" i="1" s="1"/>
  <c r="BW133" i="1"/>
  <c r="BY133" i="1" s="1"/>
  <c r="BW198" i="1"/>
  <c r="BY198" i="1" s="1"/>
  <c r="BW368" i="1"/>
  <c r="BY368" i="1" s="1"/>
  <c r="BW378" i="1"/>
  <c r="BY378" i="1" s="1"/>
  <c r="BW49" i="1"/>
  <c r="BY49" i="1" s="1"/>
  <c r="BW104" i="1"/>
  <c r="BY104" i="1" s="1"/>
  <c r="BW361" i="1"/>
  <c r="BY361" i="1" s="1"/>
  <c r="BW333" i="1"/>
  <c r="BY333" i="1" s="1"/>
  <c r="BW305" i="1"/>
  <c r="BY305" i="1" s="1"/>
  <c r="BW277" i="1"/>
  <c r="BY277" i="1" s="1"/>
  <c r="BW249" i="1"/>
  <c r="BY249" i="1" s="1"/>
  <c r="BW221" i="1"/>
  <c r="BY221" i="1" s="1"/>
  <c r="BW193" i="1"/>
  <c r="BY193" i="1" s="1"/>
  <c r="BW165" i="1"/>
  <c r="BY165" i="1" s="1"/>
  <c r="BW137" i="1"/>
  <c r="BY137" i="1" s="1"/>
  <c r="BW109" i="1"/>
  <c r="BY109" i="1" s="1"/>
  <c r="BW81" i="1"/>
  <c r="BY81" i="1" s="1"/>
  <c r="BW53" i="1"/>
  <c r="BY53" i="1" s="1"/>
  <c r="BW25" i="1"/>
  <c r="BY25" i="1" s="1"/>
  <c r="BW383" i="1"/>
  <c r="BY383" i="1" s="1"/>
  <c r="BW355" i="1"/>
  <c r="BY355" i="1" s="1"/>
  <c r="BW327" i="1"/>
  <c r="BY327" i="1" s="1"/>
  <c r="BW299" i="1"/>
  <c r="BY299" i="1" s="1"/>
  <c r="BW271" i="1"/>
  <c r="BY271" i="1" s="1"/>
  <c r="BW243" i="1"/>
  <c r="BY243" i="1" s="1"/>
  <c r="BW215" i="1"/>
  <c r="BY215" i="1" s="1"/>
  <c r="BW187" i="1"/>
  <c r="BY187" i="1" s="1"/>
  <c r="BW159" i="1"/>
  <c r="BY159" i="1" s="1"/>
  <c r="BW131" i="1"/>
  <c r="BY131" i="1" s="1"/>
  <c r="BW103" i="1"/>
  <c r="BY103" i="1" s="1"/>
  <c r="BW75" i="1"/>
  <c r="BY75" i="1" s="1"/>
  <c r="BW47" i="1"/>
  <c r="BY47" i="1" s="1"/>
  <c r="BW19" i="1"/>
  <c r="BY19" i="1" s="1"/>
  <c r="BW366" i="1"/>
  <c r="BY366" i="1" s="1"/>
  <c r="BW372" i="1"/>
  <c r="BY372" i="1" s="1"/>
  <c r="BW344" i="1"/>
  <c r="BY344" i="1" s="1"/>
  <c r="BW316" i="1"/>
  <c r="BY316" i="1" s="1"/>
  <c r="BW288" i="1"/>
  <c r="BY288" i="1" s="1"/>
  <c r="BW260" i="1"/>
  <c r="BY260" i="1" s="1"/>
  <c r="BW232" i="1"/>
  <c r="BY232" i="1" s="1"/>
  <c r="BW204" i="1"/>
  <c r="BY204" i="1" s="1"/>
  <c r="BW176" i="1"/>
  <c r="BY176" i="1" s="1"/>
  <c r="BW148" i="1"/>
  <c r="BY148" i="1" s="1"/>
  <c r="BW120" i="1"/>
  <c r="BY120" i="1" s="1"/>
  <c r="BW92" i="1"/>
  <c r="BY92" i="1" s="1"/>
  <c r="BW64" i="1"/>
  <c r="BY64" i="1" s="1"/>
  <c r="BW36" i="1"/>
  <c r="BY36" i="1" s="1"/>
  <c r="BW8" i="1"/>
  <c r="BY8" i="1" s="1"/>
  <c r="BW167" i="1"/>
  <c r="BY167" i="1" s="1"/>
  <c r="BW161" i="1"/>
  <c r="BY161" i="1" s="1"/>
  <c r="BW155" i="1"/>
  <c r="BY155" i="1" s="1"/>
  <c r="BW149" i="1"/>
  <c r="BY149" i="1" s="1"/>
  <c r="BW143" i="1"/>
  <c r="BY143" i="1" s="1"/>
  <c r="BW113" i="1"/>
  <c r="BY113" i="1" s="1"/>
  <c r="BW107" i="1"/>
  <c r="BY107" i="1" s="1"/>
  <c r="BW101" i="1"/>
  <c r="BY101" i="1" s="1"/>
  <c r="BW95" i="1"/>
  <c r="BY95" i="1" s="1"/>
  <c r="BW89" i="1"/>
  <c r="BY89" i="1" s="1"/>
  <c r="BW41" i="1"/>
  <c r="BY41" i="1" s="1"/>
  <c r="BW35" i="1"/>
  <c r="BY35" i="1" s="1"/>
  <c r="BW77" i="1"/>
  <c r="BY77" i="1" s="1"/>
  <c r="BW71" i="1"/>
  <c r="BY71" i="1" s="1"/>
  <c r="BW65" i="1"/>
  <c r="BY65" i="1" s="1"/>
  <c r="BW59" i="1"/>
  <c r="BY59" i="1" s="1"/>
  <c r="BW29" i="1"/>
  <c r="BY29" i="1" s="1"/>
  <c r="BW23" i="1"/>
  <c r="BY23" i="1" s="1"/>
  <c r="BW17" i="1"/>
  <c r="BY17" i="1" s="1"/>
  <c r="BW11" i="1"/>
  <c r="BY11" i="1" s="1"/>
  <c r="BW5" i="1"/>
  <c r="BY5" i="1" s="1"/>
  <c r="BW358" i="1"/>
  <c r="BY358" i="1" s="1"/>
  <c r="BW334" i="1"/>
  <c r="BY334" i="1" s="1"/>
  <c r="BW328" i="1"/>
  <c r="BY328" i="1" s="1"/>
  <c r="BW322" i="1"/>
  <c r="BY322" i="1" s="1"/>
  <c r="BW280" i="1"/>
  <c r="BY280" i="1" s="1"/>
  <c r="BW274" i="1"/>
  <c r="BY274" i="1" s="1"/>
  <c r="BW268" i="1"/>
  <c r="BY268" i="1" s="1"/>
  <c r="BW262" i="1"/>
  <c r="BY262" i="1" s="1"/>
  <c r="BW256" i="1"/>
  <c r="BY256" i="1" s="1"/>
  <c r="BW226" i="1"/>
  <c r="BY226" i="1" s="1"/>
  <c r="BW220" i="1"/>
  <c r="BY220" i="1" s="1"/>
  <c r="BW214" i="1"/>
  <c r="BY214" i="1" s="1"/>
  <c r="BW208" i="1"/>
  <c r="BY208" i="1" s="1"/>
  <c r="BW202" i="1"/>
  <c r="BY202" i="1" s="1"/>
  <c r="BW382" i="1"/>
  <c r="BY382" i="1" s="1"/>
  <c r="BW376" i="1"/>
  <c r="BY376" i="1" s="1"/>
  <c r="BW370" i="1"/>
  <c r="BY370" i="1" s="1"/>
  <c r="BW364" i="1"/>
  <c r="BY364" i="1" s="1"/>
  <c r="BW250" i="1"/>
  <c r="BY250" i="1" s="1"/>
  <c r="BW244" i="1"/>
  <c r="BY244" i="1" s="1"/>
  <c r="BW238" i="1"/>
  <c r="BY238" i="1" s="1"/>
  <c r="BW196" i="1"/>
  <c r="BY196" i="1" s="1"/>
  <c r="BW190" i="1"/>
  <c r="BY190" i="1" s="1"/>
  <c r="BW184" i="1"/>
  <c r="BY184" i="1" s="1"/>
  <c r="BW178" i="1"/>
  <c r="BY178" i="1" s="1"/>
  <c r="BW172" i="1"/>
  <c r="BY172" i="1" s="1"/>
  <c r="BW142" i="1"/>
  <c r="BY142" i="1" s="1"/>
  <c r="BW136" i="1"/>
  <c r="BY136" i="1" s="1"/>
  <c r="BW130" i="1"/>
  <c r="BY130" i="1" s="1"/>
  <c r="BW118" i="1"/>
  <c r="BY118" i="1" s="1"/>
  <c r="BW309" i="1"/>
  <c r="BY309" i="1" s="1"/>
  <c r="BW303" i="1"/>
  <c r="BY303" i="1" s="1"/>
  <c r="BW297" i="1"/>
  <c r="BY297" i="1" s="1"/>
  <c r="BW291" i="1"/>
  <c r="BY291" i="1" s="1"/>
  <c r="BW83" i="1"/>
  <c r="BY83" i="1" s="1"/>
  <c r="BW124" i="1"/>
  <c r="BY124" i="1" s="1"/>
  <c r="BW352" i="1"/>
  <c r="BY352" i="1" s="1"/>
  <c r="BW346" i="1"/>
  <c r="BY346" i="1" s="1"/>
  <c r="BW340" i="1"/>
  <c r="BY340" i="1" s="1"/>
  <c r="BW310" i="1"/>
  <c r="BY310" i="1" s="1"/>
  <c r="BW304" i="1"/>
  <c r="BY304" i="1" s="1"/>
  <c r="BW298" i="1"/>
  <c r="BY298" i="1" s="1"/>
  <c r="BW292" i="1"/>
  <c r="BY292" i="1" s="1"/>
  <c r="BW286" i="1"/>
  <c r="BY286" i="1" s="1"/>
  <c r="BW166" i="1"/>
  <c r="BY166" i="1" s="1"/>
  <c r="BW160" i="1"/>
  <c r="BY160" i="1" s="1"/>
  <c r="BW154" i="1"/>
  <c r="BY154" i="1" s="1"/>
  <c r="BW112" i="1"/>
  <c r="BY112" i="1" s="1"/>
  <c r="BW106" i="1"/>
  <c r="BY106" i="1" s="1"/>
  <c r="BW100" i="1"/>
  <c r="BY100" i="1" s="1"/>
  <c r="BW94" i="1"/>
  <c r="BY94" i="1" s="1"/>
  <c r="BW88" i="1"/>
  <c r="BY88" i="1" s="1"/>
  <c r="BW58" i="1"/>
  <c r="BY58" i="1" s="1"/>
  <c r="BW52" i="1"/>
  <c r="BY52" i="1" s="1"/>
  <c r="BW46" i="1"/>
  <c r="BY46" i="1" s="1"/>
  <c r="BW40" i="1"/>
  <c r="BY40" i="1" s="1"/>
  <c r="BW34" i="1"/>
  <c r="BY34" i="1" s="1"/>
  <c r="BW321" i="1"/>
  <c r="BY321" i="1" s="1"/>
  <c r="BW315" i="1"/>
  <c r="BY315" i="1" s="1"/>
  <c r="BW82" i="1"/>
  <c r="BY82" i="1" s="1"/>
  <c r="BW76" i="1"/>
  <c r="BY76" i="1" s="1"/>
  <c r="BW70" i="1"/>
  <c r="BY70" i="1" s="1"/>
  <c r="BW28" i="1"/>
  <c r="BY28" i="1" s="1"/>
  <c r="BW22" i="1"/>
  <c r="BY22" i="1" s="1"/>
  <c r="BW16" i="1"/>
  <c r="BY16" i="1" s="1"/>
  <c r="BW10" i="1"/>
  <c r="BY10" i="1" s="1"/>
  <c r="BW4" i="1"/>
  <c r="BY4" i="1" s="1"/>
  <c r="BW351" i="1"/>
  <c r="BY351" i="1" s="1"/>
  <c r="BW345" i="1"/>
  <c r="BY345" i="1" s="1"/>
  <c r="BW339" i="1"/>
  <c r="BY339" i="1" s="1"/>
  <c r="BW285" i="1"/>
  <c r="BY285" i="1" s="1"/>
  <c r="BW237" i="1"/>
  <c r="BY237" i="1" s="1"/>
  <c r="BW231" i="1"/>
  <c r="BY231" i="1" s="1"/>
  <c r="BW325" i="1"/>
  <c r="BY325" i="1" s="1"/>
  <c r="BW269" i="1"/>
  <c r="BY269" i="1" s="1"/>
  <c r="BW248" i="1"/>
  <c r="BY248" i="1" s="1"/>
  <c r="BW122" i="1"/>
  <c r="BY122" i="1" s="1"/>
  <c r="BW108" i="1"/>
  <c r="BY108" i="1" s="1"/>
  <c r="BW93" i="1"/>
  <c r="BY93" i="1" s="1"/>
  <c r="BW79" i="1"/>
  <c r="BY79" i="1" s="1"/>
  <c r="BW9" i="1"/>
  <c r="BY9" i="1" s="1"/>
  <c r="BW164" i="1"/>
  <c r="BY164" i="1" s="1"/>
  <c r="BW115" i="1"/>
  <c r="BY115" i="1" s="1"/>
  <c r="BW72" i="1"/>
  <c r="BY72" i="1" s="1"/>
  <c r="BW30" i="1"/>
  <c r="BY30" i="1" s="1"/>
  <c r="BW353" i="1"/>
  <c r="BY353" i="1" s="1"/>
  <c r="BW311" i="1"/>
  <c r="BY311" i="1" s="1"/>
  <c r="BW296" i="1"/>
  <c r="BY296" i="1" s="1"/>
  <c r="BW289" i="1"/>
  <c r="BY289" i="1" s="1"/>
  <c r="BW234" i="1"/>
  <c r="BY234" i="1" s="1"/>
  <c r="BW186" i="1"/>
  <c r="BY186" i="1" s="1"/>
  <c r="BW179" i="1"/>
  <c r="BY179" i="1" s="1"/>
  <c r="BW171" i="1"/>
  <c r="BY171" i="1" s="1"/>
  <c r="BW150" i="1"/>
  <c r="BY150" i="1" s="1"/>
  <c r="BW44" i="1"/>
  <c r="BY44" i="1" s="1"/>
  <c r="BW37" i="1"/>
  <c r="BY37" i="1" s="1"/>
  <c r="BW331" i="1"/>
  <c r="BY331" i="1" s="1"/>
  <c r="BW275" i="1"/>
  <c r="BY275" i="1" s="1"/>
  <c r="BW227" i="1"/>
  <c r="BY227" i="1" s="1"/>
  <c r="BW360" i="1"/>
  <c r="BY360" i="1" s="1"/>
  <c r="BW338" i="1"/>
  <c r="BY338" i="1" s="1"/>
  <c r="BW318" i="1"/>
  <c r="BY318" i="1" s="1"/>
  <c r="BW282" i="1"/>
  <c r="BY282" i="1" s="1"/>
  <c r="BW255" i="1"/>
  <c r="BY255" i="1" s="1"/>
  <c r="BW241" i="1"/>
  <c r="BY241" i="1" s="1"/>
  <c r="BW207" i="1"/>
  <c r="BY207" i="1" s="1"/>
  <c r="BW157" i="1"/>
  <c r="BY157" i="1" s="1"/>
  <c r="BW51" i="1"/>
  <c r="BY51" i="1" s="1"/>
  <c r="BW357" i="1"/>
  <c r="BY357" i="1" s="1"/>
  <c r="BW329" i="1"/>
  <c r="BY329" i="1" s="1"/>
  <c r="BW279" i="1"/>
  <c r="BY279" i="1" s="1"/>
  <c r="BW140" i="1"/>
  <c r="BY140" i="1" s="1"/>
  <c r="BW119" i="1"/>
  <c r="BY119" i="1" s="1"/>
  <c r="BW97" i="1"/>
  <c r="BY97" i="1" s="1"/>
  <c r="BW90" i="1"/>
  <c r="BY90" i="1" s="1"/>
  <c r="BW20" i="1"/>
  <c r="BY20" i="1" s="1"/>
  <c r="BW6" i="1"/>
  <c r="BY6" i="1" s="1"/>
  <c r="BW375" i="1"/>
  <c r="BY375" i="1" s="1"/>
  <c r="BW343" i="1"/>
  <c r="BY343" i="1" s="1"/>
  <c r="BW320" i="1"/>
  <c r="BY320" i="1" s="1"/>
  <c r="BW273" i="1"/>
  <c r="BY273" i="1" s="1"/>
  <c r="BW266" i="1"/>
  <c r="BY266" i="1" s="1"/>
  <c r="BW259" i="1"/>
  <c r="BY259" i="1" s="1"/>
  <c r="BW252" i="1"/>
  <c r="BY252" i="1" s="1"/>
  <c r="BW192" i="1"/>
  <c r="BY192" i="1" s="1"/>
  <c r="BW74" i="1"/>
  <c r="BY74" i="1" s="1"/>
  <c r="BW367" i="1"/>
  <c r="BY367" i="1" s="1"/>
  <c r="BW359" i="1"/>
  <c r="BY359" i="1" s="1"/>
  <c r="BW175" i="1"/>
  <c r="BY175" i="1" s="1"/>
  <c r="BW168" i="1"/>
  <c r="BY168" i="1" s="1"/>
  <c r="BW152" i="1"/>
  <c r="BY152" i="1" s="1"/>
  <c r="BW98" i="1"/>
  <c r="BY98" i="1" s="1"/>
  <c r="BW350" i="1"/>
  <c r="BY350" i="1" s="1"/>
  <c r="BW335" i="1"/>
  <c r="BY335" i="1" s="1"/>
  <c r="BW312" i="1"/>
  <c r="BY312" i="1" s="1"/>
  <c r="BW265" i="1"/>
  <c r="BY265" i="1" s="1"/>
  <c r="BW213" i="1"/>
  <c r="BY213" i="1" s="1"/>
  <c r="BW206" i="1"/>
  <c r="BY206" i="1" s="1"/>
  <c r="BW129" i="1"/>
  <c r="BY129" i="1" s="1"/>
  <c r="BW105" i="1"/>
  <c r="BY105" i="1" s="1"/>
  <c r="BW66" i="1"/>
  <c r="BY66" i="1" s="1"/>
  <c r="BW12" i="1"/>
  <c r="BY12" i="1" s="1"/>
  <c r="BW342" i="1"/>
  <c r="BY342" i="1" s="1"/>
  <c r="BW272" i="1"/>
  <c r="BY272" i="1" s="1"/>
  <c r="BW258" i="1"/>
  <c r="BY258" i="1" s="1"/>
  <c r="BW235" i="1"/>
  <c r="BY235" i="1" s="1"/>
  <c r="BW199" i="1"/>
  <c r="BY199" i="1" s="1"/>
  <c r="BW144" i="1"/>
  <c r="BY144" i="1" s="1"/>
  <c r="BW121" i="1"/>
  <c r="BY121" i="1" s="1"/>
  <c r="BW43" i="1"/>
  <c r="BY43" i="1" s="1"/>
  <c r="BW27" i="1"/>
  <c r="BY27" i="1" s="1"/>
  <c r="BW381" i="1"/>
  <c r="BY381" i="1" s="1"/>
  <c r="BW319" i="1"/>
  <c r="BY319" i="1" s="1"/>
  <c r="BW295" i="1"/>
  <c r="BY295" i="1" s="1"/>
  <c r="BW287" i="1"/>
  <c r="BY287" i="1" s="1"/>
  <c r="BW251" i="1"/>
  <c r="BY251" i="1" s="1"/>
  <c r="BW242" i="1"/>
  <c r="BY242" i="1" s="1"/>
  <c r="BW191" i="1"/>
  <c r="BY191" i="1" s="1"/>
  <c r="BW349" i="1"/>
  <c r="BY349" i="1" s="1"/>
  <c r="BW182" i="1"/>
  <c r="BY182" i="1" s="1"/>
  <c r="BW174" i="1"/>
  <c r="BY174" i="1" s="1"/>
  <c r="BW151" i="1"/>
  <c r="BY151" i="1" s="1"/>
  <c r="BW128" i="1"/>
  <c r="BY128" i="1" s="1"/>
  <c r="BW50" i="1"/>
  <c r="BY50" i="1" s="1"/>
  <c r="BW228" i="1"/>
  <c r="BY228" i="1" s="1"/>
  <c r="BW183" i="1"/>
  <c r="BY183" i="1" s="1"/>
  <c r="BW114" i="1"/>
  <c r="BY114" i="1" s="1"/>
  <c r="BW374" i="1"/>
  <c r="BY374" i="1" s="1"/>
  <c r="BW73" i="1"/>
  <c r="BY73" i="1" s="1"/>
  <c r="BW363" i="1"/>
  <c r="BY363" i="1" s="1"/>
  <c r="BW324" i="1"/>
  <c r="BY324" i="1" s="1"/>
  <c r="BW301" i="1"/>
  <c r="BY301" i="1" s="1"/>
  <c r="BW180" i="1"/>
  <c r="BY180" i="1" s="1"/>
  <c r="BW78" i="1"/>
  <c r="BY78" i="1" s="1"/>
  <c r="BW32" i="1"/>
  <c r="BY32" i="1" s="1"/>
  <c r="BW379" i="1"/>
  <c r="BY379" i="1" s="1"/>
  <c r="BW284" i="1"/>
  <c r="BY284" i="1" s="1"/>
  <c r="BW247" i="1"/>
  <c r="BY247" i="1" s="1"/>
  <c r="BW188" i="1"/>
  <c r="BY188" i="1" s="1"/>
  <c r="BW156" i="1"/>
  <c r="BY156" i="1" s="1"/>
  <c r="BW102" i="1"/>
  <c r="BY102" i="1" s="1"/>
  <c r="BW371" i="1"/>
  <c r="BY371" i="1" s="1"/>
  <c r="BW347" i="1"/>
  <c r="BY347" i="1" s="1"/>
  <c r="BW308" i="1"/>
  <c r="BY308" i="1" s="1"/>
  <c r="BW224" i="1"/>
  <c r="BY224" i="1" s="1"/>
  <c r="BW217" i="1"/>
  <c r="BY217" i="1" s="1"/>
  <c r="BW203" i="1"/>
  <c r="BY203" i="1" s="1"/>
  <c r="BW126" i="1"/>
  <c r="BY126" i="1" s="1"/>
  <c r="BW110" i="1"/>
  <c r="BY110" i="1" s="1"/>
  <c r="BW85" i="1"/>
  <c r="BY85" i="1" s="1"/>
  <c r="BW48" i="1"/>
  <c r="BY48" i="1" s="1"/>
  <c r="BW24" i="1"/>
  <c r="BY24" i="1" s="1"/>
  <c r="BW195" i="1"/>
  <c r="BY195" i="1" s="1"/>
  <c r="BW163" i="1"/>
  <c r="BY163" i="1" s="1"/>
  <c r="BW147" i="1"/>
  <c r="BY147" i="1" s="1"/>
  <c r="BW117" i="1"/>
  <c r="BY117" i="1" s="1"/>
  <c r="BW69" i="1"/>
  <c r="BY69" i="1" s="1"/>
  <c r="BW62" i="1"/>
  <c r="BY62" i="1" s="1"/>
  <c r="BW55" i="1"/>
  <c r="BY55" i="1" s="1"/>
  <c r="BW39" i="1"/>
  <c r="BY39" i="1" s="1"/>
  <c r="BW21" i="1"/>
  <c r="BY21" i="1" s="1"/>
  <c r="BW31" i="1"/>
  <c r="BY31" i="1" s="1"/>
  <c r="BW162" i="1"/>
  <c r="BY162" i="1" s="1"/>
  <c r="BW200" i="1"/>
  <c r="BY200" i="1" s="1"/>
  <c r="BW209" i="1"/>
  <c r="BY209" i="1" s="1"/>
  <c r="BW278" i="1"/>
  <c r="BY278" i="1" s="1"/>
  <c r="BW3" i="1"/>
  <c r="BY3" i="1" s="1"/>
  <c r="BW87" i="1"/>
  <c r="BY87" i="1" s="1"/>
  <c r="BW218" i="1"/>
  <c r="BY218" i="1" s="1"/>
  <c r="BW380" i="1"/>
  <c r="BY380" i="1" s="1"/>
  <c r="BW13" i="1"/>
  <c r="BY13" i="1" s="1"/>
  <c r="BW60" i="1"/>
  <c r="BY60" i="1" s="1"/>
  <c r="BW68" i="1"/>
  <c r="BY68" i="1" s="1"/>
  <c r="BW135" i="1"/>
  <c r="BY135" i="1" s="1"/>
  <c r="BW153" i="1"/>
  <c r="BY153" i="1" s="1"/>
  <c r="BW181" i="1"/>
  <c r="BY181" i="1" s="1"/>
  <c r="BW270" i="1"/>
  <c r="BY270" i="1" s="1"/>
  <c r="BW42" i="1"/>
  <c r="BY42" i="1" s="1"/>
  <c r="BW127" i="1"/>
  <c r="BY127" i="1" s="1"/>
  <c r="BW210" i="1"/>
  <c r="BY210" i="1" s="1"/>
  <c r="BW145" i="1"/>
  <c r="BY145" i="1" s="1"/>
  <c r="BW201" i="1"/>
  <c r="BY201" i="1" s="1"/>
  <c r="BW245" i="1"/>
  <c r="BY245" i="1" s="1"/>
  <c r="BW254" i="1"/>
  <c r="BY254" i="1" s="1"/>
  <c r="BW307" i="1"/>
  <c r="BY307" i="1" s="1"/>
  <c r="BW14" i="1"/>
  <c r="BY14" i="1" s="1"/>
  <c r="BW317" i="1"/>
  <c r="BY317" i="1" s="1"/>
  <c r="BW326" i="1"/>
  <c r="BY326" i="1" s="1"/>
  <c r="BW173" i="1"/>
  <c r="BY173" i="1" s="1"/>
  <c r="BW211" i="1"/>
  <c r="BY211" i="1" s="1"/>
  <c r="BW219" i="1"/>
  <c r="BY219" i="1" s="1"/>
  <c r="BW236" i="1"/>
  <c r="BY236" i="1" s="1"/>
  <c r="BW263" i="1"/>
  <c r="BY263" i="1" s="1"/>
  <c r="BW362" i="1"/>
  <c r="BY362" i="1" s="1"/>
  <c r="BW33" i="1"/>
  <c r="BY33" i="1" s="1"/>
  <c r="BW61" i="1"/>
  <c r="BY61" i="1" s="1"/>
  <c r="BW80" i="1"/>
  <c r="BY80" i="1" s="1"/>
  <c r="BW99" i="1"/>
  <c r="BY99" i="1" s="1"/>
  <c r="BW246" i="1"/>
  <c r="BY246" i="1" s="1"/>
  <c r="BW290" i="1"/>
  <c r="BY290" i="1" s="1"/>
  <c r="BW354" i="1"/>
  <c r="BY354" i="1" s="1"/>
  <c r="BW54" i="1"/>
  <c r="BY54" i="1" s="1"/>
  <c r="BW138" i="1"/>
  <c r="BY138" i="1" s="1"/>
  <c r="BW146" i="1"/>
  <c r="BY146" i="1" s="1"/>
  <c r="BW194" i="1"/>
  <c r="BY194" i="1" s="1"/>
  <c r="BW300" i="1"/>
  <c r="BY300" i="1" s="1"/>
  <c r="BM5" i="5"/>
  <c r="BM6" i="5"/>
  <c r="BM7" i="5"/>
  <c r="BM8" i="5"/>
  <c r="BM9" i="5"/>
  <c r="BM10" i="5"/>
  <c r="BM11" i="5"/>
  <c r="BM12" i="5"/>
  <c r="BM13" i="5"/>
  <c r="BM14" i="5"/>
  <c r="BM15" i="5"/>
  <c r="BM16" i="5"/>
  <c r="BM17" i="5"/>
  <c r="BM18" i="5"/>
  <c r="BM19" i="5"/>
  <c r="BM20" i="5"/>
  <c r="BM21" i="5"/>
  <c r="BM22" i="5"/>
  <c r="BM23" i="5"/>
  <c r="BM24" i="5"/>
  <c r="BM25" i="5"/>
  <c r="BM26" i="5"/>
  <c r="BM27" i="5"/>
  <c r="BM28" i="5"/>
  <c r="BM29" i="5"/>
  <c r="BM30" i="5"/>
  <c r="BM31" i="5"/>
  <c r="BM32" i="5"/>
  <c r="BM33" i="5"/>
  <c r="BM34" i="5"/>
  <c r="BM35" i="5"/>
  <c r="BM36" i="5"/>
  <c r="BM37" i="5"/>
  <c r="BM38" i="5"/>
  <c r="BM39" i="5"/>
  <c r="BM40" i="5"/>
  <c r="BM41" i="5"/>
  <c r="BN41" i="5" s="1"/>
  <c r="BM42" i="5"/>
  <c r="BM43" i="5"/>
  <c r="BM44" i="5"/>
  <c r="BM45" i="5"/>
  <c r="BM46" i="5"/>
  <c r="BM47" i="5"/>
  <c r="BM48" i="5"/>
  <c r="BM49" i="5"/>
  <c r="BM50" i="5"/>
  <c r="BM51" i="5"/>
  <c r="BM52" i="5"/>
  <c r="BM53" i="5"/>
  <c r="BM54" i="5"/>
  <c r="BM55" i="5"/>
  <c r="BM56" i="5"/>
  <c r="BM57" i="5"/>
  <c r="BM58" i="5"/>
  <c r="BM59" i="5"/>
  <c r="BM60" i="5"/>
  <c r="BM61" i="5"/>
  <c r="BM62" i="5"/>
  <c r="BM63" i="5"/>
  <c r="BM64" i="5"/>
  <c r="BM65" i="5"/>
  <c r="BM66" i="5"/>
  <c r="BM67" i="5"/>
  <c r="BM68" i="5"/>
  <c r="BM69" i="5"/>
  <c r="BM70" i="5"/>
  <c r="BM71" i="5"/>
  <c r="BM72" i="5"/>
  <c r="BM73" i="5"/>
  <c r="BM74" i="5"/>
  <c r="BM75" i="5"/>
  <c r="BM76" i="5"/>
  <c r="BM77" i="5"/>
  <c r="BM78" i="5"/>
  <c r="BM79" i="5"/>
  <c r="BM80" i="5"/>
  <c r="BM81" i="5"/>
  <c r="BM82" i="5"/>
  <c r="BM83" i="5"/>
  <c r="BM84" i="5"/>
  <c r="BM85" i="5"/>
  <c r="BM86" i="5"/>
  <c r="BM87" i="5"/>
  <c r="BM88" i="5"/>
  <c r="BM89" i="5"/>
  <c r="BM90" i="5"/>
  <c r="BM91" i="5"/>
  <c r="BM92" i="5"/>
  <c r="BM93" i="5"/>
  <c r="BM94" i="5"/>
  <c r="BM95" i="5"/>
  <c r="BM96" i="5"/>
  <c r="BM97" i="5"/>
  <c r="BM98" i="5"/>
  <c r="BM99" i="5"/>
  <c r="BM100" i="5"/>
  <c r="BM101" i="5"/>
  <c r="BM102" i="5"/>
  <c r="BM103" i="5"/>
  <c r="BM104" i="5"/>
  <c r="BM105" i="5"/>
  <c r="BM106" i="5"/>
  <c r="BM107" i="5"/>
  <c r="BM108" i="5"/>
  <c r="BM109" i="5"/>
  <c r="BM110" i="5"/>
  <c r="BM111" i="5"/>
  <c r="BM112" i="5"/>
  <c r="BM113" i="5"/>
  <c r="BM114" i="5"/>
  <c r="BM115" i="5"/>
  <c r="BM116" i="5"/>
  <c r="BM117" i="5"/>
  <c r="BM118" i="5"/>
  <c r="BM119" i="5"/>
  <c r="BM120" i="5"/>
  <c r="BM121" i="5"/>
  <c r="BM122" i="5"/>
  <c r="BM123" i="5"/>
  <c r="BM124" i="5"/>
  <c r="BM125" i="5"/>
  <c r="BM126" i="5"/>
  <c r="BM127" i="5"/>
  <c r="BM128" i="5"/>
  <c r="BM129" i="5"/>
  <c r="BM130" i="5"/>
  <c r="BM131" i="5"/>
  <c r="BM132" i="5"/>
  <c r="BM133" i="5"/>
  <c r="BM134" i="5"/>
  <c r="BM135" i="5"/>
  <c r="BM136" i="5"/>
  <c r="BM137" i="5"/>
  <c r="BM138" i="5"/>
  <c r="BM139" i="5"/>
  <c r="BM140" i="5"/>
  <c r="BM141" i="5"/>
  <c r="BM142" i="5"/>
  <c r="BM143" i="5"/>
  <c r="BM144" i="5"/>
  <c r="BM145" i="5"/>
  <c r="BM146" i="5"/>
  <c r="BM147" i="5"/>
  <c r="BM148" i="5"/>
  <c r="BM149" i="5"/>
  <c r="BM150" i="5"/>
  <c r="BM151" i="5"/>
  <c r="BM152" i="5"/>
  <c r="BM153" i="5"/>
  <c r="BM154" i="5"/>
  <c r="BM155" i="5"/>
  <c r="BM156" i="5"/>
  <c r="BM157" i="5"/>
  <c r="BM158" i="5"/>
  <c r="BM159" i="5"/>
  <c r="BM160" i="5"/>
  <c r="BM161" i="5"/>
  <c r="BM162" i="5"/>
  <c r="BO162" i="5" s="1"/>
  <c r="BM163" i="5"/>
  <c r="BM164" i="5"/>
  <c r="BM165" i="5"/>
  <c r="BM166" i="5"/>
  <c r="BM167" i="5"/>
  <c r="BM168" i="5"/>
  <c r="BM169" i="5"/>
  <c r="BM170" i="5"/>
  <c r="BM171" i="5"/>
  <c r="BM172" i="5"/>
  <c r="BO172" i="5" s="1"/>
  <c r="BM173" i="5"/>
  <c r="BM174" i="5"/>
  <c r="BM175" i="5"/>
  <c r="BM176" i="5"/>
  <c r="BM177" i="5"/>
  <c r="BM178" i="5"/>
  <c r="BM179" i="5"/>
  <c r="BM180" i="5"/>
  <c r="BM181" i="5"/>
  <c r="BM182" i="5"/>
  <c r="BM183" i="5"/>
  <c r="BM184" i="5"/>
  <c r="BM185" i="5"/>
  <c r="BM186" i="5"/>
  <c r="BM187" i="5"/>
  <c r="BM188" i="5"/>
  <c r="BM189" i="5"/>
  <c r="BM190" i="5"/>
  <c r="BM191" i="5"/>
  <c r="BM192" i="5"/>
  <c r="BM193" i="5"/>
  <c r="BM194" i="5"/>
  <c r="BM195" i="5"/>
  <c r="BM196" i="5"/>
  <c r="BM197" i="5"/>
  <c r="BM198" i="5"/>
  <c r="BM199" i="5"/>
  <c r="BM200" i="5"/>
  <c r="BO200" i="5" s="1"/>
  <c r="BM201" i="5"/>
  <c r="BM202" i="5"/>
  <c r="BM203" i="5"/>
  <c r="BM204" i="5"/>
  <c r="BM205" i="5"/>
  <c r="BM206" i="5"/>
  <c r="BM207" i="5"/>
  <c r="BM208" i="5"/>
  <c r="BM209" i="5"/>
  <c r="BM210" i="5"/>
  <c r="BM211" i="5"/>
  <c r="BM212" i="5"/>
  <c r="BM213" i="5"/>
  <c r="BM214" i="5"/>
  <c r="BM215" i="5"/>
  <c r="BM216" i="5"/>
  <c r="BM217" i="5"/>
  <c r="BM218" i="5"/>
  <c r="BM219" i="5"/>
  <c r="BM220" i="5"/>
  <c r="BM221" i="5"/>
  <c r="BM222" i="5"/>
  <c r="BM223" i="5"/>
  <c r="BM224" i="5"/>
  <c r="BM225" i="5"/>
  <c r="BM226" i="5"/>
  <c r="BM227" i="5"/>
  <c r="BO227" i="5" s="1"/>
  <c r="BM228" i="5"/>
  <c r="BM229" i="5"/>
  <c r="BM230" i="5"/>
  <c r="BM231" i="5"/>
  <c r="BM232" i="5"/>
  <c r="BM233" i="5"/>
  <c r="BM234" i="5"/>
  <c r="BM235" i="5"/>
  <c r="BM236" i="5"/>
  <c r="BM237" i="5"/>
  <c r="BM238" i="5"/>
  <c r="BM239" i="5"/>
  <c r="BM240" i="5"/>
  <c r="BM241" i="5"/>
  <c r="BM242" i="5"/>
  <c r="BM243" i="5"/>
  <c r="BM244" i="5"/>
  <c r="BM245" i="5"/>
  <c r="BM246" i="5"/>
  <c r="BM247" i="5"/>
  <c r="BM248" i="5"/>
  <c r="BM249" i="5"/>
  <c r="BM250" i="5"/>
  <c r="BM251" i="5"/>
  <c r="BM252" i="5"/>
  <c r="BM253" i="5"/>
  <c r="BM254" i="5"/>
  <c r="BM255" i="5"/>
  <c r="BN255" i="5" s="1"/>
  <c r="BM256" i="5"/>
  <c r="BM257" i="5"/>
  <c r="BM258" i="5"/>
  <c r="BM259" i="5"/>
  <c r="BM260" i="5"/>
  <c r="BM261" i="5"/>
  <c r="BM262" i="5"/>
  <c r="BM263" i="5"/>
  <c r="BM264" i="5"/>
  <c r="BM265" i="5"/>
  <c r="BM266" i="5"/>
  <c r="BM267" i="5"/>
  <c r="BM268" i="5"/>
  <c r="BM269" i="5"/>
  <c r="BM270" i="5"/>
  <c r="BM271" i="5"/>
  <c r="BM272" i="5"/>
  <c r="BM273" i="5"/>
  <c r="BM274" i="5"/>
  <c r="BM275" i="5"/>
  <c r="BM276" i="5"/>
  <c r="BM277" i="5"/>
  <c r="BM278" i="5"/>
  <c r="BM279" i="5"/>
  <c r="BM280" i="5"/>
  <c r="BM281" i="5"/>
  <c r="BM282" i="5"/>
  <c r="BM283" i="5"/>
  <c r="BM284" i="5"/>
  <c r="BM285" i="5"/>
  <c r="BM286" i="5"/>
  <c r="BM287" i="5"/>
  <c r="BM288" i="5"/>
  <c r="BM289" i="5"/>
  <c r="BM290" i="5"/>
  <c r="BM291" i="5"/>
  <c r="BM292" i="5"/>
  <c r="BM293" i="5"/>
  <c r="BM294" i="5"/>
  <c r="BM295" i="5"/>
  <c r="BM296" i="5"/>
  <c r="BM297" i="5"/>
  <c r="BM298" i="5"/>
  <c r="BM299" i="5"/>
  <c r="BM300" i="5"/>
  <c r="BM301" i="5"/>
  <c r="BM302" i="5"/>
  <c r="BM303" i="5"/>
  <c r="BM304" i="5"/>
  <c r="BM305" i="5"/>
  <c r="BM306" i="5"/>
  <c r="BM307" i="5"/>
  <c r="BM308" i="5"/>
  <c r="BM309" i="5"/>
  <c r="BO309" i="5" s="1"/>
  <c r="BM310" i="5"/>
  <c r="BM311" i="5"/>
  <c r="BM312" i="5"/>
  <c r="BM313" i="5"/>
  <c r="BM314" i="5"/>
  <c r="BM315" i="5"/>
  <c r="BM316" i="5"/>
  <c r="BM317" i="5"/>
  <c r="BM318" i="5"/>
  <c r="BM319" i="5"/>
  <c r="BM320" i="5"/>
  <c r="BM321" i="5"/>
  <c r="BM322" i="5"/>
  <c r="BO322" i="5" s="1"/>
  <c r="BM323" i="5"/>
  <c r="BM324" i="5"/>
  <c r="BM325" i="5"/>
  <c r="BM326" i="5"/>
  <c r="BM327" i="5"/>
  <c r="BM328" i="5"/>
  <c r="BM329" i="5"/>
  <c r="BM330" i="5"/>
  <c r="BM331" i="5"/>
  <c r="BM332" i="5"/>
  <c r="BM333" i="5"/>
  <c r="BM334" i="5"/>
  <c r="BM335" i="5"/>
  <c r="BM336" i="5"/>
  <c r="BM337" i="5"/>
  <c r="BM338" i="5"/>
  <c r="BM339" i="5"/>
  <c r="BM340" i="5"/>
  <c r="BN340" i="5" s="1"/>
  <c r="BM341" i="5"/>
  <c r="BM342" i="5"/>
  <c r="BM343" i="5"/>
  <c r="BM344" i="5"/>
  <c r="BM345" i="5"/>
  <c r="BM346" i="5"/>
  <c r="BM347" i="5"/>
  <c r="BM348" i="5"/>
  <c r="BM349" i="5"/>
  <c r="BM350" i="5"/>
  <c r="BM351" i="5"/>
  <c r="BM352" i="5"/>
  <c r="BM353" i="5"/>
  <c r="BM354" i="5"/>
  <c r="BM355" i="5"/>
  <c r="BM356" i="5"/>
  <c r="BM357" i="5"/>
  <c r="BO357" i="5" s="1"/>
  <c r="BM358" i="5"/>
  <c r="BM359" i="5"/>
  <c r="BM360" i="5"/>
  <c r="BM361" i="5"/>
  <c r="BO361" i="5" s="1"/>
  <c r="BM362" i="5"/>
  <c r="BM363" i="5"/>
  <c r="BM364" i="5"/>
  <c r="BM365" i="5"/>
  <c r="BM366" i="5"/>
  <c r="BM367" i="5"/>
  <c r="BM368" i="5"/>
  <c r="BM369" i="5"/>
  <c r="BM370" i="5"/>
  <c r="BM371" i="5"/>
  <c r="BM372" i="5"/>
  <c r="BM373" i="5"/>
  <c r="BM374" i="5"/>
  <c r="BM375" i="5"/>
  <c r="BM376" i="5"/>
  <c r="BM377" i="5"/>
  <c r="BM378" i="5"/>
  <c r="BM379" i="5"/>
  <c r="BM380" i="5"/>
  <c r="BM381" i="5"/>
  <c r="BM382" i="5"/>
  <c r="BO382" i="5" s="1"/>
  <c r="BM383" i="5"/>
  <c r="BM4" i="5"/>
  <c r="BL383" i="5"/>
  <c r="BK383" i="5"/>
  <c r="BJ383" i="5"/>
  <c r="BI383" i="5"/>
  <c r="BH383" i="5"/>
  <c r="BG383" i="5"/>
  <c r="BF383" i="5"/>
  <c r="BE383" i="5"/>
  <c r="BD383" i="5"/>
  <c r="BC383" i="5"/>
  <c r="BB383" i="5"/>
  <c r="BA383" i="5"/>
  <c r="AZ383" i="5"/>
  <c r="AY383" i="5"/>
  <c r="AX383" i="5"/>
  <c r="AW383" i="5"/>
  <c r="AV383" i="5"/>
  <c r="AU383" i="5"/>
  <c r="AT383" i="5"/>
  <c r="AS383" i="5"/>
  <c r="AR383" i="5"/>
  <c r="BN382" i="5"/>
  <c r="BL382" i="5"/>
  <c r="BK382" i="5"/>
  <c r="BJ382" i="5"/>
  <c r="BI382" i="5"/>
  <c r="BH382" i="5"/>
  <c r="BG382" i="5"/>
  <c r="BF382" i="5"/>
  <c r="BE382" i="5"/>
  <c r="BD382" i="5"/>
  <c r="BC382" i="5"/>
  <c r="BB382" i="5"/>
  <c r="BA382" i="5"/>
  <c r="AZ382" i="5"/>
  <c r="AY382" i="5"/>
  <c r="AX382" i="5"/>
  <c r="AW382" i="5"/>
  <c r="AV382" i="5"/>
  <c r="AU382" i="5"/>
  <c r="AT382" i="5"/>
  <c r="AS382" i="5"/>
  <c r="AR382" i="5"/>
  <c r="BL381" i="5"/>
  <c r="BK381" i="5"/>
  <c r="BJ381" i="5"/>
  <c r="BI381" i="5"/>
  <c r="BH381" i="5"/>
  <c r="BG381" i="5"/>
  <c r="BF381" i="5"/>
  <c r="BE381" i="5"/>
  <c r="BD381" i="5"/>
  <c r="BC381" i="5"/>
  <c r="BB381" i="5"/>
  <c r="BA381" i="5"/>
  <c r="AZ381" i="5"/>
  <c r="AY381" i="5"/>
  <c r="AX381" i="5"/>
  <c r="AW381" i="5"/>
  <c r="AV381" i="5"/>
  <c r="AU381" i="5"/>
  <c r="AT381" i="5"/>
  <c r="AS381" i="5"/>
  <c r="AR381" i="5"/>
  <c r="BL380" i="5"/>
  <c r="BK380" i="5"/>
  <c r="BJ380" i="5"/>
  <c r="BI380" i="5"/>
  <c r="BH380" i="5"/>
  <c r="BG380" i="5"/>
  <c r="BF380" i="5"/>
  <c r="BE380" i="5"/>
  <c r="BD380" i="5"/>
  <c r="BC380" i="5"/>
  <c r="BB380" i="5"/>
  <c r="BA380" i="5"/>
  <c r="AZ380" i="5"/>
  <c r="AY380" i="5"/>
  <c r="AX380" i="5"/>
  <c r="AW380" i="5"/>
  <c r="AV380" i="5"/>
  <c r="AU380" i="5"/>
  <c r="AT380" i="5"/>
  <c r="AS380" i="5"/>
  <c r="AR380" i="5"/>
  <c r="BL379" i="5"/>
  <c r="BK379" i="5"/>
  <c r="BJ379" i="5"/>
  <c r="BI379" i="5"/>
  <c r="BH379" i="5"/>
  <c r="BG379" i="5"/>
  <c r="BF379" i="5"/>
  <c r="BE379" i="5"/>
  <c r="BD379" i="5"/>
  <c r="BC379" i="5"/>
  <c r="BB379" i="5"/>
  <c r="BA379" i="5"/>
  <c r="AZ379" i="5"/>
  <c r="AY379" i="5"/>
  <c r="AX379" i="5"/>
  <c r="AW379" i="5"/>
  <c r="AV379" i="5"/>
  <c r="AU379" i="5"/>
  <c r="AT379" i="5"/>
  <c r="AS379" i="5"/>
  <c r="AR379" i="5"/>
  <c r="BL378" i="5"/>
  <c r="BK378" i="5"/>
  <c r="BJ378" i="5"/>
  <c r="BI378" i="5"/>
  <c r="BH378" i="5"/>
  <c r="BG378" i="5"/>
  <c r="BF378" i="5"/>
  <c r="BE378" i="5"/>
  <c r="BD378" i="5"/>
  <c r="BC378" i="5"/>
  <c r="BB378" i="5"/>
  <c r="BA378" i="5"/>
  <c r="AZ378" i="5"/>
  <c r="AY378" i="5"/>
  <c r="AX378" i="5"/>
  <c r="AW378" i="5"/>
  <c r="AV378" i="5"/>
  <c r="AU378" i="5"/>
  <c r="AT378" i="5"/>
  <c r="AS378" i="5"/>
  <c r="AR378" i="5"/>
  <c r="BL377" i="5"/>
  <c r="BK377" i="5"/>
  <c r="BJ377" i="5"/>
  <c r="BI377" i="5"/>
  <c r="BH377" i="5"/>
  <c r="BG377" i="5"/>
  <c r="BF377" i="5"/>
  <c r="BE377" i="5"/>
  <c r="BD377" i="5"/>
  <c r="BC377" i="5"/>
  <c r="BB377" i="5"/>
  <c r="BA377" i="5"/>
  <c r="AZ377" i="5"/>
  <c r="AY377" i="5"/>
  <c r="AX377" i="5"/>
  <c r="AW377" i="5"/>
  <c r="AV377" i="5"/>
  <c r="AU377" i="5"/>
  <c r="AT377" i="5"/>
  <c r="AS377" i="5"/>
  <c r="AR377" i="5"/>
  <c r="BL376" i="5"/>
  <c r="BK376" i="5"/>
  <c r="BJ376" i="5"/>
  <c r="BI376" i="5"/>
  <c r="BH376" i="5"/>
  <c r="BG376" i="5"/>
  <c r="BF376" i="5"/>
  <c r="BE376" i="5"/>
  <c r="BD376" i="5"/>
  <c r="BC376" i="5"/>
  <c r="BB376" i="5"/>
  <c r="BA376" i="5"/>
  <c r="AZ376" i="5"/>
  <c r="AY376" i="5"/>
  <c r="AX376" i="5"/>
  <c r="AW376" i="5"/>
  <c r="AV376" i="5"/>
  <c r="AU376" i="5"/>
  <c r="AT376" i="5"/>
  <c r="AS376" i="5"/>
  <c r="AR376" i="5"/>
  <c r="BL375" i="5"/>
  <c r="BK375" i="5"/>
  <c r="BJ375" i="5"/>
  <c r="BI375" i="5"/>
  <c r="BH375" i="5"/>
  <c r="BG375" i="5"/>
  <c r="BF375" i="5"/>
  <c r="BE375" i="5"/>
  <c r="BD375" i="5"/>
  <c r="BC375" i="5"/>
  <c r="BB375" i="5"/>
  <c r="BA375" i="5"/>
  <c r="AZ375" i="5"/>
  <c r="AY375" i="5"/>
  <c r="AX375" i="5"/>
  <c r="AW375" i="5"/>
  <c r="AV375" i="5"/>
  <c r="AU375" i="5"/>
  <c r="AT375" i="5"/>
  <c r="AS375" i="5"/>
  <c r="AR375" i="5"/>
  <c r="BL374" i="5"/>
  <c r="BK374" i="5"/>
  <c r="BJ374" i="5"/>
  <c r="BI374" i="5"/>
  <c r="BH374" i="5"/>
  <c r="BG374" i="5"/>
  <c r="BF374" i="5"/>
  <c r="BE374" i="5"/>
  <c r="BD374" i="5"/>
  <c r="BC374" i="5"/>
  <c r="BB374" i="5"/>
  <c r="BA374" i="5"/>
  <c r="AZ374" i="5"/>
  <c r="AY374" i="5"/>
  <c r="AX374" i="5"/>
  <c r="AW374" i="5"/>
  <c r="AV374" i="5"/>
  <c r="AU374" i="5"/>
  <c r="AT374" i="5"/>
  <c r="AS374" i="5"/>
  <c r="AR374" i="5"/>
  <c r="BL373" i="5"/>
  <c r="BK373" i="5"/>
  <c r="BJ373" i="5"/>
  <c r="BI373" i="5"/>
  <c r="BH373" i="5"/>
  <c r="BG373" i="5"/>
  <c r="BF373" i="5"/>
  <c r="BE373" i="5"/>
  <c r="BD373" i="5"/>
  <c r="BC373" i="5"/>
  <c r="BB373" i="5"/>
  <c r="BA373" i="5"/>
  <c r="AZ373" i="5"/>
  <c r="AY373" i="5"/>
  <c r="AX373" i="5"/>
  <c r="AW373" i="5"/>
  <c r="AV373" i="5"/>
  <c r="AU373" i="5"/>
  <c r="AT373" i="5"/>
  <c r="AS373" i="5"/>
  <c r="AR373" i="5"/>
  <c r="BL372" i="5"/>
  <c r="BK372" i="5"/>
  <c r="BJ372" i="5"/>
  <c r="BI372" i="5"/>
  <c r="BH372" i="5"/>
  <c r="BG372" i="5"/>
  <c r="BF372" i="5"/>
  <c r="BE372" i="5"/>
  <c r="BD372" i="5"/>
  <c r="BC372" i="5"/>
  <c r="BB372" i="5"/>
  <c r="BA372" i="5"/>
  <c r="AZ372" i="5"/>
  <c r="AY372" i="5"/>
  <c r="AX372" i="5"/>
  <c r="AW372" i="5"/>
  <c r="AV372" i="5"/>
  <c r="AU372" i="5"/>
  <c r="AT372" i="5"/>
  <c r="AS372" i="5"/>
  <c r="AR372" i="5"/>
  <c r="BL371" i="5"/>
  <c r="BK371" i="5"/>
  <c r="BJ371" i="5"/>
  <c r="BI371" i="5"/>
  <c r="BH371" i="5"/>
  <c r="BG371" i="5"/>
  <c r="BF371" i="5"/>
  <c r="BE371" i="5"/>
  <c r="BD371" i="5"/>
  <c r="BC371" i="5"/>
  <c r="BB371" i="5"/>
  <c r="BA371" i="5"/>
  <c r="AZ371" i="5"/>
  <c r="AY371" i="5"/>
  <c r="AX371" i="5"/>
  <c r="AW371" i="5"/>
  <c r="AV371" i="5"/>
  <c r="AU371" i="5"/>
  <c r="AT371" i="5"/>
  <c r="AS371" i="5"/>
  <c r="AR371" i="5"/>
  <c r="BL370" i="5"/>
  <c r="BK370" i="5"/>
  <c r="BJ370" i="5"/>
  <c r="BI370" i="5"/>
  <c r="BH370" i="5"/>
  <c r="BG370" i="5"/>
  <c r="BF370" i="5"/>
  <c r="BE370" i="5"/>
  <c r="BD370" i="5"/>
  <c r="BC370" i="5"/>
  <c r="BB370" i="5"/>
  <c r="BA370" i="5"/>
  <c r="AZ370" i="5"/>
  <c r="AY370" i="5"/>
  <c r="AX370" i="5"/>
  <c r="AW370" i="5"/>
  <c r="AV370" i="5"/>
  <c r="AU370" i="5"/>
  <c r="AT370" i="5"/>
  <c r="AS370" i="5"/>
  <c r="AR370" i="5"/>
  <c r="BL369" i="5"/>
  <c r="BK369" i="5"/>
  <c r="BJ369" i="5"/>
  <c r="BI369" i="5"/>
  <c r="BH369" i="5"/>
  <c r="BG369" i="5"/>
  <c r="BF369" i="5"/>
  <c r="BE369" i="5"/>
  <c r="BD369" i="5"/>
  <c r="BC369" i="5"/>
  <c r="BB369" i="5"/>
  <c r="BA369" i="5"/>
  <c r="AZ369" i="5"/>
  <c r="AY369" i="5"/>
  <c r="AX369" i="5"/>
  <c r="AW369" i="5"/>
  <c r="AV369" i="5"/>
  <c r="AU369" i="5"/>
  <c r="AT369" i="5"/>
  <c r="AS369" i="5"/>
  <c r="AR369" i="5"/>
  <c r="BL368" i="5"/>
  <c r="BK368" i="5"/>
  <c r="BJ368" i="5"/>
  <c r="BI368" i="5"/>
  <c r="BH368" i="5"/>
  <c r="BG368" i="5"/>
  <c r="BF368" i="5"/>
  <c r="BE368" i="5"/>
  <c r="BD368" i="5"/>
  <c r="BC368" i="5"/>
  <c r="BB368" i="5"/>
  <c r="BA368" i="5"/>
  <c r="AZ368" i="5"/>
  <c r="AY368" i="5"/>
  <c r="AX368" i="5"/>
  <c r="AW368" i="5"/>
  <c r="AV368" i="5"/>
  <c r="AU368" i="5"/>
  <c r="AT368" i="5"/>
  <c r="AS368" i="5"/>
  <c r="AR368" i="5"/>
  <c r="BL367" i="5"/>
  <c r="BK367" i="5"/>
  <c r="BJ367" i="5"/>
  <c r="BI367" i="5"/>
  <c r="BH367" i="5"/>
  <c r="BG367" i="5"/>
  <c r="BF367" i="5"/>
  <c r="BE367" i="5"/>
  <c r="BD367" i="5"/>
  <c r="BC367" i="5"/>
  <c r="BB367" i="5"/>
  <c r="BA367" i="5"/>
  <c r="AZ367" i="5"/>
  <c r="AY367" i="5"/>
  <c r="AX367" i="5"/>
  <c r="AW367" i="5"/>
  <c r="AV367" i="5"/>
  <c r="AU367" i="5"/>
  <c r="AT367" i="5"/>
  <c r="AS367" i="5"/>
  <c r="AR367" i="5"/>
  <c r="BL366" i="5"/>
  <c r="BK366" i="5"/>
  <c r="BJ366" i="5"/>
  <c r="BI366" i="5"/>
  <c r="BH366" i="5"/>
  <c r="BG366" i="5"/>
  <c r="BF366" i="5"/>
  <c r="BE366" i="5"/>
  <c r="BD366" i="5"/>
  <c r="BC366" i="5"/>
  <c r="BB366" i="5"/>
  <c r="BA366" i="5"/>
  <c r="AZ366" i="5"/>
  <c r="AY366" i="5"/>
  <c r="AX366" i="5"/>
  <c r="AW366" i="5"/>
  <c r="AV366" i="5"/>
  <c r="AU366" i="5"/>
  <c r="AT366" i="5"/>
  <c r="AS366" i="5"/>
  <c r="AR366" i="5"/>
  <c r="BL365" i="5"/>
  <c r="BK365" i="5"/>
  <c r="BJ365" i="5"/>
  <c r="BI365" i="5"/>
  <c r="BH365" i="5"/>
  <c r="BG365" i="5"/>
  <c r="BF365" i="5"/>
  <c r="BE365" i="5"/>
  <c r="BD365" i="5"/>
  <c r="BC365" i="5"/>
  <c r="BB365" i="5"/>
  <c r="BA365" i="5"/>
  <c r="AZ365" i="5"/>
  <c r="AY365" i="5"/>
  <c r="AX365" i="5"/>
  <c r="AW365" i="5"/>
  <c r="AV365" i="5"/>
  <c r="AU365" i="5"/>
  <c r="AT365" i="5"/>
  <c r="AS365" i="5"/>
  <c r="AR365" i="5"/>
  <c r="BL364" i="5"/>
  <c r="BK364" i="5"/>
  <c r="BJ364" i="5"/>
  <c r="BI364" i="5"/>
  <c r="BH364" i="5"/>
  <c r="BG364" i="5"/>
  <c r="BF364" i="5"/>
  <c r="BE364" i="5"/>
  <c r="BD364" i="5"/>
  <c r="BC364" i="5"/>
  <c r="BB364" i="5"/>
  <c r="BA364" i="5"/>
  <c r="AZ364" i="5"/>
  <c r="AY364" i="5"/>
  <c r="AX364" i="5"/>
  <c r="AW364" i="5"/>
  <c r="AV364" i="5"/>
  <c r="AU364" i="5"/>
  <c r="AT364" i="5"/>
  <c r="AS364" i="5"/>
  <c r="AR364" i="5"/>
  <c r="BL363" i="5"/>
  <c r="BK363" i="5"/>
  <c r="BJ363" i="5"/>
  <c r="BI363" i="5"/>
  <c r="BH363" i="5"/>
  <c r="BG363" i="5"/>
  <c r="BF363" i="5"/>
  <c r="BE363" i="5"/>
  <c r="BD363" i="5"/>
  <c r="BC363" i="5"/>
  <c r="BB363" i="5"/>
  <c r="BA363" i="5"/>
  <c r="AZ363" i="5"/>
  <c r="AY363" i="5"/>
  <c r="AX363" i="5"/>
  <c r="AW363" i="5"/>
  <c r="AV363" i="5"/>
  <c r="AU363" i="5"/>
  <c r="AT363" i="5"/>
  <c r="AS363" i="5"/>
  <c r="AR363" i="5"/>
  <c r="BL362" i="5"/>
  <c r="BK362" i="5"/>
  <c r="BJ362" i="5"/>
  <c r="BI362" i="5"/>
  <c r="BH362" i="5"/>
  <c r="BG362" i="5"/>
  <c r="BF362" i="5"/>
  <c r="BE362" i="5"/>
  <c r="BD362" i="5"/>
  <c r="BC362" i="5"/>
  <c r="BB362" i="5"/>
  <c r="BA362" i="5"/>
  <c r="AZ362" i="5"/>
  <c r="AY362" i="5"/>
  <c r="AX362" i="5"/>
  <c r="AW362" i="5"/>
  <c r="AV362" i="5"/>
  <c r="AU362" i="5"/>
  <c r="AT362" i="5"/>
  <c r="AS362" i="5"/>
  <c r="AR362" i="5"/>
  <c r="BL361" i="5"/>
  <c r="BK361" i="5"/>
  <c r="BJ361" i="5"/>
  <c r="BI361" i="5"/>
  <c r="BH361" i="5"/>
  <c r="BG361" i="5"/>
  <c r="BF361" i="5"/>
  <c r="BE361" i="5"/>
  <c r="BD361" i="5"/>
  <c r="BC361" i="5"/>
  <c r="BB361" i="5"/>
  <c r="BA361" i="5"/>
  <c r="AZ361" i="5"/>
  <c r="AY361" i="5"/>
  <c r="AX361" i="5"/>
  <c r="AW361" i="5"/>
  <c r="AV361" i="5"/>
  <c r="AU361" i="5"/>
  <c r="AT361" i="5"/>
  <c r="AS361" i="5"/>
  <c r="AR361" i="5"/>
  <c r="BL360" i="5"/>
  <c r="BK360" i="5"/>
  <c r="BJ360" i="5"/>
  <c r="BI360" i="5"/>
  <c r="BH360" i="5"/>
  <c r="BG360" i="5"/>
  <c r="BF360" i="5"/>
  <c r="BE360" i="5"/>
  <c r="BD360" i="5"/>
  <c r="BC360" i="5"/>
  <c r="BB360" i="5"/>
  <c r="BA360" i="5"/>
  <c r="AZ360" i="5"/>
  <c r="AY360" i="5"/>
  <c r="AX360" i="5"/>
  <c r="AW360" i="5"/>
  <c r="AV360" i="5"/>
  <c r="AU360" i="5"/>
  <c r="AT360" i="5"/>
  <c r="AS360" i="5"/>
  <c r="AR360" i="5"/>
  <c r="BL359" i="5"/>
  <c r="BK359" i="5"/>
  <c r="BJ359" i="5"/>
  <c r="BI359" i="5"/>
  <c r="BH359" i="5"/>
  <c r="BG359" i="5"/>
  <c r="BF359" i="5"/>
  <c r="BE359" i="5"/>
  <c r="BD359" i="5"/>
  <c r="BC359" i="5"/>
  <c r="BB359" i="5"/>
  <c r="BA359" i="5"/>
  <c r="AZ359" i="5"/>
  <c r="AY359" i="5"/>
  <c r="AX359" i="5"/>
  <c r="AW359" i="5"/>
  <c r="AV359" i="5"/>
  <c r="AU359" i="5"/>
  <c r="AT359" i="5"/>
  <c r="AS359" i="5"/>
  <c r="AR359" i="5"/>
  <c r="BL358" i="5"/>
  <c r="BK358" i="5"/>
  <c r="BJ358" i="5"/>
  <c r="BI358" i="5"/>
  <c r="BH358" i="5"/>
  <c r="BG358" i="5"/>
  <c r="BF358" i="5"/>
  <c r="BE358" i="5"/>
  <c r="BD358" i="5"/>
  <c r="BC358" i="5"/>
  <c r="BB358" i="5"/>
  <c r="BA358" i="5"/>
  <c r="AZ358" i="5"/>
  <c r="AY358" i="5"/>
  <c r="AX358" i="5"/>
  <c r="AW358" i="5"/>
  <c r="AV358" i="5"/>
  <c r="AU358" i="5"/>
  <c r="AT358" i="5"/>
  <c r="AS358" i="5"/>
  <c r="AR358" i="5"/>
  <c r="BL357" i="5"/>
  <c r="BK357" i="5"/>
  <c r="BJ357" i="5"/>
  <c r="BI357" i="5"/>
  <c r="BH357" i="5"/>
  <c r="BG357" i="5"/>
  <c r="BF357" i="5"/>
  <c r="BE357" i="5"/>
  <c r="BD357" i="5"/>
  <c r="BC357" i="5"/>
  <c r="BB357" i="5"/>
  <c r="BA357" i="5"/>
  <c r="AZ357" i="5"/>
  <c r="AY357" i="5"/>
  <c r="AX357" i="5"/>
  <c r="AW357" i="5"/>
  <c r="AV357" i="5"/>
  <c r="AU357" i="5"/>
  <c r="AT357" i="5"/>
  <c r="AS357" i="5"/>
  <c r="AR357" i="5"/>
  <c r="BL356" i="5"/>
  <c r="BK356" i="5"/>
  <c r="BJ356" i="5"/>
  <c r="BI356" i="5"/>
  <c r="BH356" i="5"/>
  <c r="BG356" i="5"/>
  <c r="BF356" i="5"/>
  <c r="BE356" i="5"/>
  <c r="BD356" i="5"/>
  <c r="BC356" i="5"/>
  <c r="BB356" i="5"/>
  <c r="BA356" i="5"/>
  <c r="AZ356" i="5"/>
  <c r="AY356" i="5"/>
  <c r="AX356" i="5"/>
  <c r="AW356" i="5"/>
  <c r="AV356" i="5"/>
  <c r="AU356" i="5"/>
  <c r="AT356" i="5"/>
  <c r="AS356" i="5"/>
  <c r="AR356" i="5"/>
  <c r="BL355" i="5"/>
  <c r="BK355" i="5"/>
  <c r="BJ355" i="5"/>
  <c r="BI355" i="5"/>
  <c r="BH355" i="5"/>
  <c r="BG355" i="5"/>
  <c r="BF355" i="5"/>
  <c r="BE355" i="5"/>
  <c r="BD355" i="5"/>
  <c r="BC355" i="5"/>
  <c r="BB355" i="5"/>
  <c r="BA355" i="5"/>
  <c r="AZ355" i="5"/>
  <c r="AY355" i="5"/>
  <c r="AX355" i="5"/>
  <c r="AW355" i="5"/>
  <c r="AV355" i="5"/>
  <c r="AU355" i="5"/>
  <c r="AT355" i="5"/>
  <c r="AS355" i="5"/>
  <c r="AR355" i="5"/>
  <c r="BL354" i="5"/>
  <c r="BK354" i="5"/>
  <c r="BJ354" i="5"/>
  <c r="BI354" i="5"/>
  <c r="BH354" i="5"/>
  <c r="BG354" i="5"/>
  <c r="BF354" i="5"/>
  <c r="BE354" i="5"/>
  <c r="BD354" i="5"/>
  <c r="BC354" i="5"/>
  <c r="BB354" i="5"/>
  <c r="BA354" i="5"/>
  <c r="AZ354" i="5"/>
  <c r="AY354" i="5"/>
  <c r="AX354" i="5"/>
  <c r="AW354" i="5"/>
  <c r="AV354" i="5"/>
  <c r="AU354" i="5"/>
  <c r="AT354" i="5"/>
  <c r="AS354" i="5"/>
  <c r="AR354" i="5"/>
  <c r="BL353" i="5"/>
  <c r="BK353" i="5"/>
  <c r="BJ353" i="5"/>
  <c r="BI353" i="5"/>
  <c r="BH353" i="5"/>
  <c r="BG353" i="5"/>
  <c r="BF353" i="5"/>
  <c r="BE353" i="5"/>
  <c r="BD353" i="5"/>
  <c r="BC353" i="5"/>
  <c r="BB353" i="5"/>
  <c r="BA353" i="5"/>
  <c r="AZ353" i="5"/>
  <c r="AY353" i="5"/>
  <c r="AX353" i="5"/>
  <c r="AW353" i="5"/>
  <c r="AV353" i="5"/>
  <c r="AU353" i="5"/>
  <c r="AT353" i="5"/>
  <c r="AS353" i="5"/>
  <c r="AR353" i="5"/>
  <c r="BL352" i="5"/>
  <c r="BK352" i="5"/>
  <c r="BJ352" i="5"/>
  <c r="BI352" i="5"/>
  <c r="BH352" i="5"/>
  <c r="BG352" i="5"/>
  <c r="BF352" i="5"/>
  <c r="BE352" i="5"/>
  <c r="BD352" i="5"/>
  <c r="BC352" i="5"/>
  <c r="BB352" i="5"/>
  <c r="BA352" i="5"/>
  <c r="AZ352" i="5"/>
  <c r="AY352" i="5"/>
  <c r="AX352" i="5"/>
  <c r="AW352" i="5"/>
  <c r="AV352" i="5"/>
  <c r="AU352" i="5"/>
  <c r="AT352" i="5"/>
  <c r="AS352" i="5"/>
  <c r="AR352" i="5"/>
  <c r="BL351" i="5"/>
  <c r="BK351" i="5"/>
  <c r="BJ351" i="5"/>
  <c r="BI351" i="5"/>
  <c r="BH351" i="5"/>
  <c r="BG351" i="5"/>
  <c r="BF351" i="5"/>
  <c r="BE351" i="5"/>
  <c r="BD351" i="5"/>
  <c r="BC351" i="5"/>
  <c r="BB351" i="5"/>
  <c r="BA351" i="5"/>
  <c r="AZ351" i="5"/>
  <c r="AY351" i="5"/>
  <c r="AX351" i="5"/>
  <c r="AW351" i="5"/>
  <c r="AV351" i="5"/>
  <c r="AU351" i="5"/>
  <c r="AT351" i="5"/>
  <c r="AS351" i="5"/>
  <c r="AR351" i="5"/>
  <c r="BL350" i="5"/>
  <c r="BK350" i="5"/>
  <c r="BJ350" i="5"/>
  <c r="BI350" i="5"/>
  <c r="BH350" i="5"/>
  <c r="BG350" i="5"/>
  <c r="BF350" i="5"/>
  <c r="BE350" i="5"/>
  <c r="BD350" i="5"/>
  <c r="BC350" i="5"/>
  <c r="BB350" i="5"/>
  <c r="BA350" i="5"/>
  <c r="AZ350" i="5"/>
  <c r="AY350" i="5"/>
  <c r="BO350" i="5" s="1"/>
  <c r="AX350" i="5"/>
  <c r="AW350" i="5"/>
  <c r="AV350" i="5"/>
  <c r="AU350" i="5"/>
  <c r="AT350" i="5"/>
  <c r="AS350" i="5"/>
  <c r="AR350" i="5"/>
  <c r="BL349" i="5"/>
  <c r="BK349" i="5"/>
  <c r="BJ349" i="5"/>
  <c r="BI349" i="5"/>
  <c r="BH349" i="5"/>
  <c r="BG349" i="5"/>
  <c r="BF349" i="5"/>
  <c r="BE349" i="5"/>
  <c r="BD349" i="5"/>
  <c r="BC349" i="5"/>
  <c r="BB349" i="5"/>
  <c r="BA349" i="5"/>
  <c r="AZ349" i="5"/>
  <c r="AY349" i="5"/>
  <c r="AX349" i="5"/>
  <c r="AW349" i="5"/>
  <c r="AV349" i="5"/>
  <c r="AU349" i="5"/>
  <c r="AT349" i="5"/>
  <c r="AS349" i="5"/>
  <c r="AR349" i="5"/>
  <c r="BL348" i="5"/>
  <c r="BK348" i="5"/>
  <c r="BJ348" i="5"/>
  <c r="BI348" i="5"/>
  <c r="BH348" i="5"/>
  <c r="BG348" i="5"/>
  <c r="BF348" i="5"/>
  <c r="BE348" i="5"/>
  <c r="BD348" i="5"/>
  <c r="BC348" i="5"/>
  <c r="BB348" i="5"/>
  <c r="BA348" i="5"/>
  <c r="AZ348" i="5"/>
  <c r="AY348" i="5"/>
  <c r="AX348" i="5"/>
  <c r="AW348" i="5"/>
  <c r="AV348" i="5"/>
  <c r="AU348" i="5"/>
  <c r="AT348" i="5"/>
  <c r="AS348" i="5"/>
  <c r="AR348" i="5"/>
  <c r="BL347" i="5"/>
  <c r="BK347" i="5"/>
  <c r="BJ347" i="5"/>
  <c r="BI347" i="5"/>
  <c r="BH347" i="5"/>
  <c r="BG347" i="5"/>
  <c r="BF347" i="5"/>
  <c r="BE347" i="5"/>
  <c r="BD347" i="5"/>
  <c r="BC347" i="5"/>
  <c r="BB347" i="5"/>
  <c r="BA347" i="5"/>
  <c r="AZ347" i="5"/>
  <c r="AY347" i="5"/>
  <c r="AX347" i="5"/>
  <c r="AW347" i="5"/>
  <c r="AV347" i="5"/>
  <c r="AU347" i="5"/>
  <c r="AT347" i="5"/>
  <c r="AS347" i="5"/>
  <c r="AR347" i="5"/>
  <c r="BO346" i="5"/>
  <c r="BL346" i="5"/>
  <c r="BK346" i="5"/>
  <c r="BJ346" i="5"/>
  <c r="BI346" i="5"/>
  <c r="BH346" i="5"/>
  <c r="BG346" i="5"/>
  <c r="BF346" i="5"/>
  <c r="BE346" i="5"/>
  <c r="BD346" i="5"/>
  <c r="BC346" i="5"/>
  <c r="BB346" i="5"/>
  <c r="BA346" i="5"/>
  <c r="AZ346" i="5"/>
  <c r="AY346" i="5"/>
  <c r="AX346" i="5"/>
  <c r="AW346" i="5"/>
  <c r="AV346" i="5"/>
  <c r="AU346" i="5"/>
  <c r="AT346" i="5"/>
  <c r="AS346" i="5"/>
  <c r="AR346" i="5"/>
  <c r="BL345" i="5"/>
  <c r="BK345" i="5"/>
  <c r="BJ345" i="5"/>
  <c r="BI345" i="5"/>
  <c r="BH345" i="5"/>
  <c r="BG345" i="5"/>
  <c r="BF345" i="5"/>
  <c r="BE345" i="5"/>
  <c r="BD345" i="5"/>
  <c r="BC345" i="5"/>
  <c r="BB345" i="5"/>
  <c r="BA345" i="5"/>
  <c r="AZ345" i="5"/>
  <c r="AY345" i="5"/>
  <c r="AX345" i="5"/>
  <c r="AW345" i="5"/>
  <c r="AV345" i="5"/>
  <c r="AU345" i="5"/>
  <c r="AT345" i="5"/>
  <c r="AS345" i="5"/>
  <c r="AR345" i="5"/>
  <c r="BL344" i="5"/>
  <c r="BK344" i="5"/>
  <c r="BJ344" i="5"/>
  <c r="BI344" i="5"/>
  <c r="BH344" i="5"/>
  <c r="BG344" i="5"/>
  <c r="BF344" i="5"/>
  <c r="BE344" i="5"/>
  <c r="BD344" i="5"/>
  <c r="BC344" i="5"/>
  <c r="BB344" i="5"/>
  <c r="BA344" i="5"/>
  <c r="AZ344" i="5"/>
  <c r="AY344" i="5"/>
  <c r="AX344" i="5"/>
  <c r="AW344" i="5"/>
  <c r="AV344" i="5"/>
  <c r="AU344" i="5"/>
  <c r="AT344" i="5"/>
  <c r="AS344" i="5"/>
  <c r="AR344" i="5"/>
  <c r="BL343" i="5"/>
  <c r="BK343" i="5"/>
  <c r="BJ343" i="5"/>
  <c r="BI343" i="5"/>
  <c r="BH343" i="5"/>
  <c r="BG343" i="5"/>
  <c r="BF343" i="5"/>
  <c r="BE343" i="5"/>
  <c r="BD343" i="5"/>
  <c r="BC343" i="5"/>
  <c r="BB343" i="5"/>
  <c r="BA343" i="5"/>
  <c r="AZ343" i="5"/>
  <c r="AY343" i="5"/>
  <c r="AX343" i="5"/>
  <c r="AW343" i="5"/>
  <c r="AV343" i="5"/>
  <c r="AU343" i="5"/>
  <c r="AT343" i="5"/>
  <c r="AS343" i="5"/>
  <c r="AR343" i="5"/>
  <c r="BL342" i="5"/>
  <c r="BK342" i="5"/>
  <c r="BJ342" i="5"/>
  <c r="BI342" i="5"/>
  <c r="BH342" i="5"/>
  <c r="BG342" i="5"/>
  <c r="BF342" i="5"/>
  <c r="BE342" i="5"/>
  <c r="BD342" i="5"/>
  <c r="BC342" i="5"/>
  <c r="BB342" i="5"/>
  <c r="BA342" i="5"/>
  <c r="AZ342" i="5"/>
  <c r="AY342" i="5"/>
  <c r="AX342" i="5"/>
  <c r="AW342" i="5"/>
  <c r="AV342" i="5"/>
  <c r="AU342" i="5"/>
  <c r="AT342" i="5"/>
  <c r="AS342" i="5"/>
  <c r="AR342" i="5"/>
  <c r="BL341" i="5"/>
  <c r="BK341" i="5"/>
  <c r="BJ341" i="5"/>
  <c r="BI341" i="5"/>
  <c r="BH341" i="5"/>
  <c r="BG341" i="5"/>
  <c r="BF341" i="5"/>
  <c r="BE341" i="5"/>
  <c r="BD341" i="5"/>
  <c r="BC341" i="5"/>
  <c r="BB341" i="5"/>
  <c r="BA341" i="5"/>
  <c r="AZ341" i="5"/>
  <c r="AY341" i="5"/>
  <c r="AX341" i="5"/>
  <c r="AW341" i="5"/>
  <c r="AV341" i="5"/>
  <c r="AU341" i="5"/>
  <c r="AT341" i="5"/>
  <c r="AS341" i="5"/>
  <c r="AR341" i="5"/>
  <c r="BL340" i="5"/>
  <c r="BK340" i="5"/>
  <c r="BJ340" i="5"/>
  <c r="BI340" i="5"/>
  <c r="BH340" i="5"/>
  <c r="BG340" i="5"/>
  <c r="BF340" i="5"/>
  <c r="BE340" i="5"/>
  <c r="BD340" i="5"/>
  <c r="BC340" i="5"/>
  <c r="BB340" i="5"/>
  <c r="BA340" i="5"/>
  <c r="AZ340" i="5"/>
  <c r="AY340" i="5"/>
  <c r="AX340" i="5"/>
  <c r="AW340" i="5"/>
  <c r="AV340" i="5"/>
  <c r="AU340" i="5"/>
  <c r="AT340" i="5"/>
  <c r="AS340" i="5"/>
  <c r="AR340" i="5"/>
  <c r="BL339" i="5"/>
  <c r="BK339" i="5"/>
  <c r="BJ339" i="5"/>
  <c r="BI339" i="5"/>
  <c r="BH339" i="5"/>
  <c r="BG339" i="5"/>
  <c r="BF339" i="5"/>
  <c r="BE339" i="5"/>
  <c r="BD339" i="5"/>
  <c r="BC339" i="5"/>
  <c r="BB339" i="5"/>
  <c r="BA339" i="5"/>
  <c r="AZ339" i="5"/>
  <c r="AY339" i="5"/>
  <c r="AX339" i="5"/>
  <c r="AW339" i="5"/>
  <c r="AV339" i="5"/>
  <c r="AU339" i="5"/>
  <c r="AT339" i="5"/>
  <c r="AS339" i="5"/>
  <c r="AR339" i="5"/>
  <c r="BL338" i="5"/>
  <c r="BK338" i="5"/>
  <c r="BJ338" i="5"/>
  <c r="BI338" i="5"/>
  <c r="BH338" i="5"/>
  <c r="BG338" i="5"/>
  <c r="BF338" i="5"/>
  <c r="BE338" i="5"/>
  <c r="BD338" i="5"/>
  <c r="BC338" i="5"/>
  <c r="BB338" i="5"/>
  <c r="BA338" i="5"/>
  <c r="AZ338" i="5"/>
  <c r="AY338" i="5"/>
  <c r="AX338" i="5"/>
  <c r="AW338" i="5"/>
  <c r="AV338" i="5"/>
  <c r="AU338" i="5"/>
  <c r="AT338" i="5"/>
  <c r="AS338" i="5"/>
  <c r="AR338" i="5"/>
  <c r="BL337" i="5"/>
  <c r="BK337" i="5"/>
  <c r="BJ337" i="5"/>
  <c r="BI337" i="5"/>
  <c r="BH337" i="5"/>
  <c r="BG337" i="5"/>
  <c r="BF337" i="5"/>
  <c r="BE337" i="5"/>
  <c r="BD337" i="5"/>
  <c r="BC337" i="5"/>
  <c r="BB337" i="5"/>
  <c r="BA337" i="5"/>
  <c r="AZ337" i="5"/>
  <c r="AY337" i="5"/>
  <c r="AX337" i="5"/>
  <c r="AW337" i="5"/>
  <c r="AV337" i="5"/>
  <c r="AU337" i="5"/>
  <c r="AT337" i="5"/>
  <c r="AS337" i="5"/>
  <c r="AR337" i="5"/>
  <c r="BL336" i="5"/>
  <c r="BK336" i="5"/>
  <c r="BJ336" i="5"/>
  <c r="BI336" i="5"/>
  <c r="BH336" i="5"/>
  <c r="BG336" i="5"/>
  <c r="BF336" i="5"/>
  <c r="BE336" i="5"/>
  <c r="BD336" i="5"/>
  <c r="BC336" i="5"/>
  <c r="BB336" i="5"/>
  <c r="BA336" i="5"/>
  <c r="AZ336" i="5"/>
  <c r="AY336" i="5"/>
  <c r="AX336" i="5"/>
  <c r="AW336" i="5"/>
  <c r="AV336" i="5"/>
  <c r="AU336" i="5"/>
  <c r="AT336" i="5"/>
  <c r="AS336" i="5"/>
  <c r="AR336" i="5"/>
  <c r="BO335" i="5"/>
  <c r="BL335" i="5"/>
  <c r="BK335" i="5"/>
  <c r="BJ335" i="5"/>
  <c r="BI335" i="5"/>
  <c r="BH335" i="5"/>
  <c r="BG335" i="5"/>
  <c r="BF335" i="5"/>
  <c r="BE335" i="5"/>
  <c r="BD335" i="5"/>
  <c r="BC335" i="5"/>
  <c r="BB335" i="5"/>
  <c r="BA335" i="5"/>
  <c r="AZ335" i="5"/>
  <c r="AY335" i="5"/>
  <c r="AX335" i="5"/>
  <c r="AW335" i="5"/>
  <c r="AV335" i="5"/>
  <c r="AU335" i="5"/>
  <c r="AT335" i="5"/>
  <c r="AS335" i="5"/>
  <c r="AR335" i="5"/>
  <c r="BL334" i="5"/>
  <c r="BK334" i="5"/>
  <c r="BJ334" i="5"/>
  <c r="BI334" i="5"/>
  <c r="BH334" i="5"/>
  <c r="BG334" i="5"/>
  <c r="BF334" i="5"/>
  <c r="BE334" i="5"/>
  <c r="BD334" i="5"/>
  <c r="BC334" i="5"/>
  <c r="BB334" i="5"/>
  <c r="BA334" i="5"/>
  <c r="AZ334" i="5"/>
  <c r="AY334" i="5"/>
  <c r="AX334" i="5"/>
  <c r="AW334" i="5"/>
  <c r="AV334" i="5"/>
  <c r="AU334" i="5"/>
  <c r="AT334" i="5"/>
  <c r="AS334" i="5"/>
  <c r="AR334" i="5"/>
  <c r="BL333" i="5"/>
  <c r="BK333" i="5"/>
  <c r="BJ333" i="5"/>
  <c r="BI333" i="5"/>
  <c r="BH333" i="5"/>
  <c r="BG333" i="5"/>
  <c r="BF333" i="5"/>
  <c r="BE333" i="5"/>
  <c r="BD333" i="5"/>
  <c r="BC333" i="5"/>
  <c r="BB333" i="5"/>
  <c r="BA333" i="5"/>
  <c r="AZ333" i="5"/>
  <c r="AY333" i="5"/>
  <c r="AX333" i="5"/>
  <c r="AW333" i="5"/>
  <c r="AV333" i="5"/>
  <c r="AU333" i="5"/>
  <c r="AT333" i="5"/>
  <c r="AS333" i="5"/>
  <c r="AR333" i="5"/>
  <c r="BL332" i="5"/>
  <c r="BK332" i="5"/>
  <c r="BJ332" i="5"/>
  <c r="BI332" i="5"/>
  <c r="BH332" i="5"/>
  <c r="BG332" i="5"/>
  <c r="BF332" i="5"/>
  <c r="BE332" i="5"/>
  <c r="BD332" i="5"/>
  <c r="BC332" i="5"/>
  <c r="BB332" i="5"/>
  <c r="BA332" i="5"/>
  <c r="AZ332" i="5"/>
  <c r="AY332" i="5"/>
  <c r="AX332" i="5"/>
  <c r="AW332" i="5"/>
  <c r="AV332" i="5"/>
  <c r="AU332" i="5"/>
  <c r="AT332" i="5"/>
  <c r="AS332" i="5"/>
  <c r="AR332" i="5"/>
  <c r="BL331" i="5"/>
  <c r="BK331" i="5"/>
  <c r="BJ331" i="5"/>
  <c r="BI331" i="5"/>
  <c r="BH331" i="5"/>
  <c r="BG331" i="5"/>
  <c r="BF331" i="5"/>
  <c r="BE331" i="5"/>
  <c r="BD331" i="5"/>
  <c r="BC331" i="5"/>
  <c r="BB331" i="5"/>
  <c r="BA331" i="5"/>
  <c r="AZ331" i="5"/>
  <c r="AY331" i="5"/>
  <c r="AX331" i="5"/>
  <c r="AW331" i="5"/>
  <c r="AV331" i="5"/>
  <c r="AU331" i="5"/>
  <c r="AT331" i="5"/>
  <c r="AS331" i="5"/>
  <c r="AR331" i="5"/>
  <c r="BL330" i="5"/>
  <c r="BK330" i="5"/>
  <c r="BJ330" i="5"/>
  <c r="BI330" i="5"/>
  <c r="BH330" i="5"/>
  <c r="BG330" i="5"/>
  <c r="BF330" i="5"/>
  <c r="BE330" i="5"/>
  <c r="BD330" i="5"/>
  <c r="BC330" i="5"/>
  <c r="BB330" i="5"/>
  <c r="BA330" i="5"/>
  <c r="AZ330" i="5"/>
  <c r="AY330" i="5"/>
  <c r="AX330" i="5"/>
  <c r="AW330" i="5"/>
  <c r="AV330" i="5"/>
  <c r="AU330" i="5"/>
  <c r="AT330" i="5"/>
  <c r="AS330" i="5"/>
  <c r="AR330" i="5"/>
  <c r="BL329" i="5"/>
  <c r="BK329" i="5"/>
  <c r="BJ329" i="5"/>
  <c r="BI329" i="5"/>
  <c r="BH329" i="5"/>
  <c r="BG329" i="5"/>
  <c r="BF329" i="5"/>
  <c r="BE329" i="5"/>
  <c r="BD329" i="5"/>
  <c r="BC329" i="5"/>
  <c r="BB329" i="5"/>
  <c r="BA329" i="5"/>
  <c r="AZ329" i="5"/>
  <c r="AY329" i="5"/>
  <c r="AX329" i="5"/>
  <c r="AW329" i="5"/>
  <c r="AV329" i="5"/>
  <c r="AU329" i="5"/>
  <c r="AT329" i="5"/>
  <c r="AS329" i="5"/>
  <c r="AR329" i="5"/>
  <c r="BL328" i="5"/>
  <c r="BK328" i="5"/>
  <c r="BJ328" i="5"/>
  <c r="BI328" i="5"/>
  <c r="BH328" i="5"/>
  <c r="BG328" i="5"/>
  <c r="BF328" i="5"/>
  <c r="BE328" i="5"/>
  <c r="BD328" i="5"/>
  <c r="BC328" i="5"/>
  <c r="BB328" i="5"/>
  <c r="BA328" i="5"/>
  <c r="AZ328" i="5"/>
  <c r="AY328" i="5"/>
  <c r="AX328" i="5"/>
  <c r="AW328" i="5"/>
  <c r="AV328" i="5"/>
  <c r="AU328" i="5"/>
  <c r="AT328" i="5"/>
  <c r="AS328" i="5"/>
  <c r="AR328" i="5"/>
  <c r="BL327" i="5"/>
  <c r="BK327" i="5"/>
  <c r="BJ327" i="5"/>
  <c r="BI327" i="5"/>
  <c r="BH327" i="5"/>
  <c r="BG327" i="5"/>
  <c r="BF327" i="5"/>
  <c r="BE327" i="5"/>
  <c r="BD327" i="5"/>
  <c r="BC327" i="5"/>
  <c r="BB327" i="5"/>
  <c r="BA327" i="5"/>
  <c r="AZ327" i="5"/>
  <c r="AY327" i="5"/>
  <c r="AX327" i="5"/>
  <c r="AW327" i="5"/>
  <c r="AV327" i="5"/>
  <c r="AU327" i="5"/>
  <c r="AT327" i="5"/>
  <c r="AS327" i="5"/>
  <c r="AR327" i="5"/>
  <c r="BL326" i="5"/>
  <c r="BK326" i="5"/>
  <c r="BJ326" i="5"/>
  <c r="BI326" i="5"/>
  <c r="BH326" i="5"/>
  <c r="BG326" i="5"/>
  <c r="BF326" i="5"/>
  <c r="BE326" i="5"/>
  <c r="BD326" i="5"/>
  <c r="BC326" i="5"/>
  <c r="BB326" i="5"/>
  <c r="BA326" i="5"/>
  <c r="AZ326" i="5"/>
  <c r="AY326" i="5"/>
  <c r="AX326" i="5"/>
  <c r="AW326" i="5"/>
  <c r="AV326" i="5"/>
  <c r="AU326" i="5"/>
  <c r="AT326" i="5"/>
  <c r="AS326" i="5"/>
  <c r="AR326" i="5"/>
  <c r="BL325" i="5"/>
  <c r="BK325" i="5"/>
  <c r="BJ325" i="5"/>
  <c r="BI325" i="5"/>
  <c r="BH325" i="5"/>
  <c r="BG325" i="5"/>
  <c r="BF325" i="5"/>
  <c r="BE325" i="5"/>
  <c r="BD325" i="5"/>
  <c r="BC325" i="5"/>
  <c r="BB325" i="5"/>
  <c r="BA325" i="5"/>
  <c r="AZ325" i="5"/>
  <c r="AY325" i="5"/>
  <c r="AX325" i="5"/>
  <c r="AW325" i="5"/>
  <c r="AV325" i="5"/>
  <c r="AU325" i="5"/>
  <c r="AT325" i="5"/>
  <c r="AS325" i="5"/>
  <c r="AR325" i="5"/>
  <c r="BL324" i="5"/>
  <c r="BK324" i="5"/>
  <c r="BJ324" i="5"/>
  <c r="BI324" i="5"/>
  <c r="BH324" i="5"/>
  <c r="BG324" i="5"/>
  <c r="BF324" i="5"/>
  <c r="BE324" i="5"/>
  <c r="BD324" i="5"/>
  <c r="BC324" i="5"/>
  <c r="BB324" i="5"/>
  <c r="BA324" i="5"/>
  <c r="AZ324" i="5"/>
  <c r="AY324" i="5"/>
  <c r="AX324" i="5"/>
  <c r="AW324" i="5"/>
  <c r="AV324" i="5"/>
  <c r="AU324" i="5"/>
  <c r="AT324" i="5"/>
  <c r="AS324" i="5"/>
  <c r="AR324" i="5"/>
  <c r="BL323" i="5"/>
  <c r="BK323" i="5"/>
  <c r="BJ323" i="5"/>
  <c r="BI323" i="5"/>
  <c r="BH323" i="5"/>
  <c r="BG323" i="5"/>
  <c r="BF323" i="5"/>
  <c r="BE323" i="5"/>
  <c r="BD323" i="5"/>
  <c r="BC323" i="5"/>
  <c r="BB323" i="5"/>
  <c r="BA323" i="5"/>
  <c r="AZ323" i="5"/>
  <c r="AY323" i="5"/>
  <c r="AX323" i="5"/>
  <c r="AW323" i="5"/>
  <c r="AV323" i="5"/>
  <c r="AU323" i="5"/>
  <c r="AT323" i="5"/>
  <c r="AS323" i="5"/>
  <c r="AR323" i="5"/>
  <c r="BL322" i="5"/>
  <c r="BK322" i="5"/>
  <c r="BJ322" i="5"/>
  <c r="BI322" i="5"/>
  <c r="BH322" i="5"/>
  <c r="BG322" i="5"/>
  <c r="BF322" i="5"/>
  <c r="BE322" i="5"/>
  <c r="BD322" i="5"/>
  <c r="BC322" i="5"/>
  <c r="BB322" i="5"/>
  <c r="BA322" i="5"/>
  <c r="AZ322" i="5"/>
  <c r="AY322" i="5"/>
  <c r="AX322" i="5"/>
  <c r="AW322" i="5"/>
  <c r="AV322" i="5"/>
  <c r="AU322" i="5"/>
  <c r="AT322" i="5"/>
  <c r="AS322" i="5"/>
  <c r="AR322" i="5"/>
  <c r="BL321" i="5"/>
  <c r="BK321" i="5"/>
  <c r="BJ321" i="5"/>
  <c r="BI321" i="5"/>
  <c r="BH321" i="5"/>
  <c r="BG321" i="5"/>
  <c r="BF321" i="5"/>
  <c r="BE321" i="5"/>
  <c r="BD321" i="5"/>
  <c r="BC321" i="5"/>
  <c r="BB321" i="5"/>
  <c r="BA321" i="5"/>
  <c r="AZ321" i="5"/>
  <c r="AY321" i="5"/>
  <c r="AX321" i="5"/>
  <c r="AW321" i="5"/>
  <c r="AV321" i="5"/>
  <c r="AU321" i="5"/>
  <c r="AT321" i="5"/>
  <c r="AS321" i="5"/>
  <c r="AR321" i="5"/>
  <c r="BL320" i="5"/>
  <c r="BK320" i="5"/>
  <c r="BJ320" i="5"/>
  <c r="BI320" i="5"/>
  <c r="BH320" i="5"/>
  <c r="BG320" i="5"/>
  <c r="BF320" i="5"/>
  <c r="BE320" i="5"/>
  <c r="BD320" i="5"/>
  <c r="BC320" i="5"/>
  <c r="BB320" i="5"/>
  <c r="BA320" i="5"/>
  <c r="AZ320" i="5"/>
  <c r="AY320" i="5"/>
  <c r="AX320" i="5"/>
  <c r="AW320" i="5"/>
  <c r="AV320" i="5"/>
  <c r="AU320" i="5"/>
  <c r="AT320" i="5"/>
  <c r="AS320" i="5"/>
  <c r="AR320" i="5"/>
  <c r="BL319" i="5"/>
  <c r="BK319" i="5"/>
  <c r="BJ319" i="5"/>
  <c r="BI319" i="5"/>
  <c r="BH319" i="5"/>
  <c r="BG319" i="5"/>
  <c r="BF319" i="5"/>
  <c r="BE319" i="5"/>
  <c r="BD319" i="5"/>
  <c r="BC319" i="5"/>
  <c r="BB319" i="5"/>
  <c r="BA319" i="5"/>
  <c r="AZ319" i="5"/>
  <c r="AY319" i="5"/>
  <c r="AX319" i="5"/>
  <c r="AW319" i="5"/>
  <c r="AV319" i="5"/>
  <c r="AU319" i="5"/>
  <c r="AT319" i="5"/>
  <c r="AS319" i="5"/>
  <c r="AR319" i="5"/>
  <c r="BL318" i="5"/>
  <c r="BK318" i="5"/>
  <c r="BJ318" i="5"/>
  <c r="BI318" i="5"/>
  <c r="BH318" i="5"/>
  <c r="BG318" i="5"/>
  <c r="BF318" i="5"/>
  <c r="BE318" i="5"/>
  <c r="BD318" i="5"/>
  <c r="BC318" i="5"/>
  <c r="BB318" i="5"/>
  <c r="BA318" i="5"/>
  <c r="AZ318" i="5"/>
  <c r="AY318" i="5"/>
  <c r="AX318" i="5"/>
  <c r="AW318" i="5"/>
  <c r="AV318" i="5"/>
  <c r="AU318" i="5"/>
  <c r="AT318" i="5"/>
  <c r="AS318" i="5"/>
  <c r="AR318" i="5"/>
  <c r="BL317" i="5"/>
  <c r="BK317" i="5"/>
  <c r="BJ317" i="5"/>
  <c r="BI317" i="5"/>
  <c r="BH317" i="5"/>
  <c r="BG317" i="5"/>
  <c r="BF317" i="5"/>
  <c r="BE317" i="5"/>
  <c r="BD317" i="5"/>
  <c r="BC317" i="5"/>
  <c r="BB317" i="5"/>
  <c r="BA317" i="5"/>
  <c r="AZ317" i="5"/>
  <c r="AY317" i="5"/>
  <c r="AX317" i="5"/>
  <c r="AW317" i="5"/>
  <c r="AV317" i="5"/>
  <c r="AU317" i="5"/>
  <c r="AT317" i="5"/>
  <c r="AS317" i="5"/>
  <c r="AR317" i="5"/>
  <c r="BL316" i="5"/>
  <c r="BK316" i="5"/>
  <c r="BJ316" i="5"/>
  <c r="BI316" i="5"/>
  <c r="BH316" i="5"/>
  <c r="BG316" i="5"/>
  <c r="BF316" i="5"/>
  <c r="BE316" i="5"/>
  <c r="BD316" i="5"/>
  <c r="BC316" i="5"/>
  <c r="BB316" i="5"/>
  <c r="BA316" i="5"/>
  <c r="AZ316" i="5"/>
  <c r="AY316" i="5"/>
  <c r="AX316" i="5"/>
  <c r="AW316" i="5"/>
  <c r="AV316" i="5"/>
  <c r="AU316" i="5"/>
  <c r="AT316" i="5"/>
  <c r="AS316" i="5"/>
  <c r="AR316" i="5"/>
  <c r="BL315" i="5"/>
  <c r="BK315" i="5"/>
  <c r="BJ315" i="5"/>
  <c r="BI315" i="5"/>
  <c r="BH315" i="5"/>
  <c r="BG315" i="5"/>
  <c r="BF315" i="5"/>
  <c r="BE315" i="5"/>
  <c r="BD315" i="5"/>
  <c r="BC315" i="5"/>
  <c r="BB315" i="5"/>
  <c r="BA315" i="5"/>
  <c r="AZ315" i="5"/>
  <c r="AY315" i="5"/>
  <c r="AX315" i="5"/>
  <c r="AW315" i="5"/>
  <c r="AV315" i="5"/>
  <c r="AU315" i="5"/>
  <c r="AT315" i="5"/>
  <c r="AS315" i="5"/>
  <c r="AR315" i="5"/>
  <c r="BO314" i="5"/>
  <c r="BL314" i="5"/>
  <c r="BK314" i="5"/>
  <c r="BJ314" i="5"/>
  <c r="BI314" i="5"/>
  <c r="BH314" i="5"/>
  <c r="BG314" i="5"/>
  <c r="BF314" i="5"/>
  <c r="BE314" i="5"/>
  <c r="BD314" i="5"/>
  <c r="BC314" i="5"/>
  <c r="BB314" i="5"/>
  <c r="BA314" i="5"/>
  <c r="AZ314" i="5"/>
  <c r="AY314" i="5"/>
  <c r="AX314" i="5"/>
  <c r="AW314" i="5"/>
  <c r="AV314" i="5"/>
  <c r="AU314" i="5"/>
  <c r="AT314" i="5"/>
  <c r="AS314" i="5"/>
  <c r="AR314" i="5"/>
  <c r="BL313" i="5"/>
  <c r="BK313" i="5"/>
  <c r="BJ313" i="5"/>
  <c r="BI313" i="5"/>
  <c r="BH313" i="5"/>
  <c r="BG313" i="5"/>
  <c r="BF313" i="5"/>
  <c r="BE313" i="5"/>
  <c r="BD313" i="5"/>
  <c r="BC313" i="5"/>
  <c r="BB313" i="5"/>
  <c r="BA313" i="5"/>
  <c r="AZ313" i="5"/>
  <c r="AY313" i="5"/>
  <c r="AX313" i="5"/>
  <c r="AW313" i="5"/>
  <c r="AV313" i="5"/>
  <c r="AU313" i="5"/>
  <c r="AT313" i="5"/>
  <c r="AS313" i="5"/>
  <c r="AR313" i="5"/>
  <c r="BL312" i="5"/>
  <c r="BK312" i="5"/>
  <c r="BJ312" i="5"/>
  <c r="BI312" i="5"/>
  <c r="BH312" i="5"/>
  <c r="BG312" i="5"/>
  <c r="BF312" i="5"/>
  <c r="BE312" i="5"/>
  <c r="BD312" i="5"/>
  <c r="BC312" i="5"/>
  <c r="BB312" i="5"/>
  <c r="BA312" i="5"/>
  <c r="AZ312" i="5"/>
  <c r="AY312" i="5"/>
  <c r="AX312" i="5"/>
  <c r="AW312" i="5"/>
  <c r="AV312" i="5"/>
  <c r="AU312" i="5"/>
  <c r="AT312" i="5"/>
  <c r="AS312" i="5"/>
  <c r="AR312" i="5"/>
  <c r="BL311" i="5"/>
  <c r="BK311" i="5"/>
  <c r="BJ311" i="5"/>
  <c r="BI311" i="5"/>
  <c r="BH311" i="5"/>
  <c r="BG311" i="5"/>
  <c r="BF311" i="5"/>
  <c r="BE311" i="5"/>
  <c r="BD311" i="5"/>
  <c r="BC311" i="5"/>
  <c r="BB311" i="5"/>
  <c r="BA311" i="5"/>
  <c r="AZ311" i="5"/>
  <c r="AY311" i="5"/>
  <c r="AX311" i="5"/>
  <c r="AW311" i="5"/>
  <c r="AV311" i="5"/>
  <c r="AU311" i="5"/>
  <c r="AT311" i="5"/>
  <c r="AS311" i="5"/>
  <c r="AR311" i="5"/>
  <c r="BL310" i="5"/>
  <c r="BK310" i="5"/>
  <c r="BJ310" i="5"/>
  <c r="BI310" i="5"/>
  <c r="BH310" i="5"/>
  <c r="BG310" i="5"/>
  <c r="BF310" i="5"/>
  <c r="BE310" i="5"/>
  <c r="BD310" i="5"/>
  <c r="BC310" i="5"/>
  <c r="BB310" i="5"/>
  <c r="BA310" i="5"/>
  <c r="AZ310" i="5"/>
  <c r="AY310" i="5"/>
  <c r="AX310" i="5"/>
  <c r="AW310" i="5"/>
  <c r="AV310" i="5"/>
  <c r="AU310" i="5"/>
  <c r="AT310" i="5"/>
  <c r="AS310" i="5"/>
  <c r="AR310" i="5"/>
  <c r="BL309" i="5"/>
  <c r="BK309" i="5"/>
  <c r="BJ309" i="5"/>
  <c r="BI309" i="5"/>
  <c r="BH309" i="5"/>
  <c r="BG309" i="5"/>
  <c r="BF309" i="5"/>
  <c r="BE309" i="5"/>
  <c r="BD309" i="5"/>
  <c r="BC309" i="5"/>
  <c r="BB309" i="5"/>
  <c r="BA309" i="5"/>
  <c r="AZ309" i="5"/>
  <c r="AY309" i="5"/>
  <c r="AX309" i="5"/>
  <c r="AW309" i="5"/>
  <c r="AV309" i="5"/>
  <c r="AU309" i="5"/>
  <c r="AT309" i="5"/>
  <c r="AS309" i="5"/>
  <c r="AR309" i="5"/>
  <c r="BL308" i="5"/>
  <c r="BK308" i="5"/>
  <c r="BJ308" i="5"/>
  <c r="BI308" i="5"/>
  <c r="BH308" i="5"/>
  <c r="BG308" i="5"/>
  <c r="BF308" i="5"/>
  <c r="BE308" i="5"/>
  <c r="BD308" i="5"/>
  <c r="BC308" i="5"/>
  <c r="BB308" i="5"/>
  <c r="BA308" i="5"/>
  <c r="AZ308" i="5"/>
  <c r="AY308" i="5"/>
  <c r="AX308" i="5"/>
  <c r="AW308" i="5"/>
  <c r="AV308" i="5"/>
  <c r="AU308" i="5"/>
  <c r="AT308" i="5"/>
  <c r="AS308" i="5"/>
  <c r="AR308" i="5"/>
  <c r="BL307" i="5"/>
  <c r="BK307" i="5"/>
  <c r="BJ307" i="5"/>
  <c r="BI307" i="5"/>
  <c r="BH307" i="5"/>
  <c r="BG307" i="5"/>
  <c r="BF307" i="5"/>
  <c r="BE307" i="5"/>
  <c r="BD307" i="5"/>
  <c r="BC307" i="5"/>
  <c r="BB307" i="5"/>
  <c r="BA307" i="5"/>
  <c r="AZ307" i="5"/>
  <c r="AY307" i="5"/>
  <c r="AX307" i="5"/>
  <c r="AW307" i="5"/>
  <c r="AV307" i="5"/>
  <c r="AU307" i="5"/>
  <c r="AT307" i="5"/>
  <c r="AS307" i="5"/>
  <c r="AR307" i="5"/>
  <c r="BL306" i="5"/>
  <c r="BK306" i="5"/>
  <c r="BJ306" i="5"/>
  <c r="BI306" i="5"/>
  <c r="BH306" i="5"/>
  <c r="BG306" i="5"/>
  <c r="BF306" i="5"/>
  <c r="BE306" i="5"/>
  <c r="BD306" i="5"/>
  <c r="BC306" i="5"/>
  <c r="BB306" i="5"/>
  <c r="BA306" i="5"/>
  <c r="AZ306" i="5"/>
  <c r="AY306" i="5"/>
  <c r="AX306" i="5"/>
  <c r="AW306" i="5"/>
  <c r="AV306" i="5"/>
  <c r="AU306" i="5"/>
  <c r="AT306" i="5"/>
  <c r="AS306" i="5"/>
  <c r="AR306" i="5"/>
  <c r="BL305" i="5"/>
  <c r="BK305" i="5"/>
  <c r="BJ305" i="5"/>
  <c r="BI305" i="5"/>
  <c r="BH305" i="5"/>
  <c r="BG305" i="5"/>
  <c r="BF305" i="5"/>
  <c r="BE305" i="5"/>
  <c r="BD305" i="5"/>
  <c r="BC305" i="5"/>
  <c r="BB305" i="5"/>
  <c r="BA305" i="5"/>
  <c r="AZ305" i="5"/>
  <c r="AY305" i="5"/>
  <c r="AX305" i="5"/>
  <c r="BN305" i="5" s="1"/>
  <c r="AW305" i="5"/>
  <c r="AV305" i="5"/>
  <c r="AU305" i="5"/>
  <c r="AT305" i="5"/>
  <c r="AS305" i="5"/>
  <c r="AR305" i="5"/>
  <c r="BL304" i="5"/>
  <c r="BK304" i="5"/>
  <c r="BJ304" i="5"/>
  <c r="BI304" i="5"/>
  <c r="BH304" i="5"/>
  <c r="BG304" i="5"/>
  <c r="BF304" i="5"/>
  <c r="BE304" i="5"/>
  <c r="BD304" i="5"/>
  <c r="BC304" i="5"/>
  <c r="BB304" i="5"/>
  <c r="BA304" i="5"/>
  <c r="AZ304" i="5"/>
  <c r="AY304" i="5"/>
  <c r="AX304" i="5"/>
  <c r="AW304" i="5"/>
  <c r="AV304" i="5"/>
  <c r="AU304" i="5"/>
  <c r="AT304" i="5"/>
  <c r="AS304" i="5"/>
  <c r="AR304" i="5"/>
  <c r="BL303" i="5"/>
  <c r="BK303" i="5"/>
  <c r="BJ303" i="5"/>
  <c r="BI303" i="5"/>
  <c r="BH303" i="5"/>
  <c r="BG303" i="5"/>
  <c r="BF303" i="5"/>
  <c r="BE303" i="5"/>
  <c r="BD303" i="5"/>
  <c r="BC303" i="5"/>
  <c r="BB303" i="5"/>
  <c r="BA303" i="5"/>
  <c r="AZ303" i="5"/>
  <c r="AY303" i="5"/>
  <c r="AX303" i="5"/>
  <c r="AW303" i="5"/>
  <c r="AV303" i="5"/>
  <c r="AU303" i="5"/>
  <c r="AT303" i="5"/>
  <c r="AS303" i="5"/>
  <c r="AR303" i="5"/>
  <c r="BL302" i="5"/>
  <c r="BK302" i="5"/>
  <c r="BJ302" i="5"/>
  <c r="BI302" i="5"/>
  <c r="BH302" i="5"/>
  <c r="BG302" i="5"/>
  <c r="BF302" i="5"/>
  <c r="BE302" i="5"/>
  <c r="BD302" i="5"/>
  <c r="BC302" i="5"/>
  <c r="BB302" i="5"/>
  <c r="BA302" i="5"/>
  <c r="AZ302" i="5"/>
  <c r="AY302" i="5"/>
  <c r="AX302" i="5"/>
  <c r="AW302" i="5"/>
  <c r="AV302" i="5"/>
  <c r="AU302" i="5"/>
  <c r="AT302" i="5"/>
  <c r="AS302" i="5"/>
  <c r="AR302" i="5"/>
  <c r="BL301" i="5"/>
  <c r="BK301" i="5"/>
  <c r="BJ301" i="5"/>
  <c r="BI301" i="5"/>
  <c r="BH301" i="5"/>
  <c r="BG301" i="5"/>
  <c r="BF301" i="5"/>
  <c r="BE301" i="5"/>
  <c r="BD301" i="5"/>
  <c r="BC301" i="5"/>
  <c r="BB301" i="5"/>
  <c r="BA301" i="5"/>
  <c r="AZ301" i="5"/>
  <c r="AY301" i="5"/>
  <c r="AX301" i="5"/>
  <c r="AW301" i="5"/>
  <c r="AV301" i="5"/>
  <c r="AU301" i="5"/>
  <c r="AT301" i="5"/>
  <c r="AS301" i="5"/>
  <c r="AR301" i="5"/>
  <c r="BL300" i="5"/>
  <c r="BK300" i="5"/>
  <c r="BJ300" i="5"/>
  <c r="BI300" i="5"/>
  <c r="BH300" i="5"/>
  <c r="BG300" i="5"/>
  <c r="BF300" i="5"/>
  <c r="BE300" i="5"/>
  <c r="BD300" i="5"/>
  <c r="BC300" i="5"/>
  <c r="BB300" i="5"/>
  <c r="BA300" i="5"/>
  <c r="AZ300" i="5"/>
  <c r="AY300" i="5"/>
  <c r="AX300" i="5"/>
  <c r="AW300" i="5"/>
  <c r="AV300" i="5"/>
  <c r="AU300" i="5"/>
  <c r="AT300" i="5"/>
  <c r="AS300" i="5"/>
  <c r="AR300" i="5"/>
  <c r="BL299" i="5"/>
  <c r="BK299" i="5"/>
  <c r="BJ299" i="5"/>
  <c r="BI299" i="5"/>
  <c r="BH299" i="5"/>
  <c r="BG299" i="5"/>
  <c r="BF299" i="5"/>
  <c r="BE299" i="5"/>
  <c r="BD299" i="5"/>
  <c r="BC299" i="5"/>
  <c r="BB299" i="5"/>
  <c r="BA299" i="5"/>
  <c r="AZ299" i="5"/>
  <c r="AY299" i="5"/>
  <c r="AX299" i="5"/>
  <c r="AW299" i="5"/>
  <c r="AV299" i="5"/>
  <c r="AU299" i="5"/>
  <c r="AT299" i="5"/>
  <c r="AS299" i="5"/>
  <c r="AR299" i="5"/>
  <c r="BO298" i="5"/>
  <c r="BL298" i="5"/>
  <c r="BK298" i="5"/>
  <c r="BJ298" i="5"/>
  <c r="BI298" i="5"/>
  <c r="BH298" i="5"/>
  <c r="BG298" i="5"/>
  <c r="BF298" i="5"/>
  <c r="BE298" i="5"/>
  <c r="BD298" i="5"/>
  <c r="BC298" i="5"/>
  <c r="BB298" i="5"/>
  <c r="BA298" i="5"/>
  <c r="AZ298" i="5"/>
  <c r="AY298" i="5"/>
  <c r="AX298" i="5"/>
  <c r="AW298" i="5"/>
  <c r="AV298" i="5"/>
  <c r="AU298" i="5"/>
  <c r="AT298" i="5"/>
  <c r="AS298" i="5"/>
  <c r="AR298" i="5"/>
  <c r="BL297" i="5"/>
  <c r="BK297" i="5"/>
  <c r="BJ297" i="5"/>
  <c r="BI297" i="5"/>
  <c r="BH297" i="5"/>
  <c r="BG297" i="5"/>
  <c r="BF297" i="5"/>
  <c r="BE297" i="5"/>
  <c r="BD297" i="5"/>
  <c r="BC297" i="5"/>
  <c r="BB297" i="5"/>
  <c r="BA297" i="5"/>
  <c r="AZ297" i="5"/>
  <c r="AY297" i="5"/>
  <c r="AX297" i="5"/>
  <c r="AW297" i="5"/>
  <c r="AV297" i="5"/>
  <c r="AU297" i="5"/>
  <c r="AT297" i="5"/>
  <c r="AS297" i="5"/>
  <c r="AR297" i="5"/>
  <c r="BL296" i="5"/>
  <c r="BK296" i="5"/>
  <c r="BJ296" i="5"/>
  <c r="BI296" i="5"/>
  <c r="BH296" i="5"/>
  <c r="BG296" i="5"/>
  <c r="BF296" i="5"/>
  <c r="BE296" i="5"/>
  <c r="BD296" i="5"/>
  <c r="BC296" i="5"/>
  <c r="BB296" i="5"/>
  <c r="BA296" i="5"/>
  <c r="AZ296" i="5"/>
  <c r="AY296" i="5"/>
  <c r="AX296" i="5"/>
  <c r="AW296" i="5"/>
  <c r="AV296" i="5"/>
  <c r="AU296" i="5"/>
  <c r="AT296" i="5"/>
  <c r="AS296" i="5"/>
  <c r="AR296" i="5"/>
  <c r="BL295" i="5"/>
  <c r="BK295" i="5"/>
  <c r="BJ295" i="5"/>
  <c r="BI295" i="5"/>
  <c r="BH295" i="5"/>
  <c r="BG295" i="5"/>
  <c r="BF295" i="5"/>
  <c r="BE295" i="5"/>
  <c r="BD295" i="5"/>
  <c r="BC295" i="5"/>
  <c r="BB295" i="5"/>
  <c r="BA295" i="5"/>
  <c r="AZ295" i="5"/>
  <c r="AY295" i="5"/>
  <c r="AX295" i="5"/>
  <c r="AW295" i="5"/>
  <c r="AV295" i="5"/>
  <c r="AU295" i="5"/>
  <c r="AT295" i="5"/>
  <c r="AS295" i="5"/>
  <c r="AR295" i="5"/>
  <c r="BL294" i="5"/>
  <c r="BK294" i="5"/>
  <c r="BJ294" i="5"/>
  <c r="BI294" i="5"/>
  <c r="BH294" i="5"/>
  <c r="BG294" i="5"/>
  <c r="BF294" i="5"/>
  <c r="BE294" i="5"/>
  <c r="BD294" i="5"/>
  <c r="BC294" i="5"/>
  <c r="BB294" i="5"/>
  <c r="BA294" i="5"/>
  <c r="AZ294" i="5"/>
  <c r="AY294" i="5"/>
  <c r="AX294" i="5"/>
  <c r="AW294" i="5"/>
  <c r="AV294" i="5"/>
  <c r="AU294" i="5"/>
  <c r="AT294" i="5"/>
  <c r="AS294" i="5"/>
  <c r="AR294" i="5"/>
  <c r="BL293" i="5"/>
  <c r="BK293" i="5"/>
  <c r="BJ293" i="5"/>
  <c r="BI293" i="5"/>
  <c r="BH293" i="5"/>
  <c r="BG293" i="5"/>
  <c r="BF293" i="5"/>
  <c r="BE293" i="5"/>
  <c r="BD293" i="5"/>
  <c r="BC293" i="5"/>
  <c r="BB293" i="5"/>
  <c r="BA293" i="5"/>
  <c r="AZ293" i="5"/>
  <c r="AY293" i="5"/>
  <c r="AX293" i="5"/>
  <c r="AW293" i="5"/>
  <c r="AV293" i="5"/>
  <c r="AU293" i="5"/>
  <c r="AT293" i="5"/>
  <c r="AS293" i="5"/>
  <c r="AR293" i="5"/>
  <c r="BL292" i="5"/>
  <c r="BK292" i="5"/>
  <c r="BJ292" i="5"/>
  <c r="BI292" i="5"/>
  <c r="BH292" i="5"/>
  <c r="BG292" i="5"/>
  <c r="BF292" i="5"/>
  <c r="BE292" i="5"/>
  <c r="BD292" i="5"/>
  <c r="BC292" i="5"/>
  <c r="BB292" i="5"/>
  <c r="BA292" i="5"/>
  <c r="AZ292" i="5"/>
  <c r="AY292" i="5"/>
  <c r="AX292" i="5"/>
  <c r="AW292" i="5"/>
  <c r="AV292" i="5"/>
  <c r="AU292" i="5"/>
  <c r="AT292" i="5"/>
  <c r="AS292" i="5"/>
  <c r="AR292" i="5"/>
  <c r="BL291" i="5"/>
  <c r="BK291" i="5"/>
  <c r="BJ291" i="5"/>
  <c r="BI291" i="5"/>
  <c r="BH291" i="5"/>
  <c r="BG291" i="5"/>
  <c r="BF291" i="5"/>
  <c r="BE291" i="5"/>
  <c r="BD291" i="5"/>
  <c r="BC291" i="5"/>
  <c r="BB291" i="5"/>
  <c r="BA291" i="5"/>
  <c r="AZ291" i="5"/>
  <c r="AY291" i="5"/>
  <c r="AX291" i="5"/>
  <c r="AW291" i="5"/>
  <c r="AV291" i="5"/>
  <c r="AU291" i="5"/>
  <c r="AT291" i="5"/>
  <c r="AS291" i="5"/>
  <c r="AR291" i="5"/>
  <c r="BL290" i="5"/>
  <c r="BK290" i="5"/>
  <c r="BJ290" i="5"/>
  <c r="BI290" i="5"/>
  <c r="BH290" i="5"/>
  <c r="BG290" i="5"/>
  <c r="BF290" i="5"/>
  <c r="BE290" i="5"/>
  <c r="BD290" i="5"/>
  <c r="BC290" i="5"/>
  <c r="BB290" i="5"/>
  <c r="BA290" i="5"/>
  <c r="AZ290" i="5"/>
  <c r="AY290" i="5"/>
  <c r="AX290" i="5"/>
  <c r="AW290" i="5"/>
  <c r="AV290" i="5"/>
  <c r="AU290" i="5"/>
  <c r="AT290" i="5"/>
  <c r="AS290" i="5"/>
  <c r="AR290" i="5"/>
  <c r="BL289" i="5"/>
  <c r="BK289" i="5"/>
  <c r="BJ289" i="5"/>
  <c r="BI289" i="5"/>
  <c r="BH289" i="5"/>
  <c r="BG289" i="5"/>
  <c r="BF289" i="5"/>
  <c r="BE289" i="5"/>
  <c r="BD289" i="5"/>
  <c r="BC289" i="5"/>
  <c r="BB289" i="5"/>
  <c r="BA289" i="5"/>
  <c r="AZ289" i="5"/>
  <c r="AY289" i="5"/>
  <c r="AX289" i="5"/>
  <c r="AW289" i="5"/>
  <c r="AV289" i="5"/>
  <c r="AU289" i="5"/>
  <c r="AT289" i="5"/>
  <c r="AS289" i="5"/>
  <c r="AR289" i="5"/>
  <c r="BL288" i="5"/>
  <c r="BK288" i="5"/>
  <c r="BJ288" i="5"/>
  <c r="BI288" i="5"/>
  <c r="BH288" i="5"/>
  <c r="BG288" i="5"/>
  <c r="BF288" i="5"/>
  <c r="BE288" i="5"/>
  <c r="BD288" i="5"/>
  <c r="BC288" i="5"/>
  <c r="BB288" i="5"/>
  <c r="BA288" i="5"/>
  <c r="AZ288" i="5"/>
  <c r="AY288" i="5"/>
  <c r="AX288" i="5"/>
  <c r="AW288" i="5"/>
  <c r="AV288" i="5"/>
  <c r="AU288" i="5"/>
  <c r="AT288" i="5"/>
  <c r="AS288" i="5"/>
  <c r="AR288" i="5"/>
  <c r="BL287" i="5"/>
  <c r="BK287" i="5"/>
  <c r="BJ287" i="5"/>
  <c r="BI287" i="5"/>
  <c r="BH287" i="5"/>
  <c r="BG287" i="5"/>
  <c r="BF287" i="5"/>
  <c r="BE287" i="5"/>
  <c r="BD287" i="5"/>
  <c r="BC287" i="5"/>
  <c r="BB287" i="5"/>
  <c r="BA287" i="5"/>
  <c r="AZ287" i="5"/>
  <c r="AY287" i="5"/>
  <c r="AX287" i="5"/>
  <c r="AW287" i="5"/>
  <c r="AV287" i="5"/>
  <c r="AU287" i="5"/>
  <c r="AT287" i="5"/>
  <c r="AS287" i="5"/>
  <c r="AR287" i="5"/>
  <c r="BL286" i="5"/>
  <c r="BK286" i="5"/>
  <c r="BJ286" i="5"/>
  <c r="BI286" i="5"/>
  <c r="BH286" i="5"/>
  <c r="BG286" i="5"/>
  <c r="BF286" i="5"/>
  <c r="BE286" i="5"/>
  <c r="BD286" i="5"/>
  <c r="BC286" i="5"/>
  <c r="BB286" i="5"/>
  <c r="BA286" i="5"/>
  <c r="AZ286" i="5"/>
  <c r="AY286" i="5"/>
  <c r="AX286" i="5"/>
  <c r="AW286" i="5"/>
  <c r="AV286" i="5"/>
  <c r="AU286" i="5"/>
  <c r="AT286" i="5"/>
  <c r="AS286" i="5"/>
  <c r="AR286" i="5"/>
  <c r="BL285" i="5"/>
  <c r="BK285" i="5"/>
  <c r="BJ285" i="5"/>
  <c r="BI285" i="5"/>
  <c r="BH285" i="5"/>
  <c r="BG285" i="5"/>
  <c r="BF285" i="5"/>
  <c r="BE285" i="5"/>
  <c r="BD285" i="5"/>
  <c r="BC285" i="5"/>
  <c r="BB285" i="5"/>
  <c r="BA285" i="5"/>
  <c r="AZ285" i="5"/>
  <c r="AY285" i="5"/>
  <c r="AX285" i="5"/>
  <c r="AW285" i="5"/>
  <c r="AV285" i="5"/>
  <c r="AU285" i="5"/>
  <c r="AT285" i="5"/>
  <c r="AS285" i="5"/>
  <c r="AR285" i="5"/>
  <c r="BL284" i="5"/>
  <c r="BK284" i="5"/>
  <c r="BJ284" i="5"/>
  <c r="BI284" i="5"/>
  <c r="BH284" i="5"/>
  <c r="BG284" i="5"/>
  <c r="BF284" i="5"/>
  <c r="BE284" i="5"/>
  <c r="BD284" i="5"/>
  <c r="BC284" i="5"/>
  <c r="BB284" i="5"/>
  <c r="BA284" i="5"/>
  <c r="AZ284" i="5"/>
  <c r="AY284" i="5"/>
  <c r="AX284" i="5"/>
  <c r="AW284" i="5"/>
  <c r="AV284" i="5"/>
  <c r="AU284" i="5"/>
  <c r="AT284" i="5"/>
  <c r="AS284" i="5"/>
  <c r="AR284" i="5"/>
  <c r="BL283" i="5"/>
  <c r="BK283" i="5"/>
  <c r="BJ283" i="5"/>
  <c r="BI283" i="5"/>
  <c r="BH283" i="5"/>
  <c r="BG283" i="5"/>
  <c r="BF283" i="5"/>
  <c r="BE283" i="5"/>
  <c r="BD283" i="5"/>
  <c r="BC283" i="5"/>
  <c r="BB283" i="5"/>
  <c r="BA283" i="5"/>
  <c r="AZ283" i="5"/>
  <c r="AY283" i="5"/>
  <c r="AX283" i="5"/>
  <c r="AW283" i="5"/>
  <c r="AV283" i="5"/>
  <c r="AU283" i="5"/>
  <c r="AT283" i="5"/>
  <c r="AS283" i="5"/>
  <c r="AR283" i="5"/>
  <c r="BL282" i="5"/>
  <c r="BK282" i="5"/>
  <c r="BJ282" i="5"/>
  <c r="BI282" i="5"/>
  <c r="BH282" i="5"/>
  <c r="BG282" i="5"/>
  <c r="BF282" i="5"/>
  <c r="BE282" i="5"/>
  <c r="BD282" i="5"/>
  <c r="BC282" i="5"/>
  <c r="BB282" i="5"/>
  <c r="BA282" i="5"/>
  <c r="AZ282" i="5"/>
  <c r="AY282" i="5"/>
  <c r="AX282" i="5"/>
  <c r="AW282" i="5"/>
  <c r="AV282" i="5"/>
  <c r="AU282" i="5"/>
  <c r="AT282" i="5"/>
  <c r="AS282" i="5"/>
  <c r="AR282" i="5"/>
  <c r="BL281" i="5"/>
  <c r="BK281" i="5"/>
  <c r="BJ281" i="5"/>
  <c r="BI281" i="5"/>
  <c r="BH281" i="5"/>
  <c r="BG281" i="5"/>
  <c r="BF281" i="5"/>
  <c r="BE281" i="5"/>
  <c r="BD281" i="5"/>
  <c r="BC281" i="5"/>
  <c r="BB281" i="5"/>
  <c r="BA281" i="5"/>
  <c r="AZ281" i="5"/>
  <c r="AY281" i="5"/>
  <c r="AX281" i="5"/>
  <c r="AW281" i="5"/>
  <c r="AV281" i="5"/>
  <c r="AU281" i="5"/>
  <c r="AT281" i="5"/>
  <c r="AS281" i="5"/>
  <c r="AR281" i="5"/>
  <c r="BO280" i="5"/>
  <c r="BL280" i="5"/>
  <c r="BK280" i="5"/>
  <c r="BJ280" i="5"/>
  <c r="BI280" i="5"/>
  <c r="BH280" i="5"/>
  <c r="BG280" i="5"/>
  <c r="BF280" i="5"/>
  <c r="BE280" i="5"/>
  <c r="BD280" i="5"/>
  <c r="BC280" i="5"/>
  <c r="BB280" i="5"/>
  <c r="BA280" i="5"/>
  <c r="AZ280" i="5"/>
  <c r="AY280" i="5"/>
  <c r="AX280" i="5"/>
  <c r="AW280" i="5"/>
  <c r="AV280" i="5"/>
  <c r="AU280" i="5"/>
  <c r="AT280" i="5"/>
  <c r="AS280" i="5"/>
  <c r="AR280" i="5"/>
  <c r="BL279" i="5"/>
  <c r="BK279" i="5"/>
  <c r="BJ279" i="5"/>
  <c r="BI279" i="5"/>
  <c r="BH279" i="5"/>
  <c r="BG279" i="5"/>
  <c r="BF279" i="5"/>
  <c r="BE279" i="5"/>
  <c r="BD279" i="5"/>
  <c r="BC279" i="5"/>
  <c r="BB279" i="5"/>
  <c r="BA279" i="5"/>
  <c r="AZ279" i="5"/>
  <c r="AY279" i="5"/>
  <c r="AX279" i="5"/>
  <c r="AW279" i="5"/>
  <c r="AV279" i="5"/>
  <c r="AU279" i="5"/>
  <c r="AT279" i="5"/>
  <c r="AS279" i="5"/>
  <c r="AR279" i="5"/>
  <c r="BL278" i="5"/>
  <c r="BK278" i="5"/>
  <c r="BJ278" i="5"/>
  <c r="BI278" i="5"/>
  <c r="BH278" i="5"/>
  <c r="BG278" i="5"/>
  <c r="BF278" i="5"/>
  <c r="BE278" i="5"/>
  <c r="BD278" i="5"/>
  <c r="BC278" i="5"/>
  <c r="BB278" i="5"/>
  <c r="BA278" i="5"/>
  <c r="AZ278" i="5"/>
  <c r="AY278" i="5"/>
  <c r="AX278" i="5"/>
  <c r="AW278" i="5"/>
  <c r="AV278" i="5"/>
  <c r="AU278" i="5"/>
  <c r="AT278" i="5"/>
  <c r="AS278" i="5"/>
  <c r="AR278" i="5"/>
  <c r="BL277" i="5"/>
  <c r="BK277" i="5"/>
  <c r="BJ277" i="5"/>
  <c r="BI277" i="5"/>
  <c r="BH277" i="5"/>
  <c r="BG277" i="5"/>
  <c r="BF277" i="5"/>
  <c r="BE277" i="5"/>
  <c r="BD277" i="5"/>
  <c r="BC277" i="5"/>
  <c r="BB277" i="5"/>
  <c r="BA277" i="5"/>
  <c r="AZ277" i="5"/>
  <c r="AY277" i="5"/>
  <c r="AX277" i="5"/>
  <c r="AW277" i="5"/>
  <c r="AV277" i="5"/>
  <c r="AU277" i="5"/>
  <c r="AT277" i="5"/>
  <c r="AS277" i="5"/>
  <c r="AR277" i="5"/>
  <c r="BO276" i="5"/>
  <c r="BL276" i="5"/>
  <c r="BK276" i="5"/>
  <c r="BJ276" i="5"/>
  <c r="BI276" i="5"/>
  <c r="BH276" i="5"/>
  <c r="BG276" i="5"/>
  <c r="BF276" i="5"/>
  <c r="BE276" i="5"/>
  <c r="BD276" i="5"/>
  <c r="BC276" i="5"/>
  <c r="BB276" i="5"/>
  <c r="BA276" i="5"/>
  <c r="AZ276" i="5"/>
  <c r="AY276" i="5"/>
  <c r="AX276" i="5"/>
  <c r="AW276" i="5"/>
  <c r="AV276" i="5"/>
  <c r="AU276" i="5"/>
  <c r="AT276" i="5"/>
  <c r="AS276" i="5"/>
  <c r="AR276" i="5"/>
  <c r="BL275" i="5"/>
  <c r="BK275" i="5"/>
  <c r="BJ275" i="5"/>
  <c r="BI275" i="5"/>
  <c r="BH275" i="5"/>
  <c r="BG275" i="5"/>
  <c r="BF275" i="5"/>
  <c r="BE275" i="5"/>
  <c r="BD275" i="5"/>
  <c r="BC275" i="5"/>
  <c r="BB275" i="5"/>
  <c r="BA275" i="5"/>
  <c r="AZ275" i="5"/>
  <c r="AY275" i="5"/>
  <c r="AX275" i="5"/>
  <c r="AW275" i="5"/>
  <c r="AV275" i="5"/>
  <c r="AU275" i="5"/>
  <c r="AT275" i="5"/>
  <c r="AS275" i="5"/>
  <c r="AR275" i="5"/>
  <c r="BL274" i="5"/>
  <c r="BK274" i="5"/>
  <c r="BJ274" i="5"/>
  <c r="BI274" i="5"/>
  <c r="BH274" i="5"/>
  <c r="BG274" i="5"/>
  <c r="BF274" i="5"/>
  <c r="BE274" i="5"/>
  <c r="BD274" i="5"/>
  <c r="BC274" i="5"/>
  <c r="BB274" i="5"/>
  <c r="BA274" i="5"/>
  <c r="AZ274" i="5"/>
  <c r="BN274" i="5" s="1"/>
  <c r="AY274" i="5"/>
  <c r="AX274" i="5"/>
  <c r="AW274" i="5"/>
  <c r="AV274" i="5"/>
  <c r="AU274" i="5"/>
  <c r="AT274" i="5"/>
  <c r="AS274" i="5"/>
  <c r="AR274" i="5"/>
  <c r="BL273" i="5"/>
  <c r="BK273" i="5"/>
  <c r="BJ273" i="5"/>
  <c r="BI273" i="5"/>
  <c r="BH273" i="5"/>
  <c r="BG273" i="5"/>
  <c r="BF273" i="5"/>
  <c r="BE273" i="5"/>
  <c r="BD273" i="5"/>
  <c r="BC273" i="5"/>
  <c r="BB273" i="5"/>
  <c r="BA273" i="5"/>
  <c r="AZ273" i="5"/>
  <c r="AY273" i="5"/>
  <c r="AX273" i="5"/>
  <c r="AW273" i="5"/>
  <c r="AV273" i="5"/>
  <c r="AU273" i="5"/>
  <c r="AT273" i="5"/>
  <c r="AS273" i="5"/>
  <c r="AR273" i="5"/>
  <c r="BL272" i="5"/>
  <c r="BK272" i="5"/>
  <c r="BJ272" i="5"/>
  <c r="BI272" i="5"/>
  <c r="BH272" i="5"/>
  <c r="BG272" i="5"/>
  <c r="BF272" i="5"/>
  <c r="BE272" i="5"/>
  <c r="BD272" i="5"/>
  <c r="BC272" i="5"/>
  <c r="BB272" i="5"/>
  <c r="BA272" i="5"/>
  <c r="AZ272" i="5"/>
  <c r="AY272" i="5"/>
  <c r="AX272" i="5"/>
  <c r="AW272" i="5"/>
  <c r="AV272" i="5"/>
  <c r="AU272" i="5"/>
  <c r="AT272" i="5"/>
  <c r="AS272" i="5"/>
  <c r="AR272" i="5"/>
  <c r="BL271" i="5"/>
  <c r="BK271" i="5"/>
  <c r="BJ271" i="5"/>
  <c r="BI271" i="5"/>
  <c r="BH271" i="5"/>
  <c r="BG271" i="5"/>
  <c r="BF271" i="5"/>
  <c r="BE271" i="5"/>
  <c r="BD271" i="5"/>
  <c r="BC271" i="5"/>
  <c r="BB271" i="5"/>
  <c r="BA271" i="5"/>
  <c r="AZ271" i="5"/>
  <c r="AY271" i="5"/>
  <c r="AX271" i="5"/>
  <c r="AW271" i="5"/>
  <c r="AV271" i="5"/>
  <c r="AU271" i="5"/>
  <c r="AT271" i="5"/>
  <c r="AS271" i="5"/>
  <c r="AR271" i="5"/>
  <c r="BL270" i="5"/>
  <c r="BK270" i="5"/>
  <c r="BJ270" i="5"/>
  <c r="BI270" i="5"/>
  <c r="BH270" i="5"/>
  <c r="BG270" i="5"/>
  <c r="BF270" i="5"/>
  <c r="BE270" i="5"/>
  <c r="BD270" i="5"/>
  <c r="BC270" i="5"/>
  <c r="BB270" i="5"/>
  <c r="BA270" i="5"/>
  <c r="AZ270" i="5"/>
  <c r="AY270" i="5"/>
  <c r="AX270" i="5"/>
  <c r="AW270" i="5"/>
  <c r="AV270" i="5"/>
  <c r="AU270" i="5"/>
  <c r="AT270" i="5"/>
  <c r="AS270" i="5"/>
  <c r="AR270" i="5"/>
  <c r="BL269" i="5"/>
  <c r="BK269" i="5"/>
  <c r="BJ269" i="5"/>
  <c r="BI269" i="5"/>
  <c r="BH269" i="5"/>
  <c r="BG269" i="5"/>
  <c r="BF269" i="5"/>
  <c r="BE269" i="5"/>
  <c r="BD269" i="5"/>
  <c r="BC269" i="5"/>
  <c r="BB269" i="5"/>
  <c r="BA269" i="5"/>
  <c r="AZ269" i="5"/>
  <c r="AY269" i="5"/>
  <c r="AX269" i="5"/>
  <c r="AW269" i="5"/>
  <c r="AV269" i="5"/>
  <c r="AU269" i="5"/>
  <c r="AT269" i="5"/>
  <c r="AS269" i="5"/>
  <c r="AR269" i="5"/>
  <c r="BL268" i="5"/>
  <c r="BK268" i="5"/>
  <c r="BJ268" i="5"/>
  <c r="BI268" i="5"/>
  <c r="BH268" i="5"/>
  <c r="BG268" i="5"/>
  <c r="BF268" i="5"/>
  <c r="BE268" i="5"/>
  <c r="BD268" i="5"/>
  <c r="BC268" i="5"/>
  <c r="BB268" i="5"/>
  <c r="BA268" i="5"/>
  <c r="AZ268" i="5"/>
  <c r="AY268" i="5"/>
  <c r="AX268" i="5"/>
  <c r="AW268" i="5"/>
  <c r="AV268" i="5"/>
  <c r="AU268" i="5"/>
  <c r="AT268" i="5"/>
  <c r="AS268" i="5"/>
  <c r="AR268" i="5"/>
  <c r="BL267" i="5"/>
  <c r="BK267" i="5"/>
  <c r="BJ267" i="5"/>
  <c r="BI267" i="5"/>
  <c r="BH267" i="5"/>
  <c r="BG267" i="5"/>
  <c r="BF267" i="5"/>
  <c r="BE267" i="5"/>
  <c r="BD267" i="5"/>
  <c r="BC267" i="5"/>
  <c r="BB267" i="5"/>
  <c r="BA267" i="5"/>
  <c r="AZ267" i="5"/>
  <c r="AY267" i="5"/>
  <c r="AX267" i="5"/>
  <c r="AW267" i="5"/>
  <c r="AV267" i="5"/>
  <c r="AU267" i="5"/>
  <c r="AT267" i="5"/>
  <c r="AS267" i="5"/>
  <c r="AR267" i="5"/>
  <c r="BL266" i="5"/>
  <c r="BK266" i="5"/>
  <c r="BJ266" i="5"/>
  <c r="BI266" i="5"/>
  <c r="BH266" i="5"/>
  <c r="BG266" i="5"/>
  <c r="BF266" i="5"/>
  <c r="BE266" i="5"/>
  <c r="BD266" i="5"/>
  <c r="BC266" i="5"/>
  <c r="BB266" i="5"/>
  <c r="BA266" i="5"/>
  <c r="AZ266" i="5"/>
  <c r="AY266" i="5"/>
  <c r="AX266" i="5"/>
  <c r="AW266" i="5"/>
  <c r="AV266" i="5"/>
  <c r="AU266" i="5"/>
  <c r="AT266" i="5"/>
  <c r="AS266" i="5"/>
  <c r="AR266" i="5"/>
  <c r="BL265" i="5"/>
  <c r="BK265" i="5"/>
  <c r="BJ265" i="5"/>
  <c r="BI265" i="5"/>
  <c r="BH265" i="5"/>
  <c r="BG265" i="5"/>
  <c r="BF265" i="5"/>
  <c r="BE265" i="5"/>
  <c r="BD265" i="5"/>
  <c r="BC265" i="5"/>
  <c r="BB265" i="5"/>
  <c r="BA265" i="5"/>
  <c r="AZ265" i="5"/>
  <c r="AY265" i="5"/>
  <c r="AX265" i="5"/>
  <c r="AW265" i="5"/>
  <c r="AV265" i="5"/>
  <c r="AU265" i="5"/>
  <c r="AT265" i="5"/>
  <c r="AS265" i="5"/>
  <c r="AR265" i="5"/>
  <c r="BL264" i="5"/>
  <c r="BK264" i="5"/>
  <c r="BJ264" i="5"/>
  <c r="BI264" i="5"/>
  <c r="BH264" i="5"/>
  <c r="BG264" i="5"/>
  <c r="BF264" i="5"/>
  <c r="BE264" i="5"/>
  <c r="BD264" i="5"/>
  <c r="BC264" i="5"/>
  <c r="BB264" i="5"/>
  <c r="BA264" i="5"/>
  <c r="AZ264" i="5"/>
  <c r="AY264" i="5"/>
  <c r="AX264" i="5"/>
  <c r="AW264" i="5"/>
  <c r="AV264" i="5"/>
  <c r="AU264" i="5"/>
  <c r="AT264" i="5"/>
  <c r="AS264" i="5"/>
  <c r="AR264" i="5"/>
  <c r="BL263" i="5"/>
  <c r="BK263" i="5"/>
  <c r="BJ263" i="5"/>
  <c r="BI263" i="5"/>
  <c r="BH263" i="5"/>
  <c r="BG263" i="5"/>
  <c r="BF263" i="5"/>
  <c r="BE263" i="5"/>
  <c r="BD263" i="5"/>
  <c r="BC263" i="5"/>
  <c r="BB263" i="5"/>
  <c r="BA263" i="5"/>
  <c r="AZ263" i="5"/>
  <c r="AY263" i="5"/>
  <c r="AX263" i="5"/>
  <c r="AW263" i="5"/>
  <c r="AV263" i="5"/>
  <c r="AU263" i="5"/>
  <c r="AT263" i="5"/>
  <c r="AS263" i="5"/>
  <c r="AR263" i="5"/>
  <c r="BL262" i="5"/>
  <c r="BK262" i="5"/>
  <c r="BJ262" i="5"/>
  <c r="BI262" i="5"/>
  <c r="BH262" i="5"/>
  <c r="BG262" i="5"/>
  <c r="BF262" i="5"/>
  <c r="BE262" i="5"/>
  <c r="BD262" i="5"/>
  <c r="BC262" i="5"/>
  <c r="BB262" i="5"/>
  <c r="BA262" i="5"/>
  <c r="AZ262" i="5"/>
  <c r="AY262" i="5"/>
  <c r="AX262" i="5"/>
  <c r="AW262" i="5"/>
  <c r="AV262" i="5"/>
  <c r="AU262" i="5"/>
  <c r="AT262" i="5"/>
  <c r="AS262" i="5"/>
  <c r="AR262" i="5"/>
  <c r="BL261" i="5"/>
  <c r="BK261" i="5"/>
  <c r="BJ261" i="5"/>
  <c r="BI261" i="5"/>
  <c r="BH261" i="5"/>
  <c r="BG261" i="5"/>
  <c r="BF261" i="5"/>
  <c r="BE261" i="5"/>
  <c r="BD261" i="5"/>
  <c r="BC261" i="5"/>
  <c r="BB261" i="5"/>
  <c r="BA261" i="5"/>
  <c r="AZ261" i="5"/>
  <c r="AY261" i="5"/>
  <c r="AX261" i="5"/>
  <c r="AW261" i="5"/>
  <c r="AV261" i="5"/>
  <c r="AU261" i="5"/>
  <c r="AT261" i="5"/>
  <c r="AS261" i="5"/>
  <c r="AR261" i="5"/>
  <c r="BO260" i="5"/>
  <c r="BL260" i="5"/>
  <c r="BK260" i="5"/>
  <c r="BJ260" i="5"/>
  <c r="BI260" i="5"/>
  <c r="BH260" i="5"/>
  <c r="BG260" i="5"/>
  <c r="BF260" i="5"/>
  <c r="BE260" i="5"/>
  <c r="BN260" i="5" s="1"/>
  <c r="BD260" i="5"/>
  <c r="BC260" i="5"/>
  <c r="BB260" i="5"/>
  <c r="BA260" i="5"/>
  <c r="AZ260" i="5"/>
  <c r="AY260" i="5"/>
  <c r="AX260" i="5"/>
  <c r="AW260" i="5"/>
  <c r="AV260" i="5"/>
  <c r="AU260" i="5"/>
  <c r="AT260" i="5"/>
  <c r="AS260" i="5"/>
  <c r="AR260" i="5"/>
  <c r="BL259" i="5"/>
  <c r="BK259" i="5"/>
  <c r="BJ259" i="5"/>
  <c r="BI259" i="5"/>
  <c r="BH259" i="5"/>
  <c r="BG259" i="5"/>
  <c r="BF259" i="5"/>
  <c r="BE259" i="5"/>
  <c r="BD259" i="5"/>
  <c r="BC259" i="5"/>
  <c r="BB259" i="5"/>
  <c r="BA259" i="5"/>
  <c r="AZ259" i="5"/>
  <c r="AY259" i="5"/>
  <c r="AX259" i="5"/>
  <c r="AW259" i="5"/>
  <c r="AV259" i="5"/>
  <c r="AU259" i="5"/>
  <c r="AT259" i="5"/>
  <c r="AS259" i="5"/>
  <c r="AR259" i="5"/>
  <c r="BL258" i="5"/>
  <c r="BK258" i="5"/>
  <c r="BJ258" i="5"/>
  <c r="BI258" i="5"/>
  <c r="BH258" i="5"/>
  <c r="BG258" i="5"/>
  <c r="BF258" i="5"/>
  <c r="BE258" i="5"/>
  <c r="BD258" i="5"/>
  <c r="BC258" i="5"/>
  <c r="BB258" i="5"/>
  <c r="BA258" i="5"/>
  <c r="AZ258" i="5"/>
  <c r="AY258" i="5"/>
  <c r="AX258" i="5"/>
  <c r="AW258" i="5"/>
  <c r="AV258" i="5"/>
  <c r="AU258" i="5"/>
  <c r="AT258" i="5"/>
  <c r="AS258" i="5"/>
  <c r="AR258" i="5"/>
  <c r="BL257" i="5"/>
  <c r="BK257" i="5"/>
  <c r="BJ257" i="5"/>
  <c r="BI257" i="5"/>
  <c r="BH257" i="5"/>
  <c r="BG257" i="5"/>
  <c r="BF257" i="5"/>
  <c r="BE257" i="5"/>
  <c r="BD257" i="5"/>
  <c r="BC257" i="5"/>
  <c r="BB257" i="5"/>
  <c r="BA257" i="5"/>
  <c r="AZ257" i="5"/>
  <c r="AY257" i="5"/>
  <c r="AX257" i="5"/>
  <c r="AW257" i="5"/>
  <c r="AV257" i="5"/>
  <c r="AU257" i="5"/>
  <c r="AT257" i="5"/>
  <c r="AS257" i="5"/>
  <c r="AR257" i="5"/>
  <c r="BL256" i="5"/>
  <c r="BK256" i="5"/>
  <c r="BJ256" i="5"/>
  <c r="BI256" i="5"/>
  <c r="BH256" i="5"/>
  <c r="BG256" i="5"/>
  <c r="BF256" i="5"/>
  <c r="BE256" i="5"/>
  <c r="BD256" i="5"/>
  <c r="BC256" i="5"/>
  <c r="BB256" i="5"/>
  <c r="BA256" i="5"/>
  <c r="AZ256" i="5"/>
  <c r="AY256" i="5"/>
  <c r="AX256" i="5"/>
  <c r="AW256" i="5"/>
  <c r="AV256" i="5"/>
  <c r="AU256" i="5"/>
  <c r="AT256" i="5"/>
  <c r="AS256" i="5"/>
  <c r="AR256" i="5"/>
  <c r="BL255" i="5"/>
  <c r="BK255" i="5"/>
  <c r="BJ255" i="5"/>
  <c r="BI255" i="5"/>
  <c r="BH255" i="5"/>
  <c r="BG255" i="5"/>
  <c r="BF255" i="5"/>
  <c r="BE255" i="5"/>
  <c r="BD255" i="5"/>
  <c r="BC255" i="5"/>
  <c r="BB255" i="5"/>
  <c r="BA255" i="5"/>
  <c r="AZ255" i="5"/>
  <c r="AY255" i="5"/>
  <c r="AX255" i="5"/>
  <c r="AW255" i="5"/>
  <c r="AV255" i="5"/>
  <c r="AU255" i="5"/>
  <c r="AT255" i="5"/>
  <c r="AS255" i="5"/>
  <c r="AR255" i="5"/>
  <c r="BL254" i="5"/>
  <c r="BK254" i="5"/>
  <c r="BJ254" i="5"/>
  <c r="BI254" i="5"/>
  <c r="BH254" i="5"/>
  <c r="BG254" i="5"/>
  <c r="BF254" i="5"/>
  <c r="BE254" i="5"/>
  <c r="BD254" i="5"/>
  <c r="BC254" i="5"/>
  <c r="BB254" i="5"/>
  <c r="BA254" i="5"/>
  <c r="AZ254" i="5"/>
  <c r="AY254" i="5"/>
  <c r="AX254" i="5"/>
  <c r="AW254" i="5"/>
  <c r="AV254" i="5"/>
  <c r="AU254" i="5"/>
  <c r="AT254" i="5"/>
  <c r="AS254" i="5"/>
  <c r="AR254" i="5"/>
  <c r="BL253" i="5"/>
  <c r="BK253" i="5"/>
  <c r="BJ253" i="5"/>
  <c r="BI253" i="5"/>
  <c r="BH253" i="5"/>
  <c r="BG253" i="5"/>
  <c r="BF253" i="5"/>
  <c r="BE253" i="5"/>
  <c r="BD253" i="5"/>
  <c r="BC253" i="5"/>
  <c r="BB253" i="5"/>
  <c r="BA253" i="5"/>
  <c r="AZ253" i="5"/>
  <c r="AY253" i="5"/>
  <c r="AX253" i="5"/>
  <c r="AW253" i="5"/>
  <c r="AV253" i="5"/>
  <c r="AU253" i="5"/>
  <c r="AT253" i="5"/>
  <c r="AS253" i="5"/>
  <c r="AR253" i="5"/>
  <c r="BL252" i="5"/>
  <c r="BK252" i="5"/>
  <c r="BJ252" i="5"/>
  <c r="BI252" i="5"/>
  <c r="BH252" i="5"/>
  <c r="BG252" i="5"/>
  <c r="BF252" i="5"/>
  <c r="BE252" i="5"/>
  <c r="BD252" i="5"/>
  <c r="BC252" i="5"/>
  <c r="BB252" i="5"/>
  <c r="BA252" i="5"/>
  <c r="AZ252" i="5"/>
  <c r="AY252" i="5"/>
  <c r="AX252" i="5"/>
  <c r="AW252" i="5"/>
  <c r="AV252" i="5"/>
  <c r="AU252" i="5"/>
  <c r="AT252" i="5"/>
  <c r="AS252" i="5"/>
  <c r="AR252" i="5"/>
  <c r="BL251" i="5"/>
  <c r="BK251" i="5"/>
  <c r="BJ251" i="5"/>
  <c r="BI251" i="5"/>
  <c r="BH251" i="5"/>
  <c r="BG251" i="5"/>
  <c r="BF251" i="5"/>
  <c r="BE251" i="5"/>
  <c r="BD251" i="5"/>
  <c r="BC251" i="5"/>
  <c r="BB251" i="5"/>
  <c r="BA251" i="5"/>
  <c r="AZ251" i="5"/>
  <c r="AY251" i="5"/>
  <c r="AX251" i="5"/>
  <c r="AW251" i="5"/>
  <c r="AV251" i="5"/>
  <c r="AU251" i="5"/>
  <c r="AT251" i="5"/>
  <c r="AS251" i="5"/>
  <c r="AR251" i="5"/>
  <c r="BL250" i="5"/>
  <c r="BK250" i="5"/>
  <c r="BJ250" i="5"/>
  <c r="BI250" i="5"/>
  <c r="BH250" i="5"/>
  <c r="BG250" i="5"/>
  <c r="BF250" i="5"/>
  <c r="BE250" i="5"/>
  <c r="BD250" i="5"/>
  <c r="BC250" i="5"/>
  <c r="BB250" i="5"/>
  <c r="BA250" i="5"/>
  <c r="AZ250" i="5"/>
  <c r="AY250" i="5"/>
  <c r="AX250" i="5"/>
  <c r="AW250" i="5"/>
  <c r="AV250" i="5"/>
  <c r="AU250" i="5"/>
  <c r="AT250" i="5"/>
  <c r="AS250" i="5"/>
  <c r="AR250" i="5"/>
  <c r="BL249" i="5"/>
  <c r="BK249" i="5"/>
  <c r="BJ249" i="5"/>
  <c r="BI249" i="5"/>
  <c r="BH249" i="5"/>
  <c r="BG249" i="5"/>
  <c r="BF249" i="5"/>
  <c r="BE249" i="5"/>
  <c r="BD249" i="5"/>
  <c r="BC249" i="5"/>
  <c r="BB249" i="5"/>
  <c r="BA249" i="5"/>
  <c r="AZ249" i="5"/>
  <c r="AY249" i="5"/>
  <c r="AX249" i="5"/>
  <c r="AW249" i="5"/>
  <c r="AV249" i="5"/>
  <c r="AU249" i="5"/>
  <c r="AT249" i="5"/>
  <c r="AS249" i="5"/>
  <c r="AR249" i="5"/>
  <c r="BL248" i="5"/>
  <c r="BK248" i="5"/>
  <c r="BJ248" i="5"/>
  <c r="BI248" i="5"/>
  <c r="BH248" i="5"/>
  <c r="BG248" i="5"/>
  <c r="BF248" i="5"/>
  <c r="BE248" i="5"/>
  <c r="BD248" i="5"/>
  <c r="BC248" i="5"/>
  <c r="BB248" i="5"/>
  <c r="BA248" i="5"/>
  <c r="AZ248" i="5"/>
  <c r="AY248" i="5"/>
  <c r="AX248" i="5"/>
  <c r="AW248" i="5"/>
  <c r="AV248" i="5"/>
  <c r="AU248" i="5"/>
  <c r="AT248" i="5"/>
  <c r="AS248" i="5"/>
  <c r="AR248" i="5"/>
  <c r="BL247" i="5"/>
  <c r="BK247" i="5"/>
  <c r="BJ247" i="5"/>
  <c r="BI247" i="5"/>
  <c r="BH247" i="5"/>
  <c r="BG247" i="5"/>
  <c r="BF247" i="5"/>
  <c r="BE247" i="5"/>
  <c r="BD247" i="5"/>
  <c r="BC247" i="5"/>
  <c r="BB247" i="5"/>
  <c r="BA247" i="5"/>
  <c r="AZ247" i="5"/>
  <c r="AY247" i="5"/>
  <c r="AX247" i="5"/>
  <c r="AW247" i="5"/>
  <c r="AV247" i="5"/>
  <c r="AU247" i="5"/>
  <c r="AT247" i="5"/>
  <c r="AS247" i="5"/>
  <c r="AR247" i="5"/>
  <c r="BL246" i="5"/>
  <c r="BK246" i="5"/>
  <c r="BJ246" i="5"/>
  <c r="BI246" i="5"/>
  <c r="BH246" i="5"/>
  <c r="BG246" i="5"/>
  <c r="BF246" i="5"/>
  <c r="BE246" i="5"/>
  <c r="BD246" i="5"/>
  <c r="BC246" i="5"/>
  <c r="BB246" i="5"/>
  <c r="BA246" i="5"/>
  <c r="AZ246" i="5"/>
  <c r="AY246" i="5"/>
  <c r="AX246" i="5"/>
  <c r="AW246" i="5"/>
  <c r="AV246" i="5"/>
  <c r="AU246" i="5"/>
  <c r="AT246" i="5"/>
  <c r="AS246" i="5"/>
  <c r="AR246" i="5"/>
  <c r="BL245" i="5"/>
  <c r="BK245" i="5"/>
  <c r="BJ245" i="5"/>
  <c r="BI245" i="5"/>
  <c r="BH245" i="5"/>
  <c r="BG245" i="5"/>
  <c r="BF245" i="5"/>
  <c r="BE245" i="5"/>
  <c r="BD245" i="5"/>
  <c r="BC245" i="5"/>
  <c r="BB245" i="5"/>
  <c r="BA245" i="5"/>
  <c r="AZ245" i="5"/>
  <c r="AY245" i="5"/>
  <c r="AX245" i="5"/>
  <c r="AW245" i="5"/>
  <c r="AV245" i="5"/>
  <c r="AU245" i="5"/>
  <c r="AT245" i="5"/>
  <c r="AS245" i="5"/>
  <c r="AR245" i="5"/>
  <c r="BL244" i="5"/>
  <c r="BK244" i="5"/>
  <c r="BJ244" i="5"/>
  <c r="BI244" i="5"/>
  <c r="BH244" i="5"/>
  <c r="BG244" i="5"/>
  <c r="BF244" i="5"/>
  <c r="BE244" i="5"/>
  <c r="BD244" i="5"/>
  <c r="BC244" i="5"/>
  <c r="BB244" i="5"/>
  <c r="BA244" i="5"/>
  <c r="AZ244" i="5"/>
  <c r="AY244" i="5"/>
  <c r="AX244" i="5"/>
  <c r="AW244" i="5"/>
  <c r="AV244" i="5"/>
  <c r="AU244" i="5"/>
  <c r="AT244" i="5"/>
  <c r="AS244" i="5"/>
  <c r="AR244" i="5"/>
  <c r="BL243" i="5"/>
  <c r="BK243" i="5"/>
  <c r="BJ243" i="5"/>
  <c r="BI243" i="5"/>
  <c r="BH243" i="5"/>
  <c r="BG243" i="5"/>
  <c r="BF243" i="5"/>
  <c r="BE243" i="5"/>
  <c r="BD243" i="5"/>
  <c r="BC243" i="5"/>
  <c r="BB243" i="5"/>
  <c r="BA243" i="5"/>
  <c r="AZ243" i="5"/>
  <c r="AY243" i="5"/>
  <c r="AX243" i="5"/>
  <c r="AW243" i="5"/>
  <c r="AV243" i="5"/>
  <c r="AU243" i="5"/>
  <c r="AT243" i="5"/>
  <c r="AS243" i="5"/>
  <c r="AR243" i="5"/>
  <c r="BO242" i="5"/>
  <c r="BL242" i="5"/>
  <c r="BK242" i="5"/>
  <c r="BJ242" i="5"/>
  <c r="BI242" i="5"/>
  <c r="BH242" i="5"/>
  <c r="BG242" i="5"/>
  <c r="BF242" i="5"/>
  <c r="BE242" i="5"/>
  <c r="BD242" i="5"/>
  <c r="BC242" i="5"/>
  <c r="BB242" i="5"/>
  <c r="BA242" i="5"/>
  <c r="AZ242" i="5"/>
  <c r="AY242" i="5"/>
  <c r="AX242" i="5"/>
  <c r="AW242" i="5"/>
  <c r="AV242" i="5"/>
  <c r="AU242" i="5"/>
  <c r="AT242" i="5"/>
  <c r="AS242" i="5"/>
  <c r="AR242" i="5"/>
  <c r="BL241" i="5"/>
  <c r="BK241" i="5"/>
  <c r="BJ241" i="5"/>
  <c r="BI241" i="5"/>
  <c r="BH241" i="5"/>
  <c r="BG241" i="5"/>
  <c r="BF241" i="5"/>
  <c r="BE241" i="5"/>
  <c r="BD241" i="5"/>
  <c r="BC241" i="5"/>
  <c r="BB241" i="5"/>
  <c r="BA241" i="5"/>
  <c r="AZ241" i="5"/>
  <c r="AY241" i="5"/>
  <c r="AX241" i="5"/>
  <c r="AW241" i="5"/>
  <c r="AV241" i="5"/>
  <c r="AU241" i="5"/>
  <c r="AT241" i="5"/>
  <c r="AS241" i="5"/>
  <c r="AR241" i="5"/>
  <c r="BL240" i="5"/>
  <c r="BK240" i="5"/>
  <c r="BJ240" i="5"/>
  <c r="BI240" i="5"/>
  <c r="BH240" i="5"/>
  <c r="BG240" i="5"/>
  <c r="BF240" i="5"/>
  <c r="BE240" i="5"/>
  <c r="BD240" i="5"/>
  <c r="BC240" i="5"/>
  <c r="BB240" i="5"/>
  <c r="BA240" i="5"/>
  <c r="AZ240" i="5"/>
  <c r="AY240" i="5"/>
  <c r="AX240" i="5"/>
  <c r="AW240" i="5"/>
  <c r="AV240" i="5"/>
  <c r="AU240" i="5"/>
  <c r="AT240" i="5"/>
  <c r="AS240" i="5"/>
  <c r="AR240" i="5"/>
  <c r="BL239" i="5"/>
  <c r="BK239" i="5"/>
  <c r="BJ239" i="5"/>
  <c r="BI239" i="5"/>
  <c r="BH239" i="5"/>
  <c r="BG239" i="5"/>
  <c r="BF239" i="5"/>
  <c r="BE239" i="5"/>
  <c r="BD239" i="5"/>
  <c r="BC239" i="5"/>
  <c r="BB239" i="5"/>
  <c r="BA239" i="5"/>
  <c r="AZ239" i="5"/>
  <c r="AY239" i="5"/>
  <c r="AX239" i="5"/>
  <c r="AW239" i="5"/>
  <c r="AV239" i="5"/>
  <c r="AU239" i="5"/>
  <c r="AT239" i="5"/>
  <c r="AS239" i="5"/>
  <c r="AR239" i="5"/>
  <c r="BL238" i="5"/>
  <c r="BK238" i="5"/>
  <c r="BJ238" i="5"/>
  <c r="BI238" i="5"/>
  <c r="BH238" i="5"/>
  <c r="BG238" i="5"/>
  <c r="BF238" i="5"/>
  <c r="BE238" i="5"/>
  <c r="BD238" i="5"/>
  <c r="BC238" i="5"/>
  <c r="BB238" i="5"/>
  <c r="BA238" i="5"/>
  <c r="AZ238" i="5"/>
  <c r="AY238" i="5"/>
  <c r="AX238" i="5"/>
  <c r="AW238" i="5"/>
  <c r="AV238" i="5"/>
  <c r="AU238" i="5"/>
  <c r="AT238" i="5"/>
  <c r="AS238" i="5"/>
  <c r="AR238" i="5"/>
  <c r="BL237" i="5"/>
  <c r="BK237" i="5"/>
  <c r="BJ237" i="5"/>
  <c r="BI237" i="5"/>
  <c r="BH237" i="5"/>
  <c r="BG237" i="5"/>
  <c r="BF237" i="5"/>
  <c r="BE237" i="5"/>
  <c r="BD237" i="5"/>
  <c r="BC237" i="5"/>
  <c r="BB237" i="5"/>
  <c r="BA237" i="5"/>
  <c r="AZ237" i="5"/>
  <c r="AY237" i="5"/>
  <c r="AX237" i="5"/>
  <c r="AW237" i="5"/>
  <c r="AV237" i="5"/>
  <c r="AU237" i="5"/>
  <c r="AT237" i="5"/>
  <c r="AS237" i="5"/>
  <c r="AR237" i="5"/>
  <c r="BL236" i="5"/>
  <c r="BK236" i="5"/>
  <c r="BJ236" i="5"/>
  <c r="BI236" i="5"/>
  <c r="BH236" i="5"/>
  <c r="BG236" i="5"/>
  <c r="BF236" i="5"/>
  <c r="BE236" i="5"/>
  <c r="BD236" i="5"/>
  <c r="BC236" i="5"/>
  <c r="BB236" i="5"/>
  <c r="BA236" i="5"/>
  <c r="AZ236" i="5"/>
  <c r="AY236" i="5"/>
  <c r="AX236" i="5"/>
  <c r="AW236" i="5"/>
  <c r="AV236" i="5"/>
  <c r="AU236" i="5"/>
  <c r="AT236" i="5"/>
  <c r="AS236" i="5"/>
  <c r="AR236" i="5"/>
  <c r="BL235" i="5"/>
  <c r="BK235" i="5"/>
  <c r="BJ235" i="5"/>
  <c r="BI235" i="5"/>
  <c r="BH235" i="5"/>
  <c r="BG235" i="5"/>
  <c r="BF235" i="5"/>
  <c r="BE235" i="5"/>
  <c r="BD235" i="5"/>
  <c r="BC235" i="5"/>
  <c r="BB235" i="5"/>
  <c r="BA235" i="5"/>
  <c r="AZ235" i="5"/>
  <c r="AY235" i="5"/>
  <c r="AX235" i="5"/>
  <c r="AW235" i="5"/>
  <c r="AV235" i="5"/>
  <c r="AU235" i="5"/>
  <c r="AT235" i="5"/>
  <c r="AS235" i="5"/>
  <c r="AR235" i="5"/>
  <c r="BL234" i="5"/>
  <c r="BK234" i="5"/>
  <c r="BJ234" i="5"/>
  <c r="BI234" i="5"/>
  <c r="BH234" i="5"/>
  <c r="BG234" i="5"/>
  <c r="BF234" i="5"/>
  <c r="BE234" i="5"/>
  <c r="BD234" i="5"/>
  <c r="BC234" i="5"/>
  <c r="BB234" i="5"/>
  <c r="BA234" i="5"/>
  <c r="AZ234" i="5"/>
  <c r="AY234" i="5"/>
  <c r="AX234" i="5"/>
  <c r="AW234" i="5"/>
  <c r="AV234" i="5"/>
  <c r="AU234" i="5"/>
  <c r="AT234" i="5"/>
  <c r="AS234" i="5"/>
  <c r="AR234" i="5"/>
  <c r="BL233" i="5"/>
  <c r="BK233" i="5"/>
  <c r="BJ233" i="5"/>
  <c r="BI233" i="5"/>
  <c r="BH233" i="5"/>
  <c r="BG233" i="5"/>
  <c r="BF233" i="5"/>
  <c r="BE233" i="5"/>
  <c r="BD233" i="5"/>
  <c r="BC233" i="5"/>
  <c r="BB233" i="5"/>
  <c r="BA233" i="5"/>
  <c r="AZ233" i="5"/>
  <c r="AY233" i="5"/>
  <c r="AX233" i="5"/>
  <c r="AW233" i="5"/>
  <c r="AV233" i="5"/>
  <c r="AU233" i="5"/>
  <c r="AT233" i="5"/>
  <c r="AS233" i="5"/>
  <c r="AR233" i="5"/>
  <c r="BL232" i="5"/>
  <c r="BK232" i="5"/>
  <c r="BJ232" i="5"/>
  <c r="BI232" i="5"/>
  <c r="BH232" i="5"/>
  <c r="BG232" i="5"/>
  <c r="BF232" i="5"/>
  <c r="BE232" i="5"/>
  <c r="BD232" i="5"/>
  <c r="BC232" i="5"/>
  <c r="BB232" i="5"/>
  <c r="BA232" i="5"/>
  <c r="AZ232" i="5"/>
  <c r="AY232" i="5"/>
  <c r="AX232" i="5"/>
  <c r="AW232" i="5"/>
  <c r="AV232" i="5"/>
  <c r="AU232" i="5"/>
  <c r="AT232" i="5"/>
  <c r="AS232" i="5"/>
  <c r="AR232" i="5"/>
  <c r="BL231" i="5"/>
  <c r="BK231" i="5"/>
  <c r="BJ231" i="5"/>
  <c r="BI231" i="5"/>
  <c r="BH231" i="5"/>
  <c r="BG231" i="5"/>
  <c r="BF231" i="5"/>
  <c r="BE231" i="5"/>
  <c r="BD231" i="5"/>
  <c r="BC231" i="5"/>
  <c r="BB231" i="5"/>
  <c r="BA231" i="5"/>
  <c r="AZ231" i="5"/>
  <c r="AY231" i="5"/>
  <c r="AX231" i="5"/>
  <c r="AW231" i="5"/>
  <c r="AV231" i="5"/>
  <c r="AU231" i="5"/>
  <c r="AT231" i="5"/>
  <c r="AS231" i="5"/>
  <c r="AR231" i="5"/>
  <c r="BL230" i="5"/>
  <c r="BK230" i="5"/>
  <c r="BJ230" i="5"/>
  <c r="BI230" i="5"/>
  <c r="BH230" i="5"/>
  <c r="BG230" i="5"/>
  <c r="BF230" i="5"/>
  <c r="BE230" i="5"/>
  <c r="BD230" i="5"/>
  <c r="BC230" i="5"/>
  <c r="BB230" i="5"/>
  <c r="BA230" i="5"/>
  <c r="AZ230" i="5"/>
  <c r="AY230" i="5"/>
  <c r="AX230" i="5"/>
  <c r="AW230" i="5"/>
  <c r="AV230" i="5"/>
  <c r="AU230" i="5"/>
  <c r="AT230" i="5"/>
  <c r="AS230" i="5"/>
  <c r="AR230" i="5"/>
  <c r="BL229" i="5"/>
  <c r="BK229" i="5"/>
  <c r="BJ229" i="5"/>
  <c r="BI229" i="5"/>
  <c r="BH229" i="5"/>
  <c r="BG229" i="5"/>
  <c r="BF229" i="5"/>
  <c r="BE229" i="5"/>
  <c r="BD229" i="5"/>
  <c r="BC229" i="5"/>
  <c r="BB229" i="5"/>
  <c r="BA229" i="5"/>
  <c r="AZ229" i="5"/>
  <c r="AY229" i="5"/>
  <c r="AX229" i="5"/>
  <c r="AW229" i="5"/>
  <c r="AV229" i="5"/>
  <c r="AU229" i="5"/>
  <c r="AT229" i="5"/>
  <c r="AS229" i="5"/>
  <c r="AR229" i="5"/>
  <c r="BL228" i="5"/>
  <c r="BK228" i="5"/>
  <c r="BJ228" i="5"/>
  <c r="BI228" i="5"/>
  <c r="BH228" i="5"/>
  <c r="BG228" i="5"/>
  <c r="BF228" i="5"/>
  <c r="BE228" i="5"/>
  <c r="BD228" i="5"/>
  <c r="BC228" i="5"/>
  <c r="BB228" i="5"/>
  <c r="BA228" i="5"/>
  <c r="AZ228" i="5"/>
  <c r="AY228" i="5"/>
  <c r="AX228" i="5"/>
  <c r="AW228" i="5"/>
  <c r="AV228" i="5"/>
  <c r="AU228" i="5"/>
  <c r="AT228" i="5"/>
  <c r="AS228" i="5"/>
  <c r="AR228" i="5"/>
  <c r="BL227" i="5"/>
  <c r="BK227" i="5"/>
  <c r="BJ227" i="5"/>
  <c r="BI227" i="5"/>
  <c r="BH227" i="5"/>
  <c r="BG227" i="5"/>
  <c r="BF227" i="5"/>
  <c r="BE227" i="5"/>
  <c r="BD227" i="5"/>
  <c r="BC227" i="5"/>
  <c r="BB227" i="5"/>
  <c r="BA227" i="5"/>
  <c r="AZ227" i="5"/>
  <c r="AY227" i="5"/>
  <c r="AX227" i="5"/>
  <c r="AW227" i="5"/>
  <c r="AV227" i="5"/>
  <c r="AU227" i="5"/>
  <c r="AT227" i="5"/>
  <c r="AS227" i="5"/>
  <c r="AR227" i="5"/>
  <c r="BL226" i="5"/>
  <c r="BK226" i="5"/>
  <c r="BJ226" i="5"/>
  <c r="BI226" i="5"/>
  <c r="BH226" i="5"/>
  <c r="BG226" i="5"/>
  <c r="BF226" i="5"/>
  <c r="BE226" i="5"/>
  <c r="BD226" i="5"/>
  <c r="BC226" i="5"/>
  <c r="BB226" i="5"/>
  <c r="BA226" i="5"/>
  <c r="AZ226" i="5"/>
  <c r="AY226" i="5"/>
  <c r="AX226" i="5"/>
  <c r="AW226" i="5"/>
  <c r="AV226" i="5"/>
  <c r="AU226" i="5"/>
  <c r="AT226" i="5"/>
  <c r="AS226" i="5"/>
  <c r="AR226" i="5"/>
  <c r="BL225" i="5"/>
  <c r="BK225" i="5"/>
  <c r="BJ225" i="5"/>
  <c r="BI225" i="5"/>
  <c r="BH225" i="5"/>
  <c r="BG225" i="5"/>
  <c r="BF225" i="5"/>
  <c r="BE225" i="5"/>
  <c r="BD225" i="5"/>
  <c r="BC225" i="5"/>
  <c r="BB225" i="5"/>
  <c r="BA225" i="5"/>
  <c r="AZ225" i="5"/>
  <c r="AY225" i="5"/>
  <c r="AX225" i="5"/>
  <c r="AW225" i="5"/>
  <c r="AV225" i="5"/>
  <c r="AU225" i="5"/>
  <c r="AT225" i="5"/>
  <c r="AS225" i="5"/>
  <c r="AR225" i="5"/>
  <c r="BL224" i="5"/>
  <c r="BK224" i="5"/>
  <c r="BJ224" i="5"/>
  <c r="BI224" i="5"/>
  <c r="BH224" i="5"/>
  <c r="BG224" i="5"/>
  <c r="BF224" i="5"/>
  <c r="BE224" i="5"/>
  <c r="BD224" i="5"/>
  <c r="BC224" i="5"/>
  <c r="BB224" i="5"/>
  <c r="BA224" i="5"/>
  <c r="AZ224" i="5"/>
  <c r="AY224" i="5"/>
  <c r="AX224" i="5"/>
  <c r="AW224" i="5"/>
  <c r="AV224" i="5"/>
  <c r="AU224" i="5"/>
  <c r="AT224" i="5"/>
  <c r="AS224" i="5"/>
  <c r="AR224" i="5"/>
  <c r="BL223" i="5"/>
  <c r="BK223" i="5"/>
  <c r="BJ223" i="5"/>
  <c r="BI223" i="5"/>
  <c r="BH223" i="5"/>
  <c r="BG223" i="5"/>
  <c r="BF223" i="5"/>
  <c r="BE223" i="5"/>
  <c r="BD223" i="5"/>
  <c r="BC223" i="5"/>
  <c r="BB223" i="5"/>
  <c r="BA223" i="5"/>
  <c r="AZ223" i="5"/>
  <c r="AY223" i="5"/>
  <c r="AX223" i="5"/>
  <c r="AW223" i="5"/>
  <c r="AV223" i="5"/>
  <c r="AU223" i="5"/>
  <c r="AT223" i="5"/>
  <c r="AS223" i="5"/>
  <c r="AR223" i="5"/>
  <c r="BL222" i="5"/>
  <c r="BK222" i="5"/>
  <c r="BJ222" i="5"/>
  <c r="BI222" i="5"/>
  <c r="BH222" i="5"/>
  <c r="BG222" i="5"/>
  <c r="BF222" i="5"/>
  <c r="BE222" i="5"/>
  <c r="BD222" i="5"/>
  <c r="BC222" i="5"/>
  <c r="BB222" i="5"/>
  <c r="BA222" i="5"/>
  <c r="AZ222" i="5"/>
  <c r="AY222" i="5"/>
  <c r="AX222" i="5"/>
  <c r="AW222" i="5"/>
  <c r="AV222" i="5"/>
  <c r="AU222" i="5"/>
  <c r="AT222" i="5"/>
  <c r="AS222" i="5"/>
  <c r="AR222" i="5"/>
  <c r="BL221" i="5"/>
  <c r="BK221" i="5"/>
  <c r="BJ221" i="5"/>
  <c r="BI221" i="5"/>
  <c r="BH221" i="5"/>
  <c r="BG221" i="5"/>
  <c r="BF221" i="5"/>
  <c r="BE221" i="5"/>
  <c r="BD221" i="5"/>
  <c r="BC221" i="5"/>
  <c r="BB221" i="5"/>
  <c r="BA221" i="5"/>
  <c r="AZ221" i="5"/>
  <c r="AY221" i="5"/>
  <c r="AX221" i="5"/>
  <c r="AW221" i="5"/>
  <c r="AV221" i="5"/>
  <c r="AU221" i="5"/>
  <c r="AT221" i="5"/>
  <c r="AS221" i="5"/>
  <c r="AR221" i="5"/>
  <c r="BL220" i="5"/>
  <c r="BK220" i="5"/>
  <c r="BJ220" i="5"/>
  <c r="BI220" i="5"/>
  <c r="BH220" i="5"/>
  <c r="BG220" i="5"/>
  <c r="BF220" i="5"/>
  <c r="BE220" i="5"/>
  <c r="BD220" i="5"/>
  <c r="BC220" i="5"/>
  <c r="BB220" i="5"/>
  <c r="BA220" i="5"/>
  <c r="AZ220" i="5"/>
  <c r="AY220" i="5"/>
  <c r="AX220" i="5"/>
  <c r="AW220" i="5"/>
  <c r="AV220" i="5"/>
  <c r="AU220" i="5"/>
  <c r="AT220" i="5"/>
  <c r="AS220" i="5"/>
  <c r="AR220" i="5"/>
  <c r="BL219" i="5"/>
  <c r="BK219" i="5"/>
  <c r="BJ219" i="5"/>
  <c r="BI219" i="5"/>
  <c r="BH219" i="5"/>
  <c r="BG219" i="5"/>
  <c r="BF219" i="5"/>
  <c r="BE219" i="5"/>
  <c r="BD219" i="5"/>
  <c r="BC219" i="5"/>
  <c r="BB219" i="5"/>
  <c r="BA219" i="5"/>
  <c r="AZ219" i="5"/>
  <c r="AY219" i="5"/>
  <c r="AX219" i="5"/>
  <c r="AW219" i="5"/>
  <c r="AV219" i="5"/>
  <c r="AU219" i="5"/>
  <c r="AT219" i="5"/>
  <c r="AS219" i="5"/>
  <c r="AR219" i="5"/>
  <c r="BL218" i="5"/>
  <c r="BK218" i="5"/>
  <c r="BJ218" i="5"/>
  <c r="BI218" i="5"/>
  <c r="BH218" i="5"/>
  <c r="BG218" i="5"/>
  <c r="BF218" i="5"/>
  <c r="BE218" i="5"/>
  <c r="BD218" i="5"/>
  <c r="BC218" i="5"/>
  <c r="BB218" i="5"/>
  <c r="BA218" i="5"/>
  <c r="AZ218" i="5"/>
  <c r="AY218" i="5"/>
  <c r="AX218" i="5"/>
  <c r="AW218" i="5"/>
  <c r="AV218" i="5"/>
  <c r="AU218" i="5"/>
  <c r="AT218" i="5"/>
  <c r="AS218" i="5"/>
  <c r="AR218" i="5"/>
  <c r="BO217" i="5"/>
  <c r="BL217" i="5"/>
  <c r="BK217" i="5"/>
  <c r="BJ217" i="5"/>
  <c r="BI217" i="5"/>
  <c r="BH217" i="5"/>
  <c r="BG217" i="5"/>
  <c r="BF217" i="5"/>
  <c r="BE217" i="5"/>
  <c r="BD217" i="5"/>
  <c r="BC217" i="5"/>
  <c r="BB217" i="5"/>
  <c r="BA217" i="5"/>
  <c r="AZ217" i="5"/>
  <c r="AY217" i="5"/>
  <c r="AX217" i="5"/>
  <c r="BN217" i="5" s="1"/>
  <c r="AW217" i="5"/>
  <c r="AV217" i="5"/>
  <c r="AU217" i="5"/>
  <c r="AT217" i="5"/>
  <c r="AS217" i="5"/>
  <c r="AR217" i="5"/>
  <c r="BL216" i="5"/>
  <c r="BK216" i="5"/>
  <c r="BJ216" i="5"/>
  <c r="BI216" i="5"/>
  <c r="BH216" i="5"/>
  <c r="BG216" i="5"/>
  <c r="BF216" i="5"/>
  <c r="BE216" i="5"/>
  <c r="BD216" i="5"/>
  <c r="BC216" i="5"/>
  <c r="BB216" i="5"/>
  <c r="BA216" i="5"/>
  <c r="AZ216" i="5"/>
  <c r="AY216" i="5"/>
  <c r="AX216" i="5"/>
  <c r="AW216" i="5"/>
  <c r="AV216" i="5"/>
  <c r="AU216" i="5"/>
  <c r="AT216" i="5"/>
  <c r="AS216" i="5"/>
  <c r="AR216" i="5"/>
  <c r="BL215" i="5"/>
  <c r="BK215" i="5"/>
  <c r="BJ215" i="5"/>
  <c r="BI215" i="5"/>
  <c r="BH215" i="5"/>
  <c r="BG215" i="5"/>
  <c r="BF215" i="5"/>
  <c r="BE215" i="5"/>
  <c r="BD215" i="5"/>
  <c r="BC215" i="5"/>
  <c r="BB215" i="5"/>
  <c r="BA215" i="5"/>
  <c r="AZ215" i="5"/>
  <c r="AY215" i="5"/>
  <c r="AX215" i="5"/>
  <c r="AW215" i="5"/>
  <c r="AV215" i="5"/>
  <c r="AU215" i="5"/>
  <c r="AT215" i="5"/>
  <c r="AS215" i="5"/>
  <c r="AR215" i="5"/>
  <c r="BL214" i="5"/>
  <c r="BK214" i="5"/>
  <c r="BJ214" i="5"/>
  <c r="BI214" i="5"/>
  <c r="BH214" i="5"/>
  <c r="BG214" i="5"/>
  <c r="BF214" i="5"/>
  <c r="BE214" i="5"/>
  <c r="BD214" i="5"/>
  <c r="BC214" i="5"/>
  <c r="BB214" i="5"/>
  <c r="BA214" i="5"/>
  <c r="AZ214" i="5"/>
  <c r="AY214" i="5"/>
  <c r="AX214" i="5"/>
  <c r="AW214" i="5"/>
  <c r="AV214" i="5"/>
  <c r="AU214" i="5"/>
  <c r="AT214" i="5"/>
  <c r="AS214" i="5"/>
  <c r="AR214" i="5"/>
  <c r="BL213" i="5"/>
  <c r="BK213" i="5"/>
  <c r="BJ213" i="5"/>
  <c r="BI213" i="5"/>
  <c r="BH213" i="5"/>
  <c r="BG213" i="5"/>
  <c r="BF213" i="5"/>
  <c r="BE213" i="5"/>
  <c r="BD213" i="5"/>
  <c r="BC213" i="5"/>
  <c r="BB213" i="5"/>
  <c r="BA213" i="5"/>
  <c r="AZ213" i="5"/>
  <c r="AY213" i="5"/>
  <c r="AX213" i="5"/>
  <c r="AW213" i="5"/>
  <c r="AV213" i="5"/>
  <c r="AU213" i="5"/>
  <c r="AT213" i="5"/>
  <c r="AS213" i="5"/>
  <c r="AR213" i="5"/>
  <c r="BL212" i="5"/>
  <c r="BK212" i="5"/>
  <c r="BJ212" i="5"/>
  <c r="BI212" i="5"/>
  <c r="BH212" i="5"/>
  <c r="BG212" i="5"/>
  <c r="BF212" i="5"/>
  <c r="BE212" i="5"/>
  <c r="BD212" i="5"/>
  <c r="BC212" i="5"/>
  <c r="BB212" i="5"/>
  <c r="BA212" i="5"/>
  <c r="AZ212" i="5"/>
  <c r="AY212" i="5"/>
  <c r="AX212" i="5"/>
  <c r="AW212" i="5"/>
  <c r="AV212" i="5"/>
  <c r="AU212" i="5"/>
  <c r="AT212" i="5"/>
  <c r="AS212" i="5"/>
  <c r="AR212" i="5"/>
  <c r="BL211" i="5"/>
  <c r="BK211" i="5"/>
  <c r="BJ211" i="5"/>
  <c r="BI211" i="5"/>
  <c r="BH211" i="5"/>
  <c r="BG211" i="5"/>
  <c r="BF211" i="5"/>
  <c r="BE211" i="5"/>
  <c r="BD211" i="5"/>
  <c r="BC211" i="5"/>
  <c r="BB211" i="5"/>
  <c r="BA211" i="5"/>
  <c r="AZ211" i="5"/>
  <c r="AY211" i="5"/>
  <c r="AX211" i="5"/>
  <c r="AW211" i="5"/>
  <c r="AV211" i="5"/>
  <c r="AU211" i="5"/>
  <c r="AT211" i="5"/>
  <c r="AS211" i="5"/>
  <c r="AR211" i="5"/>
  <c r="BL210" i="5"/>
  <c r="BK210" i="5"/>
  <c r="BJ210" i="5"/>
  <c r="BI210" i="5"/>
  <c r="BH210" i="5"/>
  <c r="BG210" i="5"/>
  <c r="BF210" i="5"/>
  <c r="BE210" i="5"/>
  <c r="BD210" i="5"/>
  <c r="BC210" i="5"/>
  <c r="BB210" i="5"/>
  <c r="BA210" i="5"/>
  <c r="AZ210" i="5"/>
  <c r="AY210" i="5"/>
  <c r="AX210" i="5"/>
  <c r="AW210" i="5"/>
  <c r="AV210" i="5"/>
  <c r="AU210" i="5"/>
  <c r="AT210" i="5"/>
  <c r="AS210" i="5"/>
  <c r="AR210" i="5"/>
  <c r="BL209" i="5"/>
  <c r="BK209" i="5"/>
  <c r="BJ209" i="5"/>
  <c r="BI209" i="5"/>
  <c r="BH209" i="5"/>
  <c r="BG209" i="5"/>
  <c r="BF209" i="5"/>
  <c r="BE209" i="5"/>
  <c r="BD209" i="5"/>
  <c r="BC209" i="5"/>
  <c r="BB209" i="5"/>
  <c r="BA209" i="5"/>
  <c r="AZ209" i="5"/>
  <c r="AY209" i="5"/>
  <c r="AX209" i="5"/>
  <c r="AW209" i="5"/>
  <c r="AV209" i="5"/>
  <c r="AU209" i="5"/>
  <c r="AT209" i="5"/>
  <c r="AS209" i="5"/>
  <c r="AR209" i="5"/>
  <c r="BL208" i="5"/>
  <c r="BK208" i="5"/>
  <c r="BJ208" i="5"/>
  <c r="BI208" i="5"/>
  <c r="BH208" i="5"/>
  <c r="BG208" i="5"/>
  <c r="BF208" i="5"/>
  <c r="BE208" i="5"/>
  <c r="BD208" i="5"/>
  <c r="BC208" i="5"/>
  <c r="BB208" i="5"/>
  <c r="BA208" i="5"/>
  <c r="AZ208" i="5"/>
  <c r="AY208" i="5"/>
  <c r="AX208" i="5"/>
  <c r="AW208" i="5"/>
  <c r="AV208" i="5"/>
  <c r="AU208" i="5"/>
  <c r="AT208" i="5"/>
  <c r="AS208" i="5"/>
  <c r="AR208" i="5"/>
  <c r="BL207" i="5"/>
  <c r="BK207" i="5"/>
  <c r="BJ207" i="5"/>
  <c r="BI207" i="5"/>
  <c r="BH207" i="5"/>
  <c r="BG207" i="5"/>
  <c r="BF207" i="5"/>
  <c r="BE207" i="5"/>
  <c r="BD207" i="5"/>
  <c r="BC207" i="5"/>
  <c r="BB207" i="5"/>
  <c r="BA207" i="5"/>
  <c r="AZ207" i="5"/>
  <c r="AY207" i="5"/>
  <c r="AX207" i="5"/>
  <c r="BN207" i="5" s="1"/>
  <c r="AW207" i="5"/>
  <c r="AV207" i="5"/>
  <c r="AU207" i="5"/>
  <c r="AT207" i="5"/>
  <c r="AS207" i="5"/>
  <c r="AR207" i="5"/>
  <c r="BL206" i="5"/>
  <c r="BK206" i="5"/>
  <c r="BJ206" i="5"/>
  <c r="BI206" i="5"/>
  <c r="BH206" i="5"/>
  <c r="BG206" i="5"/>
  <c r="BF206" i="5"/>
  <c r="BE206" i="5"/>
  <c r="BD206" i="5"/>
  <c r="BC206" i="5"/>
  <c r="BB206" i="5"/>
  <c r="BA206" i="5"/>
  <c r="AZ206" i="5"/>
  <c r="AY206" i="5"/>
  <c r="AX206" i="5"/>
  <c r="AW206" i="5"/>
  <c r="AV206" i="5"/>
  <c r="AU206" i="5"/>
  <c r="AT206" i="5"/>
  <c r="AS206" i="5"/>
  <c r="AR206" i="5"/>
  <c r="BL205" i="5"/>
  <c r="BK205" i="5"/>
  <c r="BJ205" i="5"/>
  <c r="BI205" i="5"/>
  <c r="BH205" i="5"/>
  <c r="BG205" i="5"/>
  <c r="BF205" i="5"/>
  <c r="BE205" i="5"/>
  <c r="BD205" i="5"/>
  <c r="BC205" i="5"/>
  <c r="BB205" i="5"/>
  <c r="BA205" i="5"/>
  <c r="AZ205" i="5"/>
  <c r="AY205" i="5"/>
  <c r="AX205" i="5"/>
  <c r="AW205" i="5"/>
  <c r="AV205" i="5"/>
  <c r="AU205" i="5"/>
  <c r="AT205" i="5"/>
  <c r="AS205" i="5"/>
  <c r="AR205" i="5"/>
  <c r="BL204" i="5"/>
  <c r="BK204" i="5"/>
  <c r="BJ204" i="5"/>
  <c r="BI204" i="5"/>
  <c r="BH204" i="5"/>
  <c r="BG204" i="5"/>
  <c r="BF204" i="5"/>
  <c r="BE204" i="5"/>
  <c r="BD204" i="5"/>
  <c r="BC204" i="5"/>
  <c r="BB204" i="5"/>
  <c r="BA204" i="5"/>
  <c r="AZ204" i="5"/>
  <c r="AY204" i="5"/>
  <c r="AX204" i="5"/>
  <c r="AW204" i="5"/>
  <c r="AV204" i="5"/>
  <c r="AU204" i="5"/>
  <c r="AT204" i="5"/>
  <c r="AS204" i="5"/>
  <c r="AR204" i="5"/>
  <c r="BL203" i="5"/>
  <c r="BK203" i="5"/>
  <c r="BJ203" i="5"/>
  <c r="BI203" i="5"/>
  <c r="BH203" i="5"/>
  <c r="BG203" i="5"/>
  <c r="BF203" i="5"/>
  <c r="BE203" i="5"/>
  <c r="BD203" i="5"/>
  <c r="BC203" i="5"/>
  <c r="BB203" i="5"/>
  <c r="BA203" i="5"/>
  <c r="AZ203" i="5"/>
  <c r="AY203" i="5"/>
  <c r="AX203" i="5"/>
  <c r="AW203" i="5"/>
  <c r="AV203" i="5"/>
  <c r="AU203" i="5"/>
  <c r="AT203" i="5"/>
  <c r="AS203" i="5"/>
  <c r="AR203" i="5"/>
  <c r="BL202" i="5"/>
  <c r="BK202" i="5"/>
  <c r="BJ202" i="5"/>
  <c r="BI202" i="5"/>
  <c r="BH202" i="5"/>
  <c r="BG202" i="5"/>
  <c r="BF202" i="5"/>
  <c r="BE202" i="5"/>
  <c r="BD202" i="5"/>
  <c r="BC202" i="5"/>
  <c r="BB202" i="5"/>
  <c r="BA202" i="5"/>
  <c r="AZ202" i="5"/>
  <c r="AY202" i="5"/>
  <c r="AX202" i="5"/>
  <c r="AW202" i="5"/>
  <c r="AV202" i="5"/>
  <c r="AU202" i="5"/>
  <c r="AT202" i="5"/>
  <c r="AS202" i="5"/>
  <c r="AR202" i="5"/>
  <c r="BL201" i="5"/>
  <c r="BK201" i="5"/>
  <c r="BJ201" i="5"/>
  <c r="BI201" i="5"/>
  <c r="BH201" i="5"/>
  <c r="BG201" i="5"/>
  <c r="BF201" i="5"/>
  <c r="BE201" i="5"/>
  <c r="BD201" i="5"/>
  <c r="BC201" i="5"/>
  <c r="BB201" i="5"/>
  <c r="BA201" i="5"/>
  <c r="AZ201" i="5"/>
  <c r="AY201" i="5"/>
  <c r="AX201" i="5"/>
  <c r="AW201" i="5"/>
  <c r="AV201" i="5"/>
  <c r="AU201" i="5"/>
  <c r="AT201" i="5"/>
  <c r="AS201" i="5"/>
  <c r="AR201" i="5"/>
  <c r="BL200" i="5"/>
  <c r="BK200" i="5"/>
  <c r="BJ200" i="5"/>
  <c r="BI200" i="5"/>
  <c r="BH200" i="5"/>
  <c r="BG200" i="5"/>
  <c r="BF200" i="5"/>
  <c r="BE200" i="5"/>
  <c r="BD200" i="5"/>
  <c r="BC200" i="5"/>
  <c r="BB200" i="5"/>
  <c r="BA200" i="5"/>
  <c r="AZ200" i="5"/>
  <c r="AY200" i="5"/>
  <c r="AX200" i="5"/>
  <c r="AW200" i="5"/>
  <c r="AV200" i="5"/>
  <c r="AU200" i="5"/>
  <c r="AT200" i="5"/>
  <c r="AS200" i="5"/>
  <c r="AR200" i="5"/>
  <c r="BL199" i="5"/>
  <c r="BK199" i="5"/>
  <c r="BJ199" i="5"/>
  <c r="BI199" i="5"/>
  <c r="BH199" i="5"/>
  <c r="BG199" i="5"/>
  <c r="BF199" i="5"/>
  <c r="BE199" i="5"/>
  <c r="BD199" i="5"/>
  <c r="BC199" i="5"/>
  <c r="BB199" i="5"/>
  <c r="BA199" i="5"/>
  <c r="AZ199" i="5"/>
  <c r="AY199" i="5"/>
  <c r="AX199" i="5"/>
  <c r="AW199" i="5"/>
  <c r="AV199" i="5"/>
  <c r="AU199" i="5"/>
  <c r="AT199" i="5"/>
  <c r="AS199" i="5"/>
  <c r="AR199" i="5"/>
  <c r="BL198" i="5"/>
  <c r="BK198" i="5"/>
  <c r="BJ198" i="5"/>
  <c r="BI198" i="5"/>
  <c r="BH198" i="5"/>
  <c r="BG198" i="5"/>
  <c r="BF198" i="5"/>
  <c r="BE198" i="5"/>
  <c r="BD198" i="5"/>
  <c r="BC198" i="5"/>
  <c r="BB198" i="5"/>
  <c r="BA198" i="5"/>
  <c r="AZ198" i="5"/>
  <c r="AY198" i="5"/>
  <c r="AX198" i="5"/>
  <c r="AW198" i="5"/>
  <c r="AV198" i="5"/>
  <c r="AU198" i="5"/>
  <c r="AT198" i="5"/>
  <c r="AS198" i="5"/>
  <c r="AR198" i="5"/>
  <c r="BL197" i="5"/>
  <c r="BK197" i="5"/>
  <c r="BJ197" i="5"/>
  <c r="BI197" i="5"/>
  <c r="BH197" i="5"/>
  <c r="BG197" i="5"/>
  <c r="BF197" i="5"/>
  <c r="BE197" i="5"/>
  <c r="BD197" i="5"/>
  <c r="BC197" i="5"/>
  <c r="BB197" i="5"/>
  <c r="BA197" i="5"/>
  <c r="AZ197" i="5"/>
  <c r="AY197" i="5"/>
  <c r="AX197" i="5"/>
  <c r="AW197" i="5"/>
  <c r="AV197" i="5"/>
  <c r="AU197" i="5"/>
  <c r="AT197" i="5"/>
  <c r="AS197" i="5"/>
  <c r="AR197" i="5"/>
  <c r="BL196" i="5"/>
  <c r="BK196" i="5"/>
  <c r="BJ196" i="5"/>
  <c r="BI196" i="5"/>
  <c r="BH196" i="5"/>
  <c r="BG196" i="5"/>
  <c r="BF196" i="5"/>
  <c r="BE196" i="5"/>
  <c r="BD196" i="5"/>
  <c r="BC196" i="5"/>
  <c r="BB196" i="5"/>
  <c r="BA196" i="5"/>
  <c r="AZ196" i="5"/>
  <c r="AY196" i="5"/>
  <c r="AX196" i="5"/>
  <c r="AW196" i="5"/>
  <c r="AV196" i="5"/>
  <c r="AU196" i="5"/>
  <c r="AT196" i="5"/>
  <c r="AS196" i="5"/>
  <c r="AR196" i="5"/>
  <c r="BL195" i="5"/>
  <c r="BK195" i="5"/>
  <c r="BJ195" i="5"/>
  <c r="BI195" i="5"/>
  <c r="BH195" i="5"/>
  <c r="BG195" i="5"/>
  <c r="BF195" i="5"/>
  <c r="BE195" i="5"/>
  <c r="BD195" i="5"/>
  <c r="BC195" i="5"/>
  <c r="BB195" i="5"/>
  <c r="BA195" i="5"/>
  <c r="AZ195" i="5"/>
  <c r="AY195" i="5"/>
  <c r="AX195" i="5"/>
  <c r="AW195" i="5"/>
  <c r="AV195" i="5"/>
  <c r="AU195" i="5"/>
  <c r="AT195" i="5"/>
  <c r="AS195" i="5"/>
  <c r="AR195" i="5"/>
  <c r="BL194" i="5"/>
  <c r="BK194" i="5"/>
  <c r="BJ194" i="5"/>
  <c r="BI194" i="5"/>
  <c r="BH194" i="5"/>
  <c r="BG194" i="5"/>
  <c r="BF194" i="5"/>
  <c r="BE194" i="5"/>
  <c r="BD194" i="5"/>
  <c r="BC194" i="5"/>
  <c r="BB194" i="5"/>
  <c r="BA194" i="5"/>
  <c r="AZ194" i="5"/>
  <c r="AY194" i="5"/>
  <c r="AX194" i="5"/>
  <c r="AW194" i="5"/>
  <c r="AV194" i="5"/>
  <c r="AU194" i="5"/>
  <c r="AT194" i="5"/>
  <c r="AS194" i="5"/>
  <c r="AR194" i="5"/>
  <c r="BL193" i="5"/>
  <c r="BK193" i="5"/>
  <c r="BJ193" i="5"/>
  <c r="BI193" i="5"/>
  <c r="BH193" i="5"/>
  <c r="BG193" i="5"/>
  <c r="BF193" i="5"/>
  <c r="BE193" i="5"/>
  <c r="BD193" i="5"/>
  <c r="BC193" i="5"/>
  <c r="BB193" i="5"/>
  <c r="BA193" i="5"/>
  <c r="AZ193" i="5"/>
  <c r="AY193" i="5"/>
  <c r="AX193" i="5"/>
  <c r="AW193" i="5"/>
  <c r="AV193" i="5"/>
  <c r="AU193" i="5"/>
  <c r="AT193" i="5"/>
  <c r="AS193" i="5"/>
  <c r="AR193" i="5"/>
  <c r="BL192" i="5"/>
  <c r="BK192" i="5"/>
  <c r="BJ192" i="5"/>
  <c r="BI192" i="5"/>
  <c r="BH192" i="5"/>
  <c r="BG192" i="5"/>
  <c r="BF192" i="5"/>
  <c r="BE192" i="5"/>
  <c r="BD192" i="5"/>
  <c r="BC192" i="5"/>
  <c r="BB192" i="5"/>
  <c r="BA192" i="5"/>
  <c r="AZ192" i="5"/>
  <c r="AY192" i="5"/>
  <c r="AX192" i="5"/>
  <c r="AW192" i="5"/>
  <c r="AV192" i="5"/>
  <c r="AU192" i="5"/>
  <c r="AT192" i="5"/>
  <c r="AS192" i="5"/>
  <c r="AR192" i="5"/>
  <c r="BL191" i="5"/>
  <c r="BK191" i="5"/>
  <c r="BJ191" i="5"/>
  <c r="BI191" i="5"/>
  <c r="BH191" i="5"/>
  <c r="BG191" i="5"/>
  <c r="BF191" i="5"/>
  <c r="BE191" i="5"/>
  <c r="BD191" i="5"/>
  <c r="BC191" i="5"/>
  <c r="BB191" i="5"/>
  <c r="BA191" i="5"/>
  <c r="AZ191" i="5"/>
  <c r="AY191" i="5"/>
  <c r="AX191" i="5"/>
  <c r="AW191" i="5"/>
  <c r="AV191" i="5"/>
  <c r="AU191" i="5"/>
  <c r="AT191" i="5"/>
  <c r="AS191" i="5"/>
  <c r="AR191" i="5"/>
  <c r="BL190" i="5"/>
  <c r="BK190" i="5"/>
  <c r="BJ190" i="5"/>
  <c r="BI190" i="5"/>
  <c r="BH190" i="5"/>
  <c r="BG190" i="5"/>
  <c r="BF190" i="5"/>
  <c r="BE190" i="5"/>
  <c r="BD190" i="5"/>
  <c r="BC190" i="5"/>
  <c r="BB190" i="5"/>
  <c r="BA190" i="5"/>
  <c r="AZ190" i="5"/>
  <c r="BO190" i="5" s="1"/>
  <c r="AY190" i="5"/>
  <c r="AX190" i="5"/>
  <c r="AW190" i="5"/>
  <c r="AV190" i="5"/>
  <c r="AU190" i="5"/>
  <c r="AT190" i="5"/>
  <c r="AS190" i="5"/>
  <c r="AR190" i="5"/>
  <c r="BL189" i="5"/>
  <c r="BK189" i="5"/>
  <c r="BJ189" i="5"/>
  <c r="BI189" i="5"/>
  <c r="BH189" i="5"/>
  <c r="BG189" i="5"/>
  <c r="BF189" i="5"/>
  <c r="BE189" i="5"/>
  <c r="BD189" i="5"/>
  <c r="BC189" i="5"/>
  <c r="BB189" i="5"/>
  <c r="BA189" i="5"/>
  <c r="AZ189" i="5"/>
  <c r="AY189" i="5"/>
  <c r="AX189" i="5"/>
  <c r="AW189" i="5"/>
  <c r="AV189" i="5"/>
  <c r="AU189" i="5"/>
  <c r="AT189" i="5"/>
  <c r="AS189" i="5"/>
  <c r="AR189" i="5"/>
  <c r="BL188" i="5"/>
  <c r="BK188" i="5"/>
  <c r="BJ188" i="5"/>
  <c r="BI188" i="5"/>
  <c r="BH188" i="5"/>
  <c r="BG188" i="5"/>
  <c r="BF188" i="5"/>
  <c r="BE188" i="5"/>
  <c r="BD188" i="5"/>
  <c r="BC188" i="5"/>
  <c r="BB188" i="5"/>
  <c r="BA188" i="5"/>
  <c r="AZ188" i="5"/>
  <c r="AY188" i="5"/>
  <c r="AX188" i="5"/>
  <c r="AW188" i="5"/>
  <c r="AV188" i="5"/>
  <c r="AU188" i="5"/>
  <c r="AT188" i="5"/>
  <c r="AS188" i="5"/>
  <c r="AR188" i="5"/>
  <c r="BL187" i="5"/>
  <c r="BK187" i="5"/>
  <c r="BJ187" i="5"/>
  <c r="BI187" i="5"/>
  <c r="BH187" i="5"/>
  <c r="BG187" i="5"/>
  <c r="BF187" i="5"/>
  <c r="BE187" i="5"/>
  <c r="BD187" i="5"/>
  <c r="BC187" i="5"/>
  <c r="BB187" i="5"/>
  <c r="BA187" i="5"/>
  <c r="AZ187" i="5"/>
  <c r="AY187" i="5"/>
  <c r="AX187" i="5"/>
  <c r="AW187" i="5"/>
  <c r="AV187" i="5"/>
  <c r="AU187" i="5"/>
  <c r="AT187" i="5"/>
  <c r="AS187" i="5"/>
  <c r="AR187" i="5"/>
  <c r="BL186" i="5"/>
  <c r="BK186" i="5"/>
  <c r="BJ186" i="5"/>
  <c r="BI186" i="5"/>
  <c r="BH186" i="5"/>
  <c r="BG186" i="5"/>
  <c r="BF186" i="5"/>
  <c r="BE186" i="5"/>
  <c r="BD186" i="5"/>
  <c r="BC186" i="5"/>
  <c r="BB186" i="5"/>
  <c r="BA186" i="5"/>
  <c r="AZ186" i="5"/>
  <c r="BO186" i="5" s="1"/>
  <c r="AY186" i="5"/>
  <c r="AX186" i="5"/>
  <c r="AW186" i="5"/>
  <c r="AV186" i="5"/>
  <c r="AU186" i="5"/>
  <c r="AT186" i="5"/>
  <c r="AS186" i="5"/>
  <c r="AR186" i="5"/>
  <c r="BL185" i="5"/>
  <c r="BK185" i="5"/>
  <c r="BJ185" i="5"/>
  <c r="BI185" i="5"/>
  <c r="BH185" i="5"/>
  <c r="BG185" i="5"/>
  <c r="BF185" i="5"/>
  <c r="BE185" i="5"/>
  <c r="BD185" i="5"/>
  <c r="BC185" i="5"/>
  <c r="BB185" i="5"/>
  <c r="BA185" i="5"/>
  <c r="AZ185" i="5"/>
  <c r="AY185" i="5"/>
  <c r="AX185" i="5"/>
  <c r="AW185" i="5"/>
  <c r="AV185" i="5"/>
  <c r="AU185" i="5"/>
  <c r="AT185" i="5"/>
  <c r="AS185" i="5"/>
  <c r="AR185" i="5"/>
  <c r="BL184" i="5"/>
  <c r="BK184" i="5"/>
  <c r="BJ184" i="5"/>
  <c r="BI184" i="5"/>
  <c r="BH184" i="5"/>
  <c r="BG184" i="5"/>
  <c r="BF184" i="5"/>
  <c r="BE184" i="5"/>
  <c r="BD184" i="5"/>
  <c r="BC184" i="5"/>
  <c r="BB184" i="5"/>
  <c r="BA184" i="5"/>
  <c r="AZ184" i="5"/>
  <c r="AY184" i="5"/>
  <c r="AX184" i="5"/>
  <c r="AW184" i="5"/>
  <c r="AV184" i="5"/>
  <c r="AU184" i="5"/>
  <c r="AT184" i="5"/>
  <c r="AS184" i="5"/>
  <c r="AR184" i="5"/>
  <c r="BL183" i="5"/>
  <c r="BK183" i="5"/>
  <c r="BJ183" i="5"/>
  <c r="BI183" i="5"/>
  <c r="BH183" i="5"/>
  <c r="BG183" i="5"/>
  <c r="BF183" i="5"/>
  <c r="BE183" i="5"/>
  <c r="BD183" i="5"/>
  <c r="BC183" i="5"/>
  <c r="BB183" i="5"/>
  <c r="BA183" i="5"/>
  <c r="AZ183" i="5"/>
  <c r="AY183" i="5"/>
  <c r="AX183" i="5"/>
  <c r="AW183" i="5"/>
  <c r="AV183" i="5"/>
  <c r="AU183" i="5"/>
  <c r="AT183" i="5"/>
  <c r="AS183" i="5"/>
  <c r="AR183" i="5"/>
  <c r="BL182" i="5"/>
  <c r="BK182" i="5"/>
  <c r="BJ182" i="5"/>
  <c r="BI182" i="5"/>
  <c r="BH182" i="5"/>
  <c r="BG182" i="5"/>
  <c r="BF182" i="5"/>
  <c r="BE182" i="5"/>
  <c r="BD182" i="5"/>
  <c r="BC182" i="5"/>
  <c r="BB182" i="5"/>
  <c r="BA182" i="5"/>
  <c r="AZ182" i="5"/>
  <c r="AY182" i="5"/>
  <c r="AX182" i="5"/>
  <c r="AW182" i="5"/>
  <c r="AV182" i="5"/>
  <c r="AU182" i="5"/>
  <c r="AT182" i="5"/>
  <c r="AS182" i="5"/>
  <c r="AR182" i="5"/>
  <c r="BL181" i="5"/>
  <c r="BK181" i="5"/>
  <c r="BJ181" i="5"/>
  <c r="BI181" i="5"/>
  <c r="BH181" i="5"/>
  <c r="BG181" i="5"/>
  <c r="BF181" i="5"/>
  <c r="BE181" i="5"/>
  <c r="BD181" i="5"/>
  <c r="BC181" i="5"/>
  <c r="BB181" i="5"/>
  <c r="BA181" i="5"/>
  <c r="AZ181" i="5"/>
  <c r="AY181" i="5"/>
  <c r="AX181" i="5"/>
  <c r="AW181" i="5"/>
  <c r="AV181" i="5"/>
  <c r="AU181" i="5"/>
  <c r="AT181" i="5"/>
  <c r="AS181" i="5"/>
  <c r="AR181" i="5"/>
  <c r="BL180" i="5"/>
  <c r="BK180" i="5"/>
  <c r="BJ180" i="5"/>
  <c r="BI180" i="5"/>
  <c r="BH180" i="5"/>
  <c r="BG180" i="5"/>
  <c r="BF180" i="5"/>
  <c r="BE180" i="5"/>
  <c r="BD180" i="5"/>
  <c r="BC180" i="5"/>
  <c r="BB180" i="5"/>
  <c r="BA180" i="5"/>
  <c r="AZ180" i="5"/>
  <c r="AY180" i="5"/>
  <c r="AX180" i="5"/>
  <c r="AW180" i="5"/>
  <c r="AV180" i="5"/>
  <c r="AU180" i="5"/>
  <c r="AT180" i="5"/>
  <c r="AS180" i="5"/>
  <c r="AR180" i="5"/>
  <c r="BO179" i="5"/>
  <c r="BL179" i="5"/>
  <c r="BK179" i="5"/>
  <c r="BJ179" i="5"/>
  <c r="BI179" i="5"/>
  <c r="BH179" i="5"/>
  <c r="BG179" i="5"/>
  <c r="BF179" i="5"/>
  <c r="BE179" i="5"/>
  <c r="BD179" i="5"/>
  <c r="BC179" i="5"/>
  <c r="BB179" i="5"/>
  <c r="BA179" i="5"/>
  <c r="AZ179" i="5"/>
  <c r="AY179" i="5"/>
  <c r="AX179" i="5"/>
  <c r="AW179" i="5"/>
  <c r="AV179" i="5"/>
  <c r="AU179" i="5"/>
  <c r="AT179" i="5"/>
  <c r="AS179" i="5"/>
  <c r="AR179" i="5"/>
  <c r="BL178" i="5"/>
  <c r="BK178" i="5"/>
  <c r="BJ178" i="5"/>
  <c r="BI178" i="5"/>
  <c r="BH178" i="5"/>
  <c r="BG178" i="5"/>
  <c r="BF178" i="5"/>
  <c r="BE178" i="5"/>
  <c r="BD178" i="5"/>
  <c r="BC178" i="5"/>
  <c r="BB178" i="5"/>
  <c r="BA178" i="5"/>
  <c r="AZ178" i="5"/>
  <c r="AY178" i="5"/>
  <c r="AX178" i="5"/>
  <c r="AW178" i="5"/>
  <c r="AV178" i="5"/>
  <c r="AU178" i="5"/>
  <c r="AT178" i="5"/>
  <c r="AS178" i="5"/>
  <c r="AR178" i="5"/>
  <c r="BL177" i="5"/>
  <c r="BK177" i="5"/>
  <c r="BJ177" i="5"/>
  <c r="BI177" i="5"/>
  <c r="BH177" i="5"/>
  <c r="BG177" i="5"/>
  <c r="BF177" i="5"/>
  <c r="BE177" i="5"/>
  <c r="BD177" i="5"/>
  <c r="BC177" i="5"/>
  <c r="BB177" i="5"/>
  <c r="BA177" i="5"/>
  <c r="AZ177" i="5"/>
  <c r="AY177" i="5"/>
  <c r="AX177" i="5"/>
  <c r="AW177" i="5"/>
  <c r="AV177" i="5"/>
  <c r="AU177" i="5"/>
  <c r="AT177" i="5"/>
  <c r="AS177" i="5"/>
  <c r="AR177" i="5"/>
  <c r="BL176" i="5"/>
  <c r="BK176" i="5"/>
  <c r="BJ176" i="5"/>
  <c r="BI176" i="5"/>
  <c r="BH176" i="5"/>
  <c r="BG176" i="5"/>
  <c r="BF176" i="5"/>
  <c r="BE176" i="5"/>
  <c r="BD176" i="5"/>
  <c r="BC176" i="5"/>
  <c r="BB176" i="5"/>
  <c r="BA176" i="5"/>
  <c r="AZ176" i="5"/>
  <c r="AY176" i="5"/>
  <c r="AX176" i="5"/>
  <c r="AW176" i="5"/>
  <c r="AV176" i="5"/>
  <c r="AU176" i="5"/>
  <c r="AT176" i="5"/>
  <c r="AS176" i="5"/>
  <c r="AR176" i="5"/>
  <c r="BL175" i="5"/>
  <c r="BK175" i="5"/>
  <c r="BJ175" i="5"/>
  <c r="BI175" i="5"/>
  <c r="BH175" i="5"/>
  <c r="BG175" i="5"/>
  <c r="BF175" i="5"/>
  <c r="BE175" i="5"/>
  <c r="BD175" i="5"/>
  <c r="BC175" i="5"/>
  <c r="BB175" i="5"/>
  <c r="BA175" i="5"/>
  <c r="AZ175" i="5"/>
  <c r="AY175" i="5"/>
  <c r="AX175" i="5"/>
  <c r="AW175" i="5"/>
  <c r="AV175" i="5"/>
  <c r="AU175" i="5"/>
  <c r="AT175" i="5"/>
  <c r="AS175" i="5"/>
  <c r="AR175" i="5"/>
  <c r="BL174" i="5"/>
  <c r="BK174" i="5"/>
  <c r="BJ174" i="5"/>
  <c r="BI174" i="5"/>
  <c r="BH174" i="5"/>
  <c r="BG174" i="5"/>
  <c r="BF174" i="5"/>
  <c r="BE174" i="5"/>
  <c r="BD174" i="5"/>
  <c r="BC174" i="5"/>
  <c r="BB174" i="5"/>
  <c r="BA174" i="5"/>
  <c r="AZ174" i="5"/>
  <c r="AY174" i="5"/>
  <c r="AX174" i="5"/>
  <c r="AW174" i="5"/>
  <c r="AV174" i="5"/>
  <c r="AU174" i="5"/>
  <c r="AT174" i="5"/>
  <c r="AS174" i="5"/>
  <c r="AR174" i="5"/>
  <c r="BL173" i="5"/>
  <c r="BK173" i="5"/>
  <c r="BJ173" i="5"/>
  <c r="BI173" i="5"/>
  <c r="BH173" i="5"/>
  <c r="BG173" i="5"/>
  <c r="BF173" i="5"/>
  <c r="BE173" i="5"/>
  <c r="BD173" i="5"/>
  <c r="BC173" i="5"/>
  <c r="BB173" i="5"/>
  <c r="BA173" i="5"/>
  <c r="AZ173" i="5"/>
  <c r="AY173" i="5"/>
  <c r="AX173" i="5"/>
  <c r="AW173" i="5"/>
  <c r="AV173" i="5"/>
  <c r="AU173" i="5"/>
  <c r="AT173" i="5"/>
  <c r="AS173" i="5"/>
  <c r="AR173" i="5"/>
  <c r="BL172" i="5"/>
  <c r="BK172" i="5"/>
  <c r="BJ172" i="5"/>
  <c r="BI172" i="5"/>
  <c r="BH172" i="5"/>
  <c r="BG172" i="5"/>
  <c r="BF172" i="5"/>
  <c r="BE172" i="5"/>
  <c r="BD172" i="5"/>
  <c r="BC172" i="5"/>
  <c r="BB172" i="5"/>
  <c r="BA172" i="5"/>
  <c r="AZ172" i="5"/>
  <c r="AY172" i="5"/>
  <c r="AX172" i="5"/>
  <c r="AW172" i="5"/>
  <c r="AV172" i="5"/>
  <c r="AU172" i="5"/>
  <c r="AT172" i="5"/>
  <c r="AS172" i="5"/>
  <c r="AR172" i="5"/>
  <c r="BL171" i="5"/>
  <c r="BK171" i="5"/>
  <c r="BJ171" i="5"/>
  <c r="BI171" i="5"/>
  <c r="BH171" i="5"/>
  <c r="BG171" i="5"/>
  <c r="BF171" i="5"/>
  <c r="BE171" i="5"/>
  <c r="BD171" i="5"/>
  <c r="BC171" i="5"/>
  <c r="BB171" i="5"/>
  <c r="BA171" i="5"/>
  <c r="AZ171" i="5"/>
  <c r="AY171" i="5"/>
  <c r="AX171" i="5"/>
  <c r="AW171" i="5"/>
  <c r="AV171" i="5"/>
  <c r="AU171" i="5"/>
  <c r="AT171" i="5"/>
  <c r="AS171" i="5"/>
  <c r="AR171" i="5"/>
  <c r="BL170" i="5"/>
  <c r="BK170" i="5"/>
  <c r="BJ170" i="5"/>
  <c r="BI170" i="5"/>
  <c r="BH170" i="5"/>
  <c r="BG170" i="5"/>
  <c r="BF170" i="5"/>
  <c r="BE170" i="5"/>
  <c r="BD170" i="5"/>
  <c r="BC170" i="5"/>
  <c r="BB170" i="5"/>
  <c r="BA170" i="5"/>
  <c r="AZ170" i="5"/>
  <c r="AY170" i="5"/>
  <c r="AX170" i="5"/>
  <c r="AW170" i="5"/>
  <c r="AV170" i="5"/>
  <c r="AU170" i="5"/>
  <c r="AT170" i="5"/>
  <c r="AS170" i="5"/>
  <c r="AR170" i="5"/>
  <c r="BL169" i="5"/>
  <c r="BK169" i="5"/>
  <c r="BJ169" i="5"/>
  <c r="BI169" i="5"/>
  <c r="BH169" i="5"/>
  <c r="BG169" i="5"/>
  <c r="BF169" i="5"/>
  <c r="BE169" i="5"/>
  <c r="BD169" i="5"/>
  <c r="BC169" i="5"/>
  <c r="BB169" i="5"/>
  <c r="BA169" i="5"/>
  <c r="AZ169" i="5"/>
  <c r="AY169" i="5"/>
  <c r="AX169" i="5"/>
  <c r="AW169" i="5"/>
  <c r="AV169" i="5"/>
  <c r="AU169" i="5"/>
  <c r="AT169" i="5"/>
  <c r="AS169" i="5"/>
  <c r="AR169" i="5"/>
  <c r="BL168" i="5"/>
  <c r="BK168" i="5"/>
  <c r="BJ168" i="5"/>
  <c r="BI168" i="5"/>
  <c r="BH168" i="5"/>
  <c r="BG168" i="5"/>
  <c r="BF168" i="5"/>
  <c r="BE168" i="5"/>
  <c r="BD168" i="5"/>
  <c r="BC168" i="5"/>
  <c r="BB168" i="5"/>
  <c r="BA168" i="5"/>
  <c r="AZ168" i="5"/>
  <c r="AY168" i="5"/>
  <c r="AX168" i="5"/>
  <c r="AW168" i="5"/>
  <c r="AV168" i="5"/>
  <c r="AU168" i="5"/>
  <c r="AT168" i="5"/>
  <c r="AS168" i="5"/>
  <c r="AR168" i="5"/>
  <c r="BL167" i="5"/>
  <c r="BK167" i="5"/>
  <c r="BJ167" i="5"/>
  <c r="BI167" i="5"/>
  <c r="BH167" i="5"/>
  <c r="BG167" i="5"/>
  <c r="BF167" i="5"/>
  <c r="BE167" i="5"/>
  <c r="BD167" i="5"/>
  <c r="BC167" i="5"/>
  <c r="BB167" i="5"/>
  <c r="BA167" i="5"/>
  <c r="AZ167" i="5"/>
  <c r="AY167" i="5"/>
  <c r="AX167" i="5"/>
  <c r="AW167" i="5"/>
  <c r="AV167" i="5"/>
  <c r="AU167" i="5"/>
  <c r="AT167" i="5"/>
  <c r="AS167" i="5"/>
  <c r="AR167" i="5"/>
  <c r="BL166" i="5"/>
  <c r="BK166" i="5"/>
  <c r="BJ166" i="5"/>
  <c r="BI166" i="5"/>
  <c r="BH166" i="5"/>
  <c r="BG166" i="5"/>
  <c r="BF166" i="5"/>
  <c r="BE166" i="5"/>
  <c r="BD166" i="5"/>
  <c r="BC166" i="5"/>
  <c r="BB166" i="5"/>
  <c r="BA166" i="5"/>
  <c r="AZ166" i="5"/>
  <c r="AY166" i="5"/>
  <c r="AX166" i="5"/>
  <c r="AW166" i="5"/>
  <c r="AV166" i="5"/>
  <c r="AU166" i="5"/>
  <c r="AT166" i="5"/>
  <c r="AS166" i="5"/>
  <c r="AR166" i="5"/>
  <c r="BL165" i="5"/>
  <c r="BK165" i="5"/>
  <c r="BJ165" i="5"/>
  <c r="BI165" i="5"/>
  <c r="BH165" i="5"/>
  <c r="BG165" i="5"/>
  <c r="BF165" i="5"/>
  <c r="BE165" i="5"/>
  <c r="BD165" i="5"/>
  <c r="BC165" i="5"/>
  <c r="BB165" i="5"/>
  <c r="BA165" i="5"/>
  <c r="AZ165" i="5"/>
  <c r="AY165" i="5"/>
  <c r="AX165" i="5"/>
  <c r="AW165" i="5"/>
  <c r="AV165" i="5"/>
  <c r="AU165" i="5"/>
  <c r="AT165" i="5"/>
  <c r="AS165" i="5"/>
  <c r="AR165" i="5"/>
  <c r="BL164" i="5"/>
  <c r="BK164" i="5"/>
  <c r="BJ164" i="5"/>
  <c r="BI164" i="5"/>
  <c r="BH164" i="5"/>
  <c r="BG164" i="5"/>
  <c r="BF164" i="5"/>
  <c r="BE164" i="5"/>
  <c r="BD164" i="5"/>
  <c r="BC164" i="5"/>
  <c r="BB164" i="5"/>
  <c r="BA164" i="5"/>
  <c r="AZ164" i="5"/>
  <c r="AY164" i="5"/>
  <c r="AX164" i="5"/>
  <c r="AW164" i="5"/>
  <c r="AV164" i="5"/>
  <c r="AU164" i="5"/>
  <c r="AT164" i="5"/>
  <c r="AS164" i="5"/>
  <c r="AR164" i="5"/>
  <c r="BL163" i="5"/>
  <c r="BK163" i="5"/>
  <c r="BJ163" i="5"/>
  <c r="BI163" i="5"/>
  <c r="BH163" i="5"/>
  <c r="BG163" i="5"/>
  <c r="BF163" i="5"/>
  <c r="BE163" i="5"/>
  <c r="BD163" i="5"/>
  <c r="BC163" i="5"/>
  <c r="BB163" i="5"/>
  <c r="BA163" i="5"/>
  <c r="AZ163" i="5"/>
  <c r="AY163" i="5"/>
  <c r="AX163" i="5"/>
  <c r="AW163" i="5"/>
  <c r="AV163" i="5"/>
  <c r="AU163" i="5"/>
  <c r="AT163" i="5"/>
  <c r="AS163" i="5"/>
  <c r="AR163" i="5"/>
  <c r="BL162" i="5"/>
  <c r="BK162" i="5"/>
  <c r="BJ162" i="5"/>
  <c r="BI162" i="5"/>
  <c r="BH162" i="5"/>
  <c r="BG162" i="5"/>
  <c r="BF162" i="5"/>
  <c r="BE162" i="5"/>
  <c r="BD162" i="5"/>
  <c r="BC162" i="5"/>
  <c r="BB162" i="5"/>
  <c r="BA162" i="5"/>
  <c r="AZ162" i="5"/>
  <c r="AY162" i="5"/>
  <c r="AX162" i="5"/>
  <c r="AW162" i="5"/>
  <c r="AV162" i="5"/>
  <c r="AU162" i="5"/>
  <c r="AT162" i="5"/>
  <c r="AS162" i="5"/>
  <c r="AR162" i="5"/>
  <c r="BL161" i="5"/>
  <c r="BK161" i="5"/>
  <c r="BJ161" i="5"/>
  <c r="BI161" i="5"/>
  <c r="BH161" i="5"/>
  <c r="BG161" i="5"/>
  <c r="BF161" i="5"/>
  <c r="BE161" i="5"/>
  <c r="BD161" i="5"/>
  <c r="BC161" i="5"/>
  <c r="BB161" i="5"/>
  <c r="BA161" i="5"/>
  <c r="AZ161" i="5"/>
  <c r="AY161" i="5"/>
  <c r="AX161" i="5"/>
  <c r="AW161" i="5"/>
  <c r="AV161" i="5"/>
  <c r="AU161" i="5"/>
  <c r="AT161" i="5"/>
  <c r="AS161" i="5"/>
  <c r="AR161" i="5"/>
  <c r="BL160" i="5"/>
  <c r="BK160" i="5"/>
  <c r="BJ160" i="5"/>
  <c r="BI160" i="5"/>
  <c r="BH160" i="5"/>
  <c r="BG160" i="5"/>
  <c r="BF160" i="5"/>
  <c r="BE160" i="5"/>
  <c r="BD160" i="5"/>
  <c r="BC160" i="5"/>
  <c r="BB160" i="5"/>
  <c r="BA160" i="5"/>
  <c r="AZ160" i="5"/>
  <c r="AY160" i="5"/>
  <c r="AX160" i="5"/>
  <c r="AW160" i="5"/>
  <c r="AV160" i="5"/>
  <c r="AU160" i="5"/>
  <c r="AT160" i="5"/>
  <c r="AS160" i="5"/>
  <c r="AR160" i="5"/>
  <c r="BL159" i="5"/>
  <c r="BK159" i="5"/>
  <c r="BJ159" i="5"/>
  <c r="BI159" i="5"/>
  <c r="BH159" i="5"/>
  <c r="BG159" i="5"/>
  <c r="BF159" i="5"/>
  <c r="BE159" i="5"/>
  <c r="BD159" i="5"/>
  <c r="BC159" i="5"/>
  <c r="BB159" i="5"/>
  <c r="BA159" i="5"/>
  <c r="AZ159" i="5"/>
  <c r="AY159" i="5"/>
  <c r="AX159" i="5"/>
  <c r="AW159" i="5"/>
  <c r="AV159" i="5"/>
  <c r="AU159" i="5"/>
  <c r="AT159" i="5"/>
  <c r="AS159" i="5"/>
  <c r="AR159" i="5"/>
  <c r="BL158" i="5"/>
  <c r="BK158" i="5"/>
  <c r="BJ158" i="5"/>
  <c r="BI158" i="5"/>
  <c r="BH158" i="5"/>
  <c r="BG158" i="5"/>
  <c r="BF158" i="5"/>
  <c r="BE158" i="5"/>
  <c r="BD158" i="5"/>
  <c r="BC158" i="5"/>
  <c r="BB158" i="5"/>
  <c r="BA158" i="5"/>
  <c r="AZ158" i="5"/>
  <c r="AY158" i="5"/>
  <c r="AX158" i="5"/>
  <c r="AW158" i="5"/>
  <c r="AV158" i="5"/>
  <c r="AU158" i="5"/>
  <c r="AT158" i="5"/>
  <c r="AS158" i="5"/>
  <c r="AR158" i="5"/>
  <c r="BO157" i="5"/>
  <c r="BL157" i="5"/>
  <c r="BK157" i="5"/>
  <c r="BJ157" i="5"/>
  <c r="BI157" i="5"/>
  <c r="BH157" i="5"/>
  <c r="BG157" i="5"/>
  <c r="BF157" i="5"/>
  <c r="BE157" i="5"/>
  <c r="BD157" i="5"/>
  <c r="BC157" i="5"/>
  <c r="BB157" i="5"/>
  <c r="BA157" i="5"/>
  <c r="AZ157" i="5"/>
  <c r="AY157" i="5"/>
  <c r="AX157" i="5"/>
  <c r="AW157" i="5"/>
  <c r="AV157" i="5"/>
  <c r="AU157" i="5"/>
  <c r="AT157" i="5"/>
  <c r="AS157" i="5"/>
  <c r="AR157" i="5"/>
  <c r="BL156" i="5"/>
  <c r="BK156" i="5"/>
  <c r="BJ156" i="5"/>
  <c r="BI156" i="5"/>
  <c r="BH156" i="5"/>
  <c r="BG156" i="5"/>
  <c r="BF156" i="5"/>
  <c r="BE156" i="5"/>
  <c r="BD156" i="5"/>
  <c r="BC156" i="5"/>
  <c r="BB156" i="5"/>
  <c r="BA156" i="5"/>
  <c r="AZ156" i="5"/>
  <c r="AY156" i="5"/>
  <c r="AX156" i="5"/>
  <c r="AW156" i="5"/>
  <c r="AV156" i="5"/>
  <c r="AU156" i="5"/>
  <c r="AT156" i="5"/>
  <c r="AS156" i="5"/>
  <c r="AR156" i="5"/>
  <c r="BL155" i="5"/>
  <c r="BK155" i="5"/>
  <c r="BJ155" i="5"/>
  <c r="BI155" i="5"/>
  <c r="BH155" i="5"/>
  <c r="BG155" i="5"/>
  <c r="BF155" i="5"/>
  <c r="BE155" i="5"/>
  <c r="BD155" i="5"/>
  <c r="BC155" i="5"/>
  <c r="BB155" i="5"/>
  <c r="BA155" i="5"/>
  <c r="AZ155" i="5"/>
  <c r="AY155" i="5"/>
  <c r="AX155" i="5"/>
  <c r="AW155" i="5"/>
  <c r="AV155" i="5"/>
  <c r="AU155" i="5"/>
  <c r="AT155" i="5"/>
  <c r="AS155" i="5"/>
  <c r="AR155" i="5"/>
  <c r="BL154" i="5"/>
  <c r="BK154" i="5"/>
  <c r="BJ154" i="5"/>
  <c r="BI154" i="5"/>
  <c r="BH154" i="5"/>
  <c r="BG154" i="5"/>
  <c r="BF154" i="5"/>
  <c r="BE154" i="5"/>
  <c r="BD154" i="5"/>
  <c r="BC154" i="5"/>
  <c r="BB154" i="5"/>
  <c r="BA154" i="5"/>
  <c r="AZ154" i="5"/>
  <c r="AY154" i="5"/>
  <c r="AX154" i="5"/>
  <c r="AW154" i="5"/>
  <c r="AV154" i="5"/>
  <c r="AU154" i="5"/>
  <c r="AT154" i="5"/>
  <c r="AS154" i="5"/>
  <c r="AR154" i="5"/>
  <c r="BL153" i="5"/>
  <c r="BK153" i="5"/>
  <c r="BJ153" i="5"/>
  <c r="BI153" i="5"/>
  <c r="BH153" i="5"/>
  <c r="BG153" i="5"/>
  <c r="BF153" i="5"/>
  <c r="BE153" i="5"/>
  <c r="BD153" i="5"/>
  <c r="BC153" i="5"/>
  <c r="BB153" i="5"/>
  <c r="BA153" i="5"/>
  <c r="AZ153" i="5"/>
  <c r="AY153" i="5"/>
  <c r="AX153" i="5"/>
  <c r="AW153" i="5"/>
  <c r="AV153" i="5"/>
  <c r="AU153" i="5"/>
  <c r="AT153" i="5"/>
  <c r="AS153" i="5"/>
  <c r="AR153" i="5"/>
  <c r="BL152" i="5"/>
  <c r="BK152" i="5"/>
  <c r="BJ152" i="5"/>
  <c r="BI152" i="5"/>
  <c r="BH152" i="5"/>
  <c r="BG152" i="5"/>
  <c r="BF152" i="5"/>
  <c r="BE152" i="5"/>
  <c r="BD152" i="5"/>
  <c r="BC152" i="5"/>
  <c r="BB152" i="5"/>
  <c r="BA152" i="5"/>
  <c r="AZ152" i="5"/>
  <c r="AY152" i="5"/>
  <c r="AX152" i="5"/>
  <c r="AW152" i="5"/>
  <c r="AV152" i="5"/>
  <c r="AU152" i="5"/>
  <c r="AT152" i="5"/>
  <c r="AS152" i="5"/>
  <c r="AR152" i="5"/>
  <c r="BL151" i="5"/>
  <c r="BK151" i="5"/>
  <c r="BJ151" i="5"/>
  <c r="BI151" i="5"/>
  <c r="BH151" i="5"/>
  <c r="BG151" i="5"/>
  <c r="BF151" i="5"/>
  <c r="BE151" i="5"/>
  <c r="BD151" i="5"/>
  <c r="BC151" i="5"/>
  <c r="BB151" i="5"/>
  <c r="BA151" i="5"/>
  <c r="AZ151" i="5"/>
  <c r="AY151" i="5"/>
  <c r="BO151" i="5" s="1"/>
  <c r="AX151" i="5"/>
  <c r="AW151" i="5"/>
  <c r="AV151" i="5"/>
  <c r="AU151" i="5"/>
  <c r="AT151" i="5"/>
  <c r="AS151" i="5"/>
  <c r="AR151" i="5"/>
  <c r="BL150" i="5"/>
  <c r="BK150" i="5"/>
  <c r="BJ150" i="5"/>
  <c r="BI150" i="5"/>
  <c r="BH150" i="5"/>
  <c r="BG150" i="5"/>
  <c r="BF150" i="5"/>
  <c r="BE150" i="5"/>
  <c r="BD150" i="5"/>
  <c r="BC150" i="5"/>
  <c r="BB150" i="5"/>
  <c r="BA150" i="5"/>
  <c r="AZ150" i="5"/>
  <c r="AY150" i="5"/>
  <c r="AX150" i="5"/>
  <c r="AW150" i="5"/>
  <c r="AV150" i="5"/>
  <c r="AU150" i="5"/>
  <c r="AT150" i="5"/>
  <c r="AS150" i="5"/>
  <c r="AR150" i="5"/>
  <c r="BL149" i="5"/>
  <c r="BK149" i="5"/>
  <c r="BJ149" i="5"/>
  <c r="BI149" i="5"/>
  <c r="BH149" i="5"/>
  <c r="BG149" i="5"/>
  <c r="BF149" i="5"/>
  <c r="BE149" i="5"/>
  <c r="BD149" i="5"/>
  <c r="BC149" i="5"/>
  <c r="BB149" i="5"/>
  <c r="BA149" i="5"/>
  <c r="AZ149" i="5"/>
  <c r="AY149" i="5"/>
  <c r="AX149" i="5"/>
  <c r="AW149" i="5"/>
  <c r="AV149" i="5"/>
  <c r="AU149" i="5"/>
  <c r="AT149" i="5"/>
  <c r="AS149" i="5"/>
  <c r="AR149" i="5"/>
  <c r="BL148" i="5"/>
  <c r="BK148" i="5"/>
  <c r="BJ148" i="5"/>
  <c r="BI148" i="5"/>
  <c r="BH148" i="5"/>
  <c r="BG148" i="5"/>
  <c r="BF148" i="5"/>
  <c r="BE148" i="5"/>
  <c r="BD148" i="5"/>
  <c r="BC148" i="5"/>
  <c r="BB148" i="5"/>
  <c r="BA148" i="5"/>
  <c r="AZ148" i="5"/>
  <c r="AY148" i="5"/>
  <c r="AX148" i="5"/>
  <c r="AW148" i="5"/>
  <c r="AV148" i="5"/>
  <c r="AU148" i="5"/>
  <c r="AT148" i="5"/>
  <c r="AS148" i="5"/>
  <c r="AR148" i="5"/>
  <c r="BL147" i="5"/>
  <c r="BK147" i="5"/>
  <c r="BJ147" i="5"/>
  <c r="BI147" i="5"/>
  <c r="BH147" i="5"/>
  <c r="BG147" i="5"/>
  <c r="BF147" i="5"/>
  <c r="BE147" i="5"/>
  <c r="BD147" i="5"/>
  <c r="BC147" i="5"/>
  <c r="BB147" i="5"/>
  <c r="BA147" i="5"/>
  <c r="AZ147" i="5"/>
  <c r="AY147" i="5"/>
  <c r="AX147" i="5"/>
  <c r="AW147" i="5"/>
  <c r="AV147" i="5"/>
  <c r="AU147" i="5"/>
  <c r="AT147" i="5"/>
  <c r="AS147" i="5"/>
  <c r="AR147" i="5"/>
  <c r="BL146" i="5"/>
  <c r="BK146" i="5"/>
  <c r="BJ146" i="5"/>
  <c r="BI146" i="5"/>
  <c r="BH146" i="5"/>
  <c r="BG146" i="5"/>
  <c r="BF146" i="5"/>
  <c r="BE146" i="5"/>
  <c r="BD146" i="5"/>
  <c r="BC146" i="5"/>
  <c r="BB146" i="5"/>
  <c r="BA146" i="5"/>
  <c r="AZ146" i="5"/>
  <c r="AY146" i="5"/>
  <c r="AX146" i="5"/>
  <c r="AW146" i="5"/>
  <c r="AV146" i="5"/>
  <c r="AU146" i="5"/>
  <c r="AT146" i="5"/>
  <c r="AS146" i="5"/>
  <c r="AR146" i="5"/>
  <c r="BL145" i="5"/>
  <c r="BK145" i="5"/>
  <c r="BJ145" i="5"/>
  <c r="BI145" i="5"/>
  <c r="BH145" i="5"/>
  <c r="BG145" i="5"/>
  <c r="BF145" i="5"/>
  <c r="BE145" i="5"/>
  <c r="BD145" i="5"/>
  <c r="BC145" i="5"/>
  <c r="BB145" i="5"/>
  <c r="BA145" i="5"/>
  <c r="AZ145" i="5"/>
  <c r="AY145" i="5"/>
  <c r="AX145" i="5"/>
  <c r="AW145" i="5"/>
  <c r="AV145" i="5"/>
  <c r="AU145" i="5"/>
  <c r="AT145" i="5"/>
  <c r="AS145" i="5"/>
  <c r="AR145" i="5"/>
  <c r="BL144" i="5"/>
  <c r="BK144" i="5"/>
  <c r="BJ144" i="5"/>
  <c r="BI144" i="5"/>
  <c r="BH144" i="5"/>
  <c r="BG144" i="5"/>
  <c r="BF144" i="5"/>
  <c r="BE144" i="5"/>
  <c r="BD144" i="5"/>
  <c r="BC144" i="5"/>
  <c r="BB144" i="5"/>
  <c r="BA144" i="5"/>
  <c r="AZ144" i="5"/>
  <c r="AY144" i="5"/>
  <c r="AX144" i="5"/>
  <c r="AW144" i="5"/>
  <c r="AV144" i="5"/>
  <c r="AU144" i="5"/>
  <c r="AT144" i="5"/>
  <c r="AS144" i="5"/>
  <c r="AR144" i="5"/>
  <c r="BL143" i="5"/>
  <c r="BK143" i="5"/>
  <c r="BJ143" i="5"/>
  <c r="BI143" i="5"/>
  <c r="BH143" i="5"/>
  <c r="BG143" i="5"/>
  <c r="BF143" i="5"/>
  <c r="BE143" i="5"/>
  <c r="BD143" i="5"/>
  <c r="BC143" i="5"/>
  <c r="BB143" i="5"/>
  <c r="BA143" i="5"/>
  <c r="AZ143" i="5"/>
  <c r="AY143" i="5"/>
  <c r="AX143" i="5"/>
  <c r="BN143" i="5" s="1"/>
  <c r="AW143" i="5"/>
  <c r="AV143" i="5"/>
  <c r="AU143" i="5"/>
  <c r="AT143" i="5"/>
  <c r="AS143" i="5"/>
  <c r="AR143" i="5"/>
  <c r="BL142" i="5"/>
  <c r="BK142" i="5"/>
  <c r="BJ142" i="5"/>
  <c r="BI142" i="5"/>
  <c r="BH142" i="5"/>
  <c r="BG142" i="5"/>
  <c r="BF142" i="5"/>
  <c r="BE142" i="5"/>
  <c r="BD142" i="5"/>
  <c r="BC142" i="5"/>
  <c r="BB142" i="5"/>
  <c r="BA142" i="5"/>
  <c r="AZ142" i="5"/>
  <c r="AY142" i="5"/>
  <c r="AX142" i="5"/>
  <c r="AW142" i="5"/>
  <c r="AV142" i="5"/>
  <c r="AU142" i="5"/>
  <c r="AT142" i="5"/>
  <c r="AS142" i="5"/>
  <c r="AR142" i="5"/>
  <c r="BL141" i="5"/>
  <c r="BK141" i="5"/>
  <c r="BJ141" i="5"/>
  <c r="BI141" i="5"/>
  <c r="BH141" i="5"/>
  <c r="BG141" i="5"/>
  <c r="BF141" i="5"/>
  <c r="BE141" i="5"/>
  <c r="BD141" i="5"/>
  <c r="BC141" i="5"/>
  <c r="BB141" i="5"/>
  <c r="BA141" i="5"/>
  <c r="AZ141" i="5"/>
  <c r="AY141" i="5"/>
  <c r="AX141" i="5"/>
  <c r="AW141" i="5"/>
  <c r="AV141" i="5"/>
  <c r="AU141" i="5"/>
  <c r="AT141" i="5"/>
  <c r="AS141" i="5"/>
  <c r="AR141" i="5"/>
  <c r="BL140" i="5"/>
  <c r="BK140" i="5"/>
  <c r="BJ140" i="5"/>
  <c r="BI140" i="5"/>
  <c r="BH140" i="5"/>
  <c r="BG140" i="5"/>
  <c r="BF140" i="5"/>
  <c r="BE140" i="5"/>
  <c r="BD140" i="5"/>
  <c r="BC140" i="5"/>
  <c r="BB140" i="5"/>
  <c r="BA140" i="5"/>
  <c r="AZ140" i="5"/>
  <c r="AY140" i="5"/>
  <c r="AX140" i="5"/>
  <c r="AW140" i="5"/>
  <c r="AV140" i="5"/>
  <c r="AU140" i="5"/>
  <c r="AT140" i="5"/>
  <c r="AS140" i="5"/>
  <c r="AR140" i="5"/>
  <c r="BL139" i="5"/>
  <c r="BK139" i="5"/>
  <c r="BJ139" i="5"/>
  <c r="BI139" i="5"/>
  <c r="BH139" i="5"/>
  <c r="BG139" i="5"/>
  <c r="BF139" i="5"/>
  <c r="BE139" i="5"/>
  <c r="BD139" i="5"/>
  <c r="BC139" i="5"/>
  <c r="BB139" i="5"/>
  <c r="BA139" i="5"/>
  <c r="AZ139" i="5"/>
  <c r="AY139" i="5"/>
  <c r="AX139" i="5"/>
  <c r="AW139" i="5"/>
  <c r="AV139" i="5"/>
  <c r="AU139" i="5"/>
  <c r="AT139" i="5"/>
  <c r="AS139" i="5"/>
  <c r="AR139" i="5"/>
  <c r="BL138" i="5"/>
  <c r="BK138" i="5"/>
  <c r="BJ138" i="5"/>
  <c r="BI138" i="5"/>
  <c r="BH138" i="5"/>
  <c r="BG138" i="5"/>
  <c r="BF138" i="5"/>
  <c r="BE138" i="5"/>
  <c r="BD138" i="5"/>
  <c r="BC138" i="5"/>
  <c r="BB138" i="5"/>
  <c r="BA138" i="5"/>
  <c r="AZ138" i="5"/>
  <c r="AY138" i="5"/>
  <c r="AX138" i="5"/>
  <c r="AW138" i="5"/>
  <c r="AV138" i="5"/>
  <c r="AU138" i="5"/>
  <c r="AT138" i="5"/>
  <c r="AS138" i="5"/>
  <c r="AR138" i="5"/>
  <c r="BL137" i="5"/>
  <c r="BK137" i="5"/>
  <c r="BJ137" i="5"/>
  <c r="BI137" i="5"/>
  <c r="BH137" i="5"/>
  <c r="BG137" i="5"/>
  <c r="BF137" i="5"/>
  <c r="BE137" i="5"/>
  <c r="BD137" i="5"/>
  <c r="BC137" i="5"/>
  <c r="BB137" i="5"/>
  <c r="BA137" i="5"/>
  <c r="AZ137" i="5"/>
  <c r="AY137" i="5"/>
  <c r="AX137" i="5"/>
  <c r="AW137" i="5"/>
  <c r="AV137" i="5"/>
  <c r="AU137" i="5"/>
  <c r="AT137" i="5"/>
  <c r="AS137" i="5"/>
  <c r="AR137" i="5"/>
  <c r="BL136" i="5"/>
  <c r="BK136" i="5"/>
  <c r="BJ136" i="5"/>
  <c r="BI136" i="5"/>
  <c r="BH136" i="5"/>
  <c r="BG136" i="5"/>
  <c r="BF136" i="5"/>
  <c r="BE136" i="5"/>
  <c r="BD136" i="5"/>
  <c r="BC136" i="5"/>
  <c r="BB136" i="5"/>
  <c r="BA136" i="5"/>
  <c r="AZ136" i="5"/>
  <c r="AY136" i="5"/>
  <c r="AX136" i="5"/>
  <c r="AW136" i="5"/>
  <c r="AV136" i="5"/>
  <c r="AU136" i="5"/>
  <c r="AT136" i="5"/>
  <c r="AS136" i="5"/>
  <c r="AR136" i="5"/>
  <c r="BL135" i="5"/>
  <c r="BK135" i="5"/>
  <c r="BJ135" i="5"/>
  <c r="BI135" i="5"/>
  <c r="BH135" i="5"/>
  <c r="BG135" i="5"/>
  <c r="BF135" i="5"/>
  <c r="BE135" i="5"/>
  <c r="BD135" i="5"/>
  <c r="BC135" i="5"/>
  <c r="BB135" i="5"/>
  <c r="BA135" i="5"/>
  <c r="AZ135" i="5"/>
  <c r="AY135" i="5"/>
  <c r="AX135" i="5"/>
  <c r="AW135" i="5"/>
  <c r="AV135" i="5"/>
  <c r="AU135" i="5"/>
  <c r="AT135" i="5"/>
  <c r="AS135" i="5"/>
  <c r="AR135" i="5"/>
  <c r="BL134" i="5"/>
  <c r="BK134" i="5"/>
  <c r="BJ134" i="5"/>
  <c r="BI134" i="5"/>
  <c r="BH134" i="5"/>
  <c r="BG134" i="5"/>
  <c r="BF134" i="5"/>
  <c r="BE134" i="5"/>
  <c r="BD134" i="5"/>
  <c r="BC134" i="5"/>
  <c r="BB134" i="5"/>
  <c r="BA134" i="5"/>
  <c r="AZ134" i="5"/>
  <c r="AY134" i="5"/>
  <c r="AX134" i="5"/>
  <c r="AW134" i="5"/>
  <c r="AV134" i="5"/>
  <c r="AU134" i="5"/>
  <c r="AT134" i="5"/>
  <c r="AS134" i="5"/>
  <c r="AR134" i="5"/>
  <c r="BL133" i="5"/>
  <c r="BK133" i="5"/>
  <c r="BJ133" i="5"/>
  <c r="BI133" i="5"/>
  <c r="BH133" i="5"/>
  <c r="BG133" i="5"/>
  <c r="BF133" i="5"/>
  <c r="BE133" i="5"/>
  <c r="BD133" i="5"/>
  <c r="BC133" i="5"/>
  <c r="BB133" i="5"/>
  <c r="BA133" i="5"/>
  <c r="AZ133" i="5"/>
  <c r="AY133" i="5"/>
  <c r="AX133" i="5"/>
  <c r="AW133" i="5"/>
  <c r="AV133" i="5"/>
  <c r="AU133" i="5"/>
  <c r="AT133" i="5"/>
  <c r="AS133" i="5"/>
  <c r="AR133" i="5"/>
  <c r="BL132" i="5"/>
  <c r="BK132" i="5"/>
  <c r="BJ132" i="5"/>
  <c r="BI132" i="5"/>
  <c r="BH132" i="5"/>
  <c r="BG132" i="5"/>
  <c r="BF132" i="5"/>
  <c r="BE132" i="5"/>
  <c r="BD132" i="5"/>
  <c r="BC132" i="5"/>
  <c r="BB132" i="5"/>
  <c r="BA132" i="5"/>
  <c r="AZ132" i="5"/>
  <c r="AY132" i="5"/>
  <c r="AX132" i="5"/>
  <c r="AW132" i="5"/>
  <c r="AV132" i="5"/>
  <c r="AU132" i="5"/>
  <c r="AT132" i="5"/>
  <c r="AS132" i="5"/>
  <c r="AR132" i="5"/>
  <c r="BL131" i="5"/>
  <c r="BK131" i="5"/>
  <c r="BJ131" i="5"/>
  <c r="BI131" i="5"/>
  <c r="BH131" i="5"/>
  <c r="BG131" i="5"/>
  <c r="BF131" i="5"/>
  <c r="BE131" i="5"/>
  <c r="BD131" i="5"/>
  <c r="BC131" i="5"/>
  <c r="BB131" i="5"/>
  <c r="BA131" i="5"/>
  <c r="AZ131" i="5"/>
  <c r="AY131" i="5"/>
  <c r="AX131" i="5"/>
  <c r="AW131" i="5"/>
  <c r="AV131" i="5"/>
  <c r="AU131" i="5"/>
  <c r="AT131" i="5"/>
  <c r="AS131" i="5"/>
  <c r="AR131" i="5"/>
  <c r="BL130" i="5"/>
  <c r="BK130" i="5"/>
  <c r="BJ130" i="5"/>
  <c r="BI130" i="5"/>
  <c r="BH130" i="5"/>
  <c r="BG130" i="5"/>
  <c r="BF130" i="5"/>
  <c r="BE130" i="5"/>
  <c r="BD130" i="5"/>
  <c r="BC130" i="5"/>
  <c r="BB130" i="5"/>
  <c r="BA130" i="5"/>
  <c r="AZ130" i="5"/>
  <c r="AY130" i="5"/>
  <c r="AX130" i="5"/>
  <c r="AW130" i="5"/>
  <c r="AV130" i="5"/>
  <c r="AU130" i="5"/>
  <c r="AT130" i="5"/>
  <c r="AS130" i="5"/>
  <c r="AR130" i="5"/>
  <c r="BL129" i="5"/>
  <c r="BK129" i="5"/>
  <c r="BJ129" i="5"/>
  <c r="BI129" i="5"/>
  <c r="BH129" i="5"/>
  <c r="BG129" i="5"/>
  <c r="BF129" i="5"/>
  <c r="BE129" i="5"/>
  <c r="BD129" i="5"/>
  <c r="BC129" i="5"/>
  <c r="BB129" i="5"/>
  <c r="BA129" i="5"/>
  <c r="AZ129" i="5"/>
  <c r="AY129" i="5"/>
  <c r="AX129" i="5"/>
  <c r="AW129" i="5"/>
  <c r="AV129" i="5"/>
  <c r="AU129" i="5"/>
  <c r="AT129" i="5"/>
  <c r="AS129" i="5"/>
  <c r="AR129" i="5"/>
  <c r="BL128" i="5"/>
  <c r="BK128" i="5"/>
  <c r="BJ128" i="5"/>
  <c r="BI128" i="5"/>
  <c r="BH128" i="5"/>
  <c r="BG128" i="5"/>
  <c r="BF128" i="5"/>
  <c r="BE128" i="5"/>
  <c r="BD128" i="5"/>
  <c r="BC128" i="5"/>
  <c r="BB128" i="5"/>
  <c r="BA128" i="5"/>
  <c r="AZ128" i="5"/>
  <c r="AY128" i="5"/>
  <c r="AX128" i="5"/>
  <c r="AW128" i="5"/>
  <c r="AV128" i="5"/>
  <c r="AU128" i="5"/>
  <c r="AT128" i="5"/>
  <c r="AS128" i="5"/>
  <c r="AR128" i="5"/>
  <c r="BL127" i="5"/>
  <c r="BK127" i="5"/>
  <c r="BJ127" i="5"/>
  <c r="BI127" i="5"/>
  <c r="BH127" i="5"/>
  <c r="BG127" i="5"/>
  <c r="BF127" i="5"/>
  <c r="BE127" i="5"/>
  <c r="BD127" i="5"/>
  <c r="BC127" i="5"/>
  <c r="BB127" i="5"/>
  <c r="BA127" i="5"/>
  <c r="AZ127" i="5"/>
  <c r="AY127" i="5"/>
  <c r="AX127" i="5"/>
  <c r="AW127" i="5"/>
  <c r="AV127" i="5"/>
  <c r="AU127" i="5"/>
  <c r="AT127" i="5"/>
  <c r="AS127" i="5"/>
  <c r="AR127" i="5"/>
  <c r="BL126" i="5"/>
  <c r="BK126" i="5"/>
  <c r="BJ126" i="5"/>
  <c r="BI126" i="5"/>
  <c r="BH126" i="5"/>
  <c r="BG126" i="5"/>
  <c r="BF126" i="5"/>
  <c r="BE126" i="5"/>
  <c r="BD126" i="5"/>
  <c r="BC126" i="5"/>
  <c r="BB126" i="5"/>
  <c r="BA126" i="5"/>
  <c r="AZ126" i="5"/>
  <c r="AY126" i="5"/>
  <c r="AX126" i="5"/>
  <c r="AW126" i="5"/>
  <c r="AV126" i="5"/>
  <c r="AU126" i="5"/>
  <c r="AT126" i="5"/>
  <c r="AS126" i="5"/>
  <c r="AR126" i="5"/>
  <c r="BL125" i="5"/>
  <c r="BK125" i="5"/>
  <c r="BJ125" i="5"/>
  <c r="BI125" i="5"/>
  <c r="BH125" i="5"/>
  <c r="BG125" i="5"/>
  <c r="BF125" i="5"/>
  <c r="BE125" i="5"/>
  <c r="BD125" i="5"/>
  <c r="BC125" i="5"/>
  <c r="BB125" i="5"/>
  <c r="BA125" i="5"/>
  <c r="AZ125" i="5"/>
  <c r="AY125" i="5"/>
  <c r="AX125" i="5"/>
  <c r="AW125" i="5"/>
  <c r="AV125" i="5"/>
  <c r="AU125" i="5"/>
  <c r="AT125" i="5"/>
  <c r="AS125" i="5"/>
  <c r="AR125" i="5"/>
  <c r="BL124" i="5"/>
  <c r="BK124" i="5"/>
  <c r="BJ124" i="5"/>
  <c r="BI124" i="5"/>
  <c r="BH124" i="5"/>
  <c r="BG124" i="5"/>
  <c r="BF124" i="5"/>
  <c r="BE124" i="5"/>
  <c r="BD124" i="5"/>
  <c r="BC124" i="5"/>
  <c r="BB124" i="5"/>
  <c r="BA124" i="5"/>
  <c r="AZ124" i="5"/>
  <c r="AY124" i="5"/>
  <c r="AX124" i="5"/>
  <c r="AW124" i="5"/>
  <c r="AV124" i="5"/>
  <c r="AU124" i="5"/>
  <c r="AT124" i="5"/>
  <c r="AS124" i="5"/>
  <c r="AR124" i="5"/>
  <c r="BL123" i="5"/>
  <c r="BK123" i="5"/>
  <c r="BJ123" i="5"/>
  <c r="BI123" i="5"/>
  <c r="BH123" i="5"/>
  <c r="BG123" i="5"/>
  <c r="BF123" i="5"/>
  <c r="BE123" i="5"/>
  <c r="BD123" i="5"/>
  <c r="BC123" i="5"/>
  <c r="BB123" i="5"/>
  <c r="BA123" i="5"/>
  <c r="AZ123" i="5"/>
  <c r="AY123" i="5"/>
  <c r="AX123" i="5"/>
  <c r="AW123" i="5"/>
  <c r="AV123" i="5"/>
  <c r="AU123" i="5"/>
  <c r="AT123" i="5"/>
  <c r="AS123" i="5"/>
  <c r="AR123" i="5"/>
  <c r="BO122" i="5"/>
  <c r="BN122" i="5"/>
  <c r="BL122" i="5"/>
  <c r="BK122" i="5"/>
  <c r="BJ122" i="5"/>
  <c r="BI122" i="5"/>
  <c r="BH122" i="5"/>
  <c r="BG122" i="5"/>
  <c r="BF122" i="5"/>
  <c r="BE122" i="5"/>
  <c r="BD122" i="5"/>
  <c r="BC122" i="5"/>
  <c r="BB122" i="5"/>
  <c r="BA122" i="5"/>
  <c r="AZ122" i="5"/>
  <c r="AY122" i="5"/>
  <c r="AX122" i="5"/>
  <c r="AW122" i="5"/>
  <c r="AV122" i="5"/>
  <c r="AU122" i="5"/>
  <c r="AT122" i="5"/>
  <c r="AS122" i="5"/>
  <c r="AR122" i="5"/>
  <c r="BL121" i="5"/>
  <c r="BK121" i="5"/>
  <c r="BJ121" i="5"/>
  <c r="BI121" i="5"/>
  <c r="BH121" i="5"/>
  <c r="BG121" i="5"/>
  <c r="BF121" i="5"/>
  <c r="BE121" i="5"/>
  <c r="BD121" i="5"/>
  <c r="BC121" i="5"/>
  <c r="BB121" i="5"/>
  <c r="BA121" i="5"/>
  <c r="AZ121" i="5"/>
  <c r="AY121" i="5"/>
  <c r="AX121" i="5"/>
  <c r="AW121" i="5"/>
  <c r="AV121" i="5"/>
  <c r="AU121" i="5"/>
  <c r="AT121" i="5"/>
  <c r="AS121" i="5"/>
  <c r="AR121" i="5"/>
  <c r="BL120" i="5"/>
  <c r="BK120" i="5"/>
  <c r="BJ120" i="5"/>
  <c r="BI120" i="5"/>
  <c r="BH120" i="5"/>
  <c r="BG120" i="5"/>
  <c r="BF120" i="5"/>
  <c r="BE120" i="5"/>
  <c r="BD120" i="5"/>
  <c r="BC120" i="5"/>
  <c r="BB120" i="5"/>
  <c r="BA120" i="5"/>
  <c r="AZ120" i="5"/>
  <c r="AY120" i="5"/>
  <c r="AX120" i="5"/>
  <c r="AW120" i="5"/>
  <c r="AV120" i="5"/>
  <c r="AU120" i="5"/>
  <c r="AT120" i="5"/>
  <c r="AS120" i="5"/>
  <c r="AR120" i="5"/>
  <c r="BL119" i="5"/>
  <c r="BK119" i="5"/>
  <c r="BJ119" i="5"/>
  <c r="BI119" i="5"/>
  <c r="BH119" i="5"/>
  <c r="BG119" i="5"/>
  <c r="BF119" i="5"/>
  <c r="BE119" i="5"/>
  <c r="BD119" i="5"/>
  <c r="BC119" i="5"/>
  <c r="BB119" i="5"/>
  <c r="BA119" i="5"/>
  <c r="AZ119" i="5"/>
  <c r="AY119" i="5"/>
  <c r="AX119" i="5"/>
  <c r="AW119" i="5"/>
  <c r="AV119" i="5"/>
  <c r="AU119" i="5"/>
  <c r="AT119" i="5"/>
  <c r="AS119" i="5"/>
  <c r="AR119" i="5"/>
  <c r="BL118" i="5"/>
  <c r="BK118" i="5"/>
  <c r="BJ118" i="5"/>
  <c r="BI118" i="5"/>
  <c r="BH118" i="5"/>
  <c r="BG118" i="5"/>
  <c r="BF118" i="5"/>
  <c r="BE118" i="5"/>
  <c r="BD118" i="5"/>
  <c r="BC118" i="5"/>
  <c r="BB118" i="5"/>
  <c r="BA118" i="5"/>
  <c r="AZ118" i="5"/>
  <c r="AY118" i="5"/>
  <c r="AX118" i="5"/>
  <c r="AW118" i="5"/>
  <c r="AV118" i="5"/>
  <c r="AU118" i="5"/>
  <c r="AT118" i="5"/>
  <c r="AS118" i="5"/>
  <c r="AR118" i="5"/>
  <c r="BL117" i="5"/>
  <c r="BK117" i="5"/>
  <c r="BJ117" i="5"/>
  <c r="BI117" i="5"/>
  <c r="BH117" i="5"/>
  <c r="BG117" i="5"/>
  <c r="BF117" i="5"/>
  <c r="BE117" i="5"/>
  <c r="BD117" i="5"/>
  <c r="BC117" i="5"/>
  <c r="BB117" i="5"/>
  <c r="BA117" i="5"/>
  <c r="AZ117" i="5"/>
  <c r="AY117" i="5"/>
  <c r="AX117" i="5"/>
  <c r="AW117" i="5"/>
  <c r="AV117" i="5"/>
  <c r="AU117" i="5"/>
  <c r="AT117" i="5"/>
  <c r="AS117" i="5"/>
  <c r="AR117" i="5"/>
  <c r="BL116" i="5"/>
  <c r="BK116" i="5"/>
  <c r="BJ116" i="5"/>
  <c r="BI116" i="5"/>
  <c r="BH116" i="5"/>
  <c r="BG116" i="5"/>
  <c r="BF116" i="5"/>
  <c r="BE116" i="5"/>
  <c r="BD116" i="5"/>
  <c r="BC116" i="5"/>
  <c r="BB116" i="5"/>
  <c r="BA116" i="5"/>
  <c r="AZ116" i="5"/>
  <c r="AY116" i="5"/>
  <c r="AX116" i="5"/>
  <c r="AW116" i="5"/>
  <c r="AV116" i="5"/>
  <c r="AU116" i="5"/>
  <c r="AT116" i="5"/>
  <c r="AS116" i="5"/>
  <c r="AR116" i="5"/>
  <c r="BL115" i="5"/>
  <c r="BK115" i="5"/>
  <c r="BJ115" i="5"/>
  <c r="BI115" i="5"/>
  <c r="BH115" i="5"/>
  <c r="BG115" i="5"/>
  <c r="BF115" i="5"/>
  <c r="BE115" i="5"/>
  <c r="BD115" i="5"/>
  <c r="BC115" i="5"/>
  <c r="BB115" i="5"/>
  <c r="BA115" i="5"/>
  <c r="AZ115" i="5"/>
  <c r="AY115" i="5"/>
  <c r="AX115" i="5"/>
  <c r="AW115" i="5"/>
  <c r="AV115" i="5"/>
  <c r="AU115" i="5"/>
  <c r="AT115" i="5"/>
  <c r="AS115" i="5"/>
  <c r="AR115" i="5"/>
  <c r="BL114" i="5"/>
  <c r="BK114" i="5"/>
  <c r="BJ114" i="5"/>
  <c r="BI114" i="5"/>
  <c r="BH114" i="5"/>
  <c r="BG114" i="5"/>
  <c r="BF114" i="5"/>
  <c r="BE114" i="5"/>
  <c r="BD114" i="5"/>
  <c r="BC114" i="5"/>
  <c r="BB114" i="5"/>
  <c r="BA114" i="5"/>
  <c r="AZ114" i="5"/>
  <c r="AY114" i="5"/>
  <c r="AX114" i="5"/>
  <c r="AW114" i="5"/>
  <c r="AV114" i="5"/>
  <c r="AU114" i="5"/>
  <c r="AT114" i="5"/>
  <c r="AS114" i="5"/>
  <c r="AR114" i="5"/>
  <c r="BL113" i="5"/>
  <c r="BK113" i="5"/>
  <c r="BJ113" i="5"/>
  <c r="BI113" i="5"/>
  <c r="BH113" i="5"/>
  <c r="BG113" i="5"/>
  <c r="BF113" i="5"/>
  <c r="BE113" i="5"/>
  <c r="BD113" i="5"/>
  <c r="BC113" i="5"/>
  <c r="BB113" i="5"/>
  <c r="BA113" i="5"/>
  <c r="AZ113" i="5"/>
  <c r="AY113" i="5"/>
  <c r="AX113" i="5"/>
  <c r="AW113" i="5"/>
  <c r="AV113" i="5"/>
  <c r="AU113" i="5"/>
  <c r="AT113" i="5"/>
  <c r="AS113" i="5"/>
  <c r="AR113" i="5"/>
  <c r="BL112" i="5"/>
  <c r="BK112" i="5"/>
  <c r="BJ112" i="5"/>
  <c r="BI112" i="5"/>
  <c r="BH112" i="5"/>
  <c r="BG112" i="5"/>
  <c r="BF112" i="5"/>
  <c r="BE112" i="5"/>
  <c r="BD112" i="5"/>
  <c r="BC112" i="5"/>
  <c r="BB112" i="5"/>
  <c r="BA112" i="5"/>
  <c r="AZ112" i="5"/>
  <c r="AY112" i="5"/>
  <c r="AX112" i="5"/>
  <c r="AW112" i="5"/>
  <c r="AV112" i="5"/>
  <c r="AU112" i="5"/>
  <c r="AT112" i="5"/>
  <c r="AS112" i="5"/>
  <c r="AR112" i="5"/>
  <c r="BL111" i="5"/>
  <c r="BK111" i="5"/>
  <c r="BJ111" i="5"/>
  <c r="BI111" i="5"/>
  <c r="BH111" i="5"/>
  <c r="BG111" i="5"/>
  <c r="BF111" i="5"/>
  <c r="BE111" i="5"/>
  <c r="BD111" i="5"/>
  <c r="BC111" i="5"/>
  <c r="BB111" i="5"/>
  <c r="BA111" i="5"/>
  <c r="AZ111" i="5"/>
  <c r="AY111" i="5"/>
  <c r="AX111" i="5"/>
  <c r="AW111" i="5"/>
  <c r="AV111" i="5"/>
  <c r="AU111" i="5"/>
  <c r="AT111" i="5"/>
  <c r="AS111" i="5"/>
  <c r="AR111" i="5"/>
  <c r="BL110" i="5"/>
  <c r="BK110" i="5"/>
  <c r="BJ110" i="5"/>
  <c r="BI110" i="5"/>
  <c r="BH110" i="5"/>
  <c r="BG110" i="5"/>
  <c r="BF110" i="5"/>
  <c r="BE110" i="5"/>
  <c r="BD110" i="5"/>
  <c r="BC110" i="5"/>
  <c r="BB110" i="5"/>
  <c r="BA110" i="5"/>
  <c r="AZ110" i="5"/>
  <c r="AY110" i="5"/>
  <c r="AX110" i="5"/>
  <c r="AW110" i="5"/>
  <c r="AV110" i="5"/>
  <c r="AU110" i="5"/>
  <c r="AT110" i="5"/>
  <c r="AS110" i="5"/>
  <c r="AR110" i="5"/>
  <c r="BL109" i="5"/>
  <c r="BK109" i="5"/>
  <c r="BJ109" i="5"/>
  <c r="BI109" i="5"/>
  <c r="BH109" i="5"/>
  <c r="BG109" i="5"/>
  <c r="BF109" i="5"/>
  <c r="BE109" i="5"/>
  <c r="BD109" i="5"/>
  <c r="BC109" i="5"/>
  <c r="BB109" i="5"/>
  <c r="BA109" i="5"/>
  <c r="AZ109" i="5"/>
  <c r="AY109" i="5"/>
  <c r="AX109" i="5"/>
  <c r="AW109" i="5"/>
  <c r="AV109" i="5"/>
  <c r="AU109" i="5"/>
  <c r="AT109" i="5"/>
  <c r="AS109" i="5"/>
  <c r="AR109" i="5"/>
  <c r="BL108" i="5"/>
  <c r="BK108" i="5"/>
  <c r="BJ108" i="5"/>
  <c r="BI108" i="5"/>
  <c r="BH108" i="5"/>
  <c r="BG108" i="5"/>
  <c r="BF108" i="5"/>
  <c r="BE108" i="5"/>
  <c r="BD108" i="5"/>
  <c r="BC108" i="5"/>
  <c r="BB108" i="5"/>
  <c r="BA108" i="5"/>
  <c r="AZ108" i="5"/>
  <c r="AY108" i="5"/>
  <c r="AX108" i="5"/>
  <c r="AW108" i="5"/>
  <c r="AV108" i="5"/>
  <c r="AU108" i="5"/>
  <c r="AT108" i="5"/>
  <c r="AS108" i="5"/>
  <c r="AR108" i="5"/>
  <c r="BL107" i="5"/>
  <c r="BK107" i="5"/>
  <c r="BJ107" i="5"/>
  <c r="BI107" i="5"/>
  <c r="BH107" i="5"/>
  <c r="BG107" i="5"/>
  <c r="BF107" i="5"/>
  <c r="BE107" i="5"/>
  <c r="BD107" i="5"/>
  <c r="BC107" i="5"/>
  <c r="BB107" i="5"/>
  <c r="BA107" i="5"/>
  <c r="AZ107" i="5"/>
  <c r="AY107" i="5"/>
  <c r="AX107" i="5"/>
  <c r="AW107" i="5"/>
  <c r="AV107" i="5"/>
  <c r="AU107" i="5"/>
  <c r="AT107" i="5"/>
  <c r="AS107" i="5"/>
  <c r="AR107" i="5"/>
  <c r="BL106" i="5"/>
  <c r="BK106" i="5"/>
  <c r="BJ106" i="5"/>
  <c r="BI106" i="5"/>
  <c r="BH106" i="5"/>
  <c r="BG106" i="5"/>
  <c r="BF106" i="5"/>
  <c r="BE106" i="5"/>
  <c r="BD106" i="5"/>
  <c r="BC106" i="5"/>
  <c r="BB106" i="5"/>
  <c r="BA106" i="5"/>
  <c r="AZ106" i="5"/>
  <c r="AY106" i="5"/>
  <c r="AX106" i="5"/>
  <c r="AW106" i="5"/>
  <c r="AV106" i="5"/>
  <c r="AU106" i="5"/>
  <c r="AT106" i="5"/>
  <c r="AS106" i="5"/>
  <c r="AR106" i="5"/>
  <c r="BL105" i="5"/>
  <c r="BK105" i="5"/>
  <c r="BJ105" i="5"/>
  <c r="BI105" i="5"/>
  <c r="BH105" i="5"/>
  <c r="BG105" i="5"/>
  <c r="BF105" i="5"/>
  <c r="BE105" i="5"/>
  <c r="BD105" i="5"/>
  <c r="BC105" i="5"/>
  <c r="BB105" i="5"/>
  <c r="BA105" i="5"/>
  <c r="AZ105" i="5"/>
  <c r="AY105" i="5"/>
  <c r="AX105" i="5"/>
  <c r="AW105" i="5"/>
  <c r="AV105" i="5"/>
  <c r="AU105" i="5"/>
  <c r="AT105" i="5"/>
  <c r="AS105" i="5"/>
  <c r="AR105" i="5"/>
  <c r="BL104" i="5"/>
  <c r="BK104" i="5"/>
  <c r="BJ104" i="5"/>
  <c r="BI104" i="5"/>
  <c r="BH104" i="5"/>
  <c r="BG104" i="5"/>
  <c r="BF104" i="5"/>
  <c r="BE104" i="5"/>
  <c r="BD104" i="5"/>
  <c r="BC104" i="5"/>
  <c r="BB104" i="5"/>
  <c r="BA104" i="5"/>
  <c r="AZ104" i="5"/>
  <c r="AY104" i="5"/>
  <c r="AX104" i="5"/>
  <c r="AW104" i="5"/>
  <c r="AV104" i="5"/>
  <c r="AU104" i="5"/>
  <c r="AT104" i="5"/>
  <c r="AS104" i="5"/>
  <c r="AR104" i="5"/>
  <c r="BL103" i="5"/>
  <c r="BK103" i="5"/>
  <c r="BJ103" i="5"/>
  <c r="BI103" i="5"/>
  <c r="BH103" i="5"/>
  <c r="BG103" i="5"/>
  <c r="BF103" i="5"/>
  <c r="BE103" i="5"/>
  <c r="BD103" i="5"/>
  <c r="BC103" i="5"/>
  <c r="BB103" i="5"/>
  <c r="BA103" i="5"/>
  <c r="AZ103" i="5"/>
  <c r="AY103" i="5"/>
  <c r="AX103" i="5"/>
  <c r="AW103" i="5"/>
  <c r="AV103" i="5"/>
  <c r="AU103" i="5"/>
  <c r="AT103" i="5"/>
  <c r="AS103" i="5"/>
  <c r="AR103" i="5"/>
  <c r="BL102" i="5"/>
  <c r="BK102" i="5"/>
  <c r="BJ102" i="5"/>
  <c r="BI102" i="5"/>
  <c r="BH102" i="5"/>
  <c r="BG102" i="5"/>
  <c r="BF102" i="5"/>
  <c r="BE102" i="5"/>
  <c r="BD102" i="5"/>
  <c r="BC102" i="5"/>
  <c r="BB102" i="5"/>
  <c r="BA102" i="5"/>
  <c r="AZ102" i="5"/>
  <c r="AY102" i="5"/>
  <c r="AX102" i="5"/>
  <c r="AW102" i="5"/>
  <c r="AV102" i="5"/>
  <c r="AU102" i="5"/>
  <c r="AT102" i="5"/>
  <c r="AS102" i="5"/>
  <c r="AR102" i="5"/>
  <c r="BL101" i="5"/>
  <c r="BK101" i="5"/>
  <c r="BJ101" i="5"/>
  <c r="BI101" i="5"/>
  <c r="BH101" i="5"/>
  <c r="BG101" i="5"/>
  <c r="BF101" i="5"/>
  <c r="BE101" i="5"/>
  <c r="BD101" i="5"/>
  <c r="BC101" i="5"/>
  <c r="BB101" i="5"/>
  <c r="BA101" i="5"/>
  <c r="AZ101" i="5"/>
  <c r="AY101" i="5"/>
  <c r="AX101" i="5"/>
  <c r="AW101" i="5"/>
  <c r="AV101" i="5"/>
  <c r="AU101" i="5"/>
  <c r="AT101" i="5"/>
  <c r="AS101" i="5"/>
  <c r="AR101" i="5"/>
  <c r="BL100" i="5"/>
  <c r="BK100" i="5"/>
  <c r="BJ100" i="5"/>
  <c r="BI100" i="5"/>
  <c r="BH100" i="5"/>
  <c r="BG100" i="5"/>
  <c r="BF100" i="5"/>
  <c r="BE100" i="5"/>
  <c r="BD100" i="5"/>
  <c r="BC100" i="5"/>
  <c r="BB100" i="5"/>
  <c r="BA100" i="5"/>
  <c r="AZ100" i="5"/>
  <c r="AY100" i="5"/>
  <c r="AX100" i="5"/>
  <c r="AW100" i="5"/>
  <c r="AV100" i="5"/>
  <c r="AU100" i="5"/>
  <c r="AT100" i="5"/>
  <c r="AS100" i="5"/>
  <c r="AR100" i="5"/>
  <c r="BL99" i="5"/>
  <c r="BK99" i="5"/>
  <c r="BJ99" i="5"/>
  <c r="BI99" i="5"/>
  <c r="BH99" i="5"/>
  <c r="BG99" i="5"/>
  <c r="BF99" i="5"/>
  <c r="BE99" i="5"/>
  <c r="BD99" i="5"/>
  <c r="BC99" i="5"/>
  <c r="BB99" i="5"/>
  <c r="BA99" i="5"/>
  <c r="AZ99" i="5"/>
  <c r="AY99" i="5"/>
  <c r="AX99" i="5"/>
  <c r="AW99" i="5"/>
  <c r="AV99" i="5"/>
  <c r="AU99" i="5"/>
  <c r="AT99" i="5"/>
  <c r="AS99" i="5"/>
  <c r="AR99" i="5"/>
  <c r="BL98" i="5"/>
  <c r="BK98" i="5"/>
  <c r="BJ98" i="5"/>
  <c r="BI98" i="5"/>
  <c r="BH98" i="5"/>
  <c r="BG98" i="5"/>
  <c r="BF98" i="5"/>
  <c r="BE98" i="5"/>
  <c r="BD98" i="5"/>
  <c r="BC98" i="5"/>
  <c r="BB98" i="5"/>
  <c r="BA98" i="5"/>
  <c r="AZ98" i="5"/>
  <c r="AY98" i="5"/>
  <c r="AX98" i="5"/>
  <c r="AW98" i="5"/>
  <c r="AV98" i="5"/>
  <c r="AU98" i="5"/>
  <c r="AT98" i="5"/>
  <c r="AS98" i="5"/>
  <c r="AR98" i="5"/>
  <c r="BL97" i="5"/>
  <c r="BK97" i="5"/>
  <c r="BJ97" i="5"/>
  <c r="BI97" i="5"/>
  <c r="BH97" i="5"/>
  <c r="BG97" i="5"/>
  <c r="BF97" i="5"/>
  <c r="BE97" i="5"/>
  <c r="BD97" i="5"/>
  <c r="BC97" i="5"/>
  <c r="BB97" i="5"/>
  <c r="BA97" i="5"/>
  <c r="AZ97" i="5"/>
  <c r="AY97" i="5"/>
  <c r="AX97" i="5"/>
  <c r="AW97" i="5"/>
  <c r="AV97" i="5"/>
  <c r="AU97" i="5"/>
  <c r="AT97" i="5"/>
  <c r="AS97" i="5"/>
  <c r="AR97" i="5"/>
  <c r="BL96" i="5"/>
  <c r="BK96" i="5"/>
  <c r="BJ96" i="5"/>
  <c r="BI96" i="5"/>
  <c r="BH96" i="5"/>
  <c r="BG96" i="5"/>
  <c r="BF96" i="5"/>
  <c r="BE96" i="5"/>
  <c r="BD96" i="5"/>
  <c r="BC96" i="5"/>
  <c r="BB96" i="5"/>
  <c r="BA96" i="5"/>
  <c r="AZ96" i="5"/>
  <c r="AY96" i="5"/>
  <c r="AX96" i="5"/>
  <c r="AW96" i="5"/>
  <c r="AV96" i="5"/>
  <c r="AU96" i="5"/>
  <c r="AT96" i="5"/>
  <c r="AS96" i="5"/>
  <c r="AR96" i="5"/>
  <c r="BL95" i="5"/>
  <c r="BK95" i="5"/>
  <c r="BJ95" i="5"/>
  <c r="BI95" i="5"/>
  <c r="BH95" i="5"/>
  <c r="BG95" i="5"/>
  <c r="BF95" i="5"/>
  <c r="BE95" i="5"/>
  <c r="BD95" i="5"/>
  <c r="BC95" i="5"/>
  <c r="BB95" i="5"/>
  <c r="BA95" i="5"/>
  <c r="AZ95" i="5"/>
  <c r="AY95" i="5"/>
  <c r="AX95" i="5"/>
  <c r="AW95" i="5"/>
  <c r="AV95" i="5"/>
  <c r="AU95" i="5"/>
  <c r="AT95" i="5"/>
  <c r="AS95" i="5"/>
  <c r="AR95" i="5"/>
  <c r="BL94" i="5"/>
  <c r="BK94" i="5"/>
  <c r="BJ94" i="5"/>
  <c r="BI94" i="5"/>
  <c r="BH94" i="5"/>
  <c r="BG94" i="5"/>
  <c r="BF94" i="5"/>
  <c r="BE94" i="5"/>
  <c r="BD94" i="5"/>
  <c r="BC94" i="5"/>
  <c r="BB94" i="5"/>
  <c r="BA94" i="5"/>
  <c r="AZ94" i="5"/>
  <c r="AY94" i="5"/>
  <c r="AX94" i="5"/>
  <c r="AW94" i="5"/>
  <c r="AV94" i="5"/>
  <c r="AU94" i="5"/>
  <c r="AT94" i="5"/>
  <c r="AS94" i="5"/>
  <c r="AR94" i="5"/>
  <c r="BL93" i="5"/>
  <c r="BK93" i="5"/>
  <c r="BJ93" i="5"/>
  <c r="BI93" i="5"/>
  <c r="BH93" i="5"/>
  <c r="BG93" i="5"/>
  <c r="BF93" i="5"/>
  <c r="BE93" i="5"/>
  <c r="BD93" i="5"/>
  <c r="BC93" i="5"/>
  <c r="BB93" i="5"/>
  <c r="BA93" i="5"/>
  <c r="AZ93" i="5"/>
  <c r="AY93" i="5"/>
  <c r="AX93" i="5"/>
  <c r="AW93" i="5"/>
  <c r="AV93" i="5"/>
  <c r="AU93" i="5"/>
  <c r="AT93" i="5"/>
  <c r="AS93" i="5"/>
  <c r="AR93" i="5"/>
  <c r="BL92" i="5"/>
  <c r="BK92" i="5"/>
  <c r="BJ92" i="5"/>
  <c r="BI92" i="5"/>
  <c r="BH92" i="5"/>
  <c r="BG92" i="5"/>
  <c r="BF92" i="5"/>
  <c r="BE92" i="5"/>
  <c r="BD92" i="5"/>
  <c r="BC92" i="5"/>
  <c r="BB92" i="5"/>
  <c r="BA92" i="5"/>
  <c r="AZ92" i="5"/>
  <c r="AY92" i="5"/>
  <c r="AX92" i="5"/>
  <c r="AW92" i="5"/>
  <c r="AV92" i="5"/>
  <c r="AU92" i="5"/>
  <c r="AT92" i="5"/>
  <c r="AS92" i="5"/>
  <c r="AR92" i="5"/>
  <c r="BL91" i="5"/>
  <c r="BK91" i="5"/>
  <c r="BJ91" i="5"/>
  <c r="BI91" i="5"/>
  <c r="BH91" i="5"/>
  <c r="BG91" i="5"/>
  <c r="BF91" i="5"/>
  <c r="BE91" i="5"/>
  <c r="BD91" i="5"/>
  <c r="BC91" i="5"/>
  <c r="BB91" i="5"/>
  <c r="BA91" i="5"/>
  <c r="AZ91" i="5"/>
  <c r="AY91" i="5"/>
  <c r="AX91" i="5"/>
  <c r="AW91" i="5"/>
  <c r="AV91" i="5"/>
  <c r="AU91" i="5"/>
  <c r="AT91" i="5"/>
  <c r="AS91" i="5"/>
  <c r="AR91" i="5"/>
  <c r="BL90" i="5"/>
  <c r="BK90" i="5"/>
  <c r="BJ90" i="5"/>
  <c r="BI90" i="5"/>
  <c r="BH90" i="5"/>
  <c r="BG90" i="5"/>
  <c r="BF90" i="5"/>
  <c r="BE90" i="5"/>
  <c r="BD90" i="5"/>
  <c r="BC90" i="5"/>
  <c r="BB90" i="5"/>
  <c r="BA90" i="5"/>
  <c r="AZ90" i="5"/>
  <c r="AY90" i="5"/>
  <c r="AX90" i="5"/>
  <c r="AW90" i="5"/>
  <c r="AV90" i="5"/>
  <c r="AU90" i="5"/>
  <c r="AT90" i="5"/>
  <c r="AS90" i="5"/>
  <c r="AR90" i="5"/>
  <c r="BL89" i="5"/>
  <c r="BK89" i="5"/>
  <c r="BJ89" i="5"/>
  <c r="BI89" i="5"/>
  <c r="BH89" i="5"/>
  <c r="BG89" i="5"/>
  <c r="BF89" i="5"/>
  <c r="BE89" i="5"/>
  <c r="BD89" i="5"/>
  <c r="BC89" i="5"/>
  <c r="BB89" i="5"/>
  <c r="BA89" i="5"/>
  <c r="AZ89" i="5"/>
  <c r="AY89" i="5"/>
  <c r="AX89" i="5"/>
  <c r="AW89" i="5"/>
  <c r="AV89" i="5"/>
  <c r="AU89" i="5"/>
  <c r="AT89" i="5"/>
  <c r="AS89" i="5"/>
  <c r="AR89" i="5"/>
  <c r="BL88" i="5"/>
  <c r="BK88" i="5"/>
  <c r="BJ88" i="5"/>
  <c r="BI88" i="5"/>
  <c r="BH88" i="5"/>
  <c r="BG88" i="5"/>
  <c r="BF88" i="5"/>
  <c r="BE88" i="5"/>
  <c r="BD88" i="5"/>
  <c r="BC88" i="5"/>
  <c r="BB88" i="5"/>
  <c r="BA88" i="5"/>
  <c r="AZ88" i="5"/>
  <c r="AY88" i="5"/>
  <c r="AX88" i="5"/>
  <c r="AW88" i="5"/>
  <c r="AV88" i="5"/>
  <c r="AU88" i="5"/>
  <c r="AT88" i="5"/>
  <c r="AS88" i="5"/>
  <c r="AR88" i="5"/>
  <c r="BL87" i="5"/>
  <c r="BK87" i="5"/>
  <c r="BJ87" i="5"/>
  <c r="BI87" i="5"/>
  <c r="BH87" i="5"/>
  <c r="BG87" i="5"/>
  <c r="BF87" i="5"/>
  <c r="BE87" i="5"/>
  <c r="BD87" i="5"/>
  <c r="BC87" i="5"/>
  <c r="BB87" i="5"/>
  <c r="BA87" i="5"/>
  <c r="AZ87" i="5"/>
  <c r="AY87" i="5"/>
  <c r="AX87" i="5"/>
  <c r="AW87" i="5"/>
  <c r="AV87" i="5"/>
  <c r="AU87" i="5"/>
  <c r="AT87" i="5"/>
  <c r="AS87" i="5"/>
  <c r="AR87" i="5"/>
  <c r="BL86" i="5"/>
  <c r="BK86" i="5"/>
  <c r="BJ86" i="5"/>
  <c r="BI86" i="5"/>
  <c r="BH86" i="5"/>
  <c r="BG86" i="5"/>
  <c r="BF86" i="5"/>
  <c r="BE86" i="5"/>
  <c r="BD86" i="5"/>
  <c r="BC86" i="5"/>
  <c r="BB86" i="5"/>
  <c r="BA86" i="5"/>
  <c r="AZ86" i="5"/>
  <c r="AY86" i="5"/>
  <c r="AX86" i="5"/>
  <c r="AW86" i="5"/>
  <c r="AV86" i="5"/>
  <c r="AU86" i="5"/>
  <c r="AT86" i="5"/>
  <c r="AS86" i="5"/>
  <c r="AR86" i="5"/>
  <c r="BL85" i="5"/>
  <c r="BK85" i="5"/>
  <c r="BJ85" i="5"/>
  <c r="BI85" i="5"/>
  <c r="BH85" i="5"/>
  <c r="BG85" i="5"/>
  <c r="BF85" i="5"/>
  <c r="BE85" i="5"/>
  <c r="BD85" i="5"/>
  <c r="BC85" i="5"/>
  <c r="BB85" i="5"/>
  <c r="BA85" i="5"/>
  <c r="AZ85" i="5"/>
  <c r="AY85" i="5"/>
  <c r="AX85" i="5"/>
  <c r="AW85" i="5"/>
  <c r="AV85" i="5"/>
  <c r="AU85" i="5"/>
  <c r="AT85" i="5"/>
  <c r="AS85" i="5"/>
  <c r="AR85" i="5"/>
  <c r="BL84" i="5"/>
  <c r="BK84" i="5"/>
  <c r="BJ84" i="5"/>
  <c r="BI84" i="5"/>
  <c r="BH84" i="5"/>
  <c r="BG84" i="5"/>
  <c r="BF84" i="5"/>
  <c r="BE84" i="5"/>
  <c r="BD84" i="5"/>
  <c r="BC84" i="5"/>
  <c r="BB84" i="5"/>
  <c r="BA84" i="5"/>
  <c r="AZ84" i="5"/>
  <c r="AY84" i="5"/>
  <c r="AX84" i="5"/>
  <c r="AW84" i="5"/>
  <c r="AV84" i="5"/>
  <c r="AU84" i="5"/>
  <c r="AT84" i="5"/>
  <c r="AS84" i="5"/>
  <c r="AR84" i="5"/>
  <c r="BL83" i="5"/>
  <c r="BK83" i="5"/>
  <c r="BJ83" i="5"/>
  <c r="BI83" i="5"/>
  <c r="BH83" i="5"/>
  <c r="BG83" i="5"/>
  <c r="BF83" i="5"/>
  <c r="BE83" i="5"/>
  <c r="BD83" i="5"/>
  <c r="BC83" i="5"/>
  <c r="BB83" i="5"/>
  <c r="BA83" i="5"/>
  <c r="AZ83" i="5"/>
  <c r="AY83" i="5"/>
  <c r="AX83" i="5"/>
  <c r="AW83" i="5"/>
  <c r="AV83" i="5"/>
  <c r="AU83" i="5"/>
  <c r="AT83" i="5"/>
  <c r="AS83" i="5"/>
  <c r="AR83" i="5"/>
  <c r="BL82" i="5"/>
  <c r="BK82" i="5"/>
  <c r="BJ82" i="5"/>
  <c r="BI82" i="5"/>
  <c r="BH82" i="5"/>
  <c r="BG82" i="5"/>
  <c r="BF82" i="5"/>
  <c r="BE82" i="5"/>
  <c r="BD82" i="5"/>
  <c r="BC82" i="5"/>
  <c r="BB82" i="5"/>
  <c r="BA82" i="5"/>
  <c r="AZ82" i="5"/>
  <c r="AY82" i="5"/>
  <c r="AX82" i="5"/>
  <c r="AW82" i="5"/>
  <c r="AV82" i="5"/>
  <c r="AU82" i="5"/>
  <c r="AT82" i="5"/>
  <c r="AS82" i="5"/>
  <c r="AR82" i="5"/>
  <c r="BL81" i="5"/>
  <c r="BK81" i="5"/>
  <c r="BJ81" i="5"/>
  <c r="BI81" i="5"/>
  <c r="BH81" i="5"/>
  <c r="BG81" i="5"/>
  <c r="BF81" i="5"/>
  <c r="BE81" i="5"/>
  <c r="BD81" i="5"/>
  <c r="BC81" i="5"/>
  <c r="BB81" i="5"/>
  <c r="BA81" i="5"/>
  <c r="AZ81" i="5"/>
  <c r="AY81" i="5"/>
  <c r="AX81" i="5"/>
  <c r="AW81" i="5"/>
  <c r="AV81" i="5"/>
  <c r="AU81" i="5"/>
  <c r="AT81" i="5"/>
  <c r="AS81" i="5"/>
  <c r="AR81" i="5"/>
  <c r="BL80" i="5"/>
  <c r="BK80" i="5"/>
  <c r="BJ80" i="5"/>
  <c r="BI80" i="5"/>
  <c r="BH80" i="5"/>
  <c r="BG80" i="5"/>
  <c r="BF80" i="5"/>
  <c r="BE80" i="5"/>
  <c r="BD80" i="5"/>
  <c r="BC80" i="5"/>
  <c r="BB80" i="5"/>
  <c r="BA80" i="5"/>
  <c r="AZ80" i="5"/>
  <c r="AY80" i="5"/>
  <c r="AX80" i="5"/>
  <c r="AW80" i="5"/>
  <c r="AV80" i="5"/>
  <c r="AU80" i="5"/>
  <c r="AT80" i="5"/>
  <c r="AS80" i="5"/>
  <c r="AR80" i="5"/>
  <c r="BL79" i="5"/>
  <c r="BK79" i="5"/>
  <c r="BJ79" i="5"/>
  <c r="BI79" i="5"/>
  <c r="BH79" i="5"/>
  <c r="BG79" i="5"/>
  <c r="BF79" i="5"/>
  <c r="BE79" i="5"/>
  <c r="BD79" i="5"/>
  <c r="BC79" i="5"/>
  <c r="BB79" i="5"/>
  <c r="BA79" i="5"/>
  <c r="AZ79" i="5"/>
  <c r="AY79" i="5"/>
  <c r="AX79" i="5"/>
  <c r="AW79" i="5"/>
  <c r="AV79" i="5"/>
  <c r="AU79" i="5"/>
  <c r="AT79" i="5"/>
  <c r="AS79" i="5"/>
  <c r="AR79" i="5"/>
  <c r="BL78" i="5"/>
  <c r="BK78" i="5"/>
  <c r="BJ78" i="5"/>
  <c r="BI78" i="5"/>
  <c r="BH78" i="5"/>
  <c r="BG78" i="5"/>
  <c r="BF78" i="5"/>
  <c r="BE78" i="5"/>
  <c r="BD78" i="5"/>
  <c r="BC78" i="5"/>
  <c r="BB78" i="5"/>
  <c r="BA78" i="5"/>
  <c r="AZ78" i="5"/>
  <c r="AY78" i="5"/>
  <c r="AX78" i="5"/>
  <c r="AW78" i="5"/>
  <c r="AV78" i="5"/>
  <c r="AU78" i="5"/>
  <c r="AT78" i="5"/>
  <c r="AS78" i="5"/>
  <c r="AR78" i="5"/>
  <c r="BL77" i="5"/>
  <c r="BK77" i="5"/>
  <c r="BJ77" i="5"/>
  <c r="BI77" i="5"/>
  <c r="BH77" i="5"/>
  <c r="BG77" i="5"/>
  <c r="BF77" i="5"/>
  <c r="BE77" i="5"/>
  <c r="BD77" i="5"/>
  <c r="BC77" i="5"/>
  <c r="BB77" i="5"/>
  <c r="BA77" i="5"/>
  <c r="AZ77" i="5"/>
  <c r="AY77" i="5"/>
  <c r="AX77" i="5"/>
  <c r="AW77" i="5"/>
  <c r="AV77" i="5"/>
  <c r="AU77" i="5"/>
  <c r="AT77" i="5"/>
  <c r="AS77" i="5"/>
  <c r="AR77" i="5"/>
  <c r="BL76" i="5"/>
  <c r="BK76" i="5"/>
  <c r="BJ76" i="5"/>
  <c r="BI76" i="5"/>
  <c r="BH76" i="5"/>
  <c r="BG76" i="5"/>
  <c r="BF76" i="5"/>
  <c r="BE76" i="5"/>
  <c r="BD76" i="5"/>
  <c r="BC76" i="5"/>
  <c r="BB76" i="5"/>
  <c r="BA76" i="5"/>
  <c r="AZ76" i="5"/>
  <c r="AY76" i="5"/>
  <c r="AX76" i="5"/>
  <c r="AW76" i="5"/>
  <c r="AV76" i="5"/>
  <c r="AU76" i="5"/>
  <c r="AT76" i="5"/>
  <c r="AS76" i="5"/>
  <c r="AR76" i="5"/>
  <c r="BL75" i="5"/>
  <c r="BK75" i="5"/>
  <c r="BJ75" i="5"/>
  <c r="BI75" i="5"/>
  <c r="BH75" i="5"/>
  <c r="BG75" i="5"/>
  <c r="BF75" i="5"/>
  <c r="BE75" i="5"/>
  <c r="BD75" i="5"/>
  <c r="BC75" i="5"/>
  <c r="BB75" i="5"/>
  <c r="BA75" i="5"/>
  <c r="AZ75" i="5"/>
  <c r="AY75" i="5"/>
  <c r="AX75" i="5"/>
  <c r="AW75" i="5"/>
  <c r="AV75" i="5"/>
  <c r="AU75" i="5"/>
  <c r="AT75" i="5"/>
  <c r="AS75" i="5"/>
  <c r="AR75" i="5"/>
  <c r="BL74" i="5"/>
  <c r="BK74" i="5"/>
  <c r="BJ74" i="5"/>
  <c r="BI74" i="5"/>
  <c r="BH74" i="5"/>
  <c r="BG74" i="5"/>
  <c r="BF74" i="5"/>
  <c r="BE74" i="5"/>
  <c r="BD74" i="5"/>
  <c r="BC74" i="5"/>
  <c r="BB74" i="5"/>
  <c r="BA74" i="5"/>
  <c r="AZ74" i="5"/>
  <c r="AY74" i="5"/>
  <c r="AX74" i="5"/>
  <c r="AW74" i="5"/>
  <c r="AV74" i="5"/>
  <c r="AU74" i="5"/>
  <c r="AT74" i="5"/>
  <c r="AS74" i="5"/>
  <c r="AR74" i="5"/>
  <c r="BL73" i="5"/>
  <c r="BK73" i="5"/>
  <c r="BJ73" i="5"/>
  <c r="BI73" i="5"/>
  <c r="BH73" i="5"/>
  <c r="BG73" i="5"/>
  <c r="BF73" i="5"/>
  <c r="BE73" i="5"/>
  <c r="BD73" i="5"/>
  <c r="BC73" i="5"/>
  <c r="BB73" i="5"/>
  <c r="BA73" i="5"/>
  <c r="AZ73" i="5"/>
  <c r="AY73" i="5"/>
  <c r="AX73" i="5"/>
  <c r="AW73" i="5"/>
  <c r="AV73" i="5"/>
  <c r="AU73" i="5"/>
  <c r="AT73" i="5"/>
  <c r="AS73" i="5"/>
  <c r="AR73" i="5"/>
  <c r="BL72" i="5"/>
  <c r="BK72" i="5"/>
  <c r="BJ72" i="5"/>
  <c r="BI72" i="5"/>
  <c r="BH72" i="5"/>
  <c r="BG72" i="5"/>
  <c r="BF72" i="5"/>
  <c r="BE72" i="5"/>
  <c r="BD72" i="5"/>
  <c r="BC72" i="5"/>
  <c r="BB72" i="5"/>
  <c r="BA72" i="5"/>
  <c r="AZ72" i="5"/>
  <c r="AY72" i="5"/>
  <c r="BO72" i="5" s="1"/>
  <c r="AX72" i="5"/>
  <c r="AW72" i="5"/>
  <c r="AV72" i="5"/>
  <c r="AU72" i="5"/>
  <c r="AT72" i="5"/>
  <c r="AS72" i="5"/>
  <c r="AR72" i="5"/>
  <c r="BO71" i="5"/>
  <c r="BL71" i="5"/>
  <c r="BK71" i="5"/>
  <c r="BJ71" i="5"/>
  <c r="BI71" i="5"/>
  <c r="BH71" i="5"/>
  <c r="BG71" i="5"/>
  <c r="BF71" i="5"/>
  <c r="BE71" i="5"/>
  <c r="BD71" i="5"/>
  <c r="BC71" i="5"/>
  <c r="BB71" i="5"/>
  <c r="BA71" i="5"/>
  <c r="AZ71" i="5"/>
  <c r="AY71" i="5"/>
  <c r="AX71" i="5"/>
  <c r="AW71" i="5"/>
  <c r="AV71" i="5"/>
  <c r="AU71" i="5"/>
  <c r="AT71" i="5"/>
  <c r="AS71" i="5"/>
  <c r="AR71" i="5"/>
  <c r="BL70" i="5"/>
  <c r="BK70" i="5"/>
  <c r="BJ70" i="5"/>
  <c r="BI70" i="5"/>
  <c r="BH70" i="5"/>
  <c r="BG70" i="5"/>
  <c r="BF70" i="5"/>
  <c r="BE70" i="5"/>
  <c r="BD70" i="5"/>
  <c r="BC70" i="5"/>
  <c r="BB70" i="5"/>
  <c r="BA70" i="5"/>
  <c r="AZ70" i="5"/>
  <c r="AY70" i="5"/>
  <c r="AX70" i="5"/>
  <c r="AW70" i="5"/>
  <c r="AV70" i="5"/>
  <c r="AU70" i="5"/>
  <c r="AT70" i="5"/>
  <c r="AS70" i="5"/>
  <c r="AR70" i="5"/>
  <c r="BL69" i="5"/>
  <c r="BK69" i="5"/>
  <c r="BJ69" i="5"/>
  <c r="BI69" i="5"/>
  <c r="BH69" i="5"/>
  <c r="BG69" i="5"/>
  <c r="BF69" i="5"/>
  <c r="BE69" i="5"/>
  <c r="BD69" i="5"/>
  <c r="BC69" i="5"/>
  <c r="BB69" i="5"/>
  <c r="BA69" i="5"/>
  <c r="AZ69" i="5"/>
  <c r="AY69" i="5"/>
  <c r="AX69" i="5"/>
  <c r="AW69" i="5"/>
  <c r="AV69" i="5"/>
  <c r="AU69" i="5"/>
  <c r="AT69" i="5"/>
  <c r="AS69" i="5"/>
  <c r="AR69" i="5"/>
  <c r="BL68" i="5"/>
  <c r="BK68" i="5"/>
  <c r="BJ68" i="5"/>
  <c r="BI68" i="5"/>
  <c r="BH68" i="5"/>
  <c r="BG68" i="5"/>
  <c r="BF68" i="5"/>
  <c r="BE68" i="5"/>
  <c r="BD68" i="5"/>
  <c r="BC68" i="5"/>
  <c r="BB68" i="5"/>
  <c r="BA68" i="5"/>
  <c r="AZ68" i="5"/>
  <c r="AY68" i="5"/>
  <c r="AX68" i="5"/>
  <c r="AW68" i="5"/>
  <c r="AV68" i="5"/>
  <c r="AU68" i="5"/>
  <c r="AT68" i="5"/>
  <c r="AS68" i="5"/>
  <c r="AR68" i="5"/>
  <c r="BL67" i="5"/>
  <c r="BK67" i="5"/>
  <c r="BJ67" i="5"/>
  <c r="BI67" i="5"/>
  <c r="BH67" i="5"/>
  <c r="BG67" i="5"/>
  <c r="BF67" i="5"/>
  <c r="BE67" i="5"/>
  <c r="BD67" i="5"/>
  <c r="BC67" i="5"/>
  <c r="BB67" i="5"/>
  <c r="BA67" i="5"/>
  <c r="AZ67" i="5"/>
  <c r="AY67" i="5"/>
  <c r="AX67" i="5"/>
  <c r="AW67" i="5"/>
  <c r="AV67" i="5"/>
  <c r="AU67" i="5"/>
  <c r="AT67" i="5"/>
  <c r="AS67" i="5"/>
  <c r="AR67" i="5"/>
  <c r="BL66" i="5"/>
  <c r="BK66" i="5"/>
  <c r="BJ66" i="5"/>
  <c r="BI66" i="5"/>
  <c r="BH66" i="5"/>
  <c r="BG66" i="5"/>
  <c r="BF66" i="5"/>
  <c r="BE66" i="5"/>
  <c r="BD66" i="5"/>
  <c r="BC66" i="5"/>
  <c r="BB66" i="5"/>
  <c r="BA66" i="5"/>
  <c r="AZ66" i="5"/>
  <c r="AY66" i="5"/>
  <c r="AX66" i="5"/>
  <c r="AW66" i="5"/>
  <c r="AV66" i="5"/>
  <c r="AU66" i="5"/>
  <c r="AT66" i="5"/>
  <c r="AS66" i="5"/>
  <c r="AR66" i="5"/>
  <c r="BL65" i="5"/>
  <c r="BK65" i="5"/>
  <c r="BJ65" i="5"/>
  <c r="BI65" i="5"/>
  <c r="BH65" i="5"/>
  <c r="BG65" i="5"/>
  <c r="BF65" i="5"/>
  <c r="BE65" i="5"/>
  <c r="BD65" i="5"/>
  <c r="BC65" i="5"/>
  <c r="BB65" i="5"/>
  <c r="BA65" i="5"/>
  <c r="AZ65" i="5"/>
  <c r="AY65" i="5"/>
  <c r="AX65" i="5"/>
  <c r="AW65" i="5"/>
  <c r="AV65" i="5"/>
  <c r="AU65" i="5"/>
  <c r="AT65" i="5"/>
  <c r="AS65" i="5"/>
  <c r="AR65" i="5"/>
  <c r="BL64" i="5"/>
  <c r="BK64" i="5"/>
  <c r="BJ64" i="5"/>
  <c r="BI64" i="5"/>
  <c r="BH64" i="5"/>
  <c r="BG64" i="5"/>
  <c r="BF64" i="5"/>
  <c r="BE64" i="5"/>
  <c r="BD64" i="5"/>
  <c r="BC64" i="5"/>
  <c r="BB64" i="5"/>
  <c r="BA64" i="5"/>
  <c r="AZ64" i="5"/>
  <c r="AY64" i="5"/>
  <c r="AX64" i="5"/>
  <c r="AW64" i="5"/>
  <c r="AV64" i="5"/>
  <c r="AU64" i="5"/>
  <c r="AT64" i="5"/>
  <c r="AS64" i="5"/>
  <c r="AR64" i="5"/>
  <c r="BL63" i="5"/>
  <c r="BK63" i="5"/>
  <c r="BJ63" i="5"/>
  <c r="BI63" i="5"/>
  <c r="BH63" i="5"/>
  <c r="BG63" i="5"/>
  <c r="BF63" i="5"/>
  <c r="BE63" i="5"/>
  <c r="BD63" i="5"/>
  <c r="BC63" i="5"/>
  <c r="BB63" i="5"/>
  <c r="BA63" i="5"/>
  <c r="AZ63" i="5"/>
  <c r="AY63" i="5"/>
  <c r="AX63" i="5"/>
  <c r="AW63" i="5"/>
  <c r="AV63" i="5"/>
  <c r="AU63" i="5"/>
  <c r="AT63" i="5"/>
  <c r="AS63" i="5"/>
  <c r="AR63" i="5"/>
  <c r="BL62" i="5"/>
  <c r="BK62" i="5"/>
  <c r="BJ62" i="5"/>
  <c r="BI62" i="5"/>
  <c r="BH62" i="5"/>
  <c r="BG62" i="5"/>
  <c r="BF62" i="5"/>
  <c r="BE62" i="5"/>
  <c r="BD62" i="5"/>
  <c r="BC62" i="5"/>
  <c r="BB62" i="5"/>
  <c r="BA62" i="5"/>
  <c r="AZ62" i="5"/>
  <c r="AY62" i="5"/>
  <c r="AX62" i="5"/>
  <c r="AW62" i="5"/>
  <c r="AV62" i="5"/>
  <c r="AU62" i="5"/>
  <c r="AT62" i="5"/>
  <c r="AS62" i="5"/>
  <c r="AR62" i="5"/>
  <c r="BL61" i="5"/>
  <c r="BK61" i="5"/>
  <c r="BJ61" i="5"/>
  <c r="BI61" i="5"/>
  <c r="BH61" i="5"/>
  <c r="BG61" i="5"/>
  <c r="BF61" i="5"/>
  <c r="BE61" i="5"/>
  <c r="BD61" i="5"/>
  <c r="BC61" i="5"/>
  <c r="BB61" i="5"/>
  <c r="BA61" i="5"/>
  <c r="AZ61" i="5"/>
  <c r="AY61" i="5"/>
  <c r="AX61" i="5"/>
  <c r="AW61" i="5"/>
  <c r="AV61" i="5"/>
  <c r="AU61" i="5"/>
  <c r="AT61" i="5"/>
  <c r="AS61" i="5"/>
  <c r="AR61" i="5"/>
  <c r="BL60" i="5"/>
  <c r="BK60" i="5"/>
  <c r="BJ60" i="5"/>
  <c r="BI60" i="5"/>
  <c r="BH60" i="5"/>
  <c r="BG60" i="5"/>
  <c r="BF60" i="5"/>
  <c r="BE60" i="5"/>
  <c r="BD60" i="5"/>
  <c r="BC60" i="5"/>
  <c r="BB60" i="5"/>
  <c r="BA60" i="5"/>
  <c r="AZ60" i="5"/>
  <c r="AY60" i="5"/>
  <c r="AX60" i="5"/>
  <c r="AW60" i="5"/>
  <c r="AV60" i="5"/>
  <c r="AU60" i="5"/>
  <c r="AT60" i="5"/>
  <c r="AS60" i="5"/>
  <c r="AR60" i="5"/>
  <c r="BL59" i="5"/>
  <c r="BK59" i="5"/>
  <c r="BJ59" i="5"/>
  <c r="BI59" i="5"/>
  <c r="BH59" i="5"/>
  <c r="BG59" i="5"/>
  <c r="BF59" i="5"/>
  <c r="BE59" i="5"/>
  <c r="BD59" i="5"/>
  <c r="BC59" i="5"/>
  <c r="BB59" i="5"/>
  <c r="BA59" i="5"/>
  <c r="AZ59" i="5"/>
  <c r="AY59" i="5"/>
  <c r="AX59" i="5"/>
  <c r="AW59" i="5"/>
  <c r="AV59" i="5"/>
  <c r="AU59" i="5"/>
  <c r="AT59" i="5"/>
  <c r="AS59" i="5"/>
  <c r="AR59" i="5"/>
  <c r="BL58" i="5"/>
  <c r="BK58" i="5"/>
  <c r="BJ58" i="5"/>
  <c r="BI58" i="5"/>
  <c r="BH58" i="5"/>
  <c r="BG58" i="5"/>
  <c r="BF58" i="5"/>
  <c r="BE58" i="5"/>
  <c r="BD58" i="5"/>
  <c r="BC58" i="5"/>
  <c r="BB58" i="5"/>
  <c r="BA58" i="5"/>
  <c r="AZ58" i="5"/>
  <c r="AY58" i="5"/>
  <c r="AX58" i="5"/>
  <c r="AW58" i="5"/>
  <c r="AV58" i="5"/>
  <c r="AU58" i="5"/>
  <c r="AT58" i="5"/>
  <c r="AS58" i="5"/>
  <c r="AR58" i="5"/>
  <c r="BL57" i="5"/>
  <c r="BK57" i="5"/>
  <c r="BJ57" i="5"/>
  <c r="BI57" i="5"/>
  <c r="BH57" i="5"/>
  <c r="BG57" i="5"/>
  <c r="BF57" i="5"/>
  <c r="BE57" i="5"/>
  <c r="BD57" i="5"/>
  <c r="BC57" i="5"/>
  <c r="BB57" i="5"/>
  <c r="BA57" i="5"/>
  <c r="AZ57" i="5"/>
  <c r="AY57" i="5"/>
  <c r="AX57" i="5"/>
  <c r="AW57" i="5"/>
  <c r="AV57" i="5"/>
  <c r="AU57" i="5"/>
  <c r="AT57" i="5"/>
  <c r="AS57" i="5"/>
  <c r="AR57" i="5"/>
  <c r="BL56" i="5"/>
  <c r="BK56" i="5"/>
  <c r="BJ56" i="5"/>
  <c r="BI56" i="5"/>
  <c r="BH56" i="5"/>
  <c r="BG56" i="5"/>
  <c r="BF56" i="5"/>
  <c r="BE56" i="5"/>
  <c r="BD56" i="5"/>
  <c r="BC56" i="5"/>
  <c r="BB56" i="5"/>
  <c r="BA56" i="5"/>
  <c r="AZ56" i="5"/>
  <c r="AY56" i="5"/>
  <c r="AX56" i="5"/>
  <c r="AW56" i="5"/>
  <c r="AV56" i="5"/>
  <c r="AU56" i="5"/>
  <c r="AT56" i="5"/>
  <c r="AS56" i="5"/>
  <c r="AR56" i="5"/>
  <c r="BL55" i="5"/>
  <c r="BK55" i="5"/>
  <c r="BJ55" i="5"/>
  <c r="BI55" i="5"/>
  <c r="BH55" i="5"/>
  <c r="BG55" i="5"/>
  <c r="BF55" i="5"/>
  <c r="BE55" i="5"/>
  <c r="BD55" i="5"/>
  <c r="BC55" i="5"/>
  <c r="BB55" i="5"/>
  <c r="BA55" i="5"/>
  <c r="AZ55" i="5"/>
  <c r="AY55" i="5"/>
  <c r="AX55" i="5"/>
  <c r="AW55" i="5"/>
  <c r="AV55" i="5"/>
  <c r="AU55" i="5"/>
  <c r="AT55" i="5"/>
  <c r="AS55" i="5"/>
  <c r="AR55" i="5"/>
  <c r="BL54" i="5"/>
  <c r="BK54" i="5"/>
  <c r="BJ54" i="5"/>
  <c r="BI54" i="5"/>
  <c r="BH54" i="5"/>
  <c r="BG54" i="5"/>
  <c r="BF54" i="5"/>
  <c r="BE54" i="5"/>
  <c r="BD54" i="5"/>
  <c r="BC54" i="5"/>
  <c r="BB54" i="5"/>
  <c r="BA54" i="5"/>
  <c r="AZ54" i="5"/>
  <c r="AY54" i="5"/>
  <c r="AX54" i="5"/>
  <c r="AW54" i="5"/>
  <c r="AV54" i="5"/>
  <c r="AU54" i="5"/>
  <c r="AT54" i="5"/>
  <c r="AS54" i="5"/>
  <c r="AR54" i="5"/>
  <c r="BL53" i="5"/>
  <c r="BK53" i="5"/>
  <c r="BJ53" i="5"/>
  <c r="BI53" i="5"/>
  <c r="BH53" i="5"/>
  <c r="BG53" i="5"/>
  <c r="BF53" i="5"/>
  <c r="BE53" i="5"/>
  <c r="BD53" i="5"/>
  <c r="BC53" i="5"/>
  <c r="BB53" i="5"/>
  <c r="BA53" i="5"/>
  <c r="AZ53" i="5"/>
  <c r="AY53" i="5"/>
  <c r="AX53" i="5"/>
  <c r="AW53" i="5"/>
  <c r="AV53" i="5"/>
  <c r="AU53" i="5"/>
  <c r="AT53" i="5"/>
  <c r="AS53" i="5"/>
  <c r="AR53" i="5"/>
  <c r="BL52" i="5"/>
  <c r="BK52" i="5"/>
  <c r="BJ52" i="5"/>
  <c r="BI52" i="5"/>
  <c r="BH52" i="5"/>
  <c r="BG52" i="5"/>
  <c r="BF52" i="5"/>
  <c r="BE52" i="5"/>
  <c r="BD52" i="5"/>
  <c r="BC52" i="5"/>
  <c r="BB52" i="5"/>
  <c r="BA52" i="5"/>
  <c r="AZ52" i="5"/>
  <c r="AY52" i="5"/>
  <c r="AX52" i="5"/>
  <c r="AW52" i="5"/>
  <c r="AV52" i="5"/>
  <c r="AU52" i="5"/>
  <c r="AT52" i="5"/>
  <c r="AS52" i="5"/>
  <c r="AR52" i="5"/>
  <c r="BL51" i="5"/>
  <c r="BK51" i="5"/>
  <c r="BJ51" i="5"/>
  <c r="BI51" i="5"/>
  <c r="BH51" i="5"/>
  <c r="BG51" i="5"/>
  <c r="BF51" i="5"/>
  <c r="BE51" i="5"/>
  <c r="BD51" i="5"/>
  <c r="BC51" i="5"/>
  <c r="BB51" i="5"/>
  <c r="BA51" i="5"/>
  <c r="AZ51" i="5"/>
  <c r="AY51" i="5"/>
  <c r="AX51" i="5"/>
  <c r="AW51" i="5"/>
  <c r="AV51" i="5"/>
  <c r="AU51" i="5"/>
  <c r="AT51" i="5"/>
  <c r="AS51" i="5"/>
  <c r="AR51" i="5"/>
  <c r="BL50" i="5"/>
  <c r="BK50" i="5"/>
  <c r="BJ50" i="5"/>
  <c r="BI50" i="5"/>
  <c r="BH50" i="5"/>
  <c r="BG50" i="5"/>
  <c r="BF50" i="5"/>
  <c r="BE50" i="5"/>
  <c r="BD50" i="5"/>
  <c r="BC50" i="5"/>
  <c r="BB50" i="5"/>
  <c r="BA50" i="5"/>
  <c r="AZ50" i="5"/>
  <c r="AY50" i="5"/>
  <c r="AX50" i="5"/>
  <c r="AW50" i="5"/>
  <c r="AV50" i="5"/>
  <c r="AU50" i="5"/>
  <c r="AT50" i="5"/>
  <c r="AS50" i="5"/>
  <c r="AR50" i="5"/>
  <c r="BO49" i="5"/>
  <c r="BL49" i="5"/>
  <c r="BK49" i="5"/>
  <c r="BJ49" i="5"/>
  <c r="BI49" i="5"/>
  <c r="BH49" i="5"/>
  <c r="BG49" i="5"/>
  <c r="BF49" i="5"/>
  <c r="BE49" i="5"/>
  <c r="BD49" i="5"/>
  <c r="BC49" i="5"/>
  <c r="BB49" i="5"/>
  <c r="BA49" i="5"/>
  <c r="AZ49" i="5"/>
  <c r="AY49" i="5"/>
  <c r="AX49" i="5"/>
  <c r="AW49" i="5"/>
  <c r="AV49" i="5"/>
  <c r="AU49" i="5"/>
  <c r="AT49" i="5"/>
  <c r="AS49" i="5"/>
  <c r="AR49" i="5"/>
  <c r="BL48" i="5"/>
  <c r="BK48" i="5"/>
  <c r="BJ48" i="5"/>
  <c r="BI48" i="5"/>
  <c r="BH48" i="5"/>
  <c r="BG48" i="5"/>
  <c r="BF48" i="5"/>
  <c r="BE48" i="5"/>
  <c r="BD48" i="5"/>
  <c r="BC48" i="5"/>
  <c r="BB48" i="5"/>
  <c r="BA48" i="5"/>
  <c r="AZ48" i="5"/>
  <c r="AY48" i="5"/>
  <c r="AX48" i="5"/>
  <c r="AW48" i="5"/>
  <c r="AV48" i="5"/>
  <c r="AU48" i="5"/>
  <c r="AT48" i="5"/>
  <c r="AS48" i="5"/>
  <c r="AR48" i="5"/>
  <c r="BL47" i="5"/>
  <c r="BK47" i="5"/>
  <c r="BJ47" i="5"/>
  <c r="BI47" i="5"/>
  <c r="BH47" i="5"/>
  <c r="BG47" i="5"/>
  <c r="BF47" i="5"/>
  <c r="BE47" i="5"/>
  <c r="BD47" i="5"/>
  <c r="BC47" i="5"/>
  <c r="BB47" i="5"/>
  <c r="BA47" i="5"/>
  <c r="AZ47" i="5"/>
  <c r="AY47" i="5"/>
  <c r="AX47" i="5"/>
  <c r="AW47" i="5"/>
  <c r="AV47" i="5"/>
  <c r="AU47" i="5"/>
  <c r="AT47" i="5"/>
  <c r="AS47" i="5"/>
  <c r="AR47" i="5"/>
  <c r="BL46" i="5"/>
  <c r="BK46" i="5"/>
  <c r="BJ46" i="5"/>
  <c r="BI46" i="5"/>
  <c r="BH46" i="5"/>
  <c r="BG46" i="5"/>
  <c r="BF46" i="5"/>
  <c r="BE46" i="5"/>
  <c r="BD46" i="5"/>
  <c r="BC46" i="5"/>
  <c r="BB46" i="5"/>
  <c r="BA46" i="5"/>
  <c r="AZ46" i="5"/>
  <c r="AY46" i="5"/>
  <c r="AX46" i="5"/>
  <c r="AW46" i="5"/>
  <c r="AV46" i="5"/>
  <c r="AU46" i="5"/>
  <c r="AT46" i="5"/>
  <c r="AS46" i="5"/>
  <c r="AR46" i="5"/>
  <c r="BL45" i="5"/>
  <c r="BK45" i="5"/>
  <c r="BJ45" i="5"/>
  <c r="BI45" i="5"/>
  <c r="BH45" i="5"/>
  <c r="BG45" i="5"/>
  <c r="BF45" i="5"/>
  <c r="BE45" i="5"/>
  <c r="BD45" i="5"/>
  <c r="BC45" i="5"/>
  <c r="BB45" i="5"/>
  <c r="BA45" i="5"/>
  <c r="AZ45" i="5"/>
  <c r="AY45" i="5"/>
  <c r="AX45" i="5"/>
  <c r="AW45" i="5"/>
  <c r="AV45" i="5"/>
  <c r="AU45" i="5"/>
  <c r="AT45" i="5"/>
  <c r="AS45" i="5"/>
  <c r="AR45" i="5"/>
  <c r="BL44" i="5"/>
  <c r="BK44" i="5"/>
  <c r="BJ44" i="5"/>
  <c r="BI44" i="5"/>
  <c r="BH44" i="5"/>
  <c r="BG44" i="5"/>
  <c r="BF44" i="5"/>
  <c r="BE44" i="5"/>
  <c r="BD44" i="5"/>
  <c r="BC44" i="5"/>
  <c r="BB44" i="5"/>
  <c r="BA44" i="5"/>
  <c r="AZ44" i="5"/>
  <c r="AY44" i="5"/>
  <c r="AX44" i="5"/>
  <c r="AW44" i="5"/>
  <c r="AV44" i="5"/>
  <c r="AU44" i="5"/>
  <c r="AT44" i="5"/>
  <c r="AS44" i="5"/>
  <c r="AR44" i="5"/>
  <c r="BL43" i="5"/>
  <c r="BK43" i="5"/>
  <c r="BJ43" i="5"/>
  <c r="BI43" i="5"/>
  <c r="BH43" i="5"/>
  <c r="BG43" i="5"/>
  <c r="BF43" i="5"/>
  <c r="BE43" i="5"/>
  <c r="BD43" i="5"/>
  <c r="BC43" i="5"/>
  <c r="BB43" i="5"/>
  <c r="BA43" i="5"/>
  <c r="AZ43" i="5"/>
  <c r="AY43" i="5"/>
  <c r="AX43" i="5"/>
  <c r="AW43" i="5"/>
  <c r="AV43" i="5"/>
  <c r="AU43" i="5"/>
  <c r="AT43" i="5"/>
  <c r="AS43" i="5"/>
  <c r="AR43" i="5"/>
  <c r="BL42" i="5"/>
  <c r="BK42" i="5"/>
  <c r="BJ42" i="5"/>
  <c r="BI42" i="5"/>
  <c r="BH42" i="5"/>
  <c r="BG42" i="5"/>
  <c r="BF42" i="5"/>
  <c r="BE42" i="5"/>
  <c r="BD42" i="5"/>
  <c r="BC42" i="5"/>
  <c r="BB42" i="5"/>
  <c r="BA42" i="5"/>
  <c r="AZ42" i="5"/>
  <c r="AY42" i="5"/>
  <c r="AX42" i="5"/>
  <c r="AW42" i="5"/>
  <c r="AV42" i="5"/>
  <c r="AU42" i="5"/>
  <c r="AT42" i="5"/>
  <c r="AS42" i="5"/>
  <c r="AR42" i="5"/>
  <c r="BL41" i="5"/>
  <c r="BK41" i="5"/>
  <c r="BJ41" i="5"/>
  <c r="BI41" i="5"/>
  <c r="BH41" i="5"/>
  <c r="BG41" i="5"/>
  <c r="BF41" i="5"/>
  <c r="BE41" i="5"/>
  <c r="BD41" i="5"/>
  <c r="BC41" i="5"/>
  <c r="BB41" i="5"/>
  <c r="BA41" i="5"/>
  <c r="AZ41" i="5"/>
  <c r="AY41" i="5"/>
  <c r="AX41" i="5"/>
  <c r="AW41" i="5"/>
  <c r="AV41" i="5"/>
  <c r="AU41" i="5"/>
  <c r="AT41" i="5"/>
  <c r="AS41" i="5"/>
  <c r="AR41" i="5"/>
  <c r="BL40" i="5"/>
  <c r="BK40" i="5"/>
  <c r="BJ40" i="5"/>
  <c r="BI40" i="5"/>
  <c r="BH40" i="5"/>
  <c r="BG40" i="5"/>
  <c r="BF40" i="5"/>
  <c r="BE40" i="5"/>
  <c r="BD40" i="5"/>
  <c r="BC40" i="5"/>
  <c r="BB40" i="5"/>
  <c r="BA40" i="5"/>
  <c r="AZ40" i="5"/>
  <c r="AY40" i="5"/>
  <c r="AX40" i="5"/>
  <c r="AW40" i="5"/>
  <c r="AV40" i="5"/>
  <c r="AU40" i="5"/>
  <c r="AT40" i="5"/>
  <c r="AS40" i="5"/>
  <c r="AR40" i="5"/>
  <c r="BL39" i="5"/>
  <c r="BK39" i="5"/>
  <c r="BJ39" i="5"/>
  <c r="BI39" i="5"/>
  <c r="BH39" i="5"/>
  <c r="BG39" i="5"/>
  <c r="BF39" i="5"/>
  <c r="BE39" i="5"/>
  <c r="BD39" i="5"/>
  <c r="BC39" i="5"/>
  <c r="BB39" i="5"/>
  <c r="BA39" i="5"/>
  <c r="AZ39" i="5"/>
  <c r="AY39" i="5"/>
  <c r="AX39" i="5"/>
  <c r="AW39" i="5"/>
  <c r="AV39" i="5"/>
  <c r="AU39" i="5"/>
  <c r="AT39" i="5"/>
  <c r="AS39" i="5"/>
  <c r="AR39" i="5"/>
  <c r="BL38" i="5"/>
  <c r="BK38" i="5"/>
  <c r="BJ38" i="5"/>
  <c r="BI38" i="5"/>
  <c r="BH38" i="5"/>
  <c r="BG38" i="5"/>
  <c r="BF38" i="5"/>
  <c r="BE38" i="5"/>
  <c r="BD38" i="5"/>
  <c r="BC38" i="5"/>
  <c r="BB38" i="5"/>
  <c r="BA38" i="5"/>
  <c r="AZ38" i="5"/>
  <c r="AY38" i="5"/>
  <c r="AX38" i="5"/>
  <c r="BO38" i="5" s="1"/>
  <c r="AW38" i="5"/>
  <c r="AV38" i="5"/>
  <c r="AU38" i="5"/>
  <c r="AT38" i="5"/>
  <c r="AS38" i="5"/>
  <c r="AR38" i="5"/>
  <c r="BL37" i="5"/>
  <c r="BK37" i="5"/>
  <c r="BJ37" i="5"/>
  <c r="BI37" i="5"/>
  <c r="BH37" i="5"/>
  <c r="BG37" i="5"/>
  <c r="BF37" i="5"/>
  <c r="BE37" i="5"/>
  <c r="BD37" i="5"/>
  <c r="BC37" i="5"/>
  <c r="BB37" i="5"/>
  <c r="BA37" i="5"/>
  <c r="AZ37" i="5"/>
  <c r="AY37" i="5"/>
  <c r="AX37" i="5"/>
  <c r="AW37" i="5"/>
  <c r="AV37" i="5"/>
  <c r="AU37" i="5"/>
  <c r="AT37" i="5"/>
  <c r="AS37" i="5"/>
  <c r="AR37" i="5"/>
  <c r="BO36" i="5"/>
  <c r="BN36" i="5"/>
  <c r="BL36" i="5"/>
  <c r="BK36" i="5"/>
  <c r="BJ36" i="5"/>
  <c r="BI36" i="5"/>
  <c r="BH36" i="5"/>
  <c r="BG36" i="5"/>
  <c r="BF36" i="5"/>
  <c r="BE36" i="5"/>
  <c r="BD36" i="5"/>
  <c r="BC36" i="5"/>
  <c r="BB36" i="5"/>
  <c r="BA36" i="5"/>
  <c r="AZ36" i="5"/>
  <c r="AY36" i="5"/>
  <c r="AX36" i="5"/>
  <c r="AW36" i="5"/>
  <c r="AV36" i="5"/>
  <c r="AU36" i="5"/>
  <c r="AT36" i="5"/>
  <c r="AS36" i="5"/>
  <c r="AR36" i="5"/>
  <c r="BL35" i="5"/>
  <c r="BK35" i="5"/>
  <c r="BJ35" i="5"/>
  <c r="BI35" i="5"/>
  <c r="BH35" i="5"/>
  <c r="BG35" i="5"/>
  <c r="BF35" i="5"/>
  <c r="BE35" i="5"/>
  <c r="BD35" i="5"/>
  <c r="BC35" i="5"/>
  <c r="BB35" i="5"/>
  <c r="BA35" i="5"/>
  <c r="AZ35" i="5"/>
  <c r="AY35" i="5"/>
  <c r="AX35" i="5"/>
  <c r="AW35" i="5"/>
  <c r="AV35" i="5"/>
  <c r="AU35" i="5"/>
  <c r="AT35" i="5"/>
  <c r="AS35" i="5"/>
  <c r="AR35" i="5"/>
  <c r="BL34" i="5"/>
  <c r="BK34" i="5"/>
  <c r="BJ34" i="5"/>
  <c r="BI34" i="5"/>
  <c r="BH34" i="5"/>
  <c r="BG34" i="5"/>
  <c r="BF34" i="5"/>
  <c r="BE34" i="5"/>
  <c r="BD34" i="5"/>
  <c r="BC34" i="5"/>
  <c r="BB34" i="5"/>
  <c r="BA34" i="5"/>
  <c r="AZ34" i="5"/>
  <c r="AY34" i="5"/>
  <c r="AX34" i="5"/>
  <c r="AW34" i="5"/>
  <c r="AV34" i="5"/>
  <c r="AU34" i="5"/>
  <c r="AT34" i="5"/>
  <c r="AS34" i="5"/>
  <c r="AR34" i="5"/>
  <c r="BL33" i="5"/>
  <c r="BK33" i="5"/>
  <c r="BJ33" i="5"/>
  <c r="BI33" i="5"/>
  <c r="BH33" i="5"/>
  <c r="BG33" i="5"/>
  <c r="BF33" i="5"/>
  <c r="BE33" i="5"/>
  <c r="BD33" i="5"/>
  <c r="BC33" i="5"/>
  <c r="BB33" i="5"/>
  <c r="BA33" i="5"/>
  <c r="AZ33" i="5"/>
  <c r="AY33" i="5"/>
  <c r="AX33" i="5"/>
  <c r="AW33" i="5"/>
  <c r="AV33" i="5"/>
  <c r="AU33" i="5"/>
  <c r="AT33" i="5"/>
  <c r="AS33" i="5"/>
  <c r="AR33" i="5"/>
  <c r="BL32" i="5"/>
  <c r="BK32" i="5"/>
  <c r="BJ32" i="5"/>
  <c r="BI32" i="5"/>
  <c r="BH32" i="5"/>
  <c r="BG32" i="5"/>
  <c r="BF32" i="5"/>
  <c r="BE32" i="5"/>
  <c r="BD32" i="5"/>
  <c r="BC32" i="5"/>
  <c r="BB32" i="5"/>
  <c r="BA32" i="5"/>
  <c r="AZ32" i="5"/>
  <c r="AY32" i="5"/>
  <c r="AX32" i="5"/>
  <c r="AW32" i="5"/>
  <c r="AV32" i="5"/>
  <c r="AU32" i="5"/>
  <c r="AT32" i="5"/>
  <c r="AS32" i="5"/>
  <c r="AR32" i="5"/>
  <c r="BL31" i="5"/>
  <c r="BK31" i="5"/>
  <c r="BJ31" i="5"/>
  <c r="BI31" i="5"/>
  <c r="BH31" i="5"/>
  <c r="BG31" i="5"/>
  <c r="BF31" i="5"/>
  <c r="BE31" i="5"/>
  <c r="BD31" i="5"/>
  <c r="BC31" i="5"/>
  <c r="BB31" i="5"/>
  <c r="BA31" i="5"/>
  <c r="AZ31" i="5"/>
  <c r="AY31" i="5"/>
  <c r="AX31" i="5"/>
  <c r="AW31" i="5"/>
  <c r="AV31" i="5"/>
  <c r="AU31" i="5"/>
  <c r="AT31" i="5"/>
  <c r="AS31" i="5"/>
  <c r="AR31" i="5"/>
  <c r="BL30" i="5"/>
  <c r="BK30" i="5"/>
  <c r="BJ30" i="5"/>
  <c r="BI30" i="5"/>
  <c r="BH30" i="5"/>
  <c r="BG30" i="5"/>
  <c r="BF30" i="5"/>
  <c r="BE30" i="5"/>
  <c r="BD30" i="5"/>
  <c r="BC30" i="5"/>
  <c r="BB30" i="5"/>
  <c r="BA30" i="5"/>
  <c r="AZ30" i="5"/>
  <c r="AY30" i="5"/>
  <c r="AX30" i="5"/>
  <c r="AW30" i="5"/>
  <c r="AV30" i="5"/>
  <c r="AU30" i="5"/>
  <c r="AT30" i="5"/>
  <c r="AS30" i="5"/>
  <c r="AR30" i="5"/>
  <c r="BL29" i="5"/>
  <c r="BK29" i="5"/>
  <c r="BJ29" i="5"/>
  <c r="BI29" i="5"/>
  <c r="BH29" i="5"/>
  <c r="BG29" i="5"/>
  <c r="BF29" i="5"/>
  <c r="BE29" i="5"/>
  <c r="BD29" i="5"/>
  <c r="BC29" i="5"/>
  <c r="BB29" i="5"/>
  <c r="BA29" i="5"/>
  <c r="AZ29" i="5"/>
  <c r="AY29" i="5"/>
  <c r="AX29" i="5"/>
  <c r="AW29" i="5"/>
  <c r="AV29" i="5"/>
  <c r="AU29" i="5"/>
  <c r="AT29" i="5"/>
  <c r="AS29" i="5"/>
  <c r="AR29" i="5"/>
  <c r="BL28" i="5"/>
  <c r="BK28" i="5"/>
  <c r="BJ28" i="5"/>
  <c r="BI28" i="5"/>
  <c r="BH28" i="5"/>
  <c r="BG28" i="5"/>
  <c r="BF28" i="5"/>
  <c r="BE28" i="5"/>
  <c r="BD28" i="5"/>
  <c r="BC28" i="5"/>
  <c r="BB28" i="5"/>
  <c r="BA28" i="5"/>
  <c r="AZ28" i="5"/>
  <c r="AY28" i="5"/>
  <c r="AX28" i="5"/>
  <c r="BN28" i="5" s="1"/>
  <c r="AW28" i="5"/>
  <c r="AV28" i="5"/>
  <c r="AU28" i="5"/>
  <c r="AT28" i="5"/>
  <c r="AS28" i="5"/>
  <c r="AR28" i="5"/>
  <c r="BL27" i="5"/>
  <c r="BK27" i="5"/>
  <c r="BJ27" i="5"/>
  <c r="BI27" i="5"/>
  <c r="BH27" i="5"/>
  <c r="BG27" i="5"/>
  <c r="BF27" i="5"/>
  <c r="BE27" i="5"/>
  <c r="BD27" i="5"/>
  <c r="BC27" i="5"/>
  <c r="BB27" i="5"/>
  <c r="BA27" i="5"/>
  <c r="AZ27" i="5"/>
  <c r="AY27" i="5"/>
  <c r="AX27" i="5"/>
  <c r="AW27" i="5"/>
  <c r="AV27" i="5"/>
  <c r="AU27" i="5"/>
  <c r="AT27" i="5"/>
  <c r="AS27" i="5"/>
  <c r="AR27" i="5"/>
  <c r="BL26" i="5"/>
  <c r="BK26" i="5"/>
  <c r="BJ26" i="5"/>
  <c r="BI26" i="5"/>
  <c r="BH26" i="5"/>
  <c r="BG26" i="5"/>
  <c r="BF26" i="5"/>
  <c r="BE26" i="5"/>
  <c r="BD26" i="5"/>
  <c r="BC26" i="5"/>
  <c r="BB26" i="5"/>
  <c r="BA26" i="5"/>
  <c r="AZ26" i="5"/>
  <c r="AY26" i="5"/>
  <c r="AX26" i="5"/>
  <c r="AW26" i="5"/>
  <c r="AV26" i="5"/>
  <c r="AU26" i="5"/>
  <c r="AT26" i="5"/>
  <c r="AS26" i="5"/>
  <c r="AR26" i="5"/>
  <c r="BL25" i="5"/>
  <c r="BK25" i="5"/>
  <c r="BJ25" i="5"/>
  <c r="BI25" i="5"/>
  <c r="BH25" i="5"/>
  <c r="BG25" i="5"/>
  <c r="BF25" i="5"/>
  <c r="BE25" i="5"/>
  <c r="BD25" i="5"/>
  <c r="BC25" i="5"/>
  <c r="BB25" i="5"/>
  <c r="BA25" i="5"/>
  <c r="AZ25" i="5"/>
  <c r="AY25" i="5"/>
  <c r="AX25" i="5"/>
  <c r="AW25" i="5"/>
  <c r="AV25" i="5"/>
  <c r="AU25" i="5"/>
  <c r="AT25" i="5"/>
  <c r="AS25" i="5"/>
  <c r="AR25" i="5"/>
  <c r="BL24" i="5"/>
  <c r="BK24" i="5"/>
  <c r="BJ24" i="5"/>
  <c r="BI24" i="5"/>
  <c r="BH24" i="5"/>
  <c r="BG24" i="5"/>
  <c r="BF24" i="5"/>
  <c r="BE24" i="5"/>
  <c r="BD24" i="5"/>
  <c r="BC24" i="5"/>
  <c r="BB24" i="5"/>
  <c r="BA24" i="5"/>
  <c r="AZ24" i="5"/>
  <c r="AY24" i="5"/>
  <c r="AX24" i="5"/>
  <c r="AW24" i="5"/>
  <c r="AV24" i="5"/>
  <c r="AU24" i="5"/>
  <c r="AT24" i="5"/>
  <c r="AS24" i="5"/>
  <c r="AR24" i="5"/>
  <c r="BL23" i="5"/>
  <c r="BK23" i="5"/>
  <c r="BJ23" i="5"/>
  <c r="BI23" i="5"/>
  <c r="BH23" i="5"/>
  <c r="BG23" i="5"/>
  <c r="BF23" i="5"/>
  <c r="BE23" i="5"/>
  <c r="BD23" i="5"/>
  <c r="BC23" i="5"/>
  <c r="BB23" i="5"/>
  <c r="BA23" i="5"/>
  <c r="AZ23" i="5"/>
  <c r="AY23" i="5"/>
  <c r="AX23" i="5"/>
  <c r="AW23" i="5"/>
  <c r="AV23" i="5"/>
  <c r="AU23" i="5"/>
  <c r="AT23" i="5"/>
  <c r="AS23" i="5"/>
  <c r="AR23" i="5"/>
  <c r="BL22" i="5"/>
  <c r="BK22" i="5"/>
  <c r="BJ22" i="5"/>
  <c r="BI22" i="5"/>
  <c r="BH22" i="5"/>
  <c r="BG22" i="5"/>
  <c r="BF22" i="5"/>
  <c r="BE22" i="5"/>
  <c r="BD22" i="5"/>
  <c r="BC22" i="5"/>
  <c r="BB22" i="5"/>
  <c r="BA22" i="5"/>
  <c r="AZ22" i="5"/>
  <c r="AY22" i="5"/>
  <c r="AX22" i="5"/>
  <c r="AW22" i="5"/>
  <c r="AV22" i="5"/>
  <c r="AU22" i="5"/>
  <c r="AT22" i="5"/>
  <c r="AS22" i="5"/>
  <c r="AR22" i="5"/>
  <c r="BL21" i="5"/>
  <c r="BK21" i="5"/>
  <c r="BJ21" i="5"/>
  <c r="BI21" i="5"/>
  <c r="BH21" i="5"/>
  <c r="BG21" i="5"/>
  <c r="BF21" i="5"/>
  <c r="BE21" i="5"/>
  <c r="BD21" i="5"/>
  <c r="BC21" i="5"/>
  <c r="BB21" i="5"/>
  <c r="BA21" i="5"/>
  <c r="AZ21" i="5"/>
  <c r="AY21" i="5"/>
  <c r="AX21" i="5"/>
  <c r="AW21" i="5"/>
  <c r="AV21" i="5"/>
  <c r="AU21" i="5"/>
  <c r="AT21" i="5"/>
  <c r="AS21" i="5"/>
  <c r="AR21" i="5"/>
  <c r="BL20" i="5"/>
  <c r="BK20" i="5"/>
  <c r="BJ20" i="5"/>
  <c r="BI20" i="5"/>
  <c r="BH20" i="5"/>
  <c r="BG20" i="5"/>
  <c r="BF20" i="5"/>
  <c r="BE20" i="5"/>
  <c r="BD20" i="5"/>
  <c r="BC20" i="5"/>
  <c r="BB20" i="5"/>
  <c r="BA20" i="5"/>
  <c r="AZ20" i="5"/>
  <c r="AY20" i="5"/>
  <c r="AX20" i="5"/>
  <c r="AW20" i="5"/>
  <c r="AV20" i="5"/>
  <c r="AU20" i="5"/>
  <c r="AT20" i="5"/>
  <c r="AS20" i="5"/>
  <c r="AR20" i="5"/>
  <c r="BL19" i="5"/>
  <c r="BK19" i="5"/>
  <c r="BJ19" i="5"/>
  <c r="BI19" i="5"/>
  <c r="BH19" i="5"/>
  <c r="BG19" i="5"/>
  <c r="BF19" i="5"/>
  <c r="BE19" i="5"/>
  <c r="BD19" i="5"/>
  <c r="BC19" i="5"/>
  <c r="BB19" i="5"/>
  <c r="BA19" i="5"/>
  <c r="AZ19" i="5"/>
  <c r="AY19" i="5"/>
  <c r="AX19" i="5"/>
  <c r="AW19" i="5"/>
  <c r="AV19" i="5"/>
  <c r="AU19" i="5"/>
  <c r="AT19" i="5"/>
  <c r="AS19" i="5"/>
  <c r="AR19" i="5"/>
  <c r="BL18" i="5"/>
  <c r="BK18" i="5"/>
  <c r="BJ18" i="5"/>
  <c r="BI18" i="5"/>
  <c r="BH18" i="5"/>
  <c r="BG18" i="5"/>
  <c r="BF18" i="5"/>
  <c r="BE18" i="5"/>
  <c r="BD18" i="5"/>
  <c r="BC18" i="5"/>
  <c r="BB18" i="5"/>
  <c r="BA18" i="5"/>
  <c r="AZ18" i="5"/>
  <c r="AY18" i="5"/>
  <c r="AX18" i="5"/>
  <c r="AW18" i="5"/>
  <c r="AV18" i="5"/>
  <c r="AU18" i="5"/>
  <c r="AT18" i="5"/>
  <c r="AS18" i="5"/>
  <c r="AR18" i="5"/>
  <c r="BL17" i="5"/>
  <c r="BK17" i="5"/>
  <c r="BJ17" i="5"/>
  <c r="BI17" i="5"/>
  <c r="BH17" i="5"/>
  <c r="BG17" i="5"/>
  <c r="BF17" i="5"/>
  <c r="BE17" i="5"/>
  <c r="BD17" i="5"/>
  <c r="BC17" i="5"/>
  <c r="BB17" i="5"/>
  <c r="BA17" i="5"/>
  <c r="AZ17" i="5"/>
  <c r="AY17" i="5"/>
  <c r="AX17" i="5"/>
  <c r="AW17" i="5"/>
  <c r="AV17" i="5"/>
  <c r="AU17" i="5"/>
  <c r="AT17" i="5"/>
  <c r="AS17" i="5"/>
  <c r="AR17" i="5"/>
  <c r="BL16" i="5"/>
  <c r="BK16" i="5"/>
  <c r="BJ16" i="5"/>
  <c r="BI16" i="5"/>
  <c r="BH16" i="5"/>
  <c r="BG16" i="5"/>
  <c r="BF16" i="5"/>
  <c r="BE16" i="5"/>
  <c r="BD16" i="5"/>
  <c r="BC16" i="5"/>
  <c r="BB16" i="5"/>
  <c r="BA16" i="5"/>
  <c r="AZ16" i="5"/>
  <c r="AY16" i="5"/>
  <c r="AX16" i="5"/>
  <c r="AW16" i="5"/>
  <c r="AV16" i="5"/>
  <c r="AU16" i="5"/>
  <c r="AT16" i="5"/>
  <c r="AS16" i="5"/>
  <c r="AR16" i="5"/>
  <c r="BL15" i="5"/>
  <c r="BK15" i="5"/>
  <c r="BJ15" i="5"/>
  <c r="BI15" i="5"/>
  <c r="BH15" i="5"/>
  <c r="BG15" i="5"/>
  <c r="BF15" i="5"/>
  <c r="BE15" i="5"/>
  <c r="BD15" i="5"/>
  <c r="BC15" i="5"/>
  <c r="BB15" i="5"/>
  <c r="BA15" i="5"/>
  <c r="AZ15" i="5"/>
  <c r="AY15" i="5"/>
  <c r="AX15" i="5"/>
  <c r="AW15" i="5"/>
  <c r="AV15" i="5"/>
  <c r="AU15" i="5"/>
  <c r="AT15" i="5"/>
  <c r="AS15" i="5"/>
  <c r="AR15" i="5"/>
  <c r="BL14" i="5"/>
  <c r="BK14" i="5"/>
  <c r="BJ14" i="5"/>
  <c r="BI14" i="5"/>
  <c r="BH14" i="5"/>
  <c r="BG14" i="5"/>
  <c r="BF14" i="5"/>
  <c r="BE14" i="5"/>
  <c r="BD14" i="5"/>
  <c r="BC14" i="5"/>
  <c r="BB14" i="5"/>
  <c r="BA14" i="5"/>
  <c r="AZ14" i="5"/>
  <c r="AY14" i="5"/>
  <c r="AX14" i="5"/>
  <c r="AW14" i="5"/>
  <c r="AV14" i="5"/>
  <c r="AU14" i="5"/>
  <c r="AT14" i="5"/>
  <c r="AS14" i="5"/>
  <c r="AR14" i="5"/>
  <c r="BL13" i="5"/>
  <c r="BK13" i="5"/>
  <c r="BJ13" i="5"/>
  <c r="BI13" i="5"/>
  <c r="BH13" i="5"/>
  <c r="BG13" i="5"/>
  <c r="BF13" i="5"/>
  <c r="BE13" i="5"/>
  <c r="BD13" i="5"/>
  <c r="BC13" i="5"/>
  <c r="BB13" i="5"/>
  <c r="BA13" i="5"/>
  <c r="AZ13" i="5"/>
  <c r="AY13" i="5"/>
  <c r="AX13" i="5"/>
  <c r="AW13" i="5"/>
  <c r="AV13" i="5"/>
  <c r="AU13" i="5"/>
  <c r="AT13" i="5"/>
  <c r="AS13" i="5"/>
  <c r="AR13" i="5"/>
  <c r="BL12" i="5"/>
  <c r="BK12" i="5"/>
  <c r="BJ12" i="5"/>
  <c r="BI12" i="5"/>
  <c r="BH12" i="5"/>
  <c r="BG12" i="5"/>
  <c r="BF12" i="5"/>
  <c r="BE12" i="5"/>
  <c r="BD12" i="5"/>
  <c r="BC12" i="5"/>
  <c r="BB12" i="5"/>
  <c r="BA12" i="5"/>
  <c r="AZ12" i="5"/>
  <c r="AY12" i="5"/>
  <c r="AX12" i="5"/>
  <c r="AW12" i="5"/>
  <c r="AV12" i="5"/>
  <c r="AU12" i="5"/>
  <c r="AT12" i="5"/>
  <c r="AS12" i="5"/>
  <c r="AR12" i="5"/>
  <c r="BL11" i="5"/>
  <c r="BK11" i="5"/>
  <c r="BJ11" i="5"/>
  <c r="BI11" i="5"/>
  <c r="BH11" i="5"/>
  <c r="BG11" i="5"/>
  <c r="BF11" i="5"/>
  <c r="BE11" i="5"/>
  <c r="BD11" i="5"/>
  <c r="BC11" i="5"/>
  <c r="BB11" i="5"/>
  <c r="BA11" i="5"/>
  <c r="AZ11" i="5"/>
  <c r="AY11" i="5"/>
  <c r="AX11" i="5"/>
  <c r="AW11" i="5"/>
  <c r="AV11" i="5"/>
  <c r="AU11" i="5"/>
  <c r="AT11" i="5"/>
  <c r="AS11" i="5"/>
  <c r="AR11" i="5"/>
  <c r="BL10" i="5"/>
  <c r="BK10" i="5"/>
  <c r="BJ10" i="5"/>
  <c r="BI10" i="5"/>
  <c r="BH10" i="5"/>
  <c r="BG10" i="5"/>
  <c r="BF10" i="5"/>
  <c r="BE10" i="5"/>
  <c r="BD10" i="5"/>
  <c r="BC10" i="5"/>
  <c r="BB10" i="5"/>
  <c r="BA10" i="5"/>
  <c r="AZ10" i="5"/>
  <c r="AY10" i="5"/>
  <c r="AX10" i="5"/>
  <c r="AW10" i="5"/>
  <c r="AV10" i="5"/>
  <c r="AU10" i="5"/>
  <c r="AT10" i="5"/>
  <c r="AS10" i="5"/>
  <c r="AR10" i="5"/>
  <c r="BL9" i="5"/>
  <c r="BK9" i="5"/>
  <c r="BJ9" i="5"/>
  <c r="BI9" i="5"/>
  <c r="BH9" i="5"/>
  <c r="BG9" i="5"/>
  <c r="BF9" i="5"/>
  <c r="BE9" i="5"/>
  <c r="BD9" i="5"/>
  <c r="BC9" i="5"/>
  <c r="BB9" i="5"/>
  <c r="BA9" i="5"/>
  <c r="AZ9" i="5"/>
  <c r="AY9" i="5"/>
  <c r="AX9" i="5"/>
  <c r="AW9" i="5"/>
  <c r="AV9" i="5"/>
  <c r="AU9" i="5"/>
  <c r="AT9" i="5"/>
  <c r="AS9" i="5"/>
  <c r="AR9" i="5"/>
  <c r="BL8" i="5"/>
  <c r="BK8" i="5"/>
  <c r="BJ8" i="5"/>
  <c r="BI8" i="5"/>
  <c r="BH8" i="5"/>
  <c r="BG8" i="5"/>
  <c r="BF8" i="5"/>
  <c r="BE8" i="5"/>
  <c r="BD8" i="5"/>
  <c r="BC8" i="5"/>
  <c r="BB8" i="5"/>
  <c r="BA8" i="5"/>
  <c r="AZ8" i="5"/>
  <c r="AY8" i="5"/>
  <c r="AX8" i="5"/>
  <c r="AW8" i="5"/>
  <c r="AV8" i="5"/>
  <c r="AU8" i="5"/>
  <c r="AT8" i="5"/>
  <c r="AS8" i="5"/>
  <c r="AR8" i="5"/>
  <c r="BL7" i="5"/>
  <c r="BK7" i="5"/>
  <c r="BJ7" i="5"/>
  <c r="BI7" i="5"/>
  <c r="BH7" i="5"/>
  <c r="BG7" i="5"/>
  <c r="BF7" i="5"/>
  <c r="BE7" i="5"/>
  <c r="BD7" i="5"/>
  <c r="BC7" i="5"/>
  <c r="BB7" i="5"/>
  <c r="BA7" i="5"/>
  <c r="AZ7" i="5"/>
  <c r="AY7" i="5"/>
  <c r="AX7" i="5"/>
  <c r="AW7" i="5"/>
  <c r="AV7" i="5"/>
  <c r="AU7" i="5"/>
  <c r="AT7" i="5"/>
  <c r="AS7" i="5"/>
  <c r="AR7" i="5"/>
  <c r="BL6" i="5"/>
  <c r="BK6" i="5"/>
  <c r="BJ6" i="5"/>
  <c r="BI6" i="5"/>
  <c r="BH6" i="5"/>
  <c r="BG6" i="5"/>
  <c r="BF6" i="5"/>
  <c r="BE6" i="5"/>
  <c r="BD6" i="5"/>
  <c r="BC6" i="5"/>
  <c r="BB6" i="5"/>
  <c r="BA6" i="5"/>
  <c r="AZ6" i="5"/>
  <c r="AY6" i="5"/>
  <c r="AX6" i="5"/>
  <c r="AW6" i="5"/>
  <c r="AV6" i="5"/>
  <c r="AU6" i="5"/>
  <c r="AT6" i="5"/>
  <c r="AS6" i="5"/>
  <c r="AR6" i="5"/>
  <c r="BL5" i="5"/>
  <c r="BK5" i="5"/>
  <c r="BJ5" i="5"/>
  <c r="BI5" i="5"/>
  <c r="BH5" i="5"/>
  <c r="BG5" i="5"/>
  <c r="BF5" i="5"/>
  <c r="BE5" i="5"/>
  <c r="BD5" i="5"/>
  <c r="BC5" i="5"/>
  <c r="BB5" i="5"/>
  <c r="BA5" i="5"/>
  <c r="AZ5" i="5"/>
  <c r="AY5" i="5"/>
  <c r="AX5" i="5"/>
  <c r="AW5" i="5"/>
  <c r="AV5" i="5"/>
  <c r="AU5" i="5"/>
  <c r="AT5" i="5"/>
  <c r="AS5" i="5"/>
  <c r="AR5" i="5"/>
  <c r="BL4" i="5"/>
  <c r="BK4" i="5"/>
  <c r="BJ4" i="5"/>
  <c r="BI4" i="5"/>
  <c r="BH4" i="5"/>
  <c r="BG4" i="5"/>
  <c r="BF4" i="5"/>
  <c r="BE4" i="5"/>
  <c r="BD4" i="5"/>
  <c r="BC4" i="5"/>
  <c r="BB4" i="5"/>
  <c r="BA4" i="5"/>
  <c r="AZ4" i="5"/>
  <c r="AY4" i="5"/>
  <c r="AX4" i="5"/>
  <c r="AW4" i="5"/>
  <c r="AV4" i="5"/>
  <c r="AU4" i="5"/>
  <c r="AT4" i="5"/>
  <c r="AS4" i="5"/>
  <c r="AR4" i="5"/>
  <c r="BO3" i="5"/>
  <c r="BN3" i="5"/>
  <c r="BN172" i="5" l="1"/>
  <c r="BN322" i="5"/>
  <c r="BO113" i="5"/>
  <c r="BN270" i="5"/>
  <c r="BN314" i="5"/>
  <c r="BO340" i="5"/>
  <c r="BN11" i="5"/>
  <c r="BN298" i="5"/>
  <c r="BO41" i="5"/>
  <c r="BO23" i="5"/>
  <c r="BN23" i="5"/>
  <c r="BO14" i="5"/>
  <c r="BN14" i="5"/>
  <c r="BO79" i="5"/>
  <c r="BN79" i="5"/>
  <c r="BO176" i="5"/>
  <c r="BN176" i="5"/>
  <c r="BO33" i="5"/>
  <c r="BN33" i="5"/>
  <c r="BO75" i="5"/>
  <c r="BN75" i="5"/>
  <c r="BO74" i="5"/>
  <c r="BN74" i="5"/>
  <c r="BO237" i="5"/>
  <c r="BN237" i="5"/>
  <c r="BO128" i="5"/>
  <c r="BN128" i="5"/>
  <c r="BO86" i="5"/>
  <c r="BN86" i="5"/>
  <c r="BO110" i="5"/>
  <c r="BN110" i="5"/>
  <c r="BN53" i="5"/>
  <c r="BO53" i="5"/>
  <c r="BO326" i="5"/>
  <c r="BN326" i="5"/>
  <c r="BO56" i="5"/>
  <c r="BN56" i="5"/>
  <c r="BO288" i="5"/>
  <c r="BN288" i="5"/>
  <c r="BO64" i="5"/>
  <c r="BN64" i="5"/>
  <c r="BO100" i="5"/>
  <c r="BN100" i="5"/>
  <c r="BO105" i="5"/>
  <c r="BN105" i="5"/>
  <c r="BO116" i="5"/>
  <c r="BN116" i="5"/>
  <c r="BO218" i="5"/>
  <c r="BN218" i="5"/>
  <c r="BO48" i="5"/>
  <c r="BN48" i="5"/>
  <c r="BO96" i="5"/>
  <c r="BN96" i="5"/>
  <c r="BO193" i="5"/>
  <c r="BN193" i="5"/>
  <c r="BO328" i="5"/>
  <c r="BN328" i="5"/>
  <c r="BO174" i="5"/>
  <c r="BN174" i="5"/>
  <c r="BO264" i="5"/>
  <c r="BN264" i="5"/>
  <c r="BO24" i="5"/>
  <c r="BN24" i="5"/>
  <c r="BO90" i="5"/>
  <c r="BN90" i="5"/>
  <c r="BO231" i="5"/>
  <c r="BN231" i="5"/>
  <c r="BO297" i="5"/>
  <c r="BN297" i="5"/>
  <c r="BO59" i="5"/>
  <c r="BN59" i="5"/>
  <c r="BO11" i="5"/>
  <c r="BO111" i="5"/>
  <c r="BN111" i="5"/>
  <c r="BO118" i="5"/>
  <c r="BN118" i="5"/>
  <c r="BO144" i="5"/>
  <c r="BN144" i="5"/>
  <c r="BN154" i="5"/>
  <c r="BO154" i="5"/>
  <c r="BO345" i="5"/>
  <c r="BN345" i="5"/>
  <c r="BN72" i="5"/>
  <c r="BO228" i="5"/>
  <c r="BN228" i="5"/>
  <c r="BO241" i="5"/>
  <c r="BN241" i="5"/>
  <c r="BN262" i="5"/>
  <c r="BO262" i="5"/>
  <c r="BO22" i="5"/>
  <c r="BN22" i="5"/>
  <c r="BO28" i="5"/>
  <c r="BO294" i="5"/>
  <c r="BN294" i="5"/>
  <c r="BO296" i="5"/>
  <c r="BN296" i="5"/>
  <c r="BO17" i="5"/>
  <c r="BN17" i="5"/>
  <c r="BO127" i="5"/>
  <c r="BN127" i="5"/>
  <c r="BN179" i="5"/>
  <c r="BO211" i="5"/>
  <c r="BN211" i="5"/>
  <c r="BO219" i="5"/>
  <c r="BN219" i="5"/>
  <c r="BN221" i="5"/>
  <c r="BO221" i="5"/>
  <c r="BO233" i="5"/>
  <c r="BN233" i="5"/>
  <c r="BN253" i="5"/>
  <c r="BO253" i="5"/>
  <c r="BO255" i="5"/>
  <c r="BO317" i="5"/>
  <c r="BN317" i="5"/>
  <c r="BO376" i="5"/>
  <c r="BN376" i="5"/>
  <c r="BO170" i="5"/>
  <c r="BN170" i="5"/>
  <c r="BO181" i="5"/>
  <c r="BN181" i="5"/>
  <c r="BO198" i="5"/>
  <c r="BN198" i="5"/>
  <c r="BO249" i="5"/>
  <c r="BN249" i="5"/>
  <c r="BO313" i="5"/>
  <c r="BN313" i="5"/>
  <c r="BO325" i="5"/>
  <c r="BN325" i="5"/>
  <c r="BO342" i="5"/>
  <c r="BN342" i="5"/>
  <c r="BO19" i="5"/>
  <c r="BN19" i="5"/>
  <c r="BO87" i="5"/>
  <c r="BN87" i="5"/>
  <c r="BO147" i="5"/>
  <c r="BN147" i="5"/>
  <c r="BO160" i="5"/>
  <c r="BN160" i="5"/>
  <c r="BN162" i="5"/>
  <c r="BO215" i="5"/>
  <c r="BN215" i="5"/>
  <c r="BO234" i="5"/>
  <c r="BN234" i="5"/>
  <c r="BO300" i="5"/>
  <c r="BN300" i="5"/>
  <c r="BO304" i="5"/>
  <c r="BN304" i="5"/>
  <c r="BO338" i="5"/>
  <c r="BN338" i="5"/>
  <c r="BN126" i="5"/>
  <c r="BO126" i="5"/>
  <c r="BN71" i="5"/>
  <c r="BO43" i="5"/>
  <c r="BN43" i="5"/>
  <c r="BN49" i="5"/>
  <c r="BN276" i="5"/>
  <c r="BO355" i="5"/>
  <c r="BN355" i="5"/>
  <c r="BN357" i="5"/>
  <c r="BO381" i="5"/>
  <c r="BN381" i="5"/>
  <c r="BO106" i="5"/>
  <c r="BN106" i="5"/>
  <c r="BN168" i="5"/>
  <c r="BO168" i="5"/>
  <c r="BO240" i="5"/>
  <c r="BN240" i="5"/>
  <c r="BN242" i="5"/>
  <c r="BO283" i="5"/>
  <c r="BN283" i="5"/>
  <c r="BO156" i="5"/>
  <c r="BN156" i="5"/>
  <c r="BN157" i="5"/>
  <c r="BO108" i="5"/>
  <c r="BN108" i="5"/>
  <c r="BN280" i="5"/>
  <c r="BO334" i="5"/>
  <c r="BN334" i="5"/>
  <c r="BN335" i="5"/>
  <c r="BO271" i="5"/>
  <c r="BN271" i="5"/>
  <c r="BO305" i="5"/>
  <c r="BO351" i="5"/>
  <c r="BN351" i="5"/>
  <c r="BO171" i="5"/>
  <c r="BN171" i="5"/>
  <c r="BO286" i="5"/>
  <c r="BN286" i="5"/>
  <c r="BO333" i="5"/>
  <c r="BN333" i="5"/>
  <c r="BO367" i="5"/>
  <c r="BN367" i="5"/>
  <c r="BO137" i="5"/>
  <c r="BN137" i="5"/>
  <c r="BO184" i="5"/>
  <c r="BN184" i="5"/>
  <c r="BN190" i="5"/>
  <c r="BO270" i="5"/>
  <c r="BN272" i="5"/>
  <c r="BO272" i="5"/>
  <c r="BO30" i="5"/>
  <c r="BN30" i="5"/>
  <c r="BO173" i="5"/>
  <c r="BN173" i="5"/>
  <c r="BO292" i="5"/>
  <c r="BN292" i="5"/>
  <c r="BO347" i="5"/>
  <c r="BN347" i="5"/>
  <c r="BO13" i="5"/>
  <c r="BN13" i="5"/>
  <c r="BO92" i="5"/>
  <c r="BN92" i="5"/>
  <c r="BO197" i="5"/>
  <c r="BN197" i="5"/>
  <c r="BO205" i="5"/>
  <c r="BN205" i="5"/>
  <c r="BO209" i="5"/>
  <c r="BN209" i="5"/>
  <c r="BO239" i="5"/>
  <c r="BN239" i="5"/>
  <c r="BO150" i="5"/>
  <c r="BN150" i="5"/>
  <c r="BO235" i="5"/>
  <c r="BN235" i="5"/>
  <c r="BO4" i="5"/>
  <c r="BN4" i="5"/>
  <c r="BO143" i="5"/>
  <c r="BN151" i="5"/>
  <c r="BO274" i="5"/>
  <c r="BO54" i="5"/>
  <c r="BN54" i="5"/>
  <c r="BO62" i="5"/>
  <c r="BN62" i="5"/>
  <c r="BN94" i="5"/>
  <c r="BO94" i="5"/>
  <c r="BO117" i="5"/>
  <c r="BN117" i="5"/>
  <c r="BO225" i="5"/>
  <c r="BN225" i="5"/>
  <c r="BN227" i="5"/>
  <c r="BO306" i="5"/>
  <c r="BN306" i="5"/>
  <c r="BN38" i="5"/>
  <c r="BO251" i="5"/>
  <c r="BN251" i="5"/>
  <c r="BO124" i="5"/>
  <c r="BN124" i="5"/>
  <c r="BO229" i="5"/>
  <c r="BN229" i="5"/>
  <c r="BO303" i="5"/>
  <c r="BN303" i="5"/>
  <c r="BN346" i="5"/>
  <c r="BO222" i="5"/>
  <c r="BN222" i="5"/>
  <c r="BO316" i="5"/>
  <c r="BN316" i="5"/>
  <c r="BO39" i="5"/>
  <c r="BN39" i="5"/>
  <c r="BO109" i="5"/>
  <c r="BN109" i="5"/>
  <c r="BO26" i="5"/>
  <c r="BN26" i="5"/>
  <c r="BO65" i="5"/>
  <c r="BN65" i="5"/>
  <c r="BO158" i="5"/>
  <c r="BN158" i="5"/>
  <c r="BN186" i="5"/>
  <c r="BN315" i="5"/>
  <c r="BO315" i="5"/>
  <c r="BN113" i="5"/>
  <c r="BO21" i="5"/>
  <c r="BN21" i="5"/>
  <c r="BO98" i="5"/>
  <c r="BN98" i="5"/>
  <c r="BO120" i="5"/>
  <c r="BN120" i="5"/>
  <c r="BO153" i="5"/>
  <c r="BN153" i="5"/>
  <c r="BO319" i="5"/>
  <c r="BN319" i="5"/>
  <c r="BO349" i="5"/>
  <c r="BN349" i="5"/>
  <c r="BO285" i="5"/>
  <c r="BN285" i="5"/>
  <c r="BO261" i="5"/>
  <c r="BN261" i="5"/>
  <c r="BO353" i="5"/>
  <c r="BN353" i="5"/>
  <c r="BO5" i="5"/>
  <c r="BN5" i="5"/>
  <c r="BO27" i="5"/>
  <c r="BN27" i="5"/>
  <c r="BN350" i="5"/>
  <c r="BO365" i="5"/>
  <c r="BN365" i="5"/>
  <c r="BO375" i="5"/>
  <c r="BN375" i="5"/>
  <c r="BN123" i="5"/>
  <c r="BO123" i="5"/>
  <c r="BO352" i="5"/>
  <c r="BN352" i="5"/>
  <c r="BO290" i="5"/>
  <c r="BN290" i="5"/>
  <c r="BO192" i="5"/>
  <c r="BN192" i="5"/>
  <c r="BO358" i="5"/>
  <c r="BN358" i="5"/>
  <c r="BO207" i="5"/>
  <c r="BO266" i="5"/>
  <c r="BN266" i="5"/>
  <c r="BO368" i="5"/>
  <c r="BN368" i="5"/>
  <c r="BO336" i="5"/>
  <c r="BN336" i="5"/>
  <c r="BO341" i="5"/>
  <c r="BN341" i="5"/>
  <c r="BO282" i="5"/>
  <c r="BN282" i="5"/>
  <c r="BN309" i="5"/>
  <c r="BN361" i="5"/>
  <c r="BN200" i="5"/>
  <c r="BM5" i="1"/>
  <c r="BM6" i="1"/>
  <c r="BM7" i="1"/>
  <c r="BM8" i="1"/>
  <c r="BM9" i="1"/>
  <c r="BM10" i="1"/>
  <c r="BM11" i="1"/>
  <c r="BM12" i="1"/>
  <c r="BM13" i="1"/>
  <c r="BM14" i="1"/>
  <c r="BM15" i="1"/>
  <c r="BM16" i="1"/>
  <c r="BM17" i="1"/>
  <c r="BM18" i="1"/>
  <c r="BM19" i="1"/>
  <c r="BM20" i="1"/>
  <c r="BM21" i="1"/>
  <c r="BM22" i="1"/>
  <c r="BM23" i="1"/>
  <c r="BM24" i="1"/>
  <c r="BM25" i="1"/>
  <c r="BM26" i="1"/>
  <c r="BM27" i="1"/>
  <c r="BM28" i="1"/>
  <c r="BM29" i="1"/>
  <c r="BM30" i="1"/>
  <c r="BM31" i="1"/>
  <c r="BM32" i="1"/>
  <c r="BM33" i="1"/>
  <c r="BM34" i="1"/>
  <c r="BM35" i="1"/>
  <c r="BM36" i="1"/>
  <c r="BM37" i="1"/>
  <c r="BM38" i="1"/>
  <c r="BM39" i="1"/>
  <c r="BM40" i="1"/>
  <c r="BM41" i="1"/>
  <c r="BM42" i="1"/>
  <c r="BM43" i="1"/>
  <c r="BM44" i="1"/>
  <c r="BM45" i="1"/>
  <c r="BM46" i="1"/>
  <c r="BM47" i="1"/>
  <c r="BM48" i="1"/>
  <c r="BM49" i="1"/>
  <c r="BM50" i="1"/>
  <c r="BM51" i="1"/>
  <c r="BM52" i="1"/>
  <c r="BM53" i="1"/>
  <c r="BM54" i="1"/>
  <c r="BM55" i="1"/>
  <c r="BM56" i="1"/>
  <c r="BM57" i="1"/>
  <c r="BM58" i="1"/>
  <c r="BM59" i="1"/>
  <c r="BM60" i="1"/>
  <c r="BM61" i="1"/>
  <c r="BM62" i="1"/>
  <c r="BM63" i="1"/>
  <c r="BM64" i="1"/>
  <c r="BM65" i="1"/>
  <c r="BM66" i="1"/>
  <c r="BM67" i="1"/>
  <c r="BM68" i="1"/>
  <c r="BM69" i="1"/>
  <c r="BM70" i="1"/>
  <c r="BM71" i="1"/>
  <c r="BM72" i="1"/>
  <c r="BM73" i="1"/>
  <c r="BM74" i="1"/>
  <c r="BM75" i="1"/>
  <c r="BM76" i="1"/>
  <c r="BM77" i="1"/>
  <c r="BM78" i="1"/>
  <c r="BM79" i="1"/>
  <c r="BM80" i="1"/>
  <c r="BM81" i="1"/>
  <c r="BM82" i="1"/>
  <c r="BM83" i="1"/>
  <c r="BM84" i="1"/>
  <c r="BM85" i="1"/>
  <c r="BM86" i="1"/>
  <c r="BM87" i="1"/>
  <c r="BM88" i="1"/>
  <c r="BM89" i="1"/>
  <c r="BM90" i="1"/>
  <c r="BM91" i="1"/>
  <c r="BM92" i="1"/>
  <c r="BM93" i="1"/>
  <c r="BM94" i="1"/>
  <c r="BM95" i="1"/>
  <c r="BM96" i="1"/>
  <c r="BM97" i="1"/>
  <c r="BM98" i="1"/>
  <c r="BM99" i="1"/>
  <c r="BM100" i="1"/>
  <c r="BM101" i="1"/>
  <c r="BM102" i="1"/>
  <c r="BM103" i="1"/>
  <c r="BM104" i="1"/>
  <c r="BM105" i="1"/>
  <c r="BM106" i="1"/>
  <c r="BM107" i="1"/>
  <c r="BM108" i="1"/>
  <c r="BM109" i="1"/>
  <c r="BM110" i="1"/>
  <c r="BM111" i="1"/>
  <c r="BM112" i="1"/>
  <c r="BM113" i="1"/>
  <c r="BM114" i="1"/>
  <c r="BM115" i="1"/>
  <c r="BM116" i="1"/>
  <c r="BM117" i="1"/>
  <c r="BM118" i="1"/>
  <c r="BM119" i="1"/>
  <c r="BM120" i="1"/>
  <c r="BM121" i="1"/>
  <c r="BM122" i="1"/>
  <c r="BM123" i="1"/>
  <c r="BM124" i="1"/>
  <c r="BM125" i="1"/>
  <c r="BM126" i="1"/>
  <c r="BM127" i="1"/>
  <c r="BM128" i="1"/>
  <c r="BM129" i="1"/>
  <c r="BM130" i="1"/>
  <c r="BM131" i="1"/>
  <c r="BM132" i="1"/>
  <c r="BM133" i="1"/>
  <c r="BM134" i="1"/>
  <c r="BM135" i="1"/>
  <c r="BM136" i="1"/>
  <c r="BM137" i="1"/>
  <c r="BM138" i="1"/>
  <c r="BM139" i="1"/>
  <c r="BM140" i="1"/>
  <c r="BM141" i="1"/>
  <c r="BM142" i="1"/>
  <c r="BM143" i="1"/>
  <c r="BM144" i="1"/>
  <c r="BM145" i="1"/>
  <c r="BM146" i="1"/>
  <c r="BM147" i="1"/>
  <c r="BM148" i="1"/>
  <c r="BM149" i="1"/>
  <c r="BM150" i="1"/>
  <c r="BM151" i="1"/>
  <c r="BM152" i="1"/>
  <c r="BM153" i="1"/>
  <c r="BM154" i="1"/>
  <c r="BM155" i="1"/>
  <c r="BM156" i="1"/>
  <c r="BM157" i="1"/>
  <c r="BM158" i="1"/>
  <c r="BM159" i="1"/>
  <c r="BM160" i="1"/>
  <c r="BM161" i="1"/>
  <c r="BM162" i="1"/>
  <c r="BM163" i="1"/>
  <c r="BM164" i="1"/>
  <c r="BM165" i="1"/>
  <c r="BM166" i="1"/>
  <c r="BM167" i="1"/>
  <c r="BM168" i="1"/>
  <c r="BM169" i="1"/>
  <c r="BM170" i="1"/>
  <c r="BM171" i="1"/>
  <c r="BM172" i="1"/>
  <c r="BM173" i="1"/>
  <c r="BM174" i="1"/>
  <c r="BM175" i="1"/>
  <c r="BM176" i="1"/>
  <c r="BM177" i="1"/>
  <c r="BM178" i="1"/>
  <c r="BM179" i="1"/>
  <c r="BM180" i="1"/>
  <c r="BM181" i="1"/>
  <c r="BM182" i="1"/>
  <c r="BM183" i="1"/>
  <c r="BM184" i="1"/>
  <c r="BM185" i="1"/>
  <c r="BM186" i="1"/>
  <c r="BM187" i="1"/>
  <c r="BM188" i="1"/>
  <c r="BM189" i="1"/>
  <c r="BM190" i="1"/>
  <c r="BM191" i="1"/>
  <c r="BM192" i="1"/>
  <c r="BM193" i="1"/>
  <c r="BM194" i="1"/>
  <c r="BM195" i="1"/>
  <c r="BM196" i="1"/>
  <c r="BM197" i="1"/>
  <c r="BM198" i="1"/>
  <c r="BM199" i="1"/>
  <c r="BM200" i="1"/>
  <c r="BM201" i="1"/>
  <c r="BM202" i="1"/>
  <c r="BM203" i="1"/>
  <c r="BM204" i="1"/>
  <c r="BM205" i="1"/>
  <c r="BM206" i="1"/>
  <c r="BM207" i="1"/>
  <c r="BM208" i="1"/>
  <c r="BM209" i="1"/>
  <c r="BM210" i="1"/>
  <c r="BM211" i="1"/>
  <c r="BM212" i="1"/>
  <c r="BM213" i="1"/>
  <c r="BM214" i="1"/>
  <c r="BM215" i="1"/>
  <c r="BM216" i="1"/>
  <c r="BM217" i="1"/>
  <c r="BM218" i="1"/>
  <c r="BM219" i="1"/>
  <c r="BM220" i="1"/>
  <c r="BM221" i="1"/>
  <c r="BM222" i="1"/>
  <c r="BM223" i="1"/>
  <c r="BM224" i="1"/>
  <c r="BM225" i="1"/>
  <c r="BM226" i="1"/>
  <c r="BM227" i="1"/>
  <c r="BM228" i="1"/>
  <c r="BM229" i="1"/>
  <c r="BM230" i="1"/>
  <c r="BM231" i="1"/>
  <c r="BM232" i="1"/>
  <c r="BM233" i="1"/>
  <c r="BM234" i="1"/>
  <c r="BM235" i="1"/>
  <c r="BM236" i="1"/>
  <c r="BM237" i="1"/>
  <c r="BM238" i="1"/>
  <c r="BM239" i="1"/>
  <c r="BM240" i="1"/>
  <c r="BM241" i="1"/>
  <c r="BM242" i="1"/>
  <c r="BM243" i="1"/>
  <c r="BM244" i="1"/>
  <c r="BM245" i="1"/>
  <c r="BM246" i="1"/>
  <c r="BM247" i="1"/>
  <c r="BM248" i="1"/>
  <c r="BM249" i="1"/>
  <c r="BM250" i="1"/>
  <c r="BM251" i="1"/>
  <c r="BM252" i="1"/>
  <c r="BM253" i="1"/>
  <c r="BM254" i="1"/>
  <c r="BM255" i="1"/>
  <c r="BM256" i="1"/>
  <c r="BM257" i="1"/>
  <c r="BM258" i="1"/>
  <c r="BM259" i="1"/>
  <c r="BM260" i="1"/>
  <c r="BM261" i="1"/>
  <c r="BM262" i="1"/>
  <c r="BM263" i="1"/>
  <c r="BM264" i="1"/>
  <c r="BM265" i="1"/>
  <c r="BM266" i="1"/>
  <c r="BM267" i="1"/>
  <c r="BM268" i="1"/>
  <c r="BM269" i="1"/>
  <c r="BM270" i="1"/>
  <c r="BM271" i="1"/>
  <c r="BM272" i="1"/>
  <c r="BM273" i="1"/>
  <c r="BM274" i="1"/>
  <c r="BM275" i="1"/>
  <c r="BM276" i="1"/>
  <c r="BM277" i="1"/>
  <c r="BM278" i="1"/>
  <c r="BM279" i="1"/>
  <c r="BM280" i="1"/>
  <c r="BM281" i="1"/>
  <c r="BM282" i="1"/>
  <c r="BM283" i="1"/>
  <c r="BM284" i="1"/>
  <c r="BM285" i="1"/>
  <c r="BM286" i="1"/>
  <c r="BM287" i="1"/>
  <c r="BM288" i="1"/>
  <c r="BM289" i="1"/>
  <c r="BM290" i="1"/>
  <c r="BM291" i="1"/>
  <c r="BM292" i="1"/>
  <c r="BM293" i="1"/>
  <c r="BM294" i="1"/>
  <c r="BM295" i="1"/>
  <c r="BM296" i="1"/>
  <c r="BM297" i="1"/>
  <c r="BM298" i="1"/>
  <c r="BM299" i="1"/>
  <c r="BM300" i="1"/>
  <c r="BM301" i="1"/>
  <c r="BM302" i="1"/>
  <c r="BM303" i="1"/>
  <c r="BM304" i="1"/>
  <c r="BM305" i="1"/>
  <c r="BM306" i="1"/>
  <c r="BM307" i="1"/>
  <c r="BM308" i="1"/>
  <c r="BM309" i="1"/>
  <c r="BM310" i="1"/>
  <c r="BM311" i="1"/>
  <c r="BM312" i="1"/>
  <c r="BM313" i="1"/>
  <c r="BM314" i="1"/>
  <c r="BM315" i="1"/>
  <c r="BM316" i="1"/>
  <c r="BM317" i="1"/>
  <c r="BM318" i="1"/>
  <c r="BM319" i="1"/>
  <c r="BM320" i="1"/>
  <c r="BM321" i="1"/>
  <c r="BM322" i="1"/>
  <c r="BM323" i="1"/>
  <c r="BM324" i="1"/>
  <c r="BM325" i="1"/>
  <c r="BM326" i="1"/>
  <c r="BM327" i="1"/>
  <c r="BM328" i="1"/>
  <c r="BM329" i="1"/>
  <c r="BM330" i="1"/>
  <c r="BM331" i="1"/>
  <c r="BM332" i="1"/>
  <c r="BM333" i="1"/>
  <c r="BM334" i="1"/>
  <c r="BM335" i="1"/>
  <c r="BM336" i="1"/>
  <c r="BM337" i="1"/>
  <c r="BM338" i="1"/>
  <c r="BM339" i="1"/>
  <c r="BM340" i="1"/>
  <c r="BM341" i="1"/>
  <c r="BM342" i="1"/>
  <c r="BM343" i="1"/>
  <c r="BM344" i="1"/>
  <c r="BM345" i="1"/>
  <c r="BM346" i="1"/>
  <c r="BM347" i="1"/>
  <c r="BM348" i="1"/>
  <c r="BM349" i="1"/>
  <c r="BM350" i="1"/>
  <c r="BM351" i="1"/>
  <c r="BM352" i="1"/>
  <c r="BM353" i="1"/>
  <c r="BM354" i="1"/>
  <c r="BM355" i="1"/>
  <c r="BM356" i="1"/>
  <c r="BM357" i="1"/>
  <c r="BM358" i="1"/>
  <c r="BM359" i="1"/>
  <c r="BM360" i="1"/>
  <c r="BM361" i="1"/>
  <c r="BM362" i="1"/>
  <c r="BM363" i="1"/>
  <c r="BM364" i="1"/>
  <c r="BM365" i="1"/>
  <c r="BM366" i="1"/>
  <c r="BM367" i="1"/>
  <c r="BM368" i="1"/>
  <c r="BM369" i="1"/>
  <c r="BM370" i="1"/>
  <c r="BM371" i="1"/>
  <c r="BM372" i="1"/>
  <c r="BM373" i="1"/>
  <c r="BM374" i="1"/>
  <c r="BM375" i="1"/>
  <c r="BM376" i="1"/>
  <c r="BM377" i="1"/>
  <c r="BM378" i="1"/>
  <c r="BM379" i="1"/>
  <c r="BM380" i="1"/>
  <c r="BM381" i="1"/>
  <c r="BM382" i="1"/>
  <c r="BM383" i="1"/>
  <c r="BM4" i="1"/>
  <c r="AT4" i="1"/>
  <c r="AR5" i="1"/>
  <c r="AS5" i="1"/>
  <c r="AT5" i="1"/>
  <c r="AU5" i="1"/>
  <c r="AV5" i="1"/>
  <c r="AW5" i="1"/>
  <c r="AX5" i="1"/>
  <c r="AY5" i="1"/>
  <c r="AZ5" i="1"/>
  <c r="BA5" i="1"/>
  <c r="BB5" i="1"/>
  <c r="BC5" i="1"/>
  <c r="BD5" i="1"/>
  <c r="BE5" i="1"/>
  <c r="BF5" i="1"/>
  <c r="BG5" i="1"/>
  <c r="BH5" i="1"/>
  <c r="BI5" i="1"/>
  <c r="BJ5" i="1"/>
  <c r="BK5" i="1"/>
  <c r="BL5" i="1"/>
  <c r="AR6" i="1"/>
  <c r="AS6" i="1"/>
  <c r="AT6" i="1"/>
  <c r="AU6" i="1"/>
  <c r="AV6" i="1"/>
  <c r="AW6" i="1"/>
  <c r="AX6" i="1"/>
  <c r="AY6" i="1"/>
  <c r="AZ6" i="1"/>
  <c r="BA6" i="1"/>
  <c r="BB6" i="1"/>
  <c r="BC6" i="1"/>
  <c r="BD6" i="1"/>
  <c r="BE6" i="1"/>
  <c r="BF6" i="1"/>
  <c r="BG6" i="1"/>
  <c r="BH6" i="1"/>
  <c r="BI6" i="1"/>
  <c r="BJ6" i="1"/>
  <c r="BK6" i="1"/>
  <c r="BL6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AR8" i="1"/>
  <c r="AS8" i="1"/>
  <c r="AT8" i="1"/>
  <c r="AU8" i="1"/>
  <c r="AV8" i="1"/>
  <c r="AW8" i="1"/>
  <c r="AX8" i="1"/>
  <c r="AY8" i="1"/>
  <c r="AZ8" i="1"/>
  <c r="BA8" i="1"/>
  <c r="BB8" i="1"/>
  <c r="BC8" i="1"/>
  <c r="BD8" i="1"/>
  <c r="BE8" i="1"/>
  <c r="BF8" i="1"/>
  <c r="BG8" i="1"/>
  <c r="BH8" i="1"/>
  <c r="BI8" i="1"/>
  <c r="BJ8" i="1"/>
  <c r="BK8" i="1"/>
  <c r="BL8" i="1"/>
  <c r="AR9" i="1"/>
  <c r="AS9" i="1"/>
  <c r="AT9" i="1"/>
  <c r="AU9" i="1"/>
  <c r="AV9" i="1"/>
  <c r="AW9" i="1"/>
  <c r="AX9" i="1"/>
  <c r="AY9" i="1"/>
  <c r="AZ9" i="1"/>
  <c r="BA9" i="1"/>
  <c r="BB9" i="1"/>
  <c r="BC9" i="1"/>
  <c r="BD9" i="1"/>
  <c r="BE9" i="1"/>
  <c r="BF9" i="1"/>
  <c r="BG9" i="1"/>
  <c r="BH9" i="1"/>
  <c r="BI9" i="1"/>
  <c r="BJ9" i="1"/>
  <c r="BK9" i="1"/>
  <c r="BL9" i="1"/>
  <c r="AR10" i="1"/>
  <c r="AS10" i="1"/>
  <c r="AT10" i="1"/>
  <c r="AU10" i="1"/>
  <c r="AV10" i="1"/>
  <c r="AW10" i="1"/>
  <c r="AX10" i="1"/>
  <c r="AY10" i="1"/>
  <c r="AZ10" i="1"/>
  <c r="BA10" i="1"/>
  <c r="BB10" i="1"/>
  <c r="BC10" i="1"/>
  <c r="BD10" i="1"/>
  <c r="BE10" i="1"/>
  <c r="BF10" i="1"/>
  <c r="BG10" i="1"/>
  <c r="BH10" i="1"/>
  <c r="BI10" i="1"/>
  <c r="BJ10" i="1"/>
  <c r="BK10" i="1"/>
  <c r="BL10" i="1"/>
  <c r="AR11" i="1"/>
  <c r="AS11" i="1"/>
  <c r="AT11" i="1"/>
  <c r="AU11" i="1"/>
  <c r="AV11" i="1"/>
  <c r="AW11" i="1"/>
  <c r="AX11" i="1"/>
  <c r="AY11" i="1"/>
  <c r="AZ11" i="1"/>
  <c r="BA11" i="1"/>
  <c r="BB11" i="1"/>
  <c r="BC11" i="1"/>
  <c r="BD11" i="1"/>
  <c r="BE11" i="1"/>
  <c r="BF11" i="1"/>
  <c r="BG11" i="1"/>
  <c r="BH11" i="1"/>
  <c r="BI11" i="1"/>
  <c r="BJ11" i="1"/>
  <c r="BK11" i="1"/>
  <c r="BL11" i="1"/>
  <c r="AR12" i="1"/>
  <c r="AS12" i="1"/>
  <c r="AT12" i="1"/>
  <c r="AU12" i="1"/>
  <c r="AV12" i="1"/>
  <c r="AW12" i="1"/>
  <c r="AX12" i="1"/>
  <c r="AY12" i="1"/>
  <c r="AZ12" i="1"/>
  <c r="BA12" i="1"/>
  <c r="BB12" i="1"/>
  <c r="BC12" i="1"/>
  <c r="BD12" i="1"/>
  <c r="BE12" i="1"/>
  <c r="BF12" i="1"/>
  <c r="BG12" i="1"/>
  <c r="BH12" i="1"/>
  <c r="BI12" i="1"/>
  <c r="BJ12" i="1"/>
  <c r="BK12" i="1"/>
  <c r="BL12" i="1"/>
  <c r="AR13" i="1"/>
  <c r="AS13" i="1"/>
  <c r="AT13" i="1"/>
  <c r="AU13" i="1"/>
  <c r="AV13" i="1"/>
  <c r="AW13" i="1"/>
  <c r="AX13" i="1"/>
  <c r="AY13" i="1"/>
  <c r="AZ13" i="1"/>
  <c r="BA13" i="1"/>
  <c r="BB13" i="1"/>
  <c r="BC13" i="1"/>
  <c r="BD13" i="1"/>
  <c r="BE13" i="1"/>
  <c r="BF13" i="1"/>
  <c r="BG13" i="1"/>
  <c r="BH13" i="1"/>
  <c r="BI13" i="1"/>
  <c r="BJ13" i="1"/>
  <c r="BK13" i="1"/>
  <c r="BL13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AR15" i="1"/>
  <c r="AS15" i="1"/>
  <c r="AT15" i="1"/>
  <c r="AU15" i="1"/>
  <c r="AV15" i="1"/>
  <c r="AW15" i="1"/>
  <c r="AX15" i="1"/>
  <c r="AY15" i="1"/>
  <c r="AZ15" i="1"/>
  <c r="BA15" i="1"/>
  <c r="BB15" i="1"/>
  <c r="BC15" i="1"/>
  <c r="BD15" i="1"/>
  <c r="BE15" i="1"/>
  <c r="BF15" i="1"/>
  <c r="BG15" i="1"/>
  <c r="BH15" i="1"/>
  <c r="BI15" i="1"/>
  <c r="BJ15" i="1"/>
  <c r="BK15" i="1"/>
  <c r="BL15" i="1"/>
  <c r="AR16" i="1"/>
  <c r="AS16" i="1"/>
  <c r="AT16" i="1"/>
  <c r="AU16" i="1"/>
  <c r="AV16" i="1"/>
  <c r="AW16" i="1"/>
  <c r="AX16" i="1"/>
  <c r="AY16" i="1"/>
  <c r="AZ16" i="1"/>
  <c r="BA16" i="1"/>
  <c r="BB16" i="1"/>
  <c r="BC16" i="1"/>
  <c r="BD16" i="1"/>
  <c r="BE16" i="1"/>
  <c r="BF16" i="1"/>
  <c r="BG16" i="1"/>
  <c r="BH16" i="1"/>
  <c r="BI16" i="1"/>
  <c r="BJ16" i="1"/>
  <c r="BK16" i="1"/>
  <c r="BL16" i="1"/>
  <c r="AR17" i="1"/>
  <c r="AS17" i="1"/>
  <c r="AT17" i="1"/>
  <c r="AU17" i="1"/>
  <c r="AV17" i="1"/>
  <c r="AW17" i="1"/>
  <c r="AX17" i="1"/>
  <c r="AY17" i="1"/>
  <c r="AZ17" i="1"/>
  <c r="BA17" i="1"/>
  <c r="BB17" i="1"/>
  <c r="BC17" i="1"/>
  <c r="BD17" i="1"/>
  <c r="BE17" i="1"/>
  <c r="BF17" i="1"/>
  <c r="BG17" i="1"/>
  <c r="BH17" i="1"/>
  <c r="BI17" i="1"/>
  <c r="BJ17" i="1"/>
  <c r="BK17" i="1"/>
  <c r="BL17" i="1"/>
  <c r="AR18" i="1"/>
  <c r="AS18" i="1"/>
  <c r="AT18" i="1"/>
  <c r="AU18" i="1"/>
  <c r="AV18" i="1"/>
  <c r="AW18" i="1"/>
  <c r="AX18" i="1"/>
  <c r="AY18" i="1"/>
  <c r="AZ18" i="1"/>
  <c r="BA18" i="1"/>
  <c r="BB18" i="1"/>
  <c r="BC18" i="1"/>
  <c r="BD18" i="1"/>
  <c r="BE18" i="1"/>
  <c r="BF18" i="1"/>
  <c r="BG18" i="1"/>
  <c r="BH18" i="1"/>
  <c r="BI18" i="1"/>
  <c r="BJ18" i="1"/>
  <c r="BK18" i="1"/>
  <c r="BL18" i="1"/>
  <c r="AR19" i="1"/>
  <c r="AS19" i="1"/>
  <c r="AT19" i="1"/>
  <c r="AU19" i="1"/>
  <c r="AV19" i="1"/>
  <c r="AW19" i="1"/>
  <c r="AX19" i="1"/>
  <c r="AY19" i="1"/>
  <c r="AZ19" i="1"/>
  <c r="BA19" i="1"/>
  <c r="BB19" i="1"/>
  <c r="BC19" i="1"/>
  <c r="BD19" i="1"/>
  <c r="BE19" i="1"/>
  <c r="BF19" i="1"/>
  <c r="BG19" i="1"/>
  <c r="BH19" i="1"/>
  <c r="BI19" i="1"/>
  <c r="BJ19" i="1"/>
  <c r="BK19" i="1"/>
  <c r="BL19" i="1"/>
  <c r="AR20" i="1"/>
  <c r="AS20" i="1"/>
  <c r="AT20" i="1"/>
  <c r="AU20" i="1"/>
  <c r="AV20" i="1"/>
  <c r="AW20" i="1"/>
  <c r="AX20" i="1"/>
  <c r="AY20" i="1"/>
  <c r="AZ20" i="1"/>
  <c r="BA20" i="1"/>
  <c r="BB20" i="1"/>
  <c r="BC20" i="1"/>
  <c r="BD20" i="1"/>
  <c r="BE20" i="1"/>
  <c r="BF20" i="1"/>
  <c r="BG20" i="1"/>
  <c r="BH20" i="1"/>
  <c r="BI20" i="1"/>
  <c r="BJ20" i="1"/>
  <c r="BK20" i="1"/>
  <c r="BL20" i="1"/>
  <c r="AR21" i="1"/>
  <c r="AS21" i="1"/>
  <c r="AT21" i="1"/>
  <c r="AU21" i="1"/>
  <c r="AV21" i="1"/>
  <c r="AW21" i="1"/>
  <c r="AX21" i="1"/>
  <c r="AY21" i="1"/>
  <c r="AZ21" i="1"/>
  <c r="BA21" i="1"/>
  <c r="BB21" i="1"/>
  <c r="BC21" i="1"/>
  <c r="BD21" i="1"/>
  <c r="BE21" i="1"/>
  <c r="BF21" i="1"/>
  <c r="BG21" i="1"/>
  <c r="BH21" i="1"/>
  <c r="BI21" i="1"/>
  <c r="BJ21" i="1"/>
  <c r="BK21" i="1"/>
  <c r="BL21" i="1"/>
  <c r="AR22" i="1"/>
  <c r="AS22" i="1"/>
  <c r="AT22" i="1"/>
  <c r="AU22" i="1"/>
  <c r="AV22" i="1"/>
  <c r="AW22" i="1"/>
  <c r="AX22" i="1"/>
  <c r="AY22" i="1"/>
  <c r="AZ22" i="1"/>
  <c r="BA22" i="1"/>
  <c r="BB22" i="1"/>
  <c r="BC22" i="1"/>
  <c r="BD22" i="1"/>
  <c r="BE22" i="1"/>
  <c r="BF22" i="1"/>
  <c r="BG22" i="1"/>
  <c r="BH22" i="1"/>
  <c r="BI22" i="1"/>
  <c r="BJ22" i="1"/>
  <c r="BK22" i="1"/>
  <c r="BL22" i="1"/>
  <c r="AR23" i="1"/>
  <c r="AS23" i="1"/>
  <c r="AT23" i="1"/>
  <c r="AU23" i="1"/>
  <c r="AV23" i="1"/>
  <c r="AW23" i="1"/>
  <c r="AX23" i="1"/>
  <c r="AY23" i="1"/>
  <c r="AZ23" i="1"/>
  <c r="BA23" i="1"/>
  <c r="BB23" i="1"/>
  <c r="BC23" i="1"/>
  <c r="BD23" i="1"/>
  <c r="BE23" i="1"/>
  <c r="BF23" i="1"/>
  <c r="BG23" i="1"/>
  <c r="BH23" i="1"/>
  <c r="BI23" i="1"/>
  <c r="BJ23" i="1"/>
  <c r="BK23" i="1"/>
  <c r="BL23" i="1"/>
  <c r="AR24" i="1"/>
  <c r="AS24" i="1"/>
  <c r="AT24" i="1"/>
  <c r="AU24" i="1"/>
  <c r="AV24" i="1"/>
  <c r="AW24" i="1"/>
  <c r="AX24" i="1"/>
  <c r="AY24" i="1"/>
  <c r="AZ24" i="1"/>
  <c r="BA24" i="1"/>
  <c r="BB24" i="1"/>
  <c r="BC24" i="1"/>
  <c r="BD24" i="1"/>
  <c r="BE24" i="1"/>
  <c r="BF24" i="1"/>
  <c r="BG24" i="1"/>
  <c r="BH24" i="1"/>
  <c r="BI24" i="1"/>
  <c r="BJ24" i="1"/>
  <c r="BK24" i="1"/>
  <c r="BL24" i="1"/>
  <c r="AR25" i="1"/>
  <c r="AS25" i="1"/>
  <c r="AT25" i="1"/>
  <c r="AU25" i="1"/>
  <c r="AV25" i="1"/>
  <c r="AW25" i="1"/>
  <c r="AX25" i="1"/>
  <c r="AY25" i="1"/>
  <c r="AZ25" i="1"/>
  <c r="BA25" i="1"/>
  <c r="BB25" i="1"/>
  <c r="BC25" i="1"/>
  <c r="BD25" i="1"/>
  <c r="BE25" i="1"/>
  <c r="BF25" i="1"/>
  <c r="BG25" i="1"/>
  <c r="BH25" i="1"/>
  <c r="BI25" i="1"/>
  <c r="BJ25" i="1"/>
  <c r="BK25" i="1"/>
  <c r="BL25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AR29" i="1"/>
  <c r="AS29" i="1"/>
  <c r="AT29" i="1"/>
  <c r="AU29" i="1"/>
  <c r="AV29" i="1"/>
  <c r="AW29" i="1"/>
  <c r="AX29" i="1"/>
  <c r="AY29" i="1"/>
  <c r="AZ29" i="1"/>
  <c r="BA29" i="1"/>
  <c r="BB29" i="1"/>
  <c r="BC29" i="1"/>
  <c r="BD29" i="1"/>
  <c r="BE29" i="1"/>
  <c r="BF29" i="1"/>
  <c r="BG29" i="1"/>
  <c r="BH29" i="1"/>
  <c r="BI29" i="1"/>
  <c r="BJ29" i="1"/>
  <c r="BK29" i="1"/>
  <c r="BL29" i="1"/>
  <c r="AR30" i="1"/>
  <c r="AS30" i="1"/>
  <c r="AT30" i="1"/>
  <c r="AU30" i="1"/>
  <c r="AV30" i="1"/>
  <c r="AW30" i="1"/>
  <c r="AX30" i="1"/>
  <c r="AY30" i="1"/>
  <c r="AZ30" i="1"/>
  <c r="BA30" i="1"/>
  <c r="BB30" i="1"/>
  <c r="BC30" i="1"/>
  <c r="BD30" i="1"/>
  <c r="BE30" i="1"/>
  <c r="BF30" i="1"/>
  <c r="BG30" i="1"/>
  <c r="BH30" i="1"/>
  <c r="BI30" i="1"/>
  <c r="BJ30" i="1"/>
  <c r="BK30" i="1"/>
  <c r="BL30" i="1"/>
  <c r="AR31" i="1"/>
  <c r="AS31" i="1"/>
  <c r="AT31" i="1"/>
  <c r="AU31" i="1"/>
  <c r="AV31" i="1"/>
  <c r="AW31" i="1"/>
  <c r="AX31" i="1"/>
  <c r="AY31" i="1"/>
  <c r="AZ31" i="1"/>
  <c r="BA31" i="1"/>
  <c r="BB31" i="1"/>
  <c r="BC31" i="1"/>
  <c r="BD31" i="1"/>
  <c r="BE31" i="1"/>
  <c r="BF31" i="1"/>
  <c r="BG31" i="1"/>
  <c r="BH31" i="1"/>
  <c r="BI31" i="1"/>
  <c r="BJ31" i="1"/>
  <c r="BK31" i="1"/>
  <c r="BL31" i="1"/>
  <c r="AR32" i="1"/>
  <c r="AS32" i="1"/>
  <c r="AT32" i="1"/>
  <c r="AU32" i="1"/>
  <c r="AV32" i="1"/>
  <c r="AW32" i="1"/>
  <c r="AX32" i="1"/>
  <c r="AY32" i="1"/>
  <c r="AZ32" i="1"/>
  <c r="BA32" i="1"/>
  <c r="BB32" i="1"/>
  <c r="BC32" i="1"/>
  <c r="BD32" i="1"/>
  <c r="BE32" i="1"/>
  <c r="BF32" i="1"/>
  <c r="BG32" i="1"/>
  <c r="BH32" i="1"/>
  <c r="BI32" i="1"/>
  <c r="BJ32" i="1"/>
  <c r="BK32" i="1"/>
  <c r="BL32" i="1"/>
  <c r="AR33" i="1"/>
  <c r="AS33" i="1"/>
  <c r="AT33" i="1"/>
  <c r="AU33" i="1"/>
  <c r="AV33" i="1"/>
  <c r="AW33" i="1"/>
  <c r="AX33" i="1"/>
  <c r="AY33" i="1"/>
  <c r="AZ33" i="1"/>
  <c r="BA33" i="1"/>
  <c r="BB33" i="1"/>
  <c r="BC33" i="1"/>
  <c r="BD33" i="1"/>
  <c r="BE33" i="1"/>
  <c r="BF33" i="1"/>
  <c r="BG33" i="1"/>
  <c r="BH33" i="1"/>
  <c r="BI33" i="1"/>
  <c r="BJ33" i="1"/>
  <c r="BK33" i="1"/>
  <c r="BL33" i="1"/>
  <c r="AR34" i="1"/>
  <c r="AS34" i="1"/>
  <c r="AT34" i="1"/>
  <c r="AU34" i="1"/>
  <c r="AV34" i="1"/>
  <c r="AW34" i="1"/>
  <c r="AX34" i="1"/>
  <c r="AY34" i="1"/>
  <c r="AZ34" i="1"/>
  <c r="BA34" i="1"/>
  <c r="BB34" i="1"/>
  <c r="BC34" i="1"/>
  <c r="BD34" i="1"/>
  <c r="BE34" i="1"/>
  <c r="BF34" i="1"/>
  <c r="BG34" i="1"/>
  <c r="BH34" i="1"/>
  <c r="BI34" i="1"/>
  <c r="BJ34" i="1"/>
  <c r="BK34" i="1"/>
  <c r="BL34" i="1"/>
  <c r="AR35" i="1"/>
  <c r="AS35" i="1"/>
  <c r="AT35" i="1"/>
  <c r="AU35" i="1"/>
  <c r="AV35" i="1"/>
  <c r="AW35" i="1"/>
  <c r="AX35" i="1"/>
  <c r="AY35" i="1"/>
  <c r="AZ35" i="1"/>
  <c r="BA35" i="1"/>
  <c r="BB35" i="1"/>
  <c r="BC35" i="1"/>
  <c r="BD35" i="1"/>
  <c r="BE35" i="1"/>
  <c r="BF35" i="1"/>
  <c r="BG35" i="1"/>
  <c r="BH35" i="1"/>
  <c r="BI35" i="1"/>
  <c r="BJ35" i="1"/>
  <c r="BK35" i="1"/>
  <c r="BL35" i="1"/>
  <c r="AR36" i="1"/>
  <c r="AS36" i="1"/>
  <c r="AT36" i="1"/>
  <c r="AU36" i="1"/>
  <c r="AV36" i="1"/>
  <c r="AW36" i="1"/>
  <c r="AX36" i="1"/>
  <c r="AY36" i="1"/>
  <c r="AZ36" i="1"/>
  <c r="BA36" i="1"/>
  <c r="BB36" i="1"/>
  <c r="BC36" i="1"/>
  <c r="BD36" i="1"/>
  <c r="BE36" i="1"/>
  <c r="BF36" i="1"/>
  <c r="BG36" i="1"/>
  <c r="BH36" i="1"/>
  <c r="BI36" i="1"/>
  <c r="BJ36" i="1"/>
  <c r="BK36" i="1"/>
  <c r="BL36" i="1"/>
  <c r="AR37" i="1"/>
  <c r="AS37" i="1"/>
  <c r="AT37" i="1"/>
  <c r="AU37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AR38" i="1"/>
  <c r="AS38" i="1"/>
  <c r="AT38" i="1"/>
  <c r="AU38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AR39" i="1"/>
  <c r="AS39" i="1"/>
  <c r="AT39" i="1"/>
  <c r="AU39" i="1"/>
  <c r="AV39" i="1"/>
  <c r="AW39" i="1"/>
  <c r="AX39" i="1"/>
  <c r="AY39" i="1"/>
  <c r="AZ39" i="1"/>
  <c r="BA39" i="1"/>
  <c r="BB39" i="1"/>
  <c r="BC39" i="1"/>
  <c r="BD39" i="1"/>
  <c r="BE39" i="1"/>
  <c r="BF39" i="1"/>
  <c r="BG39" i="1"/>
  <c r="BH39" i="1"/>
  <c r="BI39" i="1"/>
  <c r="BJ39" i="1"/>
  <c r="BK39" i="1"/>
  <c r="BL39" i="1"/>
  <c r="AR40" i="1"/>
  <c r="AS40" i="1"/>
  <c r="AT40" i="1"/>
  <c r="AU40" i="1"/>
  <c r="AV40" i="1"/>
  <c r="AW40" i="1"/>
  <c r="AX40" i="1"/>
  <c r="AY40" i="1"/>
  <c r="AZ40" i="1"/>
  <c r="BA40" i="1"/>
  <c r="BB40" i="1"/>
  <c r="BC40" i="1"/>
  <c r="BD40" i="1"/>
  <c r="BE40" i="1"/>
  <c r="BF40" i="1"/>
  <c r="BG40" i="1"/>
  <c r="BH40" i="1"/>
  <c r="BI40" i="1"/>
  <c r="BJ40" i="1"/>
  <c r="BK40" i="1"/>
  <c r="BL40" i="1"/>
  <c r="AR41" i="1"/>
  <c r="AS41" i="1"/>
  <c r="AT41" i="1"/>
  <c r="AU41" i="1"/>
  <c r="AV41" i="1"/>
  <c r="AW41" i="1"/>
  <c r="AX41" i="1"/>
  <c r="AY41" i="1"/>
  <c r="AZ41" i="1"/>
  <c r="BA41" i="1"/>
  <c r="BB41" i="1"/>
  <c r="BC41" i="1"/>
  <c r="BD41" i="1"/>
  <c r="BE41" i="1"/>
  <c r="BF41" i="1"/>
  <c r="BG41" i="1"/>
  <c r="BH41" i="1"/>
  <c r="BI41" i="1"/>
  <c r="BJ41" i="1"/>
  <c r="BK41" i="1"/>
  <c r="BL41" i="1"/>
  <c r="AR42" i="1"/>
  <c r="AS42" i="1"/>
  <c r="AT42" i="1"/>
  <c r="AU42" i="1"/>
  <c r="AV42" i="1"/>
  <c r="AW42" i="1"/>
  <c r="AX42" i="1"/>
  <c r="AY42" i="1"/>
  <c r="AZ42" i="1"/>
  <c r="BA42" i="1"/>
  <c r="BB42" i="1"/>
  <c r="BC42" i="1"/>
  <c r="BD42" i="1"/>
  <c r="BE42" i="1"/>
  <c r="BF42" i="1"/>
  <c r="BG42" i="1"/>
  <c r="BH42" i="1"/>
  <c r="BI42" i="1"/>
  <c r="BJ42" i="1"/>
  <c r="BK42" i="1"/>
  <c r="BL42" i="1"/>
  <c r="AR43" i="1"/>
  <c r="AS43" i="1"/>
  <c r="AT43" i="1"/>
  <c r="AU43" i="1"/>
  <c r="AV43" i="1"/>
  <c r="AW43" i="1"/>
  <c r="AX43" i="1"/>
  <c r="AY43" i="1"/>
  <c r="AZ43" i="1"/>
  <c r="BA43" i="1"/>
  <c r="BB43" i="1"/>
  <c r="BC43" i="1"/>
  <c r="BD43" i="1"/>
  <c r="BE43" i="1"/>
  <c r="BF43" i="1"/>
  <c r="BG43" i="1"/>
  <c r="BH43" i="1"/>
  <c r="BI43" i="1"/>
  <c r="BJ43" i="1"/>
  <c r="BK43" i="1"/>
  <c r="BL43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BH45" i="1"/>
  <c r="BI45" i="1"/>
  <c r="BJ45" i="1"/>
  <c r="BK45" i="1"/>
  <c r="BL45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BH46" i="1"/>
  <c r="BI46" i="1"/>
  <c r="BJ46" i="1"/>
  <c r="BK46" i="1"/>
  <c r="BL46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BH47" i="1"/>
  <c r="BI47" i="1"/>
  <c r="BJ47" i="1"/>
  <c r="BK47" i="1"/>
  <c r="BL47" i="1"/>
  <c r="AR48" i="1"/>
  <c r="AS48" i="1"/>
  <c r="AT48" i="1"/>
  <c r="AU48" i="1"/>
  <c r="AV48" i="1"/>
  <c r="AW48" i="1"/>
  <c r="AX48" i="1"/>
  <c r="AY48" i="1"/>
  <c r="AZ48" i="1"/>
  <c r="BA48" i="1"/>
  <c r="BB48" i="1"/>
  <c r="BC48" i="1"/>
  <c r="BD48" i="1"/>
  <c r="BE48" i="1"/>
  <c r="BF48" i="1"/>
  <c r="BG48" i="1"/>
  <c r="BH48" i="1"/>
  <c r="BI48" i="1"/>
  <c r="BJ48" i="1"/>
  <c r="BK48" i="1"/>
  <c r="BL48" i="1"/>
  <c r="AR49" i="1"/>
  <c r="AS49" i="1"/>
  <c r="AT49" i="1"/>
  <c r="AU49" i="1"/>
  <c r="AV49" i="1"/>
  <c r="AW49" i="1"/>
  <c r="AX49" i="1"/>
  <c r="AY49" i="1"/>
  <c r="AZ49" i="1"/>
  <c r="BA49" i="1"/>
  <c r="BB49" i="1"/>
  <c r="BC49" i="1"/>
  <c r="BD49" i="1"/>
  <c r="BE49" i="1"/>
  <c r="BF49" i="1"/>
  <c r="BG49" i="1"/>
  <c r="BH49" i="1"/>
  <c r="BI49" i="1"/>
  <c r="BJ49" i="1"/>
  <c r="BK49" i="1"/>
  <c r="BL49" i="1"/>
  <c r="AR50" i="1"/>
  <c r="AS50" i="1"/>
  <c r="AT50" i="1"/>
  <c r="AU50" i="1"/>
  <c r="AV50" i="1"/>
  <c r="AW50" i="1"/>
  <c r="AX50" i="1"/>
  <c r="AY50" i="1"/>
  <c r="AZ50" i="1"/>
  <c r="BA50" i="1"/>
  <c r="BB50" i="1"/>
  <c r="BC50" i="1"/>
  <c r="BD50" i="1"/>
  <c r="BE50" i="1"/>
  <c r="BF50" i="1"/>
  <c r="BG50" i="1"/>
  <c r="BH50" i="1"/>
  <c r="BI50" i="1"/>
  <c r="BJ50" i="1"/>
  <c r="BK50" i="1"/>
  <c r="BL50" i="1"/>
  <c r="AR51" i="1"/>
  <c r="AS51" i="1"/>
  <c r="AT51" i="1"/>
  <c r="AU51" i="1"/>
  <c r="AV51" i="1"/>
  <c r="AW51" i="1"/>
  <c r="AX51" i="1"/>
  <c r="AY51" i="1"/>
  <c r="AZ51" i="1"/>
  <c r="BA51" i="1"/>
  <c r="BB51" i="1"/>
  <c r="BC51" i="1"/>
  <c r="BD51" i="1"/>
  <c r="BE51" i="1"/>
  <c r="BF51" i="1"/>
  <c r="BG51" i="1"/>
  <c r="BH51" i="1"/>
  <c r="BI51" i="1"/>
  <c r="BJ51" i="1"/>
  <c r="BK51" i="1"/>
  <c r="BL51" i="1"/>
  <c r="AR52" i="1"/>
  <c r="AS52" i="1"/>
  <c r="AT52" i="1"/>
  <c r="AU52" i="1"/>
  <c r="AV52" i="1"/>
  <c r="AW52" i="1"/>
  <c r="AX52" i="1"/>
  <c r="AY52" i="1"/>
  <c r="AZ52" i="1"/>
  <c r="BA52" i="1"/>
  <c r="BB52" i="1"/>
  <c r="BC52" i="1"/>
  <c r="BD52" i="1"/>
  <c r="BE52" i="1"/>
  <c r="BF52" i="1"/>
  <c r="BG52" i="1"/>
  <c r="BH52" i="1"/>
  <c r="BI52" i="1"/>
  <c r="BJ52" i="1"/>
  <c r="BK52" i="1"/>
  <c r="BL52" i="1"/>
  <c r="AR53" i="1"/>
  <c r="AS53" i="1"/>
  <c r="AT53" i="1"/>
  <c r="AU53" i="1"/>
  <c r="AV53" i="1"/>
  <c r="AW53" i="1"/>
  <c r="AX53" i="1"/>
  <c r="AY53" i="1"/>
  <c r="AZ53" i="1"/>
  <c r="BA53" i="1"/>
  <c r="BB53" i="1"/>
  <c r="BC53" i="1"/>
  <c r="BD53" i="1"/>
  <c r="BE53" i="1"/>
  <c r="BF53" i="1"/>
  <c r="BG53" i="1"/>
  <c r="BH53" i="1"/>
  <c r="BI53" i="1"/>
  <c r="BJ53" i="1"/>
  <c r="BK53" i="1"/>
  <c r="BL53" i="1"/>
  <c r="AR54" i="1"/>
  <c r="AS54" i="1"/>
  <c r="AT54" i="1"/>
  <c r="AU54" i="1"/>
  <c r="AV54" i="1"/>
  <c r="AW54" i="1"/>
  <c r="AX54" i="1"/>
  <c r="AY54" i="1"/>
  <c r="AZ54" i="1"/>
  <c r="BA54" i="1"/>
  <c r="BB54" i="1"/>
  <c r="BC54" i="1"/>
  <c r="BD54" i="1"/>
  <c r="BE54" i="1"/>
  <c r="BF54" i="1"/>
  <c r="BG54" i="1"/>
  <c r="BH54" i="1"/>
  <c r="BI54" i="1"/>
  <c r="BJ54" i="1"/>
  <c r="BK54" i="1"/>
  <c r="BL54" i="1"/>
  <c r="AR55" i="1"/>
  <c r="AS55" i="1"/>
  <c r="AT55" i="1"/>
  <c r="AU55" i="1"/>
  <c r="AV55" i="1"/>
  <c r="AW55" i="1"/>
  <c r="AX55" i="1"/>
  <c r="AY55" i="1"/>
  <c r="AZ55" i="1"/>
  <c r="BA55" i="1"/>
  <c r="BB55" i="1"/>
  <c r="BC55" i="1"/>
  <c r="BD55" i="1"/>
  <c r="BE55" i="1"/>
  <c r="BF55" i="1"/>
  <c r="BG55" i="1"/>
  <c r="BH55" i="1"/>
  <c r="BI55" i="1"/>
  <c r="BJ55" i="1"/>
  <c r="BK55" i="1"/>
  <c r="BL55" i="1"/>
  <c r="AR56" i="1"/>
  <c r="AS56" i="1"/>
  <c r="AT56" i="1"/>
  <c r="AU56" i="1"/>
  <c r="AV56" i="1"/>
  <c r="AW56" i="1"/>
  <c r="AX56" i="1"/>
  <c r="AY56" i="1"/>
  <c r="AZ56" i="1"/>
  <c r="BA56" i="1"/>
  <c r="BB56" i="1"/>
  <c r="BC56" i="1"/>
  <c r="BD56" i="1"/>
  <c r="BE56" i="1"/>
  <c r="BF56" i="1"/>
  <c r="BG56" i="1"/>
  <c r="BH56" i="1"/>
  <c r="BI56" i="1"/>
  <c r="BJ56" i="1"/>
  <c r="BK56" i="1"/>
  <c r="BL56" i="1"/>
  <c r="AR57" i="1"/>
  <c r="AS57" i="1"/>
  <c r="AT57" i="1"/>
  <c r="AU57" i="1"/>
  <c r="AV57" i="1"/>
  <c r="AW57" i="1"/>
  <c r="AX57" i="1"/>
  <c r="AY57" i="1"/>
  <c r="AZ57" i="1"/>
  <c r="BA57" i="1"/>
  <c r="BB57" i="1"/>
  <c r="BC57" i="1"/>
  <c r="BD57" i="1"/>
  <c r="BE57" i="1"/>
  <c r="BF57" i="1"/>
  <c r="BG57" i="1"/>
  <c r="BH57" i="1"/>
  <c r="BI57" i="1"/>
  <c r="BJ57" i="1"/>
  <c r="BK57" i="1"/>
  <c r="BL57" i="1"/>
  <c r="AR58" i="1"/>
  <c r="AS58" i="1"/>
  <c r="AT58" i="1"/>
  <c r="AU58" i="1"/>
  <c r="AV58" i="1"/>
  <c r="AW58" i="1"/>
  <c r="AX58" i="1"/>
  <c r="AY58" i="1"/>
  <c r="AZ58" i="1"/>
  <c r="BA58" i="1"/>
  <c r="BB58" i="1"/>
  <c r="BC58" i="1"/>
  <c r="BD58" i="1"/>
  <c r="BE58" i="1"/>
  <c r="BF58" i="1"/>
  <c r="BG58" i="1"/>
  <c r="BH58" i="1"/>
  <c r="BI58" i="1"/>
  <c r="BJ58" i="1"/>
  <c r="BK58" i="1"/>
  <c r="BL58" i="1"/>
  <c r="AR59" i="1"/>
  <c r="AS59" i="1"/>
  <c r="AT59" i="1"/>
  <c r="AU59" i="1"/>
  <c r="AV59" i="1"/>
  <c r="AW59" i="1"/>
  <c r="AX59" i="1"/>
  <c r="AY59" i="1"/>
  <c r="AZ59" i="1"/>
  <c r="BA59" i="1"/>
  <c r="BB59" i="1"/>
  <c r="BC59" i="1"/>
  <c r="BD59" i="1"/>
  <c r="BE59" i="1"/>
  <c r="BF59" i="1"/>
  <c r="BG59" i="1"/>
  <c r="BH59" i="1"/>
  <c r="BI59" i="1"/>
  <c r="BJ59" i="1"/>
  <c r="BK59" i="1"/>
  <c r="BL59" i="1"/>
  <c r="AR60" i="1"/>
  <c r="AS60" i="1"/>
  <c r="AT60" i="1"/>
  <c r="AU60" i="1"/>
  <c r="AV60" i="1"/>
  <c r="AW60" i="1"/>
  <c r="AX60" i="1"/>
  <c r="AY60" i="1"/>
  <c r="AZ60" i="1"/>
  <c r="BA60" i="1"/>
  <c r="BB60" i="1"/>
  <c r="BC60" i="1"/>
  <c r="BD60" i="1"/>
  <c r="BE60" i="1"/>
  <c r="BF60" i="1"/>
  <c r="BG60" i="1"/>
  <c r="BH60" i="1"/>
  <c r="BI60" i="1"/>
  <c r="BJ60" i="1"/>
  <c r="BK60" i="1"/>
  <c r="BL60" i="1"/>
  <c r="AR61" i="1"/>
  <c r="AS61" i="1"/>
  <c r="AT61" i="1"/>
  <c r="AU61" i="1"/>
  <c r="AV61" i="1"/>
  <c r="AW61" i="1"/>
  <c r="AX61" i="1"/>
  <c r="AY61" i="1"/>
  <c r="AZ61" i="1"/>
  <c r="BA61" i="1"/>
  <c r="BB61" i="1"/>
  <c r="BC61" i="1"/>
  <c r="BD61" i="1"/>
  <c r="BE61" i="1"/>
  <c r="BF61" i="1"/>
  <c r="BG61" i="1"/>
  <c r="BH61" i="1"/>
  <c r="BI61" i="1"/>
  <c r="BJ61" i="1"/>
  <c r="BK61" i="1"/>
  <c r="BL61" i="1"/>
  <c r="AR62" i="1"/>
  <c r="AS62" i="1"/>
  <c r="AT62" i="1"/>
  <c r="AU62" i="1"/>
  <c r="AV62" i="1"/>
  <c r="AW62" i="1"/>
  <c r="AX62" i="1"/>
  <c r="AY62" i="1"/>
  <c r="AZ62" i="1"/>
  <c r="BA62" i="1"/>
  <c r="BB62" i="1"/>
  <c r="BC62" i="1"/>
  <c r="BD62" i="1"/>
  <c r="BE62" i="1"/>
  <c r="BF62" i="1"/>
  <c r="BG62" i="1"/>
  <c r="BH62" i="1"/>
  <c r="BI62" i="1"/>
  <c r="BJ62" i="1"/>
  <c r="BK62" i="1"/>
  <c r="BL62" i="1"/>
  <c r="AR63" i="1"/>
  <c r="AS63" i="1"/>
  <c r="AT63" i="1"/>
  <c r="AU63" i="1"/>
  <c r="AV63" i="1"/>
  <c r="AW63" i="1"/>
  <c r="AX63" i="1"/>
  <c r="AY63" i="1"/>
  <c r="AZ63" i="1"/>
  <c r="BA63" i="1"/>
  <c r="BB63" i="1"/>
  <c r="BC63" i="1"/>
  <c r="BD63" i="1"/>
  <c r="BE63" i="1"/>
  <c r="BF63" i="1"/>
  <c r="BG63" i="1"/>
  <c r="BH63" i="1"/>
  <c r="BI63" i="1"/>
  <c r="BJ63" i="1"/>
  <c r="BK63" i="1"/>
  <c r="BL63" i="1"/>
  <c r="AR64" i="1"/>
  <c r="AS64" i="1"/>
  <c r="AT64" i="1"/>
  <c r="AU64" i="1"/>
  <c r="AV64" i="1"/>
  <c r="AW64" i="1"/>
  <c r="AX64" i="1"/>
  <c r="AY64" i="1"/>
  <c r="AZ64" i="1"/>
  <c r="BA64" i="1"/>
  <c r="BB64" i="1"/>
  <c r="BC64" i="1"/>
  <c r="BD64" i="1"/>
  <c r="BE64" i="1"/>
  <c r="BF64" i="1"/>
  <c r="BG64" i="1"/>
  <c r="BH64" i="1"/>
  <c r="BI64" i="1"/>
  <c r="BJ64" i="1"/>
  <c r="BK64" i="1"/>
  <c r="BL64" i="1"/>
  <c r="AR65" i="1"/>
  <c r="AS65" i="1"/>
  <c r="AT65" i="1"/>
  <c r="AU65" i="1"/>
  <c r="AV65" i="1"/>
  <c r="AW65" i="1"/>
  <c r="AX65" i="1"/>
  <c r="AY65" i="1"/>
  <c r="AZ65" i="1"/>
  <c r="BA65" i="1"/>
  <c r="BB65" i="1"/>
  <c r="BC65" i="1"/>
  <c r="BD65" i="1"/>
  <c r="BE65" i="1"/>
  <c r="BF65" i="1"/>
  <c r="BG65" i="1"/>
  <c r="BH65" i="1"/>
  <c r="BI65" i="1"/>
  <c r="BJ65" i="1"/>
  <c r="BK65" i="1"/>
  <c r="BL65" i="1"/>
  <c r="AR66" i="1"/>
  <c r="AS66" i="1"/>
  <c r="AT66" i="1"/>
  <c r="AU66" i="1"/>
  <c r="AV66" i="1"/>
  <c r="AW66" i="1"/>
  <c r="AX66" i="1"/>
  <c r="AY66" i="1"/>
  <c r="AZ66" i="1"/>
  <c r="BA66" i="1"/>
  <c r="BB66" i="1"/>
  <c r="BC66" i="1"/>
  <c r="BD66" i="1"/>
  <c r="BE66" i="1"/>
  <c r="BF66" i="1"/>
  <c r="BG66" i="1"/>
  <c r="BH66" i="1"/>
  <c r="BI66" i="1"/>
  <c r="BJ66" i="1"/>
  <c r="BK66" i="1"/>
  <c r="BL66" i="1"/>
  <c r="AR67" i="1"/>
  <c r="AS67" i="1"/>
  <c r="AT67" i="1"/>
  <c r="AU67" i="1"/>
  <c r="AV67" i="1"/>
  <c r="AW67" i="1"/>
  <c r="AX67" i="1"/>
  <c r="AY67" i="1"/>
  <c r="AZ67" i="1"/>
  <c r="BA67" i="1"/>
  <c r="BB67" i="1"/>
  <c r="BC67" i="1"/>
  <c r="BD67" i="1"/>
  <c r="BE67" i="1"/>
  <c r="BF67" i="1"/>
  <c r="BG67" i="1"/>
  <c r="BH67" i="1"/>
  <c r="BI67" i="1"/>
  <c r="BJ67" i="1"/>
  <c r="BK67" i="1"/>
  <c r="BL67" i="1"/>
  <c r="AR68" i="1"/>
  <c r="AS68" i="1"/>
  <c r="AT68" i="1"/>
  <c r="AU68" i="1"/>
  <c r="AV68" i="1"/>
  <c r="AW68" i="1"/>
  <c r="AX68" i="1"/>
  <c r="AY68" i="1"/>
  <c r="AZ68" i="1"/>
  <c r="BA68" i="1"/>
  <c r="BB68" i="1"/>
  <c r="BC68" i="1"/>
  <c r="BD68" i="1"/>
  <c r="BE68" i="1"/>
  <c r="BF68" i="1"/>
  <c r="BG68" i="1"/>
  <c r="BH68" i="1"/>
  <c r="BI68" i="1"/>
  <c r="BJ68" i="1"/>
  <c r="BK68" i="1"/>
  <c r="BL68" i="1"/>
  <c r="AR69" i="1"/>
  <c r="AS69" i="1"/>
  <c r="AT69" i="1"/>
  <c r="AU69" i="1"/>
  <c r="AV69" i="1"/>
  <c r="AW69" i="1"/>
  <c r="AX69" i="1"/>
  <c r="AY69" i="1"/>
  <c r="AZ69" i="1"/>
  <c r="BA69" i="1"/>
  <c r="BB69" i="1"/>
  <c r="BC69" i="1"/>
  <c r="BD69" i="1"/>
  <c r="BE69" i="1"/>
  <c r="BF69" i="1"/>
  <c r="BG69" i="1"/>
  <c r="BH69" i="1"/>
  <c r="BI69" i="1"/>
  <c r="BJ69" i="1"/>
  <c r="BK69" i="1"/>
  <c r="BL69" i="1"/>
  <c r="AR70" i="1"/>
  <c r="AS70" i="1"/>
  <c r="AT70" i="1"/>
  <c r="AU70" i="1"/>
  <c r="AV70" i="1"/>
  <c r="AW70" i="1"/>
  <c r="AX70" i="1"/>
  <c r="AY70" i="1"/>
  <c r="AZ70" i="1"/>
  <c r="BA70" i="1"/>
  <c r="BB70" i="1"/>
  <c r="BC70" i="1"/>
  <c r="BD70" i="1"/>
  <c r="BE70" i="1"/>
  <c r="BF70" i="1"/>
  <c r="BG70" i="1"/>
  <c r="BH70" i="1"/>
  <c r="BI70" i="1"/>
  <c r="BJ70" i="1"/>
  <c r="BK70" i="1"/>
  <c r="BL70" i="1"/>
  <c r="AR71" i="1"/>
  <c r="AS71" i="1"/>
  <c r="AT71" i="1"/>
  <c r="AU71" i="1"/>
  <c r="AV71" i="1"/>
  <c r="AW71" i="1"/>
  <c r="AX71" i="1"/>
  <c r="AY71" i="1"/>
  <c r="AZ71" i="1"/>
  <c r="BA71" i="1"/>
  <c r="BB71" i="1"/>
  <c r="BC71" i="1"/>
  <c r="BD71" i="1"/>
  <c r="BE71" i="1"/>
  <c r="BF71" i="1"/>
  <c r="BG71" i="1"/>
  <c r="BH71" i="1"/>
  <c r="BI71" i="1"/>
  <c r="BJ71" i="1"/>
  <c r="BK71" i="1"/>
  <c r="BL71" i="1"/>
  <c r="AR72" i="1"/>
  <c r="AS72" i="1"/>
  <c r="AT72" i="1"/>
  <c r="AU72" i="1"/>
  <c r="AV72" i="1"/>
  <c r="AW72" i="1"/>
  <c r="AX72" i="1"/>
  <c r="AY72" i="1"/>
  <c r="AZ72" i="1"/>
  <c r="BA72" i="1"/>
  <c r="BB72" i="1"/>
  <c r="BC72" i="1"/>
  <c r="BD72" i="1"/>
  <c r="BE72" i="1"/>
  <c r="BF72" i="1"/>
  <c r="BG72" i="1"/>
  <c r="BH72" i="1"/>
  <c r="BI72" i="1"/>
  <c r="BJ72" i="1"/>
  <c r="BK72" i="1"/>
  <c r="BL72" i="1"/>
  <c r="AR73" i="1"/>
  <c r="AS73" i="1"/>
  <c r="AT73" i="1"/>
  <c r="AU73" i="1"/>
  <c r="AV73" i="1"/>
  <c r="AW73" i="1"/>
  <c r="AX73" i="1"/>
  <c r="AY73" i="1"/>
  <c r="AZ73" i="1"/>
  <c r="BA73" i="1"/>
  <c r="BB73" i="1"/>
  <c r="BC73" i="1"/>
  <c r="BD73" i="1"/>
  <c r="BE73" i="1"/>
  <c r="BF73" i="1"/>
  <c r="BG73" i="1"/>
  <c r="BH73" i="1"/>
  <c r="BI73" i="1"/>
  <c r="BJ73" i="1"/>
  <c r="BK73" i="1"/>
  <c r="BL73" i="1"/>
  <c r="AR74" i="1"/>
  <c r="AS74" i="1"/>
  <c r="AT74" i="1"/>
  <c r="AU74" i="1"/>
  <c r="AV74" i="1"/>
  <c r="AW74" i="1"/>
  <c r="AX74" i="1"/>
  <c r="AY74" i="1"/>
  <c r="AZ74" i="1"/>
  <c r="BA74" i="1"/>
  <c r="BB74" i="1"/>
  <c r="BC74" i="1"/>
  <c r="BD74" i="1"/>
  <c r="BE74" i="1"/>
  <c r="BF74" i="1"/>
  <c r="BG74" i="1"/>
  <c r="BH74" i="1"/>
  <c r="BI74" i="1"/>
  <c r="BJ74" i="1"/>
  <c r="BK74" i="1"/>
  <c r="BL74" i="1"/>
  <c r="AR75" i="1"/>
  <c r="AS75" i="1"/>
  <c r="AT75" i="1"/>
  <c r="AU75" i="1"/>
  <c r="AV75" i="1"/>
  <c r="AW75" i="1"/>
  <c r="AX75" i="1"/>
  <c r="AY75" i="1"/>
  <c r="AZ75" i="1"/>
  <c r="BA75" i="1"/>
  <c r="BB75" i="1"/>
  <c r="BC75" i="1"/>
  <c r="BD75" i="1"/>
  <c r="BE75" i="1"/>
  <c r="BF75" i="1"/>
  <c r="BG75" i="1"/>
  <c r="BH75" i="1"/>
  <c r="BI75" i="1"/>
  <c r="BJ75" i="1"/>
  <c r="BK75" i="1"/>
  <c r="BL75" i="1"/>
  <c r="AR76" i="1"/>
  <c r="AS76" i="1"/>
  <c r="AT76" i="1"/>
  <c r="AU76" i="1"/>
  <c r="AV76" i="1"/>
  <c r="AW76" i="1"/>
  <c r="AX76" i="1"/>
  <c r="AY76" i="1"/>
  <c r="AZ76" i="1"/>
  <c r="BA76" i="1"/>
  <c r="BB76" i="1"/>
  <c r="BC76" i="1"/>
  <c r="BD76" i="1"/>
  <c r="BE76" i="1"/>
  <c r="BF76" i="1"/>
  <c r="BG76" i="1"/>
  <c r="BH76" i="1"/>
  <c r="BI76" i="1"/>
  <c r="BJ76" i="1"/>
  <c r="BK76" i="1"/>
  <c r="BL76" i="1"/>
  <c r="AR77" i="1"/>
  <c r="AS77" i="1"/>
  <c r="AT77" i="1"/>
  <c r="AU77" i="1"/>
  <c r="AV77" i="1"/>
  <c r="AW77" i="1"/>
  <c r="AX77" i="1"/>
  <c r="AY77" i="1"/>
  <c r="AZ77" i="1"/>
  <c r="BA77" i="1"/>
  <c r="BB77" i="1"/>
  <c r="BC77" i="1"/>
  <c r="BD77" i="1"/>
  <c r="BE77" i="1"/>
  <c r="BF77" i="1"/>
  <c r="BG77" i="1"/>
  <c r="BH77" i="1"/>
  <c r="BI77" i="1"/>
  <c r="BJ77" i="1"/>
  <c r="BK77" i="1"/>
  <c r="BL77" i="1"/>
  <c r="AR78" i="1"/>
  <c r="AS78" i="1"/>
  <c r="AT78" i="1"/>
  <c r="AU78" i="1"/>
  <c r="AV78" i="1"/>
  <c r="AW78" i="1"/>
  <c r="AX78" i="1"/>
  <c r="AY78" i="1"/>
  <c r="AZ78" i="1"/>
  <c r="BA78" i="1"/>
  <c r="BB78" i="1"/>
  <c r="BC78" i="1"/>
  <c r="BD78" i="1"/>
  <c r="BE78" i="1"/>
  <c r="BF78" i="1"/>
  <c r="BG78" i="1"/>
  <c r="BH78" i="1"/>
  <c r="BI78" i="1"/>
  <c r="BJ78" i="1"/>
  <c r="BK78" i="1"/>
  <c r="BL78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AR80" i="1"/>
  <c r="AS80" i="1"/>
  <c r="AT80" i="1"/>
  <c r="AU80" i="1"/>
  <c r="AV80" i="1"/>
  <c r="AW80" i="1"/>
  <c r="AX80" i="1"/>
  <c r="AY80" i="1"/>
  <c r="AZ80" i="1"/>
  <c r="BA80" i="1"/>
  <c r="BB80" i="1"/>
  <c r="BC80" i="1"/>
  <c r="BD80" i="1"/>
  <c r="BE80" i="1"/>
  <c r="BF80" i="1"/>
  <c r="BG80" i="1"/>
  <c r="BH80" i="1"/>
  <c r="BI80" i="1"/>
  <c r="BJ80" i="1"/>
  <c r="BK80" i="1"/>
  <c r="BL80" i="1"/>
  <c r="AR81" i="1"/>
  <c r="AS81" i="1"/>
  <c r="AT81" i="1"/>
  <c r="AU81" i="1"/>
  <c r="AV81" i="1"/>
  <c r="AW81" i="1"/>
  <c r="AX81" i="1"/>
  <c r="AY81" i="1"/>
  <c r="AZ81" i="1"/>
  <c r="BA81" i="1"/>
  <c r="BB81" i="1"/>
  <c r="BC81" i="1"/>
  <c r="BD81" i="1"/>
  <c r="BE81" i="1"/>
  <c r="BF81" i="1"/>
  <c r="BG81" i="1"/>
  <c r="BH81" i="1"/>
  <c r="BI81" i="1"/>
  <c r="BJ81" i="1"/>
  <c r="BK81" i="1"/>
  <c r="BL81" i="1"/>
  <c r="AR82" i="1"/>
  <c r="AS82" i="1"/>
  <c r="AT82" i="1"/>
  <c r="AU82" i="1"/>
  <c r="AV82" i="1"/>
  <c r="AW82" i="1"/>
  <c r="AX82" i="1"/>
  <c r="AY82" i="1"/>
  <c r="AZ82" i="1"/>
  <c r="BA82" i="1"/>
  <c r="BB82" i="1"/>
  <c r="BC82" i="1"/>
  <c r="BD82" i="1"/>
  <c r="BE82" i="1"/>
  <c r="BF82" i="1"/>
  <c r="BG82" i="1"/>
  <c r="BH82" i="1"/>
  <c r="BI82" i="1"/>
  <c r="BJ82" i="1"/>
  <c r="BK82" i="1"/>
  <c r="BL82" i="1"/>
  <c r="AR83" i="1"/>
  <c r="AS83" i="1"/>
  <c r="AT83" i="1"/>
  <c r="AU83" i="1"/>
  <c r="AV83" i="1"/>
  <c r="AW83" i="1"/>
  <c r="AX83" i="1"/>
  <c r="AY83" i="1"/>
  <c r="AZ83" i="1"/>
  <c r="BA83" i="1"/>
  <c r="BB83" i="1"/>
  <c r="BC83" i="1"/>
  <c r="BD83" i="1"/>
  <c r="BE83" i="1"/>
  <c r="BF83" i="1"/>
  <c r="BG83" i="1"/>
  <c r="BH83" i="1"/>
  <c r="BI83" i="1"/>
  <c r="BJ83" i="1"/>
  <c r="BK83" i="1"/>
  <c r="BL83" i="1"/>
  <c r="AR84" i="1"/>
  <c r="AS84" i="1"/>
  <c r="AT84" i="1"/>
  <c r="AU84" i="1"/>
  <c r="AV84" i="1"/>
  <c r="AW84" i="1"/>
  <c r="AX84" i="1"/>
  <c r="AY84" i="1"/>
  <c r="AZ84" i="1"/>
  <c r="BA84" i="1"/>
  <c r="BB84" i="1"/>
  <c r="BC84" i="1"/>
  <c r="BD84" i="1"/>
  <c r="BE84" i="1"/>
  <c r="BF84" i="1"/>
  <c r="BG84" i="1"/>
  <c r="BH84" i="1"/>
  <c r="BI84" i="1"/>
  <c r="BJ84" i="1"/>
  <c r="BK84" i="1"/>
  <c r="BL84" i="1"/>
  <c r="AR85" i="1"/>
  <c r="AS85" i="1"/>
  <c r="AT85" i="1"/>
  <c r="AU85" i="1"/>
  <c r="AV85" i="1"/>
  <c r="AW85" i="1"/>
  <c r="AX85" i="1"/>
  <c r="AY85" i="1"/>
  <c r="AZ85" i="1"/>
  <c r="BA85" i="1"/>
  <c r="BB85" i="1"/>
  <c r="BC85" i="1"/>
  <c r="BD85" i="1"/>
  <c r="BE85" i="1"/>
  <c r="BF85" i="1"/>
  <c r="BG85" i="1"/>
  <c r="BH85" i="1"/>
  <c r="BI85" i="1"/>
  <c r="BJ85" i="1"/>
  <c r="BK85" i="1"/>
  <c r="BL85" i="1"/>
  <c r="AR86" i="1"/>
  <c r="AS86" i="1"/>
  <c r="AT86" i="1"/>
  <c r="AU86" i="1"/>
  <c r="AV86" i="1"/>
  <c r="AW86" i="1"/>
  <c r="AX86" i="1"/>
  <c r="AY86" i="1"/>
  <c r="AZ86" i="1"/>
  <c r="BA86" i="1"/>
  <c r="BB86" i="1"/>
  <c r="BC86" i="1"/>
  <c r="BD86" i="1"/>
  <c r="BE86" i="1"/>
  <c r="BF86" i="1"/>
  <c r="BG86" i="1"/>
  <c r="BH86" i="1"/>
  <c r="BI86" i="1"/>
  <c r="BJ86" i="1"/>
  <c r="BK86" i="1"/>
  <c r="BL86" i="1"/>
  <c r="AR87" i="1"/>
  <c r="AS87" i="1"/>
  <c r="AT87" i="1"/>
  <c r="AU87" i="1"/>
  <c r="AV87" i="1"/>
  <c r="AW87" i="1"/>
  <c r="AX87" i="1"/>
  <c r="AY87" i="1"/>
  <c r="AZ87" i="1"/>
  <c r="BA87" i="1"/>
  <c r="BB87" i="1"/>
  <c r="BC87" i="1"/>
  <c r="BD87" i="1"/>
  <c r="BE87" i="1"/>
  <c r="BF87" i="1"/>
  <c r="BG87" i="1"/>
  <c r="BH87" i="1"/>
  <c r="BI87" i="1"/>
  <c r="BJ87" i="1"/>
  <c r="BK87" i="1"/>
  <c r="BL87" i="1"/>
  <c r="AR88" i="1"/>
  <c r="AS88" i="1"/>
  <c r="AT88" i="1"/>
  <c r="AU88" i="1"/>
  <c r="AV88" i="1"/>
  <c r="AW88" i="1"/>
  <c r="AX88" i="1"/>
  <c r="AY88" i="1"/>
  <c r="AZ88" i="1"/>
  <c r="BA88" i="1"/>
  <c r="BB88" i="1"/>
  <c r="BC88" i="1"/>
  <c r="BD88" i="1"/>
  <c r="BE88" i="1"/>
  <c r="BF88" i="1"/>
  <c r="BG88" i="1"/>
  <c r="BH88" i="1"/>
  <c r="BI88" i="1"/>
  <c r="BJ88" i="1"/>
  <c r="BK88" i="1"/>
  <c r="BL88" i="1"/>
  <c r="AR89" i="1"/>
  <c r="AS89" i="1"/>
  <c r="AT89" i="1"/>
  <c r="AU89" i="1"/>
  <c r="AV89" i="1"/>
  <c r="AW89" i="1"/>
  <c r="AX89" i="1"/>
  <c r="AY89" i="1"/>
  <c r="AZ89" i="1"/>
  <c r="BA89" i="1"/>
  <c r="BB89" i="1"/>
  <c r="BC89" i="1"/>
  <c r="BD89" i="1"/>
  <c r="BE89" i="1"/>
  <c r="BF89" i="1"/>
  <c r="BG89" i="1"/>
  <c r="BH89" i="1"/>
  <c r="BI89" i="1"/>
  <c r="BJ89" i="1"/>
  <c r="BK89" i="1"/>
  <c r="BL89" i="1"/>
  <c r="AR90" i="1"/>
  <c r="AS90" i="1"/>
  <c r="AT90" i="1"/>
  <c r="AU90" i="1"/>
  <c r="AV90" i="1"/>
  <c r="AW90" i="1"/>
  <c r="AX90" i="1"/>
  <c r="AY90" i="1"/>
  <c r="AZ90" i="1"/>
  <c r="BA90" i="1"/>
  <c r="BB90" i="1"/>
  <c r="BC90" i="1"/>
  <c r="BD90" i="1"/>
  <c r="BE90" i="1"/>
  <c r="BF90" i="1"/>
  <c r="BG90" i="1"/>
  <c r="BH90" i="1"/>
  <c r="BI90" i="1"/>
  <c r="BJ90" i="1"/>
  <c r="BK90" i="1"/>
  <c r="BL90" i="1"/>
  <c r="AR91" i="1"/>
  <c r="AS91" i="1"/>
  <c r="AT91" i="1"/>
  <c r="AU91" i="1"/>
  <c r="AV91" i="1"/>
  <c r="AW91" i="1"/>
  <c r="AX91" i="1"/>
  <c r="AY91" i="1"/>
  <c r="AZ91" i="1"/>
  <c r="BA91" i="1"/>
  <c r="BB91" i="1"/>
  <c r="BC91" i="1"/>
  <c r="BD91" i="1"/>
  <c r="BE91" i="1"/>
  <c r="BF91" i="1"/>
  <c r="BG91" i="1"/>
  <c r="BH91" i="1"/>
  <c r="BI91" i="1"/>
  <c r="BJ91" i="1"/>
  <c r="BK91" i="1"/>
  <c r="BL91" i="1"/>
  <c r="AR92" i="1"/>
  <c r="AS92" i="1"/>
  <c r="AT92" i="1"/>
  <c r="AU92" i="1"/>
  <c r="AV92" i="1"/>
  <c r="AW92" i="1"/>
  <c r="AX92" i="1"/>
  <c r="AY92" i="1"/>
  <c r="AZ92" i="1"/>
  <c r="BA92" i="1"/>
  <c r="BB92" i="1"/>
  <c r="BC92" i="1"/>
  <c r="BD92" i="1"/>
  <c r="BE92" i="1"/>
  <c r="BF92" i="1"/>
  <c r="BG92" i="1"/>
  <c r="BH92" i="1"/>
  <c r="BI92" i="1"/>
  <c r="BJ92" i="1"/>
  <c r="BK92" i="1"/>
  <c r="BL92" i="1"/>
  <c r="AR93" i="1"/>
  <c r="AS93" i="1"/>
  <c r="AT93" i="1"/>
  <c r="AU93" i="1"/>
  <c r="AV93" i="1"/>
  <c r="AW93" i="1"/>
  <c r="AX93" i="1"/>
  <c r="AY93" i="1"/>
  <c r="AZ93" i="1"/>
  <c r="BA93" i="1"/>
  <c r="BB93" i="1"/>
  <c r="BC93" i="1"/>
  <c r="BD93" i="1"/>
  <c r="BE93" i="1"/>
  <c r="BF93" i="1"/>
  <c r="BG93" i="1"/>
  <c r="BH93" i="1"/>
  <c r="BI93" i="1"/>
  <c r="BJ93" i="1"/>
  <c r="BK93" i="1"/>
  <c r="BL93" i="1"/>
  <c r="AR94" i="1"/>
  <c r="AS94" i="1"/>
  <c r="AT94" i="1"/>
  <c r="AU94" i="1"/>
  <c r="AV94" i="1"/>
  <c r="AW94" i="1"/>
  <c r="AX94" i="1"/>
  <c r="AY94" i="1"/>
  <c r="AZ94" i="1"/>
  <c r="BA94" i="1"/>
  <c r="BB94" i="1"/>
  <c r="BC94" i="1"/>
  <c r="BD94" i="1"/>
  <c r="BE94" i="1"/>
  <c r="BF94" i="1"/>
  <c r="BG94" i="1"/>
  <c r="BH94" i="1"/>
  <c r="BI94" i="1"/>
  <c r="BJ94" i="1"/>
  <c r="BK94" i="1"/>
  <c r="BL94" i="1"/>
  <c r="AR95" i="1"/>
  <c r="AS95" i="1"/>
  <c r="AT95" i="1"/>
  <c r="AU95" i="1"/>
  <c r="AV95" i="1"/>
  <c r="AW95" i="1"/>
  <c r="AX95" i="1"/>
  <c r="AY95" i="1"/>
  <c r="AZ95" i="1"/>
  <c r="BA95" i="1"/>
  <c r="BB95" i="1"/>
  <c r="BC95" i="1"/>
  <c r="BD95" i="1"/>
  <c r="BE95" i="1"/>
  <c r="BF95" i="1"/>
  <c r="BG95" i="1"/>
  <c r="BH95" i="1"/>
  <c r="BI95" i="1"/>
  <c r="BJ95" i="1"/>
  <c r="BK95" i="1"/>
  <c r="BL95" i="1"/>
  <c r="AR96" i="1"/>
  <c r="AS96" i="1"/>
  <c r="AT96" i="1"/>
  <c r="AU96" i="1"/>
  <c r="AV96" i="1"/>
  <c r="AW96" i="1"/>
  <c r="AX96" i="1"/>
  <c r="AY96" i="1"/>
  <c r="AZ96" i="1"/>
  <c r="BA96" i="1"/>
  <c r="BB96" i="1"/>
  <c r="BC96" i="1"/>
  <c r="BD96" i="1"/>
  <c r="BE96" i="1"/>
  <c r="BF96" i="1"/>
  <c r="BG96" i="1"/>
  <c r="BH96" i="1"/>
  <c r="BI96" i="1"/>
  <c r="BJ96" i="1"/>
  <c r="BK96" i="1"/>
  <c r="BL96" i="1"/>
  <c r="AR97" i="1"/>
  <c r="AS97" i="1"/>
  <c r="AT97" i="1"/>
  <c r="AU97" i="1"/>
  <c r="AV97" i="1"/>
  <c r="AW97" i="1"/>
  <c r="AX97" i="1"/>
  <c r="AY97" i="1"/>
  <c r="AZ97" i="1"/>
  <c r="BA97" i="1"/>
  <c r="BB97" i="1"/>
  <c r="BC97" i="1"/>
  <c r="BD97" i="1"/>
  <c r="BE97" i="1"/>
  <c r="BF97" i="1"/>
  <c r="BG97" i="1"/>
  <c r="BH97" i="1"/>
  <c r="BI97" i="1"/>
  <c r="BJ97" i="1"/>
  <c r="BK97" i="1"/>
  <c r="BL97" i="1"/>
  <c r="AR98" i="1"/>
  <c r="AS98" i="1"/>
  <c r="AT98" i="1"/>
  <c r="AU98" i="1"/>
  <c r="AV98" i="1"/>
  <c r="AW98" i="1"/>
  <c r="AX98" i="1"/>
  <c r="AY98" i="1"/>
  <c r="AZ98" i="1"/>
  <c r="BA98" i="1"/>
  <c r="BB98" i="1"/>
  <c r="BC98" i="1"/>
  <c r="BD98" i="1"/>
  <c r="BE98" i="1"/>
  <c r="BF98" i="1"/>
  <c r="BG98" i="1"/>
  <c r="BH98" i="1"/>
  <c r="BI98" i="1"/>
  <c r="BJ98" i="1"/>
  <c r="BK98" i="1"/>
  <c r="BL98" i="1"/>
  <c r="AR99" i="1"/>
  <c r="AS99" i="1"/>
  <c r="AT99" i="1"/>
  <c r="AU99" i="1"/>
  <c r="AV99" i="1"/>
  <c r="AW99" i="1"/>
  <c r="AX99" i="1"/>
  <c r="AY99" i="1"/>
  <c r="AZ99" i="1"/>
  <c r="BA99" i="1"/>
  <c r="BB99" i="1"/>
  <c r="BC99" i="1"/>
  <c r="BD99" i="1"/>
  <c r="BE99" i="1"/>
  <c r="BF99" i="1"/>
  <c r="BG99" i="1"/>
  <c r="BH99" i="1"/>
  <c r="BI99" i="1"/>
  <c r="BJ99" i="1"/>
  <c r="BK99" i="1"/>
  <c r="BL99" i="1"/>
  <c r="AR100" i="1"/>
  <c r="AS100" i="1"/>
  <c r="AT100" i="1"/>
  <c r="AU100" i="1"/>
  <c r="AV100" i="1"/>
  <c r="AW100" i="1"/>
  <c r="AX100" i="1"/>
  <c r="AY100" i="1"/>
  <c r="AZ100" i="1"/>
  <c r="BA100" i="1"/>
  <c r="BB100" i="1"/>
  <c r="BC100" i="1"/>
  <c r="BD100" i="1"/>
  <c r="BE100" i="1"/>
  <c r="BF100" i="1"/>
  <c r="BG100" i="1"/>
  <c r="BH100" i="1"/>
  <c r="BI100" i="1"/>
  <c r="BJ100" i="1"/>
  <c r="BK100" i="1"/>
  <c r="BL100" i="1"/>
  <c r="AR101" i="1"/>
  <c r="AS101" i="1"/>
  <c r="AT101" i="1"/>
  <c r="AU101" i="1"/>
  <c r="AV101" i="1"/>
  <c r="AW101" i="1"/>
  <c r="AX101" i="1"/>
  <c r="AY101" i="1"/>
  <c r="AZ101" i="1"/>
  <c r="BA101" i="1"/>
  <c r="BB101" i="1"/>
  <c r="BC101" i="1"/>
  <c r="BD101" i="1"/>
  <c r="BE101" i="1"/>
  <c r="BF101" i="1"/>
  <c r="BG101" i="1"/>
  <c r="BH101" i="1"/>
  <c r="BI101" i="1"/>
  <c r="BJ101" i="1"/>
  <c r="BK101" i="1"/>
  <c r="BL101" i="1"/>
  <c r="AR102" i="1"/>
  <c r="AS102" i="1"/>
  <c r="AT102" i="1"/>
  <c r="AU102" i="1"/>
  <c r="AV102" i="1"/>
  <c r="AW102" i="1"/>
  <c r="AX102" i="1"/>
  <c r="AY102" i="1"/>
  <c r="AZ102" i="1"/>
  <c r="BA102" i="1"/>
  <c r="BB102" i="1"/>
  <c r="BC102" i="1"/>
  <c r="BD102" i="1"/>
  <c r="BE102" i="1"/>
  <c r="BF102" i="1"/>
  <c r="BG102" i="1"/>
  <c r="BH102" i="1"/>
  <c r="BI102" i="1"/>
  <c r="BJ102" i="1"/>
  <c r="BK102" i="1"/>
  <c r="BL102" i="1"/>
  <c r="AR103" i="1"/>
  <c r="AS103" i="1"/>
  <c r="AT103" i="1"/>
  <c r="AU103" i="1"/>
  <c r="AV103" i="1"/>
  <c r="AW103" i="1"/>
  <c r="AX103" i="1"/>
  <c r="AY103" i="1"/>
  <c r="AZ103" i="1"/>
  <c r="BA103" i="1"/>
  <c r="BB103" i="1"/>
  <c r="BC103" i="1"/>
  <c r="BD103" i="1"/>
  <c r="BE103" i="1"/>
  <c r="BF103" i="1"/>
  <c r="BG103" i="1"/>
  <c r="BH103" i="1"/>
  <c r="BI103" i="1"/>
  <c r="BJ103" i="1"/>
  <c r="BK103" i="1"/>
  <c r="BL103" i="1"/>
  <c r="AR104" i="1"/>
  <c r="AS104" i="1"/>
  <c r="AT104" i="1"/>
  <c r="AU104" i="1"/>
  <c r="AV104" i="1"/>
  <c r="AW104" i="1"/>
  <c r="AX104" i="1"/>
  <c r="AY104" i="1"/>
  <c r="AZ104" i="1"/>
  <c r="BA104" i="1"/>
  <c r="BB104" i="1"/>
  <c r="BC104" i="1"/>
  <c r="BD104" i="1"/>
  <c r="BE104" i="1"/>
  <c r="BF104" i="1"/>
  <c r="BG104" i="1"/>
  <c r="BH104" i="1"/>
  <c r="BI104" i="1"/>
  <c r="BJ104" i="1"/>
  <c r="BK104" i="1"/>
  <c r="BL104" i="1"/>
  <c r="AR105" i="1"/>
  <c r="AS105" i="1"/>
  <c r="AT105" i="1"/>
  <c r="AU105" i="1"/>
  <c r="AV105" i="1"/>
  <c r="AW105" i="1"/>
  <c r="AX105" i="1"/>
  <c r="AY105" i="1"/>
  <c r="AZ105" i="1"/>
  <c r="BA105" i="1"/>
  <c r="BB105" i="1"/>
  <c r="BC105" i="1"/>
  <c r="BD105" i="1"/>
  <c r="BE105" i="1"/>
  <c r="BF105" i="1"/>
  <c r="BG105" i="1"/>
  <c r="BH105" i="1"/>
  <c r="BI105" i="1"/>
  <c r="BJ105" i="1"/>
  <c r="BK105" i="1"/>
  <c r="BL105" i="1"/>
  <c r="AR106" i="1"/>
  <c r="AS106" i="1"/>
  <c r="AT106" i="1"/>
  <c r="AU106" i="1"/>
  <c r="AV106" i="1"/>
  <c r="AW106" i="1"/>
  <c r="AX106" i="1"/>
  <c r="AY106" i="1"/>
  <c r="AZ106" i="1"/>
  <c r="BA106" i="1"/>
  <c r="BB106" i="1"/>
  <c r="BC106" i="1"/>
  <c r="BD106" i="1"/>
  <c r="BE106" i="1"/>
  <c r="BF106" i="1"/>
  <c r="BG106" i="1"/>
  <c r="BH106" i="1"/>
  <c r="BI106" i="1"/>
  <c r="BJ106" i="1"/>
  <c r="BK106" i="1"/>
  <c r="BL106" i="1"/>
  <c r="AR107" i="1"/>
  <c r="AS107" i="1"/>
  <c r="AT107" i="1"/>
  <c r="AU107" i="1"/>
  <c r="AV107" i="1"/>
  <c r="AW107" i="1"/>
  <c r="AX107" i="1"/>
  <c r="AY107" i="1"/>
  <c r="AZ107" i="1"/>
  <c r="BA107" i="1"/>
  <c r="BB107" i="1"/>
  <c r="BC107" i="1"/>
  <c r="BD107" i="1"/>
  <c r="BE107" i="1"/>
  <c r="BF107" i="1"/>
  <c r="BG107" i="1"/>
  <c r="BH107" i="1"/>
  <c r="BI107" i="1"/>
  <c r="BJ107" i="1"/>
  <c r="BK107" i="1"/>
  <c r="BL107" i="1"/>
  <c r="AR108" i="1"/>
  <c r="AS108" i="1"/>
  <c r="AT108" i="1"/>
  <c r="AU108" i="1"/>
  <c r="AV108" i="1"/>
  <c r="AW108" i="1"/>
  <c r="AX108" i="1"/>
  <c r="AY108" i="1"/>
  <c r="AZ108" i="1"/>
  <c r="BA108" i="1"/>
  <c r="BB108" i="1"/>
  <c r="BC108" i="1"/>
  <c r="BD108" i="1"/>
  <c r="BE108" i="1"/>
  <c r="BF108" i="1"/>
  <c r="BG108" i="1"/>
  <c r="BH108" i="1"/>
  <c r="BI108" i="1"/>
  <c r="BJ108" i="1"/>
  <c r="BK108" i="1"/>
  <c r="BL108" i="1"/>
  <c r="AR109" i="1"/>
  <c r="AS109" i="1"/>
  <c r="AT109" i="1"/>
  <c r="AU109" i="1"/>
  <c r="AV109" i="1"/>
  <c r="AW109" i="1"/>
  <c r="AX109" i="1"/>
  <c r="AY109" i="1"/>
  <c r="AZ109" i="1"/>
  <c r="BA109" i="1"/>
  <c r="BB109" i="1"/>
  <c r="BC109" i="1"/>
  <c r="BD109" i="1"/>
  <c r="BE109" i="1"/>
  <c r="BF109" i="1"/>
  <c r="BG109" i="1"/>
  <c r="BH109" i="1"/>
  <c r="BI109" i="1"/>
  <c r="BJ109" i="1"/>
  <c r="BK109" i="1"/>
  <c r="BL109" i="1"/>
  <c r="AR110" i="1"/>
  <c r="AS110" i="1"/>
  <c r="AT110" i="1"/>
  <c r="AU110" i="1"/>
  <c r="AV110" i="1"/>
  <c r="AW110" i="1"/>
  <c r="AX110" i="1"/>
  <c r="AY110" i="1"/>
  <c r="AZ110" i="1"/>
  <c r="BA110" i="1"/>
  <c r="BB110" i="1"/>
  <c r="BC110" i="1"/>
  <c r="BD110" i="1"/>
  <c r="BE110" i="1"/>
  <c r="BF110" i="1"/>
  <c r="BG110" i="1"/>
  <c r="BH110" i="1"/>
  <c r="BI110" i="1"/>
  <c r="BJ110" i="1"/>
  <c r="BK110" i="1"/>
  <c r="BL110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AR112" i="1"/>
  <c r="AS112" i="1"/>
  <c r="AT112" i="1"/>
  <c r="AU112" i="1"/>
  <c r="AV112" i="1"/>
  <c r="AW112" i="1"/>
  <c r="AX112" i="1"/>
  <c r="AY112" i="1"/>
  <c r="AZ112" i="1"/>
  <c r="BA112" i="1"/>
  <c r="BB112" i="1"/>
  <c r="BC112" i="1"/>
  <c r="BD112" i="1"/>
  <c r="BE112" i="1"/>
  <c r="BF112" i="1"/>
  <c r="BG112" i="1"/>
  <c r="BH112" i="1"/>
  <c r="BI112" i="1"/>
  <c r="BJ112" i="1"/>
  <c r="BK112" i="1"/>
  <c r="BL112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D113" i="1"/>
  <c r="BE113" i="1"/>
  <c r="BF113" i="1"/>
  <c r="BG113" i="1"/>
  <c r="BH113" i="1"/>
  <c r="BI113" i="1"/>
  <c r="BJ113" i="1"/>
  <c r="BK113" i="1"/>
  <c r="BL113" i="1"/>
  <c r="AR114" i="1"/>
  <c r="AS114" i="1"/>
  <c r="AT114" i="1"/>
  <c r="AU114" i="1"/>
  <c r="AV114" i="1"/>
  <c r="AW114" i="1"/>
  <c r="AX114" i="1"/>
  <c r="AY114" i="1"/>
  <c r="AZ114" i="1"/>
  <c r="BA114" i="1"/>
  <c r="BB114" i="1"/>
  <c r="BC114" i="1"/>
  <c r="BD114" i="1"/>
  <c r="BE114" i="1"/>
  <c r="BF114" i="1"/>
  <c r="BG114" i="1"/>
  <c r="BH114" i="1"/>
  <c r="BI114" i="1"/>
  <c r="BJ114" i="1"/>
  <c r="BK114" i="1"/>
  <c r="BL114" i="1"/>
  <c r="AR115" i="1"/>
  <c r="AS115" i="1"/>
  <c r="AT115" i="1"/>
  <c r="AU115" i="1"/>
  <c r="AV115" i="1"/>
  <c r="AW115" i="1"/>
  <c r="AX115" i="1"/>
  <c r="AY115" i="1"/>
  <c r="AZ115" i="1"/>
  <c r="BA115" i="1"/>
  <c r="BB115" i="1"/>
  <c r="BC115" i="1"/>
  <c r="BD115" i="1"/>
  <c r="BE115" i="1"/>
  <c r="BF115" i="1"/>
  <c r="BG115" i="1"/>
  <c r="BH115" i="1"/>
  <c r="BI115" i="1"/>
  <c r="BJ115" i="1"/>
  <c r="BK115" i="1"/>
  <c r="BL115" i="1"/>
  <c r="AR116" i="1"/>
  <c r="AS116" i="1"/>
  <c r="AT116" i="1"/>
  <c r="AU116" i="1"/>
  <c r="AV116" i="1"/>
  <c r="AW116" i="1"/>
  <c r="AX116" i="1"/>
  <c r="AY116" i="1"/>
  <c r="AZ116" i="1"/>
  <c r="BA116" i="1"/>
  <c r="BB116" i="1"/>
  <c r="BC116" i="1"/>
  <c r="BD116" i="1"/>
  <c r="BE116" i="1"/>
  <c r="BF116" i="1"/>
  <c r="BG116" i="1"/>
  <c r="BH116" i="1"/>
  <c r="BI116" i="1"/>
  <c r="BJ116" i="1"/>
  <c r="BK116" i="1"/>
  <c r="BL116" i="1"/>
  <c r="AR117" i="1"/>
  <c r="AS117" i="1"/>
  <c r="AT117" i="1"/>
  <c r="AU117" i="1"/>
  <c r="AV117" i="1"/>
  <c r="AW117" i="1"/>
  <c r="AX117" i="1"/>
  <c r="AY117" i="1"/>
  <c r="AZ117" i="1"/>
  <c r="BA117" i="1"/>
  <c r="BB117" i="1"/>
  <c r="BC117" i="1"/>
  <c r="BD117" i="1"/>
  <c r="BE117" i="1"/>
  <c r="BF117" i="1"/>
  <c r="BG117" i="1"/>
  <c r="BH117" i="1"/>
  <c r="BI117" i="1"/>
  <c r="BJ117" i="1"/>
  <c r="BK117" i="1"/>
  <c r="BL117" i="1"/>
  <c r="AR118" i="1"/>
  <c r="AS118" i="1"/>
  <c r="AT118" i="1"/>
  <c r="AU118" i="1"/>
  <c r="AV118" i="1"/>
  <c r="AW118" i="1"/>
  <c r="AX118" i="1"/>
  <c r="AY118" i="1"/>
  <c r="AZ118" i="1"/>
  <c r="BA118" i="1"/>
  <c r="BB118" i="1"/>
  <c r="BC118" i="1"/>
  <c r="BD118" i="1"/>
  <c r="BE118" i="1"/>
  <c r="BF118" i="1"/>
  <c r="BG118" i="1"/>
  <c r="BH118" i="1"/>
  <c r="BI118" i="1"/>
  <c r="BJ118" i="1"/>
  <c r="BK118" i="1"/>
  <c r="BL118" i="1"/>
  <c r="AR119" i="1"/>
  <c r="AS119" i="1"/>
  <c r="AT119" i="1"/>
  <c r="AU119" i="1"/>
  <c r="AV119" i="1"/>
  <c r="AW119" i="1"/>
  <c r="AX119" i="1"/>
  <c r="AY119" i="1"/>
  <c r="AZ119" i="1"/>
  <c r="BA119" i="1"/>
  <c r="BB119" i="1"/>
  <c r="BC119" i="1"/>
  <c r="BD119" i="1"/>
  <c r="BE119" i="1"/>
  <c r="BF119" i="1"/>
  <c r="BG119" i="1"/>
  <c r="BH119" i="1"/>
  <c r="BI119" i="1"/>
  <c r="BJ119" i="1"/>
  <c r="BK119" i="1"/>
  <c r="BL119" i="1"/>
  <c r="AR120" i="1"/>
  <c r="AS120" i="1"/>
  <c r="AT120" i="1"/>
  <c r="AU120" i="1"/>
  <c r="AV120" i="1"/>
  <c r="AW120" i="1"/>
  <c r="AX120" i="1"/>
  <c r="AY120" i="1"/>
  <c r="AZ120" i="1"/>
  <c r="BA120" i="1"/>
  <c r="BB120" i="1"/>
  <c r="BC120" i="1"/>
  <c r="BD120" i="1"/>
  <c r="BE120" i="1"/>
  <c r="BF120" i="1"/>
  <c r="BG120" i="1"/>
  <c r="BH120" i="1"/>
  <c r="BI120" i="1"/>
  <c r="BJ120" i="1"/>
  <c r="BK120" i="1"/>
  <c r="BL120" i="1"/>
  <c r="AR121" i="1"/>
  <c r="AS121" i="1"/>
  <c r="AT121" i="1"/>
  <c r="AU121" i="1"/>
  <c r="AV121" i="1"/>
  <c r="AW121" i="1"/>
  <c r="AX121" i="1"/>
  <c r="AY121" i="1"/>
  <c r="AZ121" i="1"/>
  <c r="BA121" i="1"/>
  <c r="BB121" i="1"/>
  <c r="BC121" i="1"/>
  <c r="BD121" i="1"/>
  <c r="BE121" i="1"/>
  <c r="BF121" i="1"/>
  <c r="BG121" i="1"/>
  <c r="BH121" i="1"/>
  <c r="BI121" i="1"/>
  <c r="BJ121" i="1"/>
  <c r="BK121" i="1"/>
  <c r="BL121" i="1"/>
  <c r="AR122" i="1"/>
  <c r="AS122" i="1"/>
  <c r="AT122" i="1"/>
  <c r="AU122" i="1"/>
  <c r="AV122" i="1"/>
  <c r="AW122" i="1"/>
  <c r="AX122" i="1"/>
  <c r="AY122" i="1"/>
  <c r="AZ122" i="1"/>
  <c r="BA122" i="1"/>
  <c r="BB122" i="1"/>
  <c r="BC122" i="1"/>
  <c r="BD122" i="1"/>
  <c r="BE122" i="1"/>
  <c r="BF122" i="1"/>
  <c r="BG122" i="1"/>
  <c r="BH122" i="1"/>
  <c r="BI122" i="1"/>
  <c r="BJ122" i="1"/>
  <c r="BK122" i="1"/>
  <c r="BL122" i="1"/>
  <c r="AR123" i="1"/>
  <c r="AS123" i="1"/>
  <c r="AT123" i="1"/>
  <c r="AU123" i="1"/>
  <c r="AV123" i="1"/>
  <c r="AW123" i="1"/>
  <c r="AX123" i="1"/>
  <c r="AY123" i="1"/>
  <c r="AZ123" i="1"/>
  <c r="BA123" i="1"/>
  <c r="BB123" i="1"/>
  <c r="BC123" i="1"/>
  <c r="BD123" i="1"/>
  <c r="BE123" i="1"/>
  <c r="BF123" i="1"/>
  <c r="BG123" i="1"/>
  <c r="BH123" i="1"/>
  <c r="BI123" i="1"/>
  <c r="BJ123" i="1"/>
  <c r="BK123" i="1"/>
  <c r="BL123" i="1"/>
  <c r="AR124" i="1"/>
  <c r="AS124" i="1"/>
  <c r="AT124" i="1"/>
  <c r="AU124" i="1"/>
  <c r="AV124" i="1"/>
  <c r="AW124" i="1"/>
  <c r="AX124" i="1"/>
  <c r="AY124" i="1"/>
  <c r="AZ124" i="1"/>
  <c r="BA124" i="1"/>
  <c r="BB124" i="1"/>
  <c r="BC124" i="1"/>
  <c r="BD124" i="1"/>
  <c r="BE124" i="1"/>
  <c r="BF124" i="1"/>
  <c r="BG124" i="1"/>
  <c r="BH124" i="1"/>
  <c r="BI124" i="1"/>
  <c r="BJ124" i="1"/>
  <c r="BK124" i="1"/>
  <c r="BL124" i="1"/>
  <c r="AR125" i="1"/>
  <c r="AS125" i="1"/>
  <c r="AT125" i="1"/>
  <c r="AU125" i="1"/>
  <c r="AV125" i="1"/>
  <c r="AW125" i="1"/>
  <c r="AX125" i="1"/>
  <c r="AY125" i="1"/>
  <c r="AZ125" i="1"/>
  <c r="BA125" i="1"/>
  <c r="BB125" i="1"/>
  <c r="BC125" i="1"/>
  <c r="BD125" i="1"/>
  <c r="BE125" i="1"/>
  <c r="BF125" i="1"/>
  <c r="BG125" i="1"/>
  <c r="BH125" i="1"/>
  <c r="BI125" i="1"/>
  <c r="BJ125" i="1"/>
  <c r="BK125" i="1"/>
  <c r="BL125" i="1"/>
  <c r="AR126" i="1"/>
  <c r="AS126" i="1"/>
  <c r="AT126" i="1"/>
  <c r="AU126" i="1"/>
  <c r="AV126" i="1"/>
  <c r="AW126" i="1"/>
  <c r="AX126" i="1"/>
  <c r="AY126" i="1"/>
  <c r="AZ126" i="1"/>
  <c r="BA126" i="1"/>
  <c r="BB126" i="1"/>
  <c r="BC126" i="1"/>
  <c r="BD126" i="1"/>
  <c r="BE126" i="1"/>
  <c r="BF126" i="1"/>
  <c r="BG126" i="1"/>
  <c r="BH126" i="1"/>
  <c r="BI126" i="1"/>
  <c r="BJ126" i="1"/>
  <c r="BK126" i="1"/>
  <c r="BL126" i="1"/>
  <c r="AR127" i="1"/>
  <c r="AS127" i="1"/>
  <c r="AT127" i="1"/>
  <c r="AU127" i="1"/>
  <c r="AV127" i="1"/>
  <c r="AW127" i="1"/>
  <c r="AX127" i="1"/>
  <c r="AY127" i="1"/>
  <c r="AZ127" i="1"/>
  <c r="BA127" i="1"/>
  <c r="BB127" i="1"/>
  <c r="BC127" i="1"/>
  <c r="BD127" i="1"/>
  <c r="BE127" i="1"/>
  <c r="BF127" i="1"/>
  <c r="BG127" i="1"/>
  <c r="BH127" i="1"/>
  <c r="BI127" i="1"/>
  <c r="BJ127" i="1"/>
  <c r="BK127" i="1"/>
  <c r="BL127" i="1"/>
  <c r="AR128" i="1"/>
  <c r="AS128" i="1"/>
  <c r="AT128" i="1"/>
  <c r="AU128" i="1"/>
  <c r="AV128" i="1"/>
  <c r="AW128" i="1"/>
  <c r="AX128" i="1"/>
  <c r="AY128" i="1"/>
  <c r="AZ128" i="1"/>
  <c r="BA128" i="1"/>
  <c r="BB128" i="1"/>
  <c r="BC128" i="1"/>
  <c r="BD128" i="1"/>
  <c r="BE128" i="1"/>
  <c r="BF128" i="1"/>
  <c r="BG128" i="1"/>
  <c r="BH128" i="1"/>
  <c r="BI128" i="1"/>
  <c r="BJ128" i="1"/>
  <c r="BK128" i="1"/>
  <c r="BL128" i="1"/>
  <c r="AR129" i="1"/>
  <c r="AS129" i="1"/>
  <c r="AT129" i="1"/>
  <c r="AU129" i="1"/>
  <c r="AV129" i="1"/>
  <c r="AW129" i="1"/>
  <c r="AX129" i="1"/>
  <c r="AY129" i="1"/>
  <c r="AZ129" i="1"/>
  <c r="BA129" i="1"/>
  <c r="BB129" i="1"/>
  <c r="BC129" i="1"/>
  <c r="BD129" i="1"/>
  <c r="BE129" i="1"/>
  <c r="BF129" i="1"/>
  <c r="BG129" i="1"/>
  <c r="BH129" i="1"/>
  <c r="BI129" i="1"/>
  <c r="BJ129" i="1"/>
  <c r="BK129" i="1"/>
  <c r="BL129" i="1"/>
  <c r="AR130" i="1"/>
  <c r="AS130" i="1"/>
  <c r="AT130" i="1"/>
  <c r="AU130" i="1"/>
  <c r="AV130" i="1"/>
  <c r="AW130" i="1"/>
  <c r="AX130" i="1"/>
  <c r="AY130" i="1"/>
  <c r="AZ130" i="1"/>
  <c r="BA130" i="1"/>
  <c r="BB130" i="1"/>
  <c r="BC130" i="1"/>
  <c r="BD130" i="1"/>
  <c r="BE130" i="1"/>
  <c r="BF130" i="1"/>
  <c r="BG130" i="1"/>
  <c r="BH130" i="1"/>
  <c r="BI130" i="1"/>
  <c r="BJ130" i="1"/>
  <c r="BK130" i="1"/>
  <c r="BL130" i="1"/>
  <c r="AR131" i="1"/>
  <c r="AS131" i="1"/>
  <c r="AT131" i="1"/>
  <c r="AU131" i="1"/>
  <c r="AV131" i="1"/>
  <c r="AW131" i="1"/>
  <c r="AX131" i="1"/>
  <c r="AY131" i="1"/>
  <c r="AZ131" i="1"/>
  <c r="BA131" i="1"/>
  <c r="BB131" i="1"/>
  <c r="BC131" i="1"/>
  <c r="BD131" i="1"/>
  <c r="BE131" i="1"/>
  <c r="BF131" i="1"/>
  <c r="BG131" i="1"/>
  <c r="BH131" i="1"/>
  <c r="BI131" i="1"/>
  <c r="BJ131" i="1"/>
  <c r="BK131" i="1"/>
  <c r="BL131" i="1"/>
  <c r="AR132" i="1"/>
  <c r="AS132" i="1"/>
  <c r="AT132" i="1"/>
  <c r="AU132" i="1"/>
  <c r="AV132" i="1"/>
  <c r="AW132" i="1"/>
  <c r="AX132" i="1"/>
  <c r="AY132" i="1"/>
  <c r="AZ132" i="1"/>
  <c r="BA132" i="1"/>
  <c r="BB132" i="1"/>
  <c r="BC132" i="1"/>
  <c r="BD132" i="1"/>
  <c r="BE132" i="1"/>
  <c r="BF132" i="1"/>
  <c r="BG132" i="1"/>
  <c r="BH132" i="1"/>
  <c r="BI132" i="1"/>
  <c r="BJ132" i="1"/>
  <c r="BK132" i="1"/>
  <c r="BL132" i="1"/>
  <c r="AR133" i="1"/>
  <c r="AS133" i="1"/>
  <c r="AT133" i="1"/>
  <c r="AU133" i="1"/>
  <c r="AV133" i="1"/>
  <c r="AW133" i="1"/>
  <c r="AX133" i="1"/>
  <c r="AY133" i="1"/>
  <c r="AZ133" i="1"/>
  <c r="BA133" i="1"/>
  <c r="BB133" i="1"/>
  <c r="BC133" i="1"/>
  <c r="BD133" i="1"/>
  <c r="BE133" i="1"/>
  <c r="BF133" i="1"/>
  <c r="BG133" i="1"/>
  <c r="BH133" i="1"/>
  <c r="BI133" i="1"/>
  <c r="BJ133" i="1"/>
  <c r="BK133" i="1"/>
  <c r="BL133" i="1"/>
  <c r="AR134" i="1"/>
  <c r="AS134" i="1"/>
  <c r="AT134" i="1"/>
  <c r="AU134" i="1"/>
  <c r="AV134" i="1"/>
  <c r="AW134" i="1"/>
  <c r="AX134" i="1"/>
  <c r="AY134" i="1"/>
  <c r="AZ134" i="1"/>
  <c r="BA134" i="1"/>
  <c r="BB134" i="1"/>
  <c r="BC134" i="1"/>
  <c r="BD134" i="1"/>
  <c r="BE134" i="1"/>
  <c r="BF134" i="1"/>
  <c r="BG134" i="1"/>
  <c r="BH134" i="1"/>
  <c r="BI134" i="1"/>
  <c r="BJ134" i="1"/>
  <c r="BK134" i="1"/>
  <c r="BL134" i="1"/>
  <c r="AR135" i="1"/>
  <c r="AS135" i="1"/>
  <c r="AT135" i="1"/>
  <c r="AU135" i="1"/>
  <c r="AV135" i="1"/>
  <c r="AW135" i="1"/>
  <c r="AX135" i="1"/>
  <c r="AY135" i="1"/>
  <c r="AZ135" i="1"/>
  <c r="BA135" i="1"/>
  <c r="BB135" i="1"/>
  <c r="BC135" i="1"/>
  <c r="BD135" i="1"/>
  <c r="BE135" i="1"/>
  <c r="BF135" i="1"/>
  <c r="BG135" i="1"/>
  <c r="BH135" i="1"/>
  <c r="BI135" i="1"/>
  <c r="BJ135" i="1"/>
  <c r="BK135" i="1"/>
  <c r="BL135" i="1"/>
  <c r="AR136" i="1"/>
  <c r="AS136" i="1"/>
  <c r="AT136" i="1"/>
  <c r="AU136" i="1"/>
  <c r="AV136" i="1"/>
  <c r="AW136" i="1"/>
  <c r="AX136" i="1"/>
  <c r="AY136" i="1"/>
  <c r="AZ136" i="1"/>
  <c r="BA136" i="1"/>
  <c r="BB136" i="1"/>
  <c r="BC136" i="1"/>
  <c r="BD136" i="1"/>
  <c r="BE136" i="1"/>
  <c r="BF136" i="1"/>
  <c r="BG136" i="1"/>
  <c r="BH136" i="1"/>
  <c r="BI136" i="1"/>
  <c r="BJ136" i="1"/>
  <c r="BK136" i="1"/>
  <c r="BL136" i="1"/>
  <c r="AR137" i="1"/>
  <c r="AS137" i="1"/>
  <c r="AT137" i="1"/>
  <c r="AU137" i="1"/>
  <c r="AV137" i="1"/>
  <c r="AW137" i="1"/>
  <c r="AX137" i="1"/>
  <c r="AY137" i="1"/>
  <c r="AZ137" i="1"/>
  <c r="BA137" i="1"/>
  <c r="BB137" i="1"/>
  <c r="BC137" i="1"/>
  <c r="BD137" i="1"/>
  <c r="BE137" i="1"/>
  <c r="BF137" i="1"/>
  <c r="BG137" i="1"/>
  <c r="BH137" i="1"/>
  <c r="BI137" i="1"/>
  <c r="BJ137" i="1"/>
  <c r="BK137" i="1"/>
  <c r="BL137" i="1"/>
  <c r="AR138" i="1"/>
  <c r="AS138" i="1"/>
  <c r="AT138" i="1"/>
  <c r="AU138" i="1"/>
  <c r="AV138" i="1"/>
  <c r="AW138" i="1"/>
  <c r="AX138" i="1"/>
  <c r="AY138" i="1"/>
  <c r="AZ138" i="1"/>
  <c r="BA138" i="1"/>
  <c r="BB138" i="1"/>
  <c r="BC138" i="1"/>
  <c r="BD138" i="1"/>
  <c r="BE138" i="1"/>
  <c r="BF138" i="1"/>
  <c r="BG138" i="1"/>
  <c r="BH138" i="1"/>
  <c r="BI138" i="1"/>
  <c r="BJ138" i="1"/>
  <c r="BK138" i="1"/>
  <c r="BL138" i="1"/>
  <c r="AR139" i="1"/>
  <c r="AS139" i="1"/>
  <c r="AT139" i="1"/>
  <c r="AU139" i="1"/>
  <c r="AV139" i="1"/>
  <c r="AW139" i="1"/>
  <c r="AX139" i="1"/>
  <c r="AY139" i="1"/>
  <c r="AZ139" i="1"/>
  <c r="BA139" i="1"/>
  <c r="BB139" i="1"/>
  <c r="BC139" i="1"/>
  <c r="BD139" i="1"/>
  <c r="BE139" i="1"/>
  <c r="BF139" i="1"/>
  <c r="BG139" i="1"/>
  <c r="BH139" i="1"/>
  <c r="BI139" i="1"/>
  <c r="BJ139" i="1"/>
  <c r="BK139" i="1"/>
  <c r="BL139" i="1"/>
  <c r="AR140" i="1"/>
  <c r="AS140" i="1"/>
  <c r="AT140" i="1"/>
  <c r="AU140" i="1"/>
  <c r="AV140" i="1"/>
  <c r="AW140" i="1"/>
  <c r="AX140" i="1"/>
  <c r="AY140" i="1"/>
  <c r="AZ140" i="1"/>
  <c r="BA140" i="1"/>
  <c r="BB140" i="1"/>
  <c r="BC140" i="1"/>
  <c r="BD140" i="1"/>
  <c r="BE140" i="1"/>
  <c r="BF140" i="1"/>
  <c r="BG140" i="1"/>
  <c r="BH140" i="1"/>
  <c r="BI140" i="1"/>
  <c r="BJ140" i="1"/>
  <c r="BK140" i="1"/>
  <c r="BL140" i="1"/>
  <c r="AR141" i="1"/>
  <c r="AS141" i="1"/>
  <c r="AT141" i="1"/>
  <c r="AU141" i="1"/>
  <c r="AV141" i="1"/>
  <c r="AW141" i="1"/>
  <c r="AX141" i="1"/>
  <c r="AY141" i="1"/>
  <c r="AZ141" i="1"/>
  <c r="BA141" i="1"/>
  <c r="BB141" i="1"/>
  <c r="BC141" i="1"/>
  <c r="BD141" i="1"/>
  <c r="BE141" i="1"/>
  <c r="BF141" i="1"/>
  <c r="BG141" i="1"/>
  <c r="BH141" i="1"/>
  <c r="BI141" i="1"/>
  <c r="BJ141" i="1"/>
  <c r="BK141" i="1"/>
  <c r="BL141" i="1"/>
  <c r="AR142" i="1"/>
  <c r="AS142" i="1"/>
  <c r="AT142" i="1"/>
  <c r="AU142" i="1"/>
  <c r="AV142" i="1"/>
  <c r="AW142" i="1"/>
  <c r="AX142" i="1"/>
  <c r="AY142" i="1"/>
  <c r="AZ142" i="1"/>
  <c r="BA142" i="1"/>
  <c r="BB142" i="1"/>
  <c r="BC142" i="1"/>
  <c r="BD142" i="1"/>
  <c r="BE142" i="1"/>
  <c r="BF142" i="1"/>
  <c r="BG142" i="1"/>
  <c r="BH142" i="1"/>
  <c r="BI142" i="1"/>
  <c r="BJ142" i="1"/>
  <c r="BK142" i="1"/>
  <c r="BL142" i="1"/>
  <c r="AR143" i="1"/>
  <c r="AS143" i="1"/>
  <c r="AT143" i="1"/>
  <c r="AU143" i="1"/>
  <c r="AV143" i="1"/>
  <c r="AW143" i="1"/>
  <c r="AX143" i="1"/>
  <c r="AY143" i="1"/>
  <c r="AZ143" i="1"/>
  <c r="BA143" i="1"/>
  <c r="BB143" i="1"/>
  <c r="BC143" i="1"/>
  <c r="BD143" i="1"/>
  <c r="BE143" i="1"/>
  <c r="BF143" i="1"/>
  <c r="BG143" i="1"/>
  <c r="BH143" i="1"/>
  <c r="BI143" i="1"/>
  <c r="BJ143" i="1"/>
  <c r="BK143" i="1"/>
  <c r="BL143" i="1"/>
  <c r="AR144" i="1"/>
  <c r="AS144" i="1"/>
  <c r="AT144" i="1"/>
  <c r="AU144" i="1"/>
  <c r="AV144" i="1"/>
  <c r="AW144" i="1"/>
  <c r="AX144" i="1"/>
  <c r="AY144" i="1"/>
  <c r="AZ144" i="1"/>
  <c r="BA144" i="1"/>
  <c r="BB144" i="1"/>
  <c r="BC144" i="1"/>
  <c r="BD144" i="1"/>
  <c r="BE144" i="1"/>
  <c r="BF144" i="1"/>
  <c r="BG144" i="1"/>
  <c r="BH144" i="1"/>
  <c r="BI144" i="1"/>
  <c r="BJ144" i="1"/>
  <c r="BK144" i="1"/>
  <c r="BL144" i="1"/>
  <c r="AR145" i="1"/>
  <c r="AS145" i="1"/>
  <c r="AT145" i="1"/>
  <c r="AU145" i="1"/>
  <c r="AV145" i="1"/>
  <c r="AW145" i="1"/>
  <c r="AX145" i="1"/>
  <c r="AY145" i="1"/>
  <c r="AZ145" i="1"/>
  <c r="BA145" i="1"/>
  <c r="BB145" i="1"/>
  <c r="BC145" i="1"/>
  <c r="BD145" i="1"/>
  <c r="BE145" i="1"/>
  <c r="BF145" i="1"/>
  <c r="BG145" i="1"/>
  <c r="BH145" i="1"/>
  <c r="BI145" i="1"/>
  <c r="BJ145" i="1"/>
  <c r="BK145" i="1"/>
  <c r="BL145" i="1"/>
  <c r="AR146" i="1"/>
  <c r="AS146" i="1"/>
  <c r="AT146" i="1"/>
  <c r="AU146" i="1"/>
  <c r="AV146" i="1"/>
  <c r="AW146" i="1"/>
  <c r="AX146" i="1"/>
  <c r="AY146" i="1"/>
  <c r="AZ146" i="1"/>
  <c r="BA146" i="1"/>
  <c r="BB146" i="1"/>
  <c r="BC146" i="1"/>
  <c r="BD146" i="1"/>
  <c r="BE146" i="1"/>
  <c r="BF146" i="1"/>
  <c r="BG146" i="1"/>
  <c r="BH146" i="1"/>
  <c r="BI146" i="1"/>
  <c r="BJ146" i="1"/>
  <c r="BK146" i="1"/>
  <c r="BL146" i="1"/>
  <c r="AR147" i="1"/>
  <c r="AS147" i="1"/>
  <c r="AT147" i="1"/>
  <c r="AU147" i="1"/>
  <c r="AV147" i="1"/>
  <c r="AW147" i="1"/>
  <c r="AX147" i="1"/>
  <c r="AY147" i="1"/>
  <c r="AZ147" i="1"/>
  <c r="BA147" i="1"/>
  <c r="BB147" i="1"/>
  <c r="BC147" i="1"/>
  <c r="BD147" i="1"/>
  <c r="BE147" i="1"/>
  <c r="BF147" i="1"/>
  <c r="BG147" i="1"/>
  <c r="BH147" i="1"/>
  <c r="BI147" i="1"/>
  <c r="BJ147" i="1"/>
  <c r="BK147" i="1"/>
  <c r="BL147" i="1"/>
  <c r="AR148" i="1"/>
  <c r="AS148" i="1"/>
  <c r="AT148" i="1"/>
  <c r="AU148" i="1"/>
  <c r="AV148" i="1"/>
  <c r="AW148" i="1"/>
  <c r="AX148" i="1"/>
  <c r="AY148" i="1"/>
  <c r="AZ148" i="1"/>
  <c r="BA148" i="1"/>
  <c r="BB148" i="1"/>
  <c r="BC148" i="1"/>
  <c r="BD148" i="1"/>
  <c r="BE148" i="1"/>
  <c r="BF148" i="1"/>
  <c r="BG148" i="1"/>
  <c r="BH148" i="1"/>
  <c r="BI148" i="1"/>
  <c r="BJ148" i="1"/>
  <c r="BK148" i="1"/>
  <c r="BL148" i="1"/>
  <c r="AR149" i="1"/>
  <c r="AS149" i="1"/>
  <c r="AT149" i="1"/>
  <c r="AU149" i="1"/>
  <c r="AV149" i="1"/>
  <c r="AW149" i="1"/>
  <c r="AX149" i="1"/>
  <c r="AY149" i="1"/>
  <c r="AZ149" i="1"/>
  <c r="BA149" i="1"/>
  <c r="BB149" i="1"/>
  <c r="BC149" i="1"/>
  <c r="BD149" i="1"/>
  <c r="BE149" i="1"/>
  <c r="BF149" i="1"/>
  <c r="BG149" i="1"/>
  <c r="BH149" i="1"/>
  <c r="BI149" i="1"/>
  <c r="BJ149" i="1"/>
  <c r="BK149" i="1"/>
  <c r="BL149" i="1"/>
  <c r="AR150" i="1"/>
  <c r="AS150" i="1"/>
  <c r="AT150" i="1"/>
  <c r="AU150" i="1"/>
  <c r="AV150" i="1"/>
  <c r="AW150" i="1"/>
  <c r="AX150" i="1"/>
  <c r="AY150" i="1"/>
  <c r="AZ150" i="1"/>
  <c r="BA150" i="1"/>
  <c r="BB150" i="1"/>
  <c r="BC150" i="1"/>
  <c r="BD150" i="1"/>
  <c r="BE150" i="1"/>
  <c r="BF150" i="1"/>
  <c r="BG150" i="1"/>
  <c r="BH150" i="1"/>
  <c r="BI150" i="1"/>
  <c r="BJ150" i="1"/>
  <c r="BK150" i="1"/>
  <c r="BL150" i="1"/>
  <c r="AR151" i="1"/>
  <c r="AS151" i="1"/>
  <c r="AT151" i="1"/>
  <c r="AU151" i="1"/>
  <c r="AV151" i="1"/>
  <c r="AW151" i="1"/>
  <c r="AX151" i="1"/>
  <c r="AY151" i="1"/>
  <c r="AZ151" i="1"/>
  <c r="BA151" i="1"/>
  <c r="BB151" i="1"/>
  <c r="BC151" i="1"/>
  <c r="BD151" i="1"/>
  <c r="BE151" i="1"/>
  <c r="BF151" i="1"/>
  <c r="BG151" i="1"/>
  <c r="BH151" i="1"/>
  <c r="BI151" i="1"/>
  <c r="BJ151" i="1"/>
  <c r="BK151" i="1"/>
  <c r="BL151" i="1"/>
  <c r="AR152" i="1"/>
  <c r="AS152" i="1"/>
  <c r="AT152" i="1"/>
  <c r="AU152" i="1"/>
  <c r="AV152" i="1"/>
  <c r="AW152" i="1"/>
  <c r="AX152" i="1"/>
  <c r="AY152" i="1"/>
  <c r="AZ152" i="1"/>
  <c r="BA152" i="1"/>
  <c r="BB152" i="1"/>
  <c r="BC152" i="1"/>
  <c r="BD152" i="1"/>
  <c r="BE152" i="1"/>
  <c r="BF152" i="1"/>
  <c r="BG152" i="1"/>
  <c r="BH152" i="1"/>
  <c r="BI152" i="1"/>
  <c r="BJ152" i="1"/>
  <c r="BK152" i="1"/>
  <c r="BL152" i="1"/>
  <c r="AR153" i="1"/>
  <c r="AS153" i="1"/>
  <c r="AT153" i="1"/>
  <c r="AU153" i="1"/>
  <c r="AV153" i="1"/>
  <c r="AW153" i="1"/>
  <c r="AX153" i="1"/>
  <c r="AY153" i="1"/>
  <c r="AZ153" i="1"/>
  <c r="BA153" i="1"/>
  <c r="BB153" i="1"/>
  <c r="BC153" i="1"/>
  <c r="BD153" i="1"/>
  <c r="BE153" i="1"/>
  <c r="BF153" i="1"/>
  <c r="BG153" i="1"/>
  <c r="BH153" i="1"/>
  <c r="BI153" i="1"/>
  <c r="BJ153" i="1"/>
  <c r="BK153" i="1"/>
  <c r="BL153" i="1"/>
  <c r="AR154" i="1"/>
  <c r="AS154" i="1"/>
  <c r="AT154" i="1"/>
  <c r="AU154" i="1"/>
  <c r="AV154" i="1"/>
  <c r="AW154" i="1"/>
  <c r="AX154" i="1"/>
  <c r="AY154" i="1"/>
  <c r="AZ154" i="1"/>
  <c r="BA154" i="1"/>
  <c r="BB154" i="1"/>
  <c r="BC154" i="1"/>
  <c r="BD154" i="1"/>
  <c r="BE154" i="1"/>
  <c r="BF154" i="1"/>
  <c r="BG154" i="1"/>
  <c r="BH154" i="1"/>
  <c r="BI154" i="1"/>
  <c r="BJ154" i="1"/>
  <c r="BK154" i="1"/>
  <c r="BL154" i="1"/>
  <c r="AR155" i="1"/>
  <c r="AS155" i="1"/>
  <c r="AT155" i="1"/>
  <c r="AU155" i="1"/>
  <c r="AV155" i="1"/>
  <c r="AW155" i="1"/>
  <c r="AX155" i="1"/>
  <c r="AY155" i="1"/>
  <c r="AZ155" i="1"/>
  <c r="BA155" i="1"/>
  <c r="BB155" i="1"/>
  <c r="BC155" i="1"/>
  <c r="BD155" i="1"/>
  <c r="BE155" i="1"/>
  <c r="BF155" i="1"/>
  <c r="BG155" i="1"/>
  <c r="BH155" i="1"/>
  <c r="BI155" i="1"/>
  <c r="BJ155" i="1"/>
  <c r="BK155" i="1"/>
  <c r="BL155" i="1"/>
  <c r="AR156" i="1"/>
  <c r="AS156" i="1"/>
  <c r="AT156" i="1"/>
  <c r="AU156" i="1"/>
  <c r="AV156" i="1"/>
  <c r="AW156" i="1"/>
  <c r="AX156" i="1"/>
  <c r="AY156" i="1"/>
  <c r="AZ156" i="1"/>
  <c r="BA156" i="1"/>
  <c r="BB156" i="1"/>
  <c r="BC156" i="1"/>
  <c r="BD156" i="1"/>
  <c r="BE156" i="1"/>
  <c r="BF156" i="1"/>
  <c r="BG156" i="1"/>
  <c r="BH156" i="1"/>
  <c r="BI156" i="1"/>
  <c r="BJ156" i="1"/>
  <c r="BK156" i="1"/>
  <c r="BL156" i="1"/>
  <c r="AR157" i="1"/>
  <c r="AS157" i="1"/>
  <c r="AT157" i="1"/>
  <c r="AU157" i="1"/>
  <c r="AV157" i="1"/>
  <c r="AW157" i="1"/>
  <c r="AX157" i="1"/>
  <c r="AY157" i="1"/>
  <c r="AZ157" i="1"/>
  <c r="BA157" i="1"/>
  <c r="BB157" i="1"/>
  <c r="BC157" i="1"/>
  <c r="BD157" i="1"/>
  <c r="BE157" i="1"/>
  <c r="BF157" i="1"/>
  <c r="BG157" i="1"/>
  <c r="BH157" i="1"/>
  <c r="BI157" i="1"/>
  <c r="BJ157" i="1"/>
  <c r="BK157" i="1"/>
  <c r="BL157" i="1"/>
  <c r="AR158" i="1"/>
  <c r="AS158" i="1"/>
  <c r="AT158" i="1"/>
  <c r="AU158" i="1"/>
  <c r="AV158" i="1"/>
  <c r="AW158" i="1"/>
  <c r="AX158" i="1"/>
  <c r="AY158" i="1"/>
  <c r="AZ158" i="1"/>
  <c r="BA158" i="1"/>
  <c r="BB158" i="1"/>
  <c r="BC158" i="1"/>
  <c r="BD158" i="1"/>
  <c r="BE158" i="1"/>
  <c r="BF158" i="1"/>
  <c r="BG158" i="1"/>
  <c r="BH158" i="1"/>
  <c r="BI158" i="1"/>
  <c r="BJ158" i="1"/>
  <c r="BK158" i="1"/>
  <c r="BL158" i="1"/>
  <c r="AR159" i="1"/>
  <c r="AS159" i="1"/>
  <c r="AT159" i="1"/>
  <c r="AU159" i="1"/>
  <c r="AV159" i="1"/>
  <c r="AW159" i="1"/>
  <c r="AX159" i="1"/>
  <c r="AY159" i="1"/>
  <c r="AZ159" i="1"/>
  <c r="BA159" i="1"/>
  <c r="BB159" i="1"/>
  <c r="BC159" i="1"/>
  <c r="BD159" i="1"/>
  <c r="BE159" i="1"/>
  <c r="BF159" i="1"/>
  <c r="BG159" i="1"/>
  <c r="BH159" i="1"/>
  <c r="BI159" i="1"/>
  <c r="BJ159" i="1"/>
  <c r="BK159" i="1"/>
  <c r="BL159" i="1"/>
  <c r="AR160" i="1"/>
  <c r="AS160" i="1"/>
  <c r="AT160" i="1"/>
  <c r="AU160" i="1"/>
  <c r="AV160" i="1"/>
  <c r="AW160" i="1"/>
  <c r="AX160" i="1"/>
  <c r="AY160" i="1"/>
  <c r="AZ160" i="1"/>
  <c r="BA160" i="1"/>
  <c r="BB160" i="1"/>
  <c r="BC160" i="1"/>
  <c r="BD160" i="1"/>
  <c r="BE160" i="1"/>
  <c r="BF160" i="1"/>
  <c r="BG160" i="1"/>
  <c r="BH160" i="1"/>
  <c r="BI160" i="1"/>
  <c r="BJ160" i="1"/>
  <c r="BK160" i="1"/>
  <c r="BL160" i="1"/>
  <c r="AR161" i="1"/>
  <c r="AS161" i="1"/>
  <c r="AT161" i="1"/>
  <c r="AU161" i="1"/>
  <c r="AV161" i="1"/>
  <c r="AW161" i="1"/>
  <c r="AX161" i="1"/>
  <c r="AY161" i="1"/>
  <c r="AZ161" i="1"/>
  <c r="BA161" i="1"/>
  <c r="BB161" i="1"/>
  <c r="BC161" i="1"/>
  <c r="BD161" i="1"/>
  <c r="BE161" i="1"/>
  <c r="BF161" i="1"/>
  <c r="BG161" i="1"/>
  <c r="BH161" i="1"/>
  <c r="BI161" i="1"/>
  <c r="BJ161" i="1"/>
  <c r="BK161" i="1"/>
  <c r="BL161" i="1"/>
  <c r="AR162" i="1"/>
  <c r="AS162" i="1"/>
  <c r="AT162" i="1"/>
  <c r="AU162" i="1"/>
  <c r="AV162" i="1"/>
  <c r="AW162" i="1"/>
  <c r="AX162" i="1"/>
  <c r="AY162" i="1"/>
  <c r="AZ162" i="1"/>
  <c r="BA162" i="1"/>
  <c r="BB162" i="1"/>
  <c r="BC162" i="1"/>
  <c r="BD162" i="1"/>
  <c r="BE162" i="1"/>
  <c r="BF162" i="1"/>
  <c r="BG162" i="1"/>
  <c r="BH162" i="1"/>
  <c r="BI162" i="1"/>
  <c r="BJ162" i="1"/>
  <c r="BK162" i="1"/>
  <c r="BL162" i="1"/>
  <c r="AR163" i="1"/>
  <c r="AS163" i="1"/>
  <c r="AT163" i="1"/>
  <c r="AU163" i="1"/>
  <c r="AV163" i="1"/>
  <c r="AW163" i="1"/>
  <c r="AX163" i="1"/>
  <c r="AY163" i="1"/>
  <c r="AZ163" i="1"/>
  <c r="BA163" i="1"/>
  <c r="BB163" i="1"/>
  <c r="BC163" i="1"/>
  <c r="BD163" i="1"/>
  <c r="BE163" i="1"/>
  <c r="BF163" i="1"/>
  <c r="BG163" i="1"/>
  <c r="BH163" i="1"/>
  <c r="BI163" i="1"/>
  <c r="BJ163" i="1"/>
  <c r="BK163" i="1"/>
  <c r="BL163" i="1"/>
  <c r="AR164" i="1"/>
  <c r="AS164" i="1"/>
  <c r="AT164" i="1"/>
  <c r="AU164" i="1"/>
  <c r="AV164" i="1"/>
  <c r="AW164" i="1"/>
  <c r="AX164" i="1"/>
  <c r="AY164" i="1"/>
  <c r="AZ164" i="1"/>
  <c r="BA164" i="1"/>
  <c r="BB164" i="1"/>
  <c r="BC164" i="1"/>
  <c r="BD164" i="1"/>
  <c r="BE164" i="1"/>
  <c r="BF164" i="1"/>
  <c r="BG164" i="1"/>
  <c r="BH164" i="1"/>
  <c r="BI164" i="1"/>
  <c r="BJ164" i="1"/>
  <c r="BK164" i="1"/>
  <c r="BL164" i="1"/>
  <c r="AR165" i="1"/>
  <c r="AS165" i="1"/>
  <c r="AT165" i="1"/>
  <c r="AU165" i="1"/>
  <c r="AV165" i="1"/>
  <c r="AW165" i="1"/>
  <c r="AX165" i="1"/>
  <c r="AY165" i="1"/>
  <c r="AZ165" i="1"/>
  <c r="BA165" i="1"/>
  <c r="BB165" i="1"/>
  <c r="BC165" i="1"/>
  <c r="BD165" i="1"/>
  <c r="BE165" i="1"/>
  <c r="BF165" i="1"/>
  <c r="BG165" i="1"/>
  <c r="BH165" i="1"/>
  <c r="BI165" i="1"/>
  <c r="BJ165" i="1"/>
  <c r="BK165" i="1"/>
  <c r="BL165" i="1"/>
  <c r="AR166" i="1"/>
  <c r="AS166" i="1"/>
  <c r="AT166" i="1"/>
  <c r="AU166" i="1"/>
  <c r="AV166" i="1"/>
  <c r="AW166" i="1"/>
  <c r="AX166" i="1"/>
  <c r="AY166" i="1"/>
  <c r="AZ166" i="1"/>
  <c r="BA166" i="1"/>
  <c r="BB166" i="1"/>
  <c r="BC166" i="1"/>
  <c r="BD166" i="1"/>
  <c r="BE166" i="1"/>
  <c r="BF166" i="1"/>
  <c r="BG166" i="1"/>
  <c r="BH166" i="1"/>
  <c r="BI166" i="1"/>
  <c r="BJ166" i="1"/>
  <c r="BK166" i="1"/>
  <c r="BL166" i="1"/>
  <c r="AR167" i="1"/>
  <c r="AS167" i="1"/>
  <c r="AT167" i="1"/>
  <c r="AU167" i="1"/>
  <c r="AV167" i="1"/>
  <c r="AW167" i="1"/>
  <c r="AX167" i="1"/>
  <c r="AY167" i="1"/>
  <c r="AZ167" i="1"/>
  <c r="BA167" i="1"/>
  <c r="BB167" i="1"/>
  <c r="BC167" i="1"/>
  <c r="BD167" i="1"/>
  <c r="BE167" i="1"/>
  <c r="BF167" i="1"/>
  <c r="BG167" i="1"/>
  <c r="BH167" i="1"/>
  <c r="BI167" i="1"/>
  <c r="BJ167" i="1"/>
  <c r="BK167" i="1"/>
  <c r="BL167" i="1"/>
  <c r="AR168" i="1"/>
  <c r="AS168" i="1"/>
  <c r="AT168" i="1"/>
  <c r="AU168" i="1"/>
  <c r="AV168" i="1"/>
  <c r="AW168" i="1"/>
  <c r="AX168" i="1"/>
  <c r="AY168" i="1"/>
  <c r="AZ168" i="1"/>
  <c r="BA168" i="1"/>
  <c r="BB168" i="1"/>
  <c r="BC168" i="1"/>
  <c r="BD168" i="1"/>
  <c r="BE168" i="1"/>
  <c r="BF168" i="1"/>
  <c r="BG168" i="1"/>
  <c r="BH168" i="1"/>
  <c r="BI168" i="1"/>
  <c r="BJ168" i="1"/>
  <c r="BK168" i="1"/>
  <c r="BL168" i="1"/>
  <c r="AR169" i="1"/>
  <c r="AS169" i="1"/>
  <c r="AT169" i="1"/>
  <c r="AU169" i="1"/>
  <c r="AV169" i="1"/>
  <c r="AW169" i="1"/>
  <c r="AX169" i="1"/>
  <c r="AY169" i="1"/>
  <c r="AZ169" i="1"/>
  <c r="BA169" i="1"/>
  <c r="BB169" i="1"/>
  <c r="BC169" i="1"/>
  <c r="BD169" i="1"/>
  <c r="BE169" i="1"/>
  <c r="BF169" i="1"/>
  <c r="BG169" i="1"/>
  <c r="BH169" i="1"/>
  <c r="BI169" i="1"/>
  <c r="BJ169" i="1"/>
  <c r="BK169" i="1"/>
  <c r="BL169" i="1"/>
  <c r="AR170" i="1"/>
  <c r="AS170" i="1"/>
  <c r="AT170" i="1"/>
  <c r="AU170" i="1"/>
  <c r="AV170" i="1"/>
  <c r="AW170" i="1"/>
  <c r="AX170" i="1"/>
  <c r="AY170" i="1"/>
  <c r="AZ170" i="1"/>
  <c r="BA170" i="1"/>
  <c r="BB170" i="1"/>
  <c r="BC170" i="1"/>
  <c r="BD170" i="1"/>
  <c r="BE170" i="1"/>
  <c r="BF170" i="1"/>
  <c r="BG170" i="1"/>
  <c r="BH170" i="1"/>
  <c r="BI170" i="1"/>
  <c r="BJ170" i="1"/>
  <c r="BK170" i="1"/>
  <c r="BL170" i="1"/>
  <c r="AR171" i="1"/>
  <c r="AS171" i="1"/>
  <c r="AT171" i="1"/>
  <c r="AU171" i="1"/>
  <c r="AV171" i="1"/>
  <c r="AW171" i="1"/>
  <c r="AX171" i="1"/>
  <c r="AY171" i="1"/>
  <c r="AZ171" i="1"/>
  <c r="BA171" i="1"/>
  <c r="BB171" i="1"/>
  <c r="BC171" i="1"/>
  <c r="BD171" i="1"/>
  <c r="BE171" i="1"/>
  <c r="BF171" i="1"/>
  <c r="BG171" i="1"/>
  <c r="BH171" i="1"/>
  <c r="BI171" i="1"/>
  <c r="BJ171" i="1"/>
  <c r="BK171" i="1"/>
  <c r="BL171" i="1"/>
  <c r="AR172" i="1"/>
  <c r="AS172" i="1"/>
  <c r="AT172" i="1"/>
  <c r="AU172" i="1"/>
  <c r="AV172" i="1"/>
  <c r="AW172" i="1"/>
  <c r="AX172" i="1"/>
  <c r="AY172" i="1"/>
  <c r="AZ172" i="1"/>
  <c r="BA172" i="1"/>
  <c r="BB172" i="1"/>
  <c r="BC172" i="1"/>
  <c r="BD172" i="1"/>
  <c r="BE172" i="1"/>
  <c r="BF172" i="1"/>
  <c r="BG172" i="1"/>
  <c r="BH172" i="1"/>
  <c r="BI172" i="1"/>
  <c r="BJ172" i="1"/>
  <c r="BK172" i="1"/>
  <c r="BL172" i="1"/>
  <c r="AR173" i="1"/>
  <c r="AS173" i="1"/>
  <c r="AT173" i="1"/>
  <c r="AU173" i="1"/>
  <c r="AV173" i="1"/>
  <c r="AW173" i="1"/>
  <c r="AX173" i="1"/>
  <c r="AY173" i="1"/>
  <c r="AZ173" i="1"/>
  <c r="BA173" i="1"/>
  <c r="BB173" i="1"/>
  <c r="BC173" i="1"/>
  <c r="BD173" i="1"/>
  <c r="BE173" i="1"/>
  <c r="BF173" i="1"/>
  <c r="BG173" i="1"/>
  <c r="BH173" i="1"/>
  <c r="BI173" i="1"/>
  <c r="BJ173" i="1"/>
  <c r="BK173" i="1"/>
  <c r="BL173" i="1"/>
  <c r="AR174" i="1"/>
  <c r="AS174" i="1"/>
  <c r="AT174" i="1"/>
  <c r="AU174" i="1"/>
  <c r="AV174" i="1"/>
  <c r="AW174" i="1"/>
  <c r="AX174" i="1"/>
  <c r="AY174" i="1"/>
  <c r="AZ174" i="1"/>
  <c r="BA174" i="1"/>
  <c r="BB174" i="1"/>
  <c r="BC174" i="1"/>
  <c r="BD174" i="1"/>
  <c r="BE174" i="1"/>
  <c r="BF174" i="1"/>
  <c r="BG174" i="1"/>
  <c r="BH174" i="1"/>
  <c r="BI174" i="1"/>
  <c r="BJ174" i="1"/>
  <c r="BK174" i="1"/>
  <c r="BL174" i="1"/>
  <c r="AR175" i="1"/>
  <c r="AS175" i="1"/>
  <c r="AT175" i="1"/>
  <c r="AU175" i="1"/>
  <c r="AV175" i="1"/>
  <c r="AW175" i="1"/>
  <c r="AX175" i="1"/>
  <c r="AY175" i="1"/>
  <c r="AZ175" i="1"/>
  <c r="BA175" i="1"/>
  <c r="BB175" i="1"/>
  <c r="BC175" i="1"/>
  <c r="BD175" i="1"/>
  <c r="BE175" i="1"/>
  <c r="BF175" i="1"/>
  <c r="BG175" i="1"/>
  <c r="BH175" i="1"/>
  <c r="BI175" i="1"/>
  <c r="BJ175" i="1"/>
  <c r="BK175" i="1"/>
  <c r="BL175" i="1"/>
  <c r="AR176" i="1"/>
  <c r="AS176" i="1"/>
  <c r="AT176" i="1"/>
  <c r="AU176" i="1"/>
  <c r="AV176" i="1"/>
  <c r="AW176" i="1"/>
  <c r="AX176" i="1"/>
  <c r="AY176" i="1"/>
  <c r="AZ176" i="1"/>
  <c r="BA176" i="1"/>
  <c r="BB176" i="1"/>
  <c r="BC176" i="1"/>
  <c r="BD176" i="1"/>
  <c r="BE176" i="1"/>
  <c r="BF176" i="1"/>
  <c r="BG176" i="1"/>
  <c r="BH176" i="1"/>
  <c r="BI176" i="1"/>
  <c r="BJ176" i="1"/>
  <c r="BK176" i="1"/>
  <c r="BL176" i="1"/>
  <c r="AR177" i="1"/>
  <c r="AS177" i="1"/>
  <c r="AT177" i="1"/>
  <c r="AU177" i="1"/>
  <c r="AV177" i="1"/>
  <c r="AW177" i="1"/>
  <c r="AX177" i="1"/>
  <c r="AY177" i="1"/>
  <c r="AZ177" i="1"/>
  <c r="BA177" i="1"/>
  <c r="BB177" i="1"/>
  <c r="BC177" i="1"/>
  <c r="BD177" i="1"/>
  <c r="BE177" i="1"/>
  <c r="BF177" i="1"/>
  <c r="BG177" i="1"/>
  <c r="BH177" i="1"/>
  <c r="BI177" i="1"/>
  <c r="BJ177" i="1"/>
  <c r="BK177" i="1"/>
  <c r="BL177" i="1"/>
  <c r="AR178" i="1"/>
  <c r="AS178" i="1"/>
  <c r="AT178" i="1"/>
  <c r="AU178" i="1"/>
  <c r="AV178" i="1"/>
  <c r="AW178" i="1"/>
  <c r="AX178" i="1"/>
  <c r="AY178" i="1"/>
  <c r="AZ178" i="1"/>
  <c r="BA178" i="1"/>
  <c r="BB178" i="1"/>
  <c r="BC178" i="1"/>
  <c r="BD178" i="1"/>
  <c r="BE178" i="1"/>
  <c r="BF178" i="1"/>
  <c r="BG178" i="1"/>
  <c r="BH178" i="1"/>
  <c r="BI178" i="1"/>
  <c r="BJ178" i="1"/>
  <c r="BK178" i="1"/>
  <c r="BL178" i="1"/>
  <c r="AR179" i="1"/>
  <c r="AS179" i="1"/>
  <c r="AT179" i="1"/>
  <c r="AU179" i="1"/>
  <c r="AV179" i="1"/>
  <c r="AW179" i="1"/>
  <c r="AX179" i="1"/>
  <c r="AY179" i="1"/>
  <c r="AZ179" i="1"/>
  <c r="BA179" i="1"/>
  <c r="BB179" i="1"/>
  <c r="BC179" i="1"/>
  <c r="BD179" i="1"/>
  <c r="BE179" i="1"/>
  <c r="BF179" i="1"/>
  <c r="BG179" i="1"/>
  <c r="BH179" i="1"/>
  <c r="BI179" i="1"/>
  <c r="BJ179" i="1"/>
  <c r="BK179" i="1"/>
  <c r="BL179" i="1"/>
  <c r="AR180" i="1"/>
  <c r="AS180" i="1"/>
  <c r="AT180" i="1"/>
  <c r="AU180" i="1"/>
  <c r="AV180" i="1"/>
  <c r="AW180" i="1"/>
  <c r="AX180" i="1"/>
  <c r="AY180" i="1"/>
  <c r="AZ180" i="1"/>
  <c r="BA180" i="1"/>
  <c r="BB180" i="1"/>
  <c r="BC180" i="1"/>
  <c r="BD180" i="1"/>
  <c r="BE180" i="1"/>
  <c r="BF180" i="1"/>
  <c r="BG180" i="1"/>
  <c r="BH180" i="1"/>
  <c r="BI180" i="1"/>
  <c r="BJ180" i="1"/>
  <c r="BK180" i="1"/>
  <c r="BL180" i="1"/>
  <c r="AR181" i="1"/>
  <c r="AS181" i="1"/>
  <c r="AT181" i="1"/>
  <c r="AU181" i="1"/>
  <c r="AV181" i="1"/>
  <c r="AW181" i="1"/>
  <c r="AX181" i="1"/>
  <c r="AY181" i="1"/>
  <c r="AZ181" i="1"/>
  <c r="BA181" i="1"/>
  <c r="BB181" i="1"/>
  <c r="BC181" i="1"/>
  <c r="BD181" i="1"/>
  <c r="BE181" i="1"/>
  <c r="BF181" i="1"/>
  <c r="BG181" i="1"/>
  <c r="BH181" i="1"/>
  <c r="BI181" i="1"/>
  <c r="BJ181" i="1"/>
  <c r="BK181" i="1"/>
  <c r="BL181" i="1"/>
  <c r="AR182" i="1"/>
  <c r="AS182" i="1"/>
  <c r="AT182" i="1"/>
  <c r="AU182" i="1"/>
  <c r="AV182" i="1"/>
  <c r="AW182" i="1"/>
  <c r="AX182" i="1"/>
  <c r="AY182" i="1"/>
  <c r="AZ182" i="1"/>
  <c r="BA182" i="1"/>
  <c r="BB182" i="1"/>
  <c r="BC182" i="1"/>
  <c r="BD182" i="1"/>
  <c r="BE182" i="1"/>
  <c r="BF182" i="1"/>
  <c r="BG182" i="1"/>
  <c r="BH182" i="1"/>
  <c r="BI182" i="1"/>
  <c r="BJ182" i="1"/>
  <c r="BK182" i="1"/>
  <c r="BL182" i="1"/>
  <c r="AR183" i="1"/>
  <c r="AS183" i="1"/>
  <c r="AT183" i="1"/>
  <c r="AU183" i="1"/>
  <c r="AV183" i="1"/>
  <c r="AW183" i="1"/>
  <c r="AX183" i="1"/>
  <c r="AY183" i="1"/>
  <c r="AZ183" i="1"/>
  <c r="BA183" i="1"/>
  <c r="BB183" i="1"/>
  <c r="BC183" i="1"/>
  <c r="BD183" i="1"/>
  <c r="BE183" i="1"/>
  <c r="BF183" i="1"/>
  <c r="BG183" i="1"/>
  <c r="BH183" i="1"/>
  <c r="BI183" i="1"/>
  <c r="BJ183" i="1"/>
  <c r="BK183" i="1"/>
  <c r="BL183" i="1"/>
  <c r="AR184" i="1"/>
  <c r="AS184" i="1"/>
  <c r="AT184" i="1"/>
  <c r="AU184" i="1"/>
  <c r="AV184" i="1"/>
  <c r="AW184" i="1"/>
  <c r="AX184" i="1"/>
  <c r="AY184" i="1"/>
  <c r="AZ184" i="1"/>
  <c r="BA184" i="1"/>
  <c r="BB184" i="1"/>
  <c r="BC184" i="1"/>
  <c r="BD184" i="1"/>
  <c r="BE184" i="1"/>
  <c r="BF184" i="1"/>
  <c r="BG184" i="1"/>
  <c r="BH184" i="1"/>
  <c r="BI184" i="1"/>
  <c r="BJ184" i="1"/>
  <c r="BK184" i="1"/>
  <c r="BL184" i="1"/>
  <c r="AR185" i="1"/>
  <c r="AS185" i="1"/>
  <c r="AT185" i="1"/>
  <c r="AU185" i="1"/>
  <c r="AV185" i="1"/>
  <c r="AW185" i="1"/>
  <c r="AX185" i="1"/>
  <c r="AY185" i="1"/>
  <c r="AZ185" i="1"/>
  <c r="BA185" i="1"/>
  <c r="BB185" i="1"/>
  <c r="BC185" i="1"/>
  <c r="BD185" i="1"/>
  <c r="BE185" i="1"/>
  <c r="BF185" i="1"/>
  <c r="BG185" i="1"/>
  <c r="BH185" i="1"/>
  <c r="BI185" i="1"/>
  <c r="BJ185" i="1"/>
  <c r="BK185" i="1"/>
  <c r="BL185" i="1"/>
  <c r="AR186" i="1"/>
  <c r="AS186" i="1"/>
  <c r="AT186" i="1"/>
  <c r="AU186" i="1"/>
  <c r="AV186" i="1"/>
  <c r="AW186" i="1"/>
  <c r="AX186" i="1"/>
  <c r="AY186" i="1"/>
  <c r="AZ186" i="1"/>
  <c r="BA186" i="1"/>
  <c r="BB186" i="1"/>
  <c r="BC186" i="1"/>
  <c r="BD186" i="1"/>
  <c r="BE186" i="1"/>
  <c r="BF186" i="1"/>
  <c r="BG186" i="1"/>
  <c r="BH186" i="1"/>
  <c r="BI186" i="1"/>
  <c r="BJ186" i="1"/>
  <c r="BK186" i="1"/>
  <c r="BL186" i="1"/>
  <c r="AR187" i="1"/>
  <c r="AS187" i="1"/>
  <c r="AT187" i="1"/>
  <c r="AU187" i="1"/>
  <c r="AV187" i="1"/>
  <c r="AW187" i="1"/>
  <c r="AX187" i="1"/>
  <c r="AY187" i="1"/>
  <c r="AZ187" i="1"/>
  <c r="BA187" i="1"/>
  <c r="BB187" i="1"/>
  <c r="BC187" i="1"/>
  <c r="BD187" i="1"/>
  <c r="BE187" i="1"/>
  <c r="BF187" i="1"/>
  <c r="BG187" i="1"/>
  <c r="BH187" i="1"/>
  <c r="BI187" i="1"/>
  <c r="BJ187" i="1"/>
  <c r="BK187" i="1"/>
  <c r="BL187" i="1"/>
  <c r="AR188" i="1"/>
  <c r="AS188" i="1"/>
  <c r="AT188" i="1"/>
  <c r="AU188" i="1"/>
  <c r="AV188" i="1"/>
  <c r="AW188" i="1"/>
  <c r="AX188" i="1"/>
  <c r="AY188" i="1"/>
  <c r="AZ188" i="1"/>
  <c r="BA188" i="1"/>
  <c r="BB188" i="1"/>
  <c r="BC188" i="1"/>
  <c r="BD188" i="1"/>
  <c r="BE188" i="1"/>
  <c r="BF188" i="1"/>
  <c r="BG188" i="1"/>
  <c r="BH188" i="1"/>
  <c r="BI188" i="1"/>
  <c r="BJ188" i="1"/>
  <c r="BK188" i="1"/>
  <c r="BL188" i="1"/>
  <c r="AR189" i="1"/>
  <c r="AS189" i="1"/>
  <c r="AT189" i="1"/>
  <c r="AU189" i="1"/>
  <c r="AV189" i="1"/>
  <c r="AW189" i="1"/>
  <c r="AX189" i="1"/>
  <c r="AY189" i="1"/>
  <c r="AZ189" i="1"/>
  <c r="BA189" i="1"/>
  <c r="BB189" i="1"/>
  <c r="BC189" i="1"/>
  <c r="BD189" i="1"/>
  <c r="BE189" i="1"/>
  <c r="BF189" i="1"/>
  <c r="BG189" i="1"/>
  <c r="BH189" i="1"/>
  <c r="BI189" i="1"/>
  <c r="BJ189" i="1"/>
  <c r="BK189" i="1"/>
  <c r="BL189" i="1"/>
  <c r="AR190" i="1"/>
  <c r="AS190" i="1"/>
  <c r="AT190" i="1"/>
  <c r="AU190" i="1"/>
  <c r="AV190" i="1"/>
  <c r="AW190" i="1"/>
  <c r="AX190" i="1"/>
  <c r="AY190" i="1"/>
  <c r="AZ190" i="1"/>
  <c r="BA190" i="1"/>
  <c r="BB190" i="1"/>
  <c r="BC190" i="1"/>
  <c r="BD190" i="1"/>
  <c r="BE190" i="1"/>
  <c r="BF190" i="1"/>
  <c r="BG190" i="1"/>
  <c r="BH190" i="1"/>
  <c r="BI190" i="1"/>
  <c r="BJ190" i="1"/>
  <c r="BK190" i="1"/>
  <c r="BL190" i="1"/>
  <c r="AR191" i="1"/>
  <c r="AS191" i="1"/>
  <c r="AT191" i="1"/>
  <c r="AU191" i="1"/>
  <c r="AV191" i="1"/>
  <c r="AW191" i="1"/>
  <c r="AX191" i="1"/>
  <c r="AY191" i="1"/>
  <c r="AZ191" i="1"/>
  <c r="BA191" i="1"/>
  <c r="BB191" i="1"/>
  <c r="BC191" i="1"/>
  <c r="BD191" i="1"/>
  <c r="BE191" i="1"/>
  <c r="BF191" i="1"/>
  <c r="BG191" i="1"/>
  <c r="BH191" i="1"/>
  <c r="BI191" i="1"/>
  <c r="BJ191" i="1"/>
  <c r="BK191" i="1"/>
  <c r="BL191" i="1"/>
  <c r="AR192" i="1"/>
  <c r="AS192" i="1"/>
  <c r="AT192" i="1"/>
  <c r="AU192" i="1"/>
  <c r="AV192" i="1"/>
  <c r="AW192" i="1"/>
  <c r="AX192" i="1"/>
  <c r="AY192" i="1"/>
  <c r="AZ192" i="1"/>
  <c r="BA192" i="1"/>
  <c r="BB192" i="1"/>
  <c r="BC192" i="1"/>
  <c r="BD192" i="1"/>
  <c r="BE192" i="1"/>
  <c r="BF192" i="1"/>
  <c r="BG192" i="1"/>
  <c r="BH192" i="1"/>
  <c r="BI192" i="1"/>
  <c r="BJ192" i="1"/>
  <c r="BK192" i="1"/>
  <c r="BL192" i="1"/>
  <c r="AR193" i="1"/>
  <c r="AS193" i="1"/>
  <c r="AT193" i="1"/>
  <c r="AU193" i="1"/>
  <c r="AV193" i="1"/>
  <c r="AW193" i="1"/>
  <c r="AX193" i="1"/>
  <c r="AY193" i="1"/>
  <c r="AZ193" i="1"/>
  <c r="BA193" i="1"/>
  <c r="BB193" i="1"/>
  <c r="BC193" i="1"/>
  <c r="BD193" i="1"/>
  <c r="BE193" i="1"/>
  <c r="BF193" i="1"/>
  <c r="BG193" i="1"/>
  <c r="BH193" i="1"/>
  <c r="BI193" i="1"/>
  <c r="BJ193" i="1"/>
  <c r="BK193" i="1"/>
  <c r="BL193" i="1"/>
  <c r="AR194" i="1"/>
  <c r="AS194" i="1"/>
  <c r="AT194" i="1"/>
  <c r="AU194" i="1"/>
  <c r="AV194" i="1"/>
  <c r="AW194" i="1"/>
  <c r="AX194" i="1"/>
  <c r="AY194" i="1"/>
  <c r="AZ194" i="1"/>
  <c r="BA194" i="1"/>
  <c r="BB194" i="1"/>
  <c r="BC194" i="1"/>
  <c r="BD194" i="1"/>
  <c r="BE194" i="1"/>
  <c r="BF194" i="1"/>
  <c r="BG194" i="1"/>
  <c r="BH194" i="1"/>
  <c r="BI194" i="1"/>
  <c r="BJ194" i="1"/>
  <c r="BK194" i="1"/>
  <c r="BL194" i="1"/>
  <c r="AR195" i="1"/>
  <c r="AS195" i="1"/>
  <c r="AT195" i="1"/>
  <c r="AU195" i="1"/>
  <c r="AV195" i="1"/>
  <c r="AW195" i="1"/>
  <c r="AX195" i="1"/>
  <c r="AY195" i="1"/>
  <c r="AZ195" i="1"/>
  <c r="BA195" i="1"/>
  <c r="BB195" i="1"/>
  <c r="BC195" i="1"/>
  <c r="BD195" i="1"/>
  <c r="BE195" i="1"/>
  <c r="BF195" i="1"/>
  <c r="BG195" i="1"/>
  <c r="BH195" i="1"/>
  <c r="BI195" i="1"/>
  <c r="BJ195" i="1"/>
  <c r="BK195" i="1"/>
  <c r="BL195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F196" i="1"/>
  <c r="BG196" i="1"/>
  <c r="BH196" i="1"/>
  <c r="BI196" i="1"/>
  <c r="BJ196" i="1"/>
  <c r="BK196" i="1"/>
  <c r="BL196" i="1"/>
  <c r="AR197" i="1"/>
  <c r="AS197" i="1"/>
  <c r="AT197" i="1"/>
  <c r="AU197" i="1"/>
  <c r="AV197" i="1"/>
  <c r="AW197" i="1"/>
  <c r="AX197" i="1"/>
  <c r="AY197" i="1"/>
  <c r="AZ197" i="1"/>
  <c r="BA197" i="1"/>
  <c r="BB197" i="1"/>
  <c r="BC197" i="1"/>
  <c r="BD197" i="1"/>
  <c r="BE197" i="1"/>
  <c r="BF197" i="1"/>
  <c r="BG197" i="1"/>
  <c r="BH197" i="1"/>
  <c r="BI197" i="1"/>
  <c r="BJ197" i="1"/>
  <c r="BK197" i="1"/>
  <c r="BL197" i="1"/>
  <c r="AR198" i="1"/>
  <c r="AS198" i="1"/>
  <c r="AT198" i="1"/>
  <c r="AU198" i="1"/>
  <c r="AV198" i="1"/>
  <c r="AW198" i="1"/>
  <c r="AX198" i="1"/>
  <c r="AY198" i="1"/>
  <c r="AZ198" i="1"/>
  <c r="BA198" i="1"/>
  <c r="BB198" i="1"/>
  <c r="BC198" i="1"/>
  <c r="BD198" i="1"/>
  <c r="BE198" i="1"/>
  <c r="BF198" i="1"/>
  <c r="BG198" i="1"/>
  <c r="BH198" i="1"/>
  <c r="BI198" i="1"/>
  <c r="BJ198" i="1"/>
  <c r="BK198" i="1"/>
  <c r="BL198" i="1"/>
  <c r="AR199" i="1"/>
  <c r="AS199" i="1"/>
  <c r="AT199" i="1"/>
  <c r="AU199" i="1"/>
  <c r="AV199" i="1"/>
  <c r="AW199" i="1"/>
  <c r="AX199" i="1"/>
  <c r="AY199" i="1"/>
  <c r="AZ199" i="1"/>
  <c r="BA199" i="1"/>
  <c r="BB199" i="1"/>
  <c r="BC199" i="1"/>
  <c r="BD199" i="1"/>
  <c r="BE199" i="1"/>
  <c r="BF199" i="1"/>
  <c r="BG199" i="1"/>
  <c r="BH199" i="1"/>
  <c r="BI199" i="1"/>
  <c r="BJ199" i="1"/>
  <c r="BK199" i="1"/>
  <c r="BL199" i="1"/>
  <c r="AR200" i="1"/>
  <c r="AS200" i="1"/>
  <c r="AT200" i="1"/>
  <c r="AU200" i="1"/>
  <c r="AV200" i="1"/>
  <c r="AW200" i="1"/>
  <c r="AX200" i="1"/>
  <c r="AY200" i="1"/>
  <c r="AZ200" i="1"/>
  <c r="BA200" i="1"/>
  <c r="BB200" i="1"/>
  <c r="BC200" i="1"/>
  <c r="BD200" i="1"/>
  <c r="BE200" i="1"/>
  <c r="BF200" i="1"/>
  <c r="BG200" i="1"/>
  <c r="BH200" i="1"/>
  <c r="BI200" i="1"/>
  <c r="BJ200" i="1"/>
  <c r="BK200" i="1"/>
  <c r="BL200" i="1"/>
  <c r="AR201" i="1"/>
  <c r="AS201" i="1"/>
  <c r="AT201" i="1"/>
  <c r="AU201" i="1"/>
  <c r="AV201" i="1"/>
  <c r="AW201" i="1"/>
  <c r="AX201" i="1"/>
  <c r="AY201" i="1"/>
  <c r="AZ201" i="1"/>
  <c r="BA201" i="1"/>
  <c r="BB201" i="1"/>
  <c r="BC201" i="1"/>
  <c r="BD201" i="1"/>
  <c r="BE201" i="1"/>
  <c r="BF201" i="1"/>
  <c r="BG201" i="1"/>
  <c r="BH201" i="1"/>
  <c r="BI201" i="1"/>
  <c r="BJ201" i="1"/>
  <c r="BK201" i="1"/>
  <c r="BL201" i="1"/>
  <c r="AR202" i="1"/>
  <c r="AS202" i="1"/>
  <c r="AT202" i="1"/>
  <c r="AU202" i="1"/>
  <c r="AV202" i="1"/>
  <c r="AW202" i="1"/>
  <c r="AX202" i="1"/>
  <c r="AY202" i="1"/>
  <c r="AZ202" i="1"/>
  <c r="BA202" i="1"/>
  <c r="BB202" i="1"/>
  <c r="BC202" i="1"/>
  <c r="BD202" i="1"/>
  <c r="BE202" i="1"/>
  <c r="BF202" i="1"/>
  <c r="BG202" i="1"/>
  <c r="BH202" i="1"/>
  <c r="BI202" i="1"/>
  <c r="BJ202" i="1"/>
  <c r="BK202" i="1"/>
  <c r="BL202" i="1"/>
  <c r="AR203" i="1"/>
  <c r="AS203" i="1"/>
  <c r="AT203" i="1"/>
  <c r="AU203" i="1"/>
  <c r="AV203" i="1"/>
  <c r="AW203" i="1"/>
  <c r="AX203" i="1"/>
  <c r="AY203" i="1"/>
  <c r="AZ203" i="1"/>
  <c r="BA203" i="1"/>
  <c r="BB203" i="1"/>
  <c r="BC203" i="1"/>
  <c r="BD203" i="1"/>
  <c r="BE203" i="1"/>
  <c r="BF203" i="1"/>
  <c r="BG203" i="1"/>
  <c r="BH203" i="1"/>
  <c r="BI203" i="1"/>
  <c r="BJ203" i="1"/>
  <c r="BK203" i="1"/>
  <c r="BL203" i="1"/>
  <c r="AR204" i="1"/>
  <c r="AS204" i="1"/>
  <c r="AT204" i="1"/>
  <c r="AU204" i="1"/>
  <c r="AV204" i="1"/>
  <c r="AW204" i="1"/>
  <c r="AX204" i="1"/>
  <c r="AY204" i="1"/>
  <c r="AZ204" i="1"/>
  <c r="BA204" i="1"/>
  <c r="BB204" i="1"/>
  <c r="BC204" i="1"/>
  <c r="BD204" i="1"/>
  <c r="BE204" i="1"/>
  <c r="BF204" i="1"/>
  <c r="BG204" i="1"/>
  <c r="BH204" i="1"/>
  <c r="BI204" i="1"/>
  <c r="BJ204" i="1"/>
  <c r="BK204" i="1"/>
  <c r="BL204" i="1"/>
  <c r="AR205" i="1"/>
  <c r="AS205" i="1"/>
  <c r="AT205" i="1"/>
  <c r="AU205" i="1"/>
  <c r="AV205" i="1"/>
  <c r="AW205" i="1"/>
  <c r="AX205" i="1"/>
  <c r="AY205" i="1"/>
  <c r="AZ205" i="1"/>
  <c r="BA205" i="1"/>
  <c r="BB205" i="1"/>
  <c r="BC205" i="1"/>
  <c r="BD205" i="1"/>
  <c r="BE205" i="1"/>
  <c r="BF205" i="1"/>
  <c r="BG205" i="1"/>
  <c r="BH205" i="1"/>
  <c r="BI205" i="1"/>
  <c r="BJ205" i="1"/>
  <c r="BK205" i="1"/>
  <c r="BL205" i="1"/>
  <c r="AR206" i="1"/>
  <c r="AS206" i="1"/>
  <c r="AT206" i="1"/>
  <c r="AU206" i="1"/>
  <c r="AV206" i="1"/>
  <c r="AW206" i="1"/>
  <c r="AX206" i="1"/>
  <c r="AY206" i="1"/>
  <c r="AZ206" i="1"/>
  <c r="BA206" i="1"/>
  <c r="BB206" i="1"/>
  <c r="BC206" i="1"/>
  <c r="BD206" i="1"/>
  <c r="BE206" i="1"/>
  <c r="BF206" i="1"/>
  <c r="BG206" i="1"/>
  <c r="BH206" i="1"/>
  <c r="BI206" i="1"/>
  <c r="BJ206" i="1"/>
  <c r="BK206" i="1"/>
  <c r="BL206" i="1"/>
  <c r="AR207" i="1"/>
  <c r="AS207" i="1"/>
  <c r="AT207" i="1"/>
  <c r="AU207" i="1"/>
  <c r="AV207" i="1"/>
  <c r="AW207" i="1"/>
  <c r="AX207" i="1"/>
  <c r="AY207" i="1"/>
  <c r="AZ207" i="1"/>
  <c r="BA207" i="1"/>
  <c r="BB207" i="1"/>
  <c r="BC207" i="1"/>
  <c r="BD207" i="1"/>
  <c r="BE207" i="1"/>
  <c r="BF207" i="1"/>
  <c r="BG207" i="1"/>
  <c r="BH207" i="1"/>
  <c r="BI207" i="1"/>
  <c r="BJ207" i="1"/>
  <c r="BK207" i="1"/>
  <c r="BL207" i="1"/>
  <c r="AR208" i="1"/>
  <c r="AS208" i="1"/>
  <c r="AT208" i="1"/>
  <c r="AU208" i="1"/>
  <c r="AV208" i="1"/>
  <c r="AW208" i="1"/>
  <c r="AX208" i="1"/>
  <c r="AY208" i="1"/>
  <c r="AZ208" i="1"/>
  <c r="BA208" i="1"/>
  <c r="BB208" i="1"/>
  <c r="BC208" i="1"/>
  <c r="BD208" i="1"/>
  <c r="BE208" i="1"/>
  <c r="BF208" i="1"/>
  <c r="BG208" i="1"/>
  <c r="BH208" i="1"/>
  <c r="BI208" i="1"/>
  <c r="BJ208" i="1"/>
  <c r="BK208" i="1"/>
  <c r="BL208" i="1"/>
  <c r="AR209" i="1"/>
  <c r="AS209" i="1"/>
  <c r="AT209" i="1"/>
  <c r="AU209" i="1"/>
  <c r="AV209" i="1"/>
  <c r="AW209" i="1"/>
  <c r="AX209" i="1"/>
  <c r="AY209" i="1"/>
  <c r="AZ209" i="1"/>
  <c r="BA209" i="1"/>
  <c r="BB209" i="1"/>
  <c r="BC209" i="1"/>
  <c r="BD209" i="1"/>
  <c r="BE209" i="1"/>
  <c r="BF209" i="1"/>
  <c r="BG209" i="1"/>
  <c r="BH209" i="1"/>
  <c r="BI209" i="1"/>
  <c r="BJ209" i="1"/>
  <c r="BK209" i="1"/>
  <c r="BL209" i="1"/>
  <c r="AR210" i="1"/>
  <c r="AS210" i="1"/>
  <c r="AT210" i="1"/>
  <c r="AU210" i="1"/>
  <c r="AV210" i="1"/>
  <c r="AW210" i="1"/>
  <c r="AX210" i="1"/>
  <c r="AY210" i="1"/>
  <c r="AZ210" i="1"/>
  <c r="BA210" i="1"/>
  <c r="BB210" i="1"/>
  <c r="BC210" i="1"/>
  <c r="BD210" i="1"/>
  <c r="BE210" i="1"/>
  <c r="BF210" i="1"/>
  <c r="BG210" i="1"/>
  <c r="BH210" i="1"/>
  <c r="BI210" i="1"/>
  <c r="BJ210" i="1"/>
  <c r="BK210" i="1"/>
  <c r="BL210" i="1"/>
  <c r="AR211" i="1"/>
  <c r="AS211" i="1"/>
  <c r="AT211" i="1"/>
  <c r="AU211" i="1"/>
  <c r="AV211" i="1"/>
  <c r="AW211" i="1"/>
  <c r="AX211" i="1"/>
  <c r="AY211" i="1"/>
  <c r="AZ211" i="1"/>
  <c r="BA211" i="1"/>
  <c r="BB211" i="1"/>
  <c r="BC211" i="1"/>
  <c r="BD211" i="1"/>
  <c r="BE211" i="1"/>
  <c r="BF211" i="1"/>
  <c r="BG211" i="1"/>
  <c r="BH211" i="1"/>
  <c r="BI211" i="1"/>
  <c r="BJ211" i="1"/>
  <c r="BK211" i="1"/>
  <c r="BL211" i="1"/>
  <c r="AR212" i="1"/>
  <c r="AS212" i="1"/>
  <c r="AT212" i="1"/>
  <c r="AU212" i="1"/>
  <c r="AV212" i="1"/>
  <c r="AW212" i="1"/>
  <c r="AX212" i="1"/>
  <c r="AY212" i="1"/>
  <c r="AZ212" i="1"/>
  <c r="BA212" i="1"/>
  <c r="BB212" i="1"/>
  <c r="BC212" i="1"/>
  <c r="BD212" i="1"/>
  <c r="BE212" i="1"/>
  <c r="BF212" i="1"/>
  <c r="BG212" i="1"/>
  <c r="BH212" i="1"/>
  <c r="BI212" i="1"/>
  <c r="BJ212" i="1"/>
  <c r="BK212" i="1"/>
  <c r="BL212" i="1"/>
  <c r="AR213" i="1"/>
  <c r="AS213" i="1"/>
  <c r="AT213" i="1"/>
  <c r="AU213" i="1"/>
  <c r="AV213" i="1"/>
  <c r="AW213" i="1"/>
  <c r="AX213" i="1"/>
  <c r="AY213" i="1"/>
  <c r="AZ213" i="1"/>
  <c r="BA213" i="1"/>
  <c r="BB213" i="1"/>
  <c r="BC213" i="1"/>
  <c r="BD213" i="1"/>
  <c r="BE213" i="1"/>
  <c r="BF213" i="1"/>
  <c r="BG213" i="1"/>
  <c r="BH213" i="1"/>
  <c r="BI213" i="1"/>
  <c r="BJ213" i="1"/>
  <c r="BK213" i="1"/>
  <c r="BL213" i="1"/>
  <c r="AR214" i="1"/>
  <c r="AS214" i="1"/>
  <c r="AT214" i="1"/>
  <c r="AU214" i="1"/>
  <c r="AV214" i="1"/>
  <c r="AW214" i="1"/>
  <c r="AX214" i="1"/>
  <c r="AY214" i="1"/>
  <c r="AZ214" i="1"/>
  <c r="BA214" i="1"/>
  <c r="BB214" i="1"/>
  <c r="BC214" i="1"/>
  <c r="BD214" i="1"/>
  <c r="BE214" i="1"/>
  <c r="BF214" i="1"/>
  <c r="BG214" i="1"/>
  <c r="BH214" i="1"/>
  <c r="BI214" i="1"/>
  <c r="BJ214" i="1"/>
  <c r="BK214" i="1"/>
  <c r="BL214" i="1"/>
  <c r="AR215" i="1"/>
  <c r="AS215" i="1"/>
  <c r="AT215" i="1"/>
  <c r="AU215" i="1"/>
  <c r="AV215" i="1"/>
  <c r="AW215" i="1"/>
  <c r="AX215" i="1"/>
  <c r="AY215" i="1"/>
  <c r="AZ215" i="1"/>
  <c r="BA215" i="1"/>
  <c r="BB215" i="1"/>
  <c r="BC215" i="1"/>
  <c r="BD215" i="1"/>
  <c r="BE215" i="1"/>
  <c r="BF215" i="1"/>
  <c r="BG215" i="1"/>
  <c r="BH215" i="1"/>
  <c r="BI215" i="1"/>
  <c r="BJ215" i="1"/>
  <c r="BK215" i="1"/>
  <c r="BL215" i="1"/>
  <c r="AR216" i="1"/>
  <c r="AS216" i="1"/>
  <c r="AT216" i="1"/>
  <c r="AU216" i="1"/>
  <c r="AV216" i="1"/>
  <c r="AW216" i="1"/>
  <c r="AX216" i="1"/>
  <c r="AY216" i="1"/>
  <c r="AZ216" i="1"/>
  <c r="BA216" i="1"/>
  <c r="BB216" i="1"/>
  <c r="BC216" i="1"/>
  <c r="BD216" i="1"/>
  <c r="BE216" i="1"/>
  <c r="BF216" i="1"/>
  <c r="BG216" i="1"/>
  <c r="BH216" i="1"/>
  <c r="BI216" i="1"/>
  <c r="BJ216" i="1"/>
  <c r="BK216" i="1"/>
  <c r="BL216" i="1"/>
  <c r="AR217" i="1"/>
  <c r="AS217" i="1"/>
  <c r="AT217" i="1"/>
  <c r="AU217" i="1"/>
  <c r="AV217" i="1"/>
  <c r="AW217" i="1"/>
  <c r="AX217" i="1"/>
  <c r="AY217" i="1"/>
  <c r="AZ217" i="1"/>
  <c r="BA217" i="1"/>
  <c r="BB217" i="1"/>
  <c r="BC217" i="1"/>
  <c r="BD217" i="1"/>
  <c r="BE217" i="1"/>
  <c r="BF217" i="1"/>
  <c r="BG217" i="1"/>
  <c r="BH217" i="1"/>
  <c r="BI217" i="1"/>
  <c r="BJ217" i="1"/>
  <c r="BK217" i="1"/>
  <c r="BL217" i="1"/>
  <c r="AR218" i="1"/>
  <c r="AS218" i="1"/>
  <c r="AT218" i="1"/>
  <c r="AU218" i="1"/>
  <c r="AV218" i="1"/>
  <c r="AW218" i="1"/>
  <c r="AX218" i="1"/>
  <c r="AY218" i="1"/>
  <c r="AZ218" i="1"/>
  <c r="BA218" i="1"/>
  <c r="BB218" i="1"/>
  <c r="BC218" i="1"/>
  <c r="BD218" i="1"/>
  <c r="BE218" i="1"/>
  <c r="BF218" i="1"/>
  <c r="BG218" i="1"/>
  <c r="BH218" i="1"/>
  <c r="BI218" i="1"/>
  <c r="BJ218" i="1"/>
  <c r="BK218" i="1"/>
  <c r="BL218" i="1"/>
  <c r="AR219" i="1"/>
  <c r="AS219" i="1"/>
  <c r="AT219" i="1"/>
  <c r="AU219" i="1"/>
  <c r="AV219" i="1"/>
  <c r="AW219" i="1"/>
  <c r="AX219" i="1"/>
  <c r="AY219" i="1"/>
  <c r="AZ219" i="1"/>
  <c r="BA219" i="1"/>
  <c r="BB219" i="1"/>
  <c r="BC219" i="1"/>
  <c r="BD219" i="1"/>
  <c r="BE219" i="1"/>
  <c r="BF219" i="1"/>
  <c r="BG219" i="1"/>
  <c r="BH219" i="1"/>
  <c r="BI219" i="1"/>
  <c r="BJ219" i="1"/>
  <c r="BK219" i="1"/>
  <c r="BL219" i="1"/>
  <c r="AR220" i="1"/>
  <c r="AS220" i="1"/>
  <c r="AT220" i="1"/>
  <c r="AU220" i="1"/>
  <c r="AV220" i="1"/>
  <c r="AW220" i="1"/>
  <c r="AX220" i="1"/>
  <c r="AY220" i="1"/>
  <c r="AZ220" i="1"/>
  <c r="BA220" i="1"/>
  <c r="BB220" i="1"/>
  <c r="BC220" i="1"/>
  <c r="BD220" i="1"/>
  <c r="BE220" i="1"/>
  <c r="BF220" i="1"/>
  <c r="BG220" i="1"/>
  <c r="BH220" i="1"/>
  <c r="BI220" i="1"/>
  <c r="BJ220" i="1"/>
  <c r="BK220" i="1"/>
  <c r="BL220" i="1"/>
  <c r="AR221" i="1"/>
  <c r="AS221" i="1"/>
  <c r="AT221" i="1"/>
  <c r="AU221" i="1"/>
  <c r="AV221" i="1"/>
  <c r="AW221" i="1"/>
  <c r="AX221" i="1"/>
  <c r="AY221" i="1"/>
  <c r="AZ221" i="1"/>
  <c r="BA221" i="1"/>
  <c r="BB221" i="1"/>
  <c r="BC221" i="1"/>
  <c r="BD221" i="1"/>
  <c r="BE221" i="1"/>
  <c r="BF221" i="1"/>
  <c r="BG221" i="1"/>
  <c r="BH221" i="1"/>
  <c r="BI221" i="1"/>
  <c r="BJ221" i="1"/>
  <c r="BK221" i="1"/>
  <c r="BL221" i="1"/>
  <c r="AR222" i="1"/>
  <c r="AS222" i="1"/>
  <c r="AT222" i="1"/>
  <c r="AU222" i="1"/>
  <c r="AV222" i="1"/>
  <c r="AW222" i="1"/>
  <c r="AX222" i="1"/>
  <c r="AY222" i="1"/>
  <c r="AZ222" i="1"/>
  <c r="BA222" i="1"/>
  <c r="BB222" i="1"/>
  <c r="BC222" i="1"/>
  <c r="BD222" i="1"/>
  <c r="BE222" i="1"/>
  <c r="BF222" i="1"/>
  <c r="BG222" i="1"/>
  <c r="BH222" i="1"/>
  <c r="BI222" i="1"/>
  <c r="BJ222" i="1"/>
  <c r="BK222" i="1"/>
  <c r="BL222" i="1"/>
  <c r="AR223" i="1"/>
  <c r="AS223" i="1"/>
  <c r="AT223" i="1"/>
  <c r="AU223" i="1"/>
  <c r="AV223" i="1"/>
  <c r="AW223" i="1"/>
  <c r="AX223" i="1"/>
  <c r="AY223" i="1"/>
  <c r="AZ223" i="1"/>
  <c r="BA223" i="1"/>
  <c r="BB223" i="1"/>
  <c r="BC223" i="1"/>
  <c r="BD223" i="1"/>
  <c r="BE223" i="1"/>
  <c r="BF223" i="1"/>
  <c r="BG223" i="1"/>
  <c r="BH223" i="1"/>
  <c r="BI223" i="1"/>
  <c r="BJ223" i="1"/>
  <c r="BK223" i="1"/>
  <c r="BL223" i="1"/>
  <c r="AR224" i="1"/>
  <c r="AS224" i="1"/>
  <c r="AT224" i="1"/>
  <c r="AU224" i="1"/>
  <c r="AV224" i="1"/>
  <c r="AW224" i="1"/>
  <c r="AX224" i="1"/>
  <c r="AY224" i="1"/>
  <c r="AZ224" i="1"/>
  <c r="BA224" i="1"/>
  <c r="BB224" i="1"/>
  <c r="BC224" i="1"/>
  <c r="BD224" i="1"/>
  <c r="BE224" i="1"/>
  <c r="BF224" i="1"/>
  <c r="BG224" i="1"/>
  <c r="BH224" i="1"/>
  <c r="BI224" i="1"/>
  <c r="BJ224" i="1"/>
  <c r="BK224" i="1"/>
  <c r="BL224" i="1"/>
  <c r="AR225" i="1"/>
  <c r="AS225" i="1"/>
  <c r="AT225" i="1"/>
  <c r="AU225" i="1"/>
  <c r="AV225" i="1"/>
  <c r="AW225" i="1"/>
  <c r="AX225" i="1"/>
  <c r="AY225" i="1"/>
  <c r="AZ225" i="1"/>
  <c r="BA225" i="1"/>
  <c r="BB225" i="1"/>
  <c r="BC225" i="1"/>
  <c r="BD225" i="1"/>
  <c r="BE225" i="1"/>
  <c r="BF225" i="1"/>
  <c r="BG225" i="1"/>
  <c r="BH225" i="1"/>
  <c r="BI225" i="1"/>
  <c r="BJ225" i="1"/>
  <c r="BK225" i="1"/>
  <c r="BL225" i="1"/>
  <c r="AR226" i="1"/>
  <c r="AS226" i="1"/>
  <c r="AT226" i="1"/>
  <c r="AU226" i="1"/>
  <c r="AV226" i="1"/>
  <c r="AW226" i="1"/>
  <c r="AX226" i="1"/>
  <c r="AY226" i="1"/>
  <c r="AZ226" i="1"/>
  <c r="BA226" i="1"/>
  <c r="BB226" i="1"/>
  <c r="BC226" i="1"/>
  <c r="BD226" i="1"/>
  <c r="BE226" i="1"/>
  <c r="BF226" i="1"/>
  <c r="BG226" i="1"/>
  <c r="BH226" i="1"/>
  <c r="BI226" i="1"/>
  <c r="BJ226" i="1"/>
  <c r="BK226" i="1"/>
  <c r="BL226" i="1"/>
  <c r="AR227" i="1"/>
  <c r="AS227" i="1"/>
  <c r="AT227" i="1"/>
  <c r="AU227" i="1"/>
  <c r="AV227" i="1"/>
  <c r="AW227" i="1"/>
  <c r="AX227" i="1"/>
  <c r="AY227" i="1"/>
  <c r="AZ227" i="1"/>
  <c r="BA227" i="1"/>
  <c r="BB227" i="1"/>
  <c r="BC227" i="1"/>
  <c r="BD227" i="1"/>
  <c r="BE227" i="1"/>
  <c r="BF227" i="1"/>
  <c r="BG227" i="1"/>
  <c r="BH227" i="1"/>
  <c r="BI227" i="1"/>
  <c r="BJ227" i="1"/>
  <c r="BK227" i="1"/>
  <c r="BL227" i="1"/>
  <c r="AR228" i="1"/>
  <c r="AS228" i="1"/>
  <c r="AT228" i="1"/>
  <c r="AU228" i="1"/>
  <c r="AV228" i="1"/>
  <c r="AW228" i="1"/>
  <c r="AX228" i="1"/>
  <c r="AY228" i="1"/>
  <c r="AZ228" i="1"/>
  <c r="BA228" i="1"/>
  <c r="BB228" i="1"/>
  <c r="BC228" i="1"/>
  <c r="BD228" i="1"/>
  <c r="BE228" i="1"/>
  <c r="BF228" i="1"/>
  <c r="BG228" i="1"/>
  <c r="BH228" i="1"/>
  <c r="BI228" i="1"/>
  <c r="BJ228" i="1"/>
  <c r="BK228" i="1"/>
  <c r="BL228" i="1"/>
  <c r="AR229" i="1"/>
  <c r="AS229" i="1"/>
  <c r="AT229" i="1"/>
  <c r="AU229" i="1"/>
  <c r="AV229" i="1"/>
  <c r="AW229" i="1"/>
  <c r="AX229" i="1"/>
  <c r="AY229" i="1"/>
  <c r="AZ229" i="1"/>
  <c r="BA229" i="1"/>
  <c r="BB229" i="1"/>
  <c r="BC229" i="1"/>
  <c r="BD229" i="1"/>
  <c r="BE229" i="1"/>
  <c r="BF229" i="1"/>
  <c r="BG229" i="1"/>
  <c r="BH229" i="1"/>
  <c r="BI229" i="1"/>
  <c r="BJ229" i="1"/>
  <c r="BK229" i="1"/>
  <c r="BL229" i="1"/>
  <c r="AR230" i="1"/>
  <c r="AS230" i="1"/>
  <c r="AT230" i="1"/>
  <c r="AU230" i="1"/>
  <c r="AV230" i="1"/>
  <c r="AW230" i="1"/>
  <c r="AX230" i="1"/>
  <c r="AY230" i="1"/>
  <c r="AZ230" i="1"/>
  <c r="BA230" i="1"/>
  <c r="BB230" i="1"/>
  <c r="BC230" i="1"/>
  <c r="BD230" i="1"/>
  <c r="BE230" i="1"/>
  <c r="BF230" i="1"/>
  <c r="BG230" i="1"/>
  <c r="BH230" i="1"/>
  <c r="BI230" i="1"/>
  <c r="BJ230" i="1"/>
  <c r="BK230" i="1"/>
  <c r="BL230" i="1"/>
  <c r="AR231" i="1"/>
  <c r="AS231" i="1"/>
  <c r="AT231" i="1"/>
  <c r="AU231" i="1"/>
  <c r="AV231" i="1"/>
  <c r="AW231" i="1"/>
  <c r="AX231" i="1"/>
  <c r="AY231" i="1"/>
  <c r="AZ231" i="1"/>
  <c r="BA231" i="1"/>
  <c r="BB231" i="1"/>
  <c r="BC231" i="1"/>
  <c r="BD231" i="1"/>
  <c r="BE231" i="1"/>
  <c r="BF231" i="1"/>
  <c r="BG231" i="1"/>
  <c r="BH231" i="1"/>
  <c r="BI231" i="1"/>
  <c r="BJ231" i="1"/>
  <c r="BK231" i="1"/>
  <c r="BL231" i="1"/>
  <c r="AR232" i="1"/>
  <c r="AS232" i="1"/>
  <c r="AT232" i="1"/>
  <c r="AU232" i="1"/>
  <c r="AV232" i="1"/>
  <c r="AW232" i="1"/>
  <c r="AX232" i="1"/>
  <c r="AY232" i="1"/>
  <c r="AZ232" i="1"/>
  <c r="BA232" i="1"/>
  <c r="BB232" i="1"/>
  <c r="BC232" i="1"/>
  <c r="BD232" i="1"/>
  <c r="BE232" i="1"/>
  <c r="BF232" i="1"/>
  <c r="BG232" i="1"/>
  <c r="BH232" i="1"/>
  <c r="BI232" i="1"/>
  <c r="BJ232" i="1"/>
  <c r="BK232" i="1"/>
  <c r="BL232" i="1"/>
  <c r="AR233" i="1"/>
  <c r="AS233" i="1"/>
  <c r="AT233" i="1"/>
  <c r="AU233" i="1"/>
  <c r="AV233" i="1"/>
  <c r="AW233" i="1"/>
  <c r="AX233" i="1"/>
  <c r="AY233" i="1"/>
  <c r="AZ233" i="1"/>
  <c r="BA233" i="1"/>
  <c r="BB233" i="1"/>
  <c r="BC233" i="1"/>
  <c r="BD233" i="1"/>
  <c r="BE233" i="1"/>
  <c r="BF233" i="1"/>
  <c r="BG233" i="1"/>
  <c r="BH233" i="1"/>
  <c r="BI233" i="1"/>
  <c r="BJ233" i="1"/>
  <c r="BK233" i="1"/>
  <c r="BL233" i="1"/>
  <c r="AR234" i="1"/>
  <c r="AS234" i="1"/>
  <c r="AT234" i="1"/>
  <c r="AU234" i="1"/>
  <c r="AV234" i="1"/>
  <c r="AW234" i="1"/>
  <c r="AX234" i="1"/>
  <c r="AY234" i="1"/>
  <c r="AZ234" i="1"/>
  <c r="BA234" i="1"/>
  <c r="BB234" i="1"/>
  <c r="BC234" i="1"/>
  <c r="BD234" i="1"/>
  <c r="BE234" i="1"/>
  <c r="BF234" i="1"/>
  <c r="BG234" i="1"/>
  <c r="BH234" i="1"/>
  <c r="BI234" i="1"/>
  <c r="BJ234" i="1"/>
  <c r="BK234" i="1"/>
  <c r="BL234" i="1"/>
  <c r="AR235" i="1"/>
  <c r="AS235" i="1"/>
  <c r="AT235" i="1"/>
  <c r="AU235" i="1"/>
  <c r="AV235" i="1"/>
  <c r="AW235" i="1"/>
  <c r="AX235" i="1"/>
  <c r="AY235" i="1"/>
  <c r="AZ235" i="1"/>
  <c r="BA235" i="1"/>
  <c r="BB235" i="1"/>
  <c r="BC235" i="1"/>
  <c r="BD235" i="1"/>
  <c r="BE235" i="1"/>
  <c r="BF235" i="1"/>
  <c r="BG235" i="1"/>
  <c r="BH235" i="1"/>
  <c r="BI235" i="1"/>
  <c r="BJ235" i="1"/>
  <c r="BK235" i="1"/>
  <c r="BL235" i="1"/>
  <c r="AR236" i="1"/>
  <c r="AS236" i="1"/>
  <c r="AT236" i="1"/>
  <c r="AU236" i="1"/>
  <c r="AV236" i="1"/>
  <c r="AW236" i="1"/>
  <c r="AX236" i="1"/>
  <c r="AY236" i="1"/>
  <c r="AZ236" i="1"/>
  <c r="BA236" i="1"/>
  <c r="BB236" i="1"/>
  <c r="BC236" i="1"/>
  <c r="BD236" i="1"/>
  <c r="BE236" i="1"/>
  <c r="BF236" i="1"/>
  <c r="BG236" i="1"/>
  <c r="BH236" i="1"/>
  <c r="BI236" i="1"/>
  <c r="BJ236" i="1"/>
  <c r="BK236" i="1"/>
  <c r="BL236" i="1"/>
  <c r="AR237" i="1"/>
  <c r="AS237" i="1"/>
  <c r="AT237" i="1"/>
  <c r="AU237" i="1"/>
  <c r="AV237" i="1"/>
  <c r="AW237" i="1"/>
  <c r="AX237" i="1"/>
  <c r="AY237" i="1"/>
  <c r="AZ237" i="1"/>
  <c r="BA237" i="1"/>
  <c r="BB237" i="1"/>
  <c r="BC237" i="1"/>
  <c r="BD237" i="1"/>
  <c r="BE237" i="1"/>
  <c r="BF237" i="1"/>
  <c r="BG237" i="1"/>
  <c r="BH237" i="1"/>
  <c r="BI237" i="1"/>
  <c r="BJ237" i="1"/>
  <c r="BK237" i="1"/>
  <c r="BL237" i="1"/>
  <c r="AR238" i="1"/>
  <c r="AS238" i="1"/>
  <c r="AT238" i="1"/>
  <c r="AU238" i="1"/>
  <c r="AV238" i="1"/>
  <c r="AW238" i="1"/>
  <c r="AX238" i="1"/>
  <c r="AY238" i="1"/>
  <c r="AZ238" i="1"/>
  <c r="BA238" i="1"/>
  <c r="BB238" i="1"/>
  <c r="BC238" i="1"/>
  <c r="BD238" i="1"/>
  <c r="BE238" i="1"/>
  <c r="BF238" i="1"/>
  <c r="BG238" i="1"/>
  <c r="BH238" i="1"/>
  <c r="BI238" i="1"/>
  <c r="BJ238" i="1"/>
  <c r="BK238" i="1"/>
  <c r="BL238" i="1"/>
  <c r="AR239" i="1"/>
  <c r="AS239" i="1"/>
  <c r="AT239" i="1"/>
  <c r="AU239" i="1"/>
  <c r="AV239" i="1"/>
  <c r="AW239" i="1"/>
  <c r="AX239" i="1"/>
  <c r="AY239" i="1"/>
  <c r="AZ239" i="1"/>
  <c r="BA239" i="1"/>
  <c r="BB239" i="1"/>
  <c r="BC239" i="1"/>
  <c r="BD239" i="1"/>
  <c r="BE239" i="1"/>
  <c r="BF239" i="1"/>
  <c r="BG239" i="1"/>
  <c r="BH239" i="1"/>
  <c r="BI239" i="1"/>
  <c r="BJ239" i="1"/>
  <c r="BK239" i="1"/>
  <c r="BL239" i="1"/>
  <c r="AR240" i="1"/>
  <c r="AS240" i="1"/>
  <c r="AT240" i="1"/>
  <c r="AU240" i="1"/>
  <c r="AV240" i="1"/>
  <c r="AW240" i="1"/>
  <c r="AX240" i="1"/>
  <c r="AY240" i="1"/>
  <c r="AZ240" i="1"/>
  <c r="BA240" i="1"/>
  <c r="BB240" i="1"/>
  <c r="BC240" i="1"/>
  <c r="BD240" i="1"/>
  <c r="BE240" i="1"/>
  <c r="BF240" i="1"/>
  <c r="BG240" i="1"/>
  <c r="BH240" i="1"/>
  <c r="BI240" i="1"/>
  <c r="BJ240" i="1"/>
  <c r="BK240" i="1"/>
  <c r="BL240" i="1"/>
  <c r="AR241" i="1"/>
  <c r="AS241" i="1"/>
  <c r="AT241" i="1"/>
  <c r="AU241" i="1"/>
  <c r="AV241" i="1"/>
  <c r="AW241" i="1"/>
  <c r="AX241" i="1"/>
  <c r="AY241" i="1"/>
  <c r="AZ241" i="1"/>
  <c r="BA241" i="1"/>
  <c r="BB241" i="1"/>
  <c r="BC241" i="1"/>
  <c r="BD241" i="1"/>
  <c r="BE241" i="1"/>
  <c r="BF241" i="1"/>
  <c r="BG241" i="1"/>
  <c r="BH241" i="1"/>
  <c r="BI241" i="1"/>
  <c r="BJ241" i="1"/>
  <c r="BK241" i="1"/>
  <c r="BL241" i="1"/>
  <c r="AR242" i="1"/>
  <c r="AS242" i="1"/>
  <c r="AT242" i="1"/>
  <c r="AU242" i="1"/>
  <c r="AV242" i="1"/>
  <c r="AW242" i="1"/>
  <c r="AX242" i="1"/>
  <c r="AY242" i="1"/>
  <c r="AZ242" i="1"/>
  <c r="BA242" i="1"/>
  <c r="BB242" i="1"/>
  <c r="BC242" i="1"/>
  <c r="BD242" i="1"/>
  <c r="BE242" i="1"/>
  <c r="BF242" i="1"/>
  <c r="BG242" i="1"/>
  <c r="BH242" i="1"/>
  <c r="BI242" i="1"/>
  <c r="BJ242" i="1"/>
  <c r="BK242" i="1"/>
  <c r="BL242" i="1"/>
  <c r="AR243" i="1"/>
  <c r="AS243" i="1"/>
  <c r="AT243" i="1"/>
  <c r="AU243" i="1"/>
  <c r="AV243" i="1"/>
  <c r="AW243" i="1"/>
  <c r="AX243" i="1"/>
  <c r="AY243" i="1"/>
  <c r="AZ243" i="1"/>
  <c r="BA243" i="1"/>
  <c r="BB243" i="1"/>
  <c r="BC243" i="1"/>
  <c r="BD243" i="1"/>
  <c r="BE243" i="1"/>
  <c r="BF243" i="1"/>
  <c r="BG243" i="1"/>
  <c r="BH243" i="1"/>
  <c r="BI243" i="1"/>
  <c r="BJ243" i="1"/>
  <c r="BK243" i="1"/>
  <c r="BL243" i="1"/>
  <c r="AR244" i="1"/>
  <c r="AS244" i="1"/>
  <c r="AT244" i="1"/>
  <c r="AU244" i="1"/>
  <c r="AV244" i="1"/>
  <c r="AW244" i="1"/>
  <c r="AX244" i="1"/>
  <c r="AY244" i="1"/>
  <c r="AZ244" i="1"/>
  <c r="BA244" i="1"/>
  <c r="BB244" i="1"/>
  <c r="BC244" i="1"/>
  <c r="BD244" i="1"/>
  <c r="BE244" i="1"/>
  <c r="BF244" i="1"/>
  <c r="BG244" i="1"/>
  <c r="BH244" i="1"/>
  <c r="BI244" i="1"/>
  <c r="BJ244" i="1"/>
  <c r="BK244" i="1"/>
  <c r="BL244" i="1"/>
  <c r="AR245" i="1"/>
  <c r="AS245" i="1"/>
  <c r="AT245" i="1"/>
  <c r="AU245" i="1"/>
  <c r="AV245" i="1"/>
  <c r="AW245" i="1"/>
  <c r="AX245" i="1"/>
  <c r="AY245" i="1"/>
  <c r="AZ245" i="1"/>
  <c r="BA245" i="1"/>
  <c r="BB245" i="1"/>
  <c r="BC245" i="1"/>
  <c r="BD245" i="1"/>
  <c r="BE245" i="1"/>
  <c r="BF245" i="1"/>
  <c r="BG245" i="1"/>
  <c r="BH245" i="1"/>
  <c r="BI245" i="1"/>
  <c r="BJ245" i="1"/>
  <c r="BK245" i="1"/>
  <c r="BL245" i="1"/>
  <c r="AR246" i="1"/>
  <c r="AS246" i="1"/>
  <c r="AT246" i="1"/>
  <c r="AU246" i="1"/>
  <c r="AV246" i="1"/>
  <c r="AW246" i="1"/>
  <c r="AX246" i="1"/>
  <c r="AY246" i="1"/>
  <c r="AZ246" i="1"/>
  <c r="BA246" i="1"/>
  <c r="BB246" i="1"/>
  <c r="BC246" i="1"/>
  <c r="BD246" i="1"/>
  <c r="BE246" i="1"/>
  <c r="BF246" i="1"/>
  <c r="BG246" i="1"/>
  <c r="BH246" i="1"/>
  <c r="BI246" i="1"/>
  <c r="BJ246" i="1"/>
  <c r="BK246" i="1"/>
  <c r="BL246" i="1"/>
  <c r="AR247" i="1"/>
  <c r="AS247" i="1"/>
  <c r="AT247" i="1"/>
  <c r="AU247" i="1"/>
  <c r="AV247" i="1"/>
  <c r="AW247" i="1"/>
  <c r="AX247" i="1"/>
  <c r="AY247" i="1"/>
  <c r="AZ247" i="1"/>
  <c r="BA247" i="1"/>
  <c r="BB247" i="1"/>
  <c r="BC247" i="1"/>
  <c r="BD247" i="1"/>
  <c r="BE247" i="1"/>
  <c r="BF247" i="1"/>
  <c r="BG247" i="1"/>
  <c r="BH247" i="1"/>
  <c r="BI247" i="1"/>
  <c r="BJ247" i="1"/>
  <c r="BK247" i="1"/>
  <c r="BL247" i="1"/>
  <c r="AR248" i="1"/>
  <c r="AS248" i="1"/>
  <c r="AT248" i="1"/>
  <c r="AU248" i="1"/>
  <c r="AV248" i="1"/>
  <c r="AW248" i="1"/>
  <c r="AX248" i="1"/>
  <c r="AY248" i="1"/>
  <c r="AZ248" i="1"/>
  <c r="BA248" i="1"/>
  <c r="BB248" i="1"/>
  <c r="BC248" i="1"/>
  <c r="BD248" i="1"/>
  <c r="BE248" i="1"/>
  <c r="BF248" i="1"/>
  <c r="BG248" i="1"/>
  <c r="BH248" i="1"/>
  <c r="BI248" i="1"/>
  <c r="BJ248" i="1"/>
  <c r="BK248" i="1"/>
  <c r="BL248" i="1"/>
  <c r="AR249" i="1"/>
  <c r="AS249" i="1"/>
  <c r="AT249" i="1"/>
  <c r="AU249" i="1"/>
  <c r="AV249" i="1"/>
  <c r="AW249" i="1"/>
  <c r="AX249" i="1"/>
  <c r="AY249" i="1"/>
  <c r="AZ249" i="1"/>
  <c r="BA249" i="1"/>
  <c r="BB249" i="1"/>
  <c r="BC249" i="1"/>
  <c r="BD249" i="1"/>
  <c r="BE249" i="1"/>
  <c r="BF249" i="1"/>
  <c r="BG249" i="1"/>
  <c r="BH249" i="1"/>
  <c r="BI249" i="1"/>
  <c r="BJ249" i="1"/>
  <c r="BK249" i="1"/>
  <c r="BL249" i="1"/>
  <c r="AR250" i="1"/>
  <c r="AS250" i="1"/>
  <c r="AT250" i="1"/>
  <c r="AU250" i="1"/>
  <c r="AV250" i="1"/>
  <c r="AW250" i="1"/>
  <c r="AX250" i="1"/>
  <c r="AY250" i="1"/>
  <c r="AZ250" i="1"/>
  <c r="BA250" i="1"/>
  <c r="BB250" i="1"/>
  <c r="BC250" i="1"/>
  <c r="BD250" i="1"/>
  <c r="BE250" i="1"/>
  <c r="BF250" i="1"/>
  <c r="BG250" i="1"/>
  <c r="BH250" i="1"/>
  <c r="BI250" i="1"/>
  <c r="BJ250" i="1"/>
  <c r="BK250" i="1"/>
  <c r="BL250" i="1"/>
  <c r="AR251" i="1"/>
  <c r="AS251" i="1"/>
  <c r="AT251" i="1"/>
  <c r="AU251" i="1"/>
  <c r="AV251" i="1"/>
  <c r="AW251" i="1"/>
  <c r="AX251" i="1"/>
  <c r="AY251" i="1"/>
  <c r="AZ251" i="1"/>
  <c r="BA251" i="1"/>
  <c r="BB251" i="1"/>
  <c r="BC251" i="1"/>
  <c r="BD251" i="1"/>
  <c r="BE251" i="1"/>
  <c r="BF251" i="1"/>
  <c r="BG251" i="1"/>
  <c r="BH251" i="1"/>
  <c r="BI251" i="1"/>
  <c r="BJ251" i="1"/>
  <c r="BK251" i="1"/>
  <c r="BL251" i="1"/>
  <c r="AR252" i="1"/>
  <c r="AS252" i="1"/>
  <c r="AT252" i="1"/>
  <c r="AU252" i="1"/>
  <c r="AV252" i="1"/>
  <c r="AW252" i="1"/>
  <c r="AX252" i="1"/>
  <c r="AY252" i="1"/>
  <c r="AZ252" i="1"/>
  <c r="BA252" i="1"/>
  <c r="BB252" i="1"/>
  <c r="BC252" i="1"/>
  <c r="BD252" i="1"/>
  <c r="BE252" i="1"/>
  <c r="BF252" i="1"/>
  <c r="BG252" i="1"/>
  <c r="BH252" i="1"/>
  <c r="BI252" i="1"/>
  <c r="BJ252" i="1"/>
  <c r="BK252" i="1"/>
  <c r="BL252" i="1"/>
  <c r="AR253" i="1"/>
  <c r="AS253" i="1"/>
  <c r="AT253" i="1"/>
  <c r="AU253" i="1"/>
  <c r="AV253" i="1"/>
  <c r="AW253" i="1"/>
  <c r="AX253" i="1"/>
  <c r="AY253" i="1"/>
  <c r="AZ253" i="1"/>
  <c r="BA253" i="1"/>
  <c r="BB253" i="1"/>
  <c r="BC253" i="1"/>
  <c r="BD253" i="1"/>
  <c r="BE253" i="1"/>
  <c r="BF253" i="1"/>
  <c r="BG253" i="1"/>
  <c r="BH253" i="1"/>
  <c r="BI253" i="1"/>
  <c r="BJ253" i="1"/>
  <c r="BK253" i="1"/>
  <c r="BL253" i="1"/>
  <c r="AR254" i="1"/>
  <c r="AS254" i="1"/>
  <c r="AT254" i="1"/>
  <c r="AU254" i="1"/>
  <c r="AV254" i="1"/>
  <c r="AW254" i="1"/>
  <c r="AX254" i="1"/>
  <c r="AY254" i="1"/>
  <c r="AZ254" i="1"/>
  <c r="BA254" i="1"/>
  <c r="BB254" i="1"/>
  <c r="BC254" i="1"/>
  <c r="BD254" i="1"/>
  <c r="BE254" i="1"/>
  <c r="BF254" i="1"/>
  <c r="BG254" i="1"/>
  <c r="BH254" i="1"/>
  <c r="BI254" i="1"/>
  <c r="BJ254" i="1"/>
  <c r="BK254" i="1"/>
  <c r="BL254" i="1"/>
  <c r="AR255" i="1"/>
  <c r="AS255" i="1"/>
  <c r="AT255" i="1"/>
  <c r="AU255" i="1"/>
  <c r="AV255" i="1"/>
  <c r="AW255" i="1"/>
  <c r="AX255" i="1"/>
  <c r="AY255" i="1"/>
  <c r="AZ255" i="1"/>
  <c r="BA255" i="1"/>
  <c r="BB255" i="1"/>
  <c r="BC255" i="1"/>
  <c r="BD255" i="1"/>
  <c r="BE255" i="1"/>
  <c r="BF255" i="1"/>
  <c r="BG255" i="1"/>
  <c r="BH255" i="1"/>
  <c r="BI255" i="1"/>
  <c r="BJ255" i="1"/>
  <c r="BK255" i="1"/>
  <c r="BL255" i="1"/>
  <c r="AR256" i="1"/>
  <c r="AS256" i="1"/>
  <c r="AT256" i="1"/>
  <c r="AU256" i="1"/>
  <c r="AV256" i="1"/>
  <c r="AW256" i="1"/>
  <c r="AX256" i="1"/>
  <c r="AY256" i="1"/>
  <c r="AZ256" i="1"/>
  <c r="BA256" i="1"/>
  <c r="BB256" i="1"/>
  <c r="BC256" i="1"/>
  <c r="BD256" i="1"/>
  <c r="BE256" i="1"/>
  <c r="BF256" i="1"/>
  <c r="BG256" i="1"/>
  <c r="BH256" i="1"/>
  <c r="BI256" i="1"/>
  <c r="BJ256" i="1"/>
  <c r="BK256" i="1"/>
  <c r="BL256" i="1"/>
  <c r="AR257" i="1"/>
  <c r="AS257" i="1"/>
  <c r="AT257" i="1"/>
  <c r="AU257" i="1"/>
  <c r="AV257" i="1"/>
  <c r="AW257" i="1"/>
  <c r="AX257" i="1"/>
  <c r="AY257" i="1"/>
  <c r="AZ257" i="1"/>
  <c r="BA257" i="1"/>
  <c r="BB257" i="1"/>
  <c r="BC257" i="1"/>
  <c r="BD257" i="1"/>
  <c r="BE257" i="1"/>
  <c r="BF257" i="1"/>
  <c r="BG257" i="1"/>
  <c r="BH257" i="1"/>
  <c r="BI257" i="1"/>
  <c r="BJ257" i="1"/>
  <c r="BK257" i="1"/>
  <c r="BL257" i="1"/>
  <c r="AR258" i="1"/>
  <c r="AS258" i="1"/>
  <c r="AT258" i="1"/>
  <c r="AU258" i="1"/>
  <c r="AV258" i="1"/>
  <c r="AW258" i="1"/>
  <c r="AX258" i="1"/>
  <c r="AY258" i="1"/>
  <c r="AZ258" i="1"/>
  <c r="BA258" i="1"/>
  <c r="BB258" i="1"/>
  <c r="BC258" i="1"/>
  <c r="BD258" i="1"/>
  <c r="BE258" i="1"/>
  <c r="BF258" i="1"/>
  <c r="BG258" i="1"/>
  <c r="BH258" i="1"/>
  <c r="BI258" i="1"/>
  <c r="BJ258" i="1"/>
  <c r="BK258" i="1"/>
  <c r="BL258" i="1"/>
  <c r="AR259" i="1"/>
  <c r="AS259" i="1"/>
  <c r="AT259" i="1"/>
  <c r="AU259" i="1"/>
  <c r="AV259" i="1"/>
  <c r="AW259" i="1"/>
  <c r="AX259" i="1"/>
  <c r="AY259" i="1"/>
  <c r="AZ259" i="1"/>
  <c r="BA259" i="1"/>
  <c r="BB259" i="1"/>
  <c r="BC259" i="1"/>
  <c r="BD259" i="1"/>
  <c r="BE259" i="1"/>
  <c r="BF259" i="1"/>
  <c r="BG259" i="1"/>
  <c r="BH259" i="1"/>
  <c r="BI259" i="1"/>
  <c r="BJ259" i="1"/>
  <c r="BK259" i="1"/>
  <c r="BL259" i="1"/>
  <c r="AR260" i="1"/>
  <c r="AS260" i="1"/>
  <c r="AT260" i="1"/>
  <c r="AU260" i="1"/>
  <c r="AV260" i="1"/>
  <c r="AW260" i="1"/>
  <c r="AX260" i="1"/>
  <c r="AY260" i="1"/>
  <c r="AZ260" i="1"/>
  <c r="BA260" i="1"/>
  <c r="BB260" i="1"/>
  <c r="BC260" i="1"/>
  <c r="BD260" i="1"/>
  <c r="BE260" i="1"/>
  <c r="BF260" i="1"/>
  <c r="BG260" i="1"/>
  <c r="BH260" i="1"/>
  <c r="BI260" i="1"/>
  <c r="BJ260" i="1"/>
  <c r="BK260" i="1"/>
  <c r="BL260" i="1"/>
  <c r="AR261" i="1"/>
  <c r="AS261" i="1"/>
  <c r="AT261" i="1"/>
  <c r="AU261" i="1"/>
  <c r="AV261" i="1"/>
  <c r="AW261" i="1"/>
  <c r="AX261" i="1"/>
  <c r="AY261" i="1"/>
  <c r="AZ261" i="1"/>
  <c r="BA261" i="1"/>
  <c r="BB261" i="1"/>
  <c r="BC261" i="1"/>
  <c r="BD261" i="1"/>
  <c r="BE261" i="1"/>
  <c r="BF261" i="1"/>
  <c r="BG261" i="1"/>
  <c r="BH261" i="1"/>
  <c r="BI261" i="1"/>
  <c r="BJ261" i="1"/>
  <c r="BK261" i="1"/>
  <c r="BL261" i="1"/>
  <c r="AR262" i="1"/>
  <c r="AS262" i="1"/>
  <c r="AT262" i="1"/>
  <c r="AU262" i="1"/>
  <c r="AV262" i="1"/>
  <c r="AW262" i="1"/>
  <c r="AX262" i="1"/>
  <c r="AY262" i="1"/>
  <c r="AZ262" i="1"/>
  <c r="BA262" i="1"/>
  <c r="BB262" i="1"/>
  <c r="BC262" i="1"/>
  <c r="BD262" i="1"/>
  <c r="BE262" i="1"/>
  <c r="BF262" i="1"/>
  <c r="BG262" i="1"/>
  <c r="BH262" i="1"/>
  <c r="BI262" i="1"/>
  <c r="BJ262" i="1"/>
  <c r="BK262" i="1"/>
  <c r="BL262" i="1"/>
  <c r="AR263" i="1"/>
  <c r="AS263" i="1"/>
  <c r="AT263" i="1"/>
  <c r="AU263" i="1"/>
  <c r="AV263" i="1"/>
  <c r="AW263" i="1"/>
  <c r="AX263" i="1"/>
  <c r="AY263" i="1"/>
  <c r="AZ263" i="1"/>
  <c r="BA263" i="1"/>
  <c r="BB263" i="1"/>
  <c r="BC263" i="1"/>
  <c r="BD263" i="1"/>
  <c r="BE263" i="1"/>
  <c r="BF263" i="1"/>
  <c r="BG263" i="1"/>
  <c r="BH263" i="1"/>
  <c r="BI263" i="1"/>
  <c r="BJ263" i="1"/>
  <c r="BK263" i="1"/>
  <c r="BL263" i="1"/>
  <c r="AR264" i="1"/>
  <c r="AS264" i="1"/>
  <c r="AT264" i="1"/>
  <c r="AU264" i="1"/>
  <c r="AV264" i="1"/>
  <c r="AW264" i="1"/>
  <c r="AX264" i="1"/>
  <c r="AY264" i="1"/>
  <c r="AZ264" i="1"/>
  <c r="BA264" i="1"/>
  <c r="BB264" i="1"/>
  <c r="BC264" i="1"/>
  <c r="BD264" i="1"/>
  <c r="BE264" i="1"/>
  <c r="BF264" i="1"/>
  <c r="BG264" i="1"/>
  <c r="BH264" i="1"/>
  <c r="BI264" i="1"/>
  <c r="BJ264" i="1"/>
  <c r="BK264" i="1"/>
  <c r="BL264" i="1"/>
  <c r="AR265" i="1"/>
  <c r="AS265" i="1"/>
  <c r="AT265" i="1"/>
  <c r="AU265" i="1"/>
  <c r="AV265" i="1"/>
  <c r="AW265" i="1"/>
  <c r="AX265" i="1"/>
  <c r="AY265" i="1"/>
  <c r="AZ265" i="1"/>
  <c r="BA265" i="1"/>
  <c r="BB265" i="1"/>
  <c r="BC265" i="1"/>
  <c r="BD265" i="1"/>
  <c r="BE265" i="1"/>
  <c r="BF265" i="1"/>
  <c r="BG265" i="1"/>
  <c r="BH265" i="1"/>
  <c r="BI265" i="1"/>
  <c r="BJ265" i="1"/>
  <c r="BK265" i="1"/>
  <c r="BL265" i="1"/>
  <c r="AR266" i="1"/>
  <c r="AS266" i="1"/>
  <c r="AT266" i="1"/>
  <c r="AU266" i="1"/>
  <c r="AV266" i="1"/>
  <c r="AW266" i="1"/>
  <c r="AX266" i="1"/>
  <c r="AY266" i="1"/>
  <c r="AZ266" i="1"/>
  <c r="BA266" i="1"/>
  <c r="BB266" i="1"/>
  <c r="BC266" i="1"/>
  <c r="BD266" i="1"/>
  <c r="BE266" i="1"/>
  <c r="BF266" i="1"/>
  <c r="BG266" i="1"/>
  <c r="BH266" i="1"/>
  <c r="BI266" i="1"/>
  <c r="BJ266" i="1"/>
  <c r="BK266" i="1"/>
  <c r="BL266" i="1"/>
  <c r="AR267" i="1"/>
  <c r="AS267" i="1"/>
  <c r="AT267" i="1"/>
  <c r="AU267" i="1"/>
  <c r="AV267" i="1"/>
  <c r="AW267" i="1"/>
  <c r="AX267" i="1"/>
  <c r="AY267" i="1"/>
  <c r="AZ267" i="1"/>
  <c r="BA267" i="1"/>
  <c r="BB267" i="1"/>
  <c r="BC267" i="1"/>
  <c r="BD267" i="1"/>
  <c r="BE267" i="1"/>
  <c r="BF267" i="1"/>
  <c r="BG267" i="1"/>
  <c r="BH267" i="1"/>
  <c r="BI267" i="1"/>
  <c r="BJ267" i="1"/>
  <c r="BK267" i="1"/>
  <c r="BL267" i="1"/>
  <c r="AR268" i="1"/>
  <c r="AS268" i="1"/>
  <c r="AT268" i="1"/>
  <c r="AU268" i="1"/>
  <c r="AV268" i="1"/>
  <c r="AW268" i="1"/>
  <c r="AX268" i="1"/>
  <c r="AY268" i="1"/>
  <c r="AZ268" i="1"/>
  <c r="BA268" i="1"/>
  <c r="BB268" i="1"/>
  <c r="BC268" i="1"/>
  <c r="BD268" i="1"/>
  <c r="BE268" i="1"/>
  <c r="BF268" i="1"/>
  <c r="BG268" i="1"/>
  <c r="BH268" i="1"/>
  <c r="BI268" i="1"/>
  <c r="BJ268" i="1"/>
  <c r="BK268" i="1"/>
  <c r="BL268" i="1"/>
  <c r="AR269" i="1"/>
  <c r="AS269" i="1"/>
  <c r="AT269" i="1"/>
  <c r="AU269" i="1"/>
  <c r="AV269" i="1"/>
  <c r="AW269" i="1"/>
  <c r="AX269" i="1"/>
  <c r="AY269" i="1"/>
  <c r="AZ269" i="1"/>
  <c r="BA269" i="1"/>
  <c r="BB269" i="1"/>
  <c r="BC269" i="1"/>
  <c r="BD269" i="1"/>
  <c r="BE269" i="1"/>
  <c r="BF269" i="1"/>
  <c r="BG269" i="1"/>
  <c r="BH269" i="1"/>
  <c r="BI269" i="1"/>
  <c r="BJ269" i="1"/>
  <c r="BK269" i="1"/>
  <c r="BL269" i="1"/>
  <c r="AR270" i="1"/>
  <c r="AS270" i="1"/>
  <c r="AT270" i="1"/>
  <c r="AU270" i="1"/>
  <c r="AV270" i="1"/>
  <c r="AW270" i="1"/>
  <c r="AX270" i="1"/>
  <c r="AY270" i="1"/>
  <c r="AZ270" i="1"/>
  <c r="BA270" i="1"/>
  <c r="BB270" i="1"/>
  <c r="BC270" i="1"/>
  <c r="BD270" i="1"/>
  <c r="BE270" i="1"/>
  <c r="BF270" i="1"/>
  <c r="BG270" i="1"/>
  <c r="BH270" i="1"/>
  <c r="BI270" i="1"/>
  <c r="BJ270" i="1"/>
  <c r="BK270" i="1"/>
  <c r="BL270" i="1"/>
  <c r="AR271" i="1"/>
  <c r="AS271" i="1"/>
  <c r="AT271" i="1"/>
  <c r="AU271" i="1"/>
  <c r="AV271" i="1"/>
  <c r="AW271" i="1"/>
  <c r="AX271" i="1"/>
  <c r="AY271" i="1"/>
  <c r="AZ271" i="1"/>
  <c r="BA271" i="1"/>
  <c r="BB271" i="1"/>
  <c r="BC271" i="1"/>
  <c r="BD271" i="1"/>
  <c r="BE271" i="1"/>
  <c r="BF271" i="1"/>
  <c r="BG271" i="1"/>
  <c r="BH271" i="1"/>
  <c r="BI271" i="1"/>
  <c r="BJ271" i="1"/>
  <c r="BK271" i="1"/>
  <c r="BL271" i="1"/>
  <c r="AR272" i="1"/>
  <c r="AS272" i="1"/>
  <c r="AT272" i="1"/>
  <c r="AU272" i="1"/>
  <c r="AV272" i="1"/>
  <c r="AW272" i="1"/>
  <c r="AX272" i="1"/>
  <c r="AY272" i="1"/>
  <c r="AZ272" i="1"/>
  <c r="BA272" i="1"/>
  <c r="BB272" i="1"/>
  <c r="BC272" i="1"/>
  <c r="BD272" i="1"/>
  <c r="BE272" i="1"/>
  <c r="BF272" i="1"/>
  <c r="BG272" i="1"/>
  <c r="BH272" i="1"/>
  <c r="BI272" i="1"/>
  <c r="BJ272" i="1"/>
  <c r="BK272" i="1"/>
  <c r="BL272" i="1"/>
  <c r="AR273" i="1"/>
  <c r="AS273" i="1"/>
  <c r="AT273" i="1"/>
  <c r="AU273" i="1"/>
  <c r="AV273" i="1"/>
  <c r="AW273" i="1"/>
  <c r="AX273" i="1"/>
  <c r="AY273" i="1"/>
  <c r="AZ273" i="1"/>
  <c r="BA273" i="1"/>
  <c r="BB273" i="1"/>
  <c r="BC273" i="1"/>
  <c r="BD273" i="1"/>
  <c r="BE273" i="1"/>
  <c r="BF273" i="1"/>
  <c r="BG273" i="1"/>
  <c r="BH273" i="1"/>
  <c r="BI273" i="1"/>
  <c r="BJ273" i="1"/>
  <c r="BK273" i="1"/>
  <c r="BL273" i="1"/>
  <c r="AR274" i="1"/>
  <c r="AS274" i="1"/>
  <c r="AT274" i="1"/>
  <c r="AU274" i="1"/>
  <c r="AV274" i="1"/>
  <c r="AW274" i="1"/>
  <c r="AX274" i="1"/>
  <c r="AY274" i="1"/>
  <c r="AZ274" i="1"/>
  <c r="BA274" i="1"/>
  <c r="BB274" i="1"/>
  <c r="BC274" i="1"/>
  <c r="BD274" i="1"/>
  <c r="BE274" i="1"/>
  <c r="BF274" i="1"/>
  <c r="BG274" i="1"/>
  <c r="BH274" i="1"/>
  <c r="BI274" i="1"/>
  <c r="BJ274" i="1"/>
  <c r="BK274" i="1"/>
  <c r="BL274" i="1"/>
  <c r="AR275" i="1"/>
  <c r="AS275" i="1"/>
  <c r="AT275" i="1"/>
  <c r="AU275" i="1"/>
  <c r="AV275" i="1"/>
  <c r="AW275" i="1"/>
  <c r="AX275" i="1"/>
  <c r="AY275" i="1"/>
  <c r="AZ275" i="1"/>
  <c r="BA275" i="1"/>
  <c r="BB275" i="1"/>
  <c r="BC275" i="1"/>
  <c r="BD275" i="1"/>
  <c r="BE275" i="1"/>
  <c r="BF275" i="1"/>
  <c r="BG275" i="1"/>
  <c r="BH275" i="1"/>
  <c r="BI275" i="1"/>
  <c r="BJ275" i="1"/>
  <c r="BK275" i="1"/>
  <c r="BL275" i="1"/>
  <c r="AR276" i="1"/>
  <c r="AS276" i="1"/>
  <c r="AT276" i="1"/>
  <c r="AU276" i="1"/>
  <c r="AV276" i="1"/>
  <c r="AW276" i="1"/>
  <c r="AX276" i="1"/>
  <c r="AY276" i="1"/>
  <c r="AZ276" i="1"/>
  <c r="BA276" i="1"/>
  <c r="BB276" i="1"/>
  <c r="BC276" i="1"/>
  <c r="BD276" i="1"/>
  <c r="BE276" i="1"/>
  <c r="BF276" i="1"/>
  <c r="BG276" i="1"/>
  <c r="BH276" i="1"/>
  <c r="BI276" i="1"/>
  <c r="BJ276" i="1"/>
  <c r="BK276" i="1"/>
  <c r="BL276" i="1"/>
  <c r="AR277" i="1"/>
  <c r="AS277" i="1"/>
  <c r="AT277" i="1"/>
  <c r="AU277" i="1"/>
  <c r="AV277" i="1"/>
  <c r="AW277" i="1"/>
  <c r="AX277" i="1"/>
  <c r="AY277" i="1"/>
  <c r="AZ277" i="1"/>
  <c r="BA277" i="1"/>
  <c r="BB277" i="1"/>
  <c r="BC277" i="1"/>
  <c r="BD277" i="1"/>
  <c r="BE277" i="1"/>
  <c r="BF277" i="1"/>
  <c r="BG277" i="1"/>
  <c r="BH277" i="1"/>
  <c r="BI277" i="1"/>
  <c r="BJ277" i="1"/>
  <c r="BK277" i="1"/>
  <c r="BL277" i="1"/>
  <c r="AR278" i="1"/>
  <c r="AS278" i="1"/>
  <c r="AT278" i="1"/>
  <c r="AU278" i="1"/>
  <c r="AV278" i="1"/>
  <c r="AW278" i="1"/>
  <c r="AX278" i="1"/>
  <c r="AY278" i="1"/>
  <c r="AZ278" i="1"/>
  <c r="BA278" i="1"/>
  <c r="BB278" i="1"/>
  <c r="BC278" i="1"/>
  <c r="BD278" i="1"/>
  <c r="BE278" i="1"/>
  <c r="BF278" i="1"/>
  <c r="BG278" i="1"/>
  <c r="BH278" i="1"/>
  <c r="BI278" i="1"/>
  <c r="BJ278" i="1"/>
  <c r="BK278" i="1"/>
  <c r="BL278" i="1"/>
  <c r="AR279" i="1"/>
  <c r="AS279" i="1"/>
  <c r="AT279" i="1"/>
  <c r="AU279" i="1"/>
  <c r="AV279" i="1"/>
  <c r="AW279" i="1"/>
  <c r="AX279" i="1"/>
  <c r="AY279" i="1"/>
  <c r="AZ279" i="1"/>
  <c r="BA279" i="1"/>
  <c r="BB279" i="1"/>
  <c r="BC279" i="1"/>
  <c r="BD279" i="1"/>
  <c r="BE279" i="1"/>
  <c r="BF279" i="1"/>
  <c r="BG279" i="1"/>
  <c r="BH279" i="1"/>
  <c r="BI279" i="1"/>
  <c r="BJ279" i="1"/>
  <c r="BK279" i="1"/>
  <c r="BL279" i="1"/>
  <c r="AR280" i="1"/>
  <c r="AS280" i="1"/>
  <c r="AT280" i="1"/>
  <c r="AU280" i="1"/>
  <c r="AV280" i="1"/>
  <c r="AW280" i="1"/>
  <c r="AX280" i="1"/>
  <c r="AY280" i="1"/>
  <c r="AZ280" i="1"/>
  <c r="BA280" i="1"/>
  <c r="BB280" i="1"/>
  <c r="BC280" i="1"/>
  <c r="BD280" i="1"/>
  <c r="BE280" i="1"/>
  <c r="BF280" i="1"/>
  <c r="BG280" i="1"/>
  <c r="BH280" i="1"/>
  <c r="BI280" i="1"/>
  <c r="BJ280" i="1"/>
  <c r="BK280" i="1"/>
  <c r="BL280" i="1"/>
  <c r="AR281" i="1"/>
  <c r="AS281" i="1"/>
  <c r="AT281" i="1"/>
  <c r="AU281" i="1"/>
  <c r="AV281" i="1"/>
  <c r="AW281" i="1"/>
  <c r="AX281" i="1"/>
  <c r="AY281" i="1"/>
  <c r="AZ281" i="1"/>
  <c r="BA281" i="1"/>
  <c r="BB281" i="1"/>
  <c r="BC281" i="1"/>
  <c r="BD281" i="1"/>
  <c r="BE281" i="1"/>
  <c r="BF281" i="1"/>
  <c r="BG281" i="1"/>
  <c r="BH281" i="1"/>
  <c r="BI281" i="1"/>
  <c r="BJ281" i="1"/>
  <c r="BK281" i="1"/>
  <c r="BL281" i="1"/>
  <c r="AR282" i="1"/>
  <c r="AS282" i="1"/>
  <c r="AT282" i="1"/>
  <c r="AU282" i="1"/>
  <c r="AV282" i="1"/>
  <c r="AW282" i="1"/>
  <c r="AX282" i="1"/>
  <c r="AY282" i="1"/>
  <c r="AZ282" i="1"/>
  <c r="BA282" i="1"/>
  <c r="BB282" i="1"/>
  <c r="BC282" i="1"/>
  <c r="BD282" i="1"/>
  <c r="BE282" i="1"/>
  <c r="BF282" i="1"/>
  <c r="BG282" i="1"/>
  <c r="BH282" i="1"/>
  <c r="BI282" i="1"/>
  <c r="BJ282" i="1"/>
  <c r="BK282" i="1"/>
  <c r="BL282" i="1"/>
  <c r="AR283" i="1"/>
  <c r="AS283" i="1"/>
  <c r="AT283" i="1"/>
  <c r="AU283" i="1"/>
  <c r="AV283" i="1"/>
  <c r="AW283" i="1"/>
  <c r="AX283" i="1"/>
  <c r="AY283" i="1"/>
  <c r="AZ283" i="1"/>
  <c r="BA283" i="1"/>
  <c r="BB283" i="1"/>
  <c r="BC283" i="1"/>
  <c r="BD283" i="1"/>
  <c r="BE283" i="1"/>
  <c r="BF283" i="1"/>
  <c r="BG283" i="1"/>
  <c r="BH283" i="1"/>
  <c r="BI283" i="1"/>
  <c r="BJ283" i="1"/>
  <c r="BK283" i="1"/>
  <c r="BL283" i="1"/>
  <c r="AR284" i="1"/>
  <c r="AS284" i="1"/>
  <c r="AT284" i="1"/>
  <c r="AU284" i="1"/>
  <c r="AV284" i="1"/>
  <c r="AW284" i="1"/>
  <c r="AX284" i="1"/>
  <c r="AY284" i="1"/>
  <c r="AZ284" i="1"/>
  <c r="BA284" i="1"/>
  <c r="BB284" i="1"/>
  <c r="BC284" i="1"/>
  <c r="BD284" i="1"/>
  <c r="BE284" i="1"/>
  <c r="BF284" i="1"/>
  <c r="BG284" i="1"/>
  <c r="BH284" i="1"/>
  <c r="BI284" i="1"/>
  <c r="BJ284" i="1"/>
  <c r="BK284" i="1"/>
  <c r="BL284" i="1"/>
  <c r="AR285" i="1"/>
  <c r="AS285" i="1"/>
  <c r="AT285" i="1"/>
  <c r="AU285" i="1"/>
  <c r="AV285" i="1"/>
  <c r="AW285" i="1"/>
  <c r="AX285" i="1"/>
  <c r="AY285" i="1"/>
  <c r="AZ285" i="1"/>
  <c r="BA285" i="1"/>
  <c r="BB285" i="1"/>
  <c r="BC285" i="1"/>
  <c r="BD285" i="1"/>
  <c r="BE285" i="1"/>
  <c r="BF285" i="1"/>
  <c r="BG285" i="1"/>
  <c r="BH285" i="1"/>
  <c r="BI285" i="1"/>
  <c r="BJ285" i="1"/>
  <c r="BK285" i="1"/>
  <c r="BL285" i="1"/>
  <c r="AR286" i="1"/>
  <c r="AS286" i="1"/>
  <c r="AT286" i="1"/>
  <c r="AU286" i="1"/>
  <c r="AV286" i="1"/>
  <c r="AW286" i="1"/>
  <c r="AX286" i="1"/>
  <c r="AY286" i="1"/>
  <c r="AZ286" i="1"/>
  <c r="BA286" i="1"/>
  <c r="BB286" i="1"/>
  <c r="BC286" i="1"/>
  <c r="BD286" i="1"/>
  <c r="BE286" i="1"/>
  <c r="BF286" i="1"/>
  <c r="BG286" i="1"/>
  <c r="BH286" i="1"/>
  <c r="BI286" i="1"/>
  <c r="BJ286" i="1"/>
  <c r="BK286" i="1"/>
  <c r="BL286" i="1"/>
  <c r="AR287" i="1"/>
  <c r="AS287" i="1"/>
  <c r="AT287" i="1"/>
  <c r="AU287" i="1"/>
  <c r="AV287" i="1"/>
  <c r="AW287" i="1"/>
  <c r="AX287" i="1"/>
  <c r="AY287" i="1"/>
  <c r="AZ287" i="1"/>
  <c r="BA287" i="1"/>
  <c r="BB287" i="1"/>
  <c r="BC287" i="1"/>
  <c r="BD287" i="1"/>
  <c r="BE287" i="1"/>
  <c r="BF287" i="1"/>
  <c r="BG287" i="1"/>
  <c r="BH287" i="1"/>
  <c r="BI287" i="1"/>
  <c r="BJ287" i="1"/>
  <c r="BK287" i="1"/>
  <c r="BL287" i="1"/>
  <c r="AR288" i="1"/>
  <c r="AS288" i="1"/>
  <c r="AT288" i="1"/>
  <c r="AU288" i="1"/>
  <c r="AV288" i="1"/>
  <c r="AW288" i="1"/>
  <c r="AX288" i="1"/>
  <c r="AY288" i="1"/>
  <c r="AZ288" i="1"/>
  <c r="BA288" i="1"/>
  <c r="BB288" i="1"/>
  <c r="BC288" i="1"/>
  <c r="BD288" i="1"/>
  <c r="BE288" i="1"/>
  <c r="BF288" i="1"/>
  <c r="BG288" i="1"/>
  <c r="BH288" i="1"/>
  <c r="BI288" i="1"/>
  <c r="BJ288" i="1"/>
  <c r="BK288" i="1"/>
  <c r="BL288" i="1"/>
  <c r="AR289" i="1"/>
  <c r="AS289" i="1"/>
  <c r="AT289" i="1"/>
  <c r="AU289" i="1"/>
  <c r="AV289" i="1"/>
  <c r="AW289" i="1"/>
  <c r="AX289" i="1"/>
  <c r="AY289" i="1"/>
  <c r="AZ289" i="1"/>
  <c r="BA289" i="1"/>
  <c r="BB289" i="1"/>
  <c r="BC289" i="1"/>
  <c r="BD289" i="1"/>
  <c r="BE289" i="1"/>
  <c r="BF289" i="1"/>
  <c r="BG289" i="1"/>
  <c r="BH289" i="1"/>
  <c r="BI289" i="1"/>
  <c r="BJ289" i="1"/>
  <c r="BK289" i="1"/>
  <c r="BL289" i="1"/>
  <c r="AR290" i="1"/>
  <c r="AS290" i="1"/>
  <c r="AT290" i="1"/>
  <c r="AU290" i="1"/>
  <c r="AV290" i="1"/>
  <c r="AW290" i="1"/>
  <c r="AX290" i="1"/>
  <c r="AY290" i="1"/>
  <c r="AZ290" i="1"/>
  <c r="BA290" i="1"/>
  <c r="BB290" i="1"/>
  <c r="BC290" i="1"/>
  <c r="BD290" i="1"/>
  <c r="BE290" i="1"/>
  <c r="BF290" i="1"/>
  <c r="BG290" i="1"/>
  <c r="BH290" i="1"/>
  <c r="BI290" i="1"/>
  <c r="BJ290" i="1"/>
  <c r="BK290" i="1"/>
  <c r="BL290" i="1"/>
  <c r="AR291" i="1"/>
  <c r="AS291" i="1"/>
  <c r="AT291" i="1"/>
  <c r="AU291" i="1"/>
  <c r="AV291" i="1"/>
  <c r="AW291" i="1"/>
  <c r="AX291" i="1"/>
  <c r="AY291" i="1"/>
  <c r="AZ291" i="1"/>
  <c r="BA291" i="1"/>
  <c r="BB291" i="1"/>
  <c r="BC291" i="1"/>
  <c r="BD291" i="1"/>
  <c r="BE291" i="1"/>
  <c r="BF291" i="1"/>
  <c r="BG291" i="1"/>
  <c r="BH291" i="1"/>
  <c r="BI291" i="1"/>
  <c r="BJ291" i="1"/>
  <c r="BK291" i="1"/>
  <c r="BL291" i="1"/>
  <c r="AR292" i="1"/>
  <c r="AS292" i="1"/>
  <c r="AT292" i="1"/>
  <c r="AU292" i="1"/>
  <c r="AV292" i="1"/>
  <c r="AW292" i="1"/>
  <c r="AX292" i="1"/>
  <c r="AY292" i="1"/>
  <c r="AZ292" i="1"/>
  <c r="BA292" i="1"/>
  <c r="BB292" i="1"/>
  <c r="BC292" i="1"/>
  <c r="BD292" i="1"/>
  <c r="BE292" i="1"/>
  <c r="BF292" i="1"/>
  <c r="BG292" i="1"/>
  <c r="BH292" i="1"/>
  <c r="BI292" i="1"/>
  <c r="BJ292" i="1"/>
  <c r="BK292" i="1"/>
  <c r="BL292" i="1"/>
  <c r="AR293" i="1"/>
  <c r="AS293" i="1"/>
  <c r="AT293" i="1"/>
  <c r="AU293" i="1"/>
  <c r="AV293" i="1"/>
  <c r="AW293" i="1"/>
  <c r="AX293" i="1"/>
  <c r="AY293" i="1"/>
  <c r="AZ293" i="1"/>
  <c r="BA293" i="1"/>
  <c r="BB293" i="1"/>
  <c r="BC293" i="1"/>
  <c r="BD293" i="1"/>
  <c r="BE293" i="1"/>
  <c r="BF293" i="1"/>
  <c r="BG293" i="1"/>
  <c r="BH293" i="1"/>
  <c r="BI293" i="1"/>
  <c r="BJ293" i="1"/>
  <c r="BK293" i="1"/>
  <c r="BL293" i="1"/>
  <c r="AR294" i="1"/>
  <c r="AS294" i="1"/>
  <c r="AT294" i="1"/>
  <c r="AU294" i="1"/>
  <c r="AV294" i="1"/>
  <c r="AW294" i="1"/>
  <c r="AX294" i="1"/>
  <c r="AY294" i="1"/>
  <c r="AZ294" i="1"/>
  <c r="BA294" i="1"/>
  <c r="BB294" i="1"/>
  <c r="BC294" i="1"/>
  <c r="BD294" i="1"/>
  <c r="BE294" i="1"/>
  <c r="BF294" i="1"/>
  <c r="BG294" i="1"/>
  <c r="BH294" i="1"/>
  <c r="BI294" i="1"/>
  <c r="BJ294" i="1"/>
  <c r="BK294" i="1"/>
  <c r="BL294" i="1"/>
  <c r="AR295" i="1"/>
  <c r="AS295" i="1"/>
  <c r="AT295" i="1"/>
  <c r="AU295" i="1"/>
  <c r="AV295" i="1"/>
  <c r="AW295" i="1"/>
  <c r="AX295" i="1"/>
  <c r="AY295" i="1"/>
  <c r="AZ295" i="1"/>
  <c r="BA295" i="1"/>
  <c r="BB295" i="1"/>
  <c r="BC295" i="1"/>
  <c r="BD295" i="1"/>
  <c r="BE295" i="1"/>
  <c r="BF295" i="1"/>
  <c r="BG295" i="1"/>
  <c r="BH295" i="1"/>
  <c r="BI295" i="1"/>
  <c r="BJ295" i="1"/>
  <c r="BK295" i="1"/>
  <c r="BL295" i="1"/>
  <c r="AR296" i="1"/>
  <c r="AS296" i="1"/>
  <c r="AT296" i="1"/>
  <c r="AU296" i="1"/>
  <c r="AV296" i="1"/>
  <c r="AW296" i="1"/>
  <c r="AX296" i="1"/>
  <c r="AY296" i="1"/>
  <c r="AZ296" i="1"/>
  <c r="BA296" i="1"/>
  <c r="BB296" i="1"/>
  <c r="BC296" i="1"/>
  <c r="BD296" i="1"/>
  <c r="BE296" i="1"/>
  <c r="BF296" i="1"/>
  <c r="BG296" i="1"/>
  <c r="BH296" i="1"/>
  <c r="BI296" i="1"/>
  <c r="BJ296" i="1"/>
  <c r="BK296" i="1"/>
  <c r="BL296" i="1"/>
  <c r="AR297" i="1"/>
  <c r="AS297" i="1"/>
  <c r="AT297" i="1"/>
  <c r="AU297" i="1"/>
  <c r="AV297" i="1"/>
  <c r="AW297" i="1"/>
  <c r="AX297" i="1"/>
  <c r="AY297" i="1"/>
  <c r="AZ297" i="1"/>
  <c r="BA297" i="1"/>
  <c r="BB297" i="1"/>
  <c r="BC297" i="1"/>
  <c r="BD297" i="1"/>
  <c r="BE297" i="1"/>
  <c r="BF297" i="1"/>
  <c r="BG297" i="1"/>
  <c r="BH297" i="1"/>
  <c r="BI297" i="1"/>
  <c r="BJ297" i="1"/>
  <c r="BK297" i="1"/>
  <c r="BL297" i="1"/>
  <c r="AR298" i="1"/>
  <c r="AS298" i="1"/>
  <c r="AT298" i="1"/>
  <c r="AU298" i="1"/>
  <c r="AV298" i="1"/>
  <c r="AW298" i="1"/>
  <c r="AX298" i="1"/>
  <c r="AY298" i="1"/>
  <c r="AZ298" i="1"/>
  <c r="BA298" i="1"/>
  <c r="BB298" i="1"/>
  <c r="BC298" i="1"/>
  <c r="BD298" i="1"/>
  <c r="BE298" i="1"/>
  <c r="BF298" i="1"/>
  <c r="BG298" i="1"/>
  <c r="BH298" i="1"/>
  <c r="BI298" i="1"/>
  <c r="BJ298" i="1"/>
  <c r="BK298" i="1"/>
  <c r="BL298" i="1"/>
  <c r="AR299" i="1"/>
  <c r="AS299" i="1"/>
  <c r="AT299" i="1"/>
  <c r="AU299" i="1"/>
  <c r="AV299" i="1"/>
  <c r="AW299" i="1"/>
  <c r="AX299" i="1"/>
  <c r="AY299" i="1"/>
  <c r="AZ299" i="1"/>
  <c r="BA299" i="1"/>
  <c r="BB299" i="1"/>
  <c r="BC299" i="1"/>
  <c r="BD299" i="1"/>
  <c r="BE299" i="1"/>
  <c r="BF299" i="1"/>
  <c r="BG299" i="1"/>
  <c r="BH299" i="1"/>
  <c r="BI299" i="1"/>
  <c r="BJ299" i="1"/>
  <c r="BK299" i="1"/>
  <c r="BL299" i="1"/>
  <c r="AR300" i="1"/>
  <c r="AS300" i="1"/>
  <c r="AT300" i="1"/>
  <c r="AU300" i="1"/>
  <c r="AV300" i="1"/>
  <c r="AW300" i="1"/>
  <c r="AX300" i="1"/>
  <c r="AY300" i="1"/>
  <c r="AZ300" i="1"/>
  <c r="BA300" i="1"/>
  <c r="BB300" i="1"/>
  <c r="BC300" i="1"/>
  <c r="BD300" i="1"/>
  <c r="BE300" i="1"/>
  <c r="BF300" i="1"/>
  <c r="BG300" i="1"/>
  <c r="BH300" i="1"/>
  <c r="BI300" i="1"/>
  <c r="BJ300" i="1"/>
  <c r="BK300" i="1"/>
  <c r="BL300" i="1"/>
  <c r="AR301" i="1"/>
  <c r="AS301" i="1"/>
  <c r="AT301" i="1"/>
  <c r="AU301" i="1"/>
  <c r="AV301" i="1"/>
  <c r="AW301" i="1"/>
  <c r="AX301" i="1"/>
  <c r="AY301" i="1"/>
  <c r="AZ301" i="1"/>
  <c r="BA301" i="1"/>
  <c r="BB301" i="1"/>
  <c r="BC301" i="1"/>
  <c r="BD301" i="1"/>
  <c r="BE301" i="1"/>
  <c r="BF301" i="1"/>
  <c r="BG301" i="1"/>
  <c r="BH301" i="1"/>
  <c r="BI301" i="1"/>
  <c r="BJ301" i="1"/>
  <c r="BK301" i="1"/>
  <c r="BL301" i="1"/>
  <c r="AR302" i="1"/>
  <c r="AS302" i="1"/>
  <c r="AT302" i="1"/>
  <c r="AU302" i="1"/>
  <c r="AV302" i="1"/>
  <c r="AW302" i="1"/>
  <c r="AX302" i="1"/>
  <c r="AY302" i="1"/>
  <c r="AZ302" i="1"/>
  <c r="BA302" i="1"/>
  <c r="BB302" i="1"/>
  <c r="BC302" i="1"/>
  <c r="BD302" i="1"/>
  <c r="BE302" i="1"/>
  <c r="BF302" i="1"/>
  <c r="BG302" i="1"/>
  <c r="BH302" i="1"/>
  <c r="BI302" i="1"/>
  <c r="BJ302" i="1"/>
  <c r="BK302" i="1"/>
  <c r="BL302" i="1"/>
  <c r="AR303" i="1"/>
  <c r="AS303" i="1"/>
  <c r="AT303" i="1"/>
  <c r="AU303" i="1"/>
  <c r="AV303" i="1"/>
  <c r="AW303" i="1"/>
  <c r="AX303" i="1"/>
  <c r="AY303" i="1"/>
  <c r="AZ303" i="1"/>
  <c r="BA303" i="1"/>
  <c r="BB303" i="1"/>
  <c r="BC303" i="1"/>
  <c r="BD303" i="1"/>
  <c r="BE303" i="1"/>
  <c r="BF303" i="1"/>
  <c r="BG303" i="1"/>
  <c r="BH303" i="1"/>
  <c r="BI303" i="1"/>
  <c r="BJ303" i="1"/>
  <c r="BK303" i="1"/>
  <c r="BL303" i="1"/>
  <c r="AR304" i="1"/>
  <c r="AS304" i="1"/>
  <c r="AT304" i="1"/>
  <c r="AU304" i="1"/>
  <c r="AV304" i="1"/>
  <c r="AW304" i="1"/>
  <c r="AX304" i="1"/>
  <c r="AY304" i="1"/>
  <c r="AZ304" i="1"/>
  <c r="BA304" i="1"/>
  <c r="BB304" i="1"/>
  <c r="BC304" i="1"/>
  <c r="BD304" i="1"/>
  <c r="BE304" i="1"/>
  <c r="BF304" i="1"/>
  <c r="BG304" i="1"/>
  <c r="BH304" i="1"/>
  <c r="BI304" i="1"/>
  <c r="BJ304" i="1"/>
  <c r="BK304" i="1"/>
  <c r="BL304" i="1"/>
  <c r="AR305" i="1"/>
  <c r="AS305" i="1"/>
  <c r="AT305" i="1"/>
  <c r="AU305" i="1"/>
  <c r="AV305" i="1"/>
  <c r="AW305" i="1"/>
  <c r="AX305" i="1"/>
  <c r="AY305" i="1"/>
  <c r="AZ305" i="1"/>
  <c r="BA305" i="1"/>
  <c r="BB305" i="1"/>
  <c r="BC305" i="1"/>
  <c r="BD305" i="1"/>
  <c r="BE305" i="1"/>
  <c r="BF305" i="1"/>
  <c r="BG305" i="1"/>
  <c r="BH305" i="1"/>
  <c r="BI305" i="1"/>
  <c r="BJ305" i="1"/>
  <c r="BK305" i="1"/>
  <c r="BL305" i="1"/>
  <c r="AR306" i="1"/>
  <c r="AS306" i="1"/>
  <c r="AT306" i="1"/>
  <c r="AU306" i="1"/>
  <c r="AV306" i="1"/>
  <c r="AW306" i="1"/>
  <c r="AX306" i="1"/>
  <c r="AY306" i="1"/>
  <c r="AZ306" i="1"/>
  <c r="BA306" i="1"/>
  <c r="BB306" i="1"/>
  <c r="BC306" i="1"/>
  <c r="BD306" i="1"/>
  <c r="BE306" i="1"/>
  <c r="BF306" i="1"/>
  <c r="BG306" i="1"/>
  <c r="BH306" i="1"/>
  <c r="BI306" i="1"/>
  <c r="BJ306" i="1"/>
  <c r="BK306" i="1"/>
  <c r="BL306" i="1"/>
  <c r="AR307" i="1"/>
  <c r="AS307" i="1"/>
  <c r="AT307" i="1"/>
  <c r="AU307" i="1"/>
  <c r="AV307" i="1"/>
  <c r="AW307" i="1"/>
  <c r="AX307" i="1"/>
  <c r="AY307" i="1"/>
  <c r="AZ307" i="1"/>
  <c r="BA307" i="1"/>
  <c r="BB307" i="1"/>
  <c r="BC307" i="1"/>
  <c r="BD307" i="1"/>
  <c r="BE307" i="1"/>
  <c r="BF307" i="1"/>
  <c r="BG307" i="1"/>
  <c r="BH307" i="1"/>
  <c r="BI307" i="1"/>
  <c r="BJ307" i="1"/>
  <c r="BK307" i="1"/>
  <c r="BL307" i="1"/>
  <c r="AR308" i="1"/>
  <c r="AS308" i="1"/>
  <c r="AT308" i="1"/>
  <c r="AU308" i="1"/>
  <c r="AV308" i="1"/>
  <c r="AW308" i="1"/>
  <c r="AX308" i="1"/>
  <c r="AY308" i="1"/>
  <c r="AZ308" i="1"/>
  <c r="BA308" i="1"/>
  <c r="BB308" i="1"/>
  <c r="BC308" i="1"/>
  <c r="BD308" i="1"/>
  <c r="BE308" i="1"/>
  <c r="BF308" i="1"/>
  <c r="BG308" i="1"/>
  <c r="BH308" i="1"/>
  <c r="BI308" i="1"/>
  <c r="BJ308" i="1"/>
  <c r="BK308" i="1"/>
  <c r="BL308" i="1"/>
  <c r="AR309" i="1"/>
  <c r="AS309" i="1"/>
  <c r="AT309" i="1"/>
  <c r="AU309" i="1"/>
  <c r="AV309" i="1"/>
  <c r="AW309" i="1"/>
  <c r="AX309" i="1"/>
  <c r="AY309" i="1"/>
  <c r="AZ309" i="1"/>
  <c r="BA309" i="1"/>
  <c r="BB309" i="1"/>
  <c r="BC309" i="1"/>
  <c r="BD309" i="1"/>
  <c r="BE309" i="1"/>
  <c r="BF309" i="1"/>
  <c r="BG309" i="1"/>
  <c r="BH309" i="1"/>
  <c r="BI309" i="1"/>
  <c r="BJ309" i="1"/>
  <c r="BK309" i="1"/>
  <c r="BL309" i="1"/>
  <c r="AR310" i="1"/>
  <c r="AS310" i="1"/>
  <c r="AT310" i="1"/>
  <c r="AU310" i="1"/>
  <c r="AV310" i="1"/>
  <c r="AW310" i="1"/>
  <c r="AX310" i="1"/>
  <c r="AY310" i="1"/>
  <c r="AZ310" i="1"/>
  <c r="BA310" i="1"/>
  <c r="BB310" i="1"/>
  <c r="BC310" i="1"/>
  <c r="BD310" i="1"/>
  <c r="BE310" i="1"/>
  <c r="BF310" i="1"/>
  <c r="BG310" i="1"/>
  <c r="BH310" i="1"/>
  <c r="BI310" i="1"/>
  <c r="BJ310" i="1"/>
  <c r="BK310" i="1"/>
  <c r="BL310" i="1"/>
  <c r="AR311" i="1"/>
  <c r="AS311" i="1"/>
  <c r="AT311" i="1"/>
  <c r="AU311" i="1"/>
  <c r="AV311" i="1"/>
  <c r="AW311" i="1"/>
  <c r="AX311" i="1"/>
  <c r="AY311" i="1"/>
  <c r="AZ311" i="1"/>
  <c r="BA311" i="1"/>
  <c r="BB311" i="1"/>
  <c r="BC311" i="1"/>
  <c r="BD311" i="1"/>
  <c r="BE311" i="1"/>
  <c r="BF311" i="1"/>
  <c r="BG311" i="1"/>
  <c r="BH311" i="1"/>
  <c r="BI311" i="1"/>
  <c r="BJ311" i="1"/>
  <c r="BK311" i="1"/>
  <c r="BL311" i="1"/>
  <c r="AR312" i="1"/>
  <c r="AS312" i="1"/>
  <c r="AT312" i="1"/>
  <c r="AU312" i="1"/>
  <c r="AV312" i="1"/>
  <c r="AW312" i="1"/>
  <c r="AX312" i="1"/>
  <c r="AY312" i="1"/>
  <c r="AZ312" i="1"/>
  <c r="BA312" i="1"/>
  <c r="BB312" i="1"/>
  <c r="BC312" i="1"/>
  <c r="BD312" i="1"/>
  <c r="BE312" i="1"/>
  <c r="BF312" i="1"/>
  <c r="BG312" i="1"/>
  <c r="BH312" i="1"/>
  <c r="BI312" i="1"/>
  <c r="BJ312" i="1"/>
  <c r="BK312" i="1"/>
  <c r="BL312" i="1"/>
  <c r="AR313" i="1"/>
  <c r="AS313" i="1"/>
  <c r="AT313" i="1"/>
  <c r="AU313" i="1"/>
  <c r="AV313" i="1"/>
  <c r="AW313" i="1"/>
  <c r="AX313" i="1"/>
  <c r="AY313" i="1"/>
  <c r="AZ313" i="1"/>
  <c r="BA313" i="1"/>
  <c r="BB313" i="1"/>
  <c r="BC313" i="1"/>
  <c r="BD313" i="1"/>
  <c r="BE313" i="1"/>
  <c r="BF313" i="1"/>
  <c r="BG313" i="1"/>
  <c r="BH313" i="1"/>
  <c r="BI313" i="1"/>
  <c r="BJ313" i="1"/>
  <c r="BK313" i="1"/>
  <c r="BL313" i="1"/>
  <c r="AR314" i="1"/>
  <c r="AS314" i="1"/>
  <c r="AT314" i="1"/>
  <c r="AU314" i="1"/>
  <c r="AV314" i="1"/>
  <c r="AW314" i="1"/>
  <c r="AX314" i="1"/>
  <c r="AY314" i="1"/>
  <c r="AZ314" i="1"/>
  <c r="BA314" i="1"/>
  <c r="BB314" i="1"/>
  <c r="BC314" i="1"/>
  <c r="BD314" i="1"/>
  <c r="BE314" i="1"/>
  <c r="BF314" i="1"/>
  <c r="BG314" i="1"/>
  <c r="BH314" i="1"/>
  <c r="BI314" i="1"/>
  <c r="BJ314" i="1"/>
  <c r="BK314" i="1"/>
  <c r="BL314" i="1"/>
  <c r="AR315" i="1"/>
  <c r="AS315" i="1"/>
  <c r="AT315" i="1"/>
  <c r="AU315" i="1"/>
  <c r="AV315" i="1"/>
  <c r="AW315" i="1"/>
  <c r="AX315" i="1"/>
  <c r="AY315" i="1"/>
  <c r="AZ315" i="1"/>
  <c r="BA315" i="1"/>
  <c r="BB315" i="1"/>
  <c r="BC315" i="1"/>
  <c r="BD315" i="1"/>
  <c r="BE315" i="1"/>
  <c r="BF315" i="1"/>
  <c r="BG315" i="1"/>
  <c r="BH315" i="1"/>
  <c r="BI315" i="1"/>
  <c r="BJ315" i="1"/>
  <c r="BK315" i="1"/>
  <c r="BL315" i="1"/>
  <c r="AR316" i="1"/>
  <c r="AS316" i="1"/>
  <c r="AT316" i="1"/>
  <c r="AU316" i="1"/>
  <c r="AV316" i="1"/>
  <c r="AW316" i="1"/>
  <c r="AX316" i="1"/>
  <c r="AY316" i="1"/>
  <c r="AZ316" i="1"/>
  <c r="BA316" i="1"/>
  <c r="BB316" i="1"/>
  <c r="BC316" i="1"/>
  <c r="BD316" i="1"/>
  <c r="BE316" i="1"/>
  <c r="BF316" i="1"/>
  <c r="BG316" i="1"/>
  <c r="BH316" i="1"/>
  <c r="BI316" i="1"/>
  <c r="BJ316" i="1"/>
  <c r="BK316" i="1"/>
  <c r="BL316" i="1"/>
  <c r="AR317" i="1"/>
  <c r="AS317" i="1"/>
  <c r="AT317" i="1"/>
  <c r="AU317" i="1"/>
  <c r="AV317" i="1"/>
  <c r="AW317" i="1"/>
  <c r="AX317" i="1"/>
  <c r="AY317" i="1"/>
  <c r="AZ317" i="1"/>
  <c r="BA317" i="1"/>
  <c r="BB317" i="1"/>
  <c r="BC317" i="1"/>
  <c r="BD317" i="1"/>
  <c r="BE317" i="1"/>
  <c r="BF317" i="1"/>
  <c r="BG317" i="1"/>
  <c r="BH317" i="1"/>
  <c r="BI317" i="1"/>
  <c r="BJ317" i="1"/>
  <c r="BK317" i="1"/>
  <c r="BL317" i="1"/>
  <c r="AR318" i="1"/>
  <c r="AS318" i="1"/>
  <c r="AT318" i="1"/>
  <c r="AU318" i="1"/>
  <c r="AV318" i="1"/>
  <c r="AW318" i="1"/>
  <c r="AX318" i="1"/>
  <c r="AY318" i="1"/>
  <c r="AZ318" i="1"/>
  <c r="BA318" i="1"/>
  <c r="BB318" i="1"/>
  <c r="BC318" i="1"/>
  <c r="BD318" i="1"/>
  <c r="BE318" i="1"/>
  <c r="BF318" i="1"/>
  <c r="BG318" i="1"/>
  <c r="BH318" i="1"/>
  <c r="BI318" i="1"/>
  <c r="BJ318" i="1"/>
  <c r="BK318" i="1"/>
  <c r="BL318" i="1"/>
  <c r="AR319" i="1"/>
  <c r="AS319" i="1"/>
  <c r="AT319" i="1"/>
  <c r="AU319" i="1"/>
  <c r="AV319" i="1"/>
  <c r="AW319" i="1"/>
  <c r="AX319" i="1"/>
  <c r="AY319" i="1"/>
  <c r="AZ319" i="1"/>
  <c r="BA319" i="1"/>
  <c r="BB319" i="1"/>
  <c r="BC319" i="1"/>
  <c r="BD319" i="1"/>
  <c r="BE319" i="1"/>
  <c r="BF319" i="1"/>
  <c r="BG319" i="1"/>
  <c r="BH319" i="1"/>
  <c r="BI319" i="1"/>
  <c r="BJ319" i="1"/>
  <c r="BK319" i="1"/>
  <c r="BL319" i="1"/>
  <c r="AR320" i="1"/>
  <c r="AS320" i="1"/>
  <c r="AT320" i="1"/>
  <c r="AU320" i="1"/>
  <c r="AV320" i="1"/>
  <c r="AW320" i="1"/>
  <c r="AX320" i="1"/>
  <c r="AY320" i="1"/>
  <c r="AZ320" i="1"/>
  <c r="BA320" i="1"/>
  <c r="BB320" i="1"/>
  <c r="BC320" i="1"/>
  <c r="BD320" i="1"/>
  <c r="BE320" i="1"/>
  <c r="BF320" i="1"/>
  <c r="BG320" i="1"/>
  <c r="BH320" i="1"/>
  <c r="BI320" i="1"/>
  <c r="BJ320" i="1"/>
  <c r="BK320" i="1"/>
  <c r="BL320" i="1"/>
  <c r="AR321" i="1"/>
  <c r="AS321" i="1"/>
  <c r="AT321" i="1"/>
  <c r="AU321" i="1"/>
  <c r="AV321" i="1"/>
  <c r="AW321" i="1"/>
  <c r="AX321" i="1"/>
  <c r="AY321" i="1"/>
  <c r="AZ321" i="1"/>
  <c r="BA321" i="1"/>
  <c r="BB321" i="1"/>
  <c r="BC321" i="1"/>
  <c r="BD321" i="1"/>
  <c r="BE321" i="1"/>
  <c r="BF321" i="1"/>
  <c r="BG321" i="1"/>
  <c r="BH321" i="1"/>
  <c r="BI321" i="1"/>
  <c r="BJ321" i="1"/>
  <c r="BK321" i="1"/>
  <c r="BL321" i="1"/>
  <c r="AR322" i="1"/>
  <c r="AS322" i="1"/>
  <c r="AT322" i="1"/>
  <c r="AU322" i="1"/>
  <c r="AV322" i="1"/>
  <c r="AW322" i="1"/>
  <c r="AX322" i="1"/>
  <c r="AY322" i="1"/>
  <c r="AZ322" i="1"/>
  <c r="BA322" i="1"/>
  <c r="BB322" i="1"/>
  <c r="BC322" i="1"/>
  <c r="BD322" i="1"/>
  <c r="BE322" i="1"/>
  <c r="BF322" i="1"/>
  <c r="BG322" i="1"/>
  <c r="BH322" i="1"/>
  <c r="BI322" i="1"/>
  <c r="BJ322" i="1"/>
  <c r="BK322" i="1"/>
  <c r="BL322" i="1"/>
  <c r="AR323" i="1"/>
  <c r="AS323" i="1"/>
  <c r="AT323" i="1"/>
  <c r="AU323" i="1"/>
  <c r="AV323" i="1"/>
  <c r="AW323" i="1"/>
  <c r="AX323" i="1"/>
  <c r="AY323" i="1"/>
  <c r="AZ323" i="1"/>
  <c r="BA323" i="1"/>
  <c r="BB323" i="1"/>
  <c r="BC323" i="1"/>
  <c r="BD323" i="1"/>
  <c r="BE323" i="1"/>
  <c r="BF323" i="1"/>
  <c r="BG323" i="1"/>
  <c r="BH323" i="1"/>
  <c r="BI323" i="1"/>
  <c r="BJ323" i="1"/>
  <c r="BK323" i="1"/>
  <c r="BL323" i="1"/>
  <c r="AR324" i="1"/>
  <c r="AS324" i="1"/>
  <c r="AT324" i="1"/>
  <c r="AU324" i="1"/>
  <c r="AV324" i="1"/>
  <c r="AW324" i="1"/>
  <c r="AX324" i="1"/>
  <c r="AY324" i="1"/>
  <c r="AZ324" i="1"/>
  <c r="BA324" i="1"/>
  <c r="BB324" i="1"/>
  <c r="BC324" i="1"/>
  <c r="BD324" i="1"/>
  <c r="BE324" i="1"/>
  <c r="BF324" i="1"/>
  <c r="BG324" i="1"/>
  <c r="BH324" i="1"/>
  <c r="BI324" i="1"/>
  <c r="BJ324" i="1"/>
  <c r="BK324" i="1"/>
  <c r="BL324" i="1"/>
  <c r="AR325" i="1"/>
  <c r="AS325" i="1"/>
  <c r="AT325" i="1"/>
  <c r="AU325" i="1"/>
  <c r="AV325" i="1"/>
  <c r="AW325" i="1"/>
  <c r="AX325" i="1"/>
  <c r="AY325" i="1"/>
  <c r="AZ325" i="1"/>
  <c r="BA325" i="1"/>
  <c r="BB325" i="1"/>
  <c r="BC325" i="1"/>
  <c r="BD325" i="1"/>
  <c r="BE325" i="1"/>
  <c r="BF325" i="1"/>
  <c r="BG325" i="1"/>
  <c r="BH325" i="1"/>
  <c r="BI325" i="1"/>
  <c r="BJ325" i="1"/>
  <c r="BK325" i="1"/>
  <c r="BL325" i="1"/>
  <c r="AR326" i="1"/>
  <c r="AS326" i="1"/>
  <c r="AT326" i="1"/>
  <c r="AU326" i="1"/>
  <c r="AV326" i="1"/>
  <c r="AW326" i="1"/>
  <c r="AX326" i="1"/>
  <c r="AY326" i="1"/>
  <c r="AZ326" i="1"/>
  <c r="BA326" i="1"/>
  <c r="BB326" i="1"/>
  <c r="BC326" i="1"/>
  <c r="BD326" i="1"/>
  <c r="BE326" i="1"/>
  <c r="BF326" i="1"/>
  <c r="BG326" i="1"/>
  <c r="BH326" i="1"/>
  <c r="BI326" i="1"/>
  <c r="BJ326" i="1"/>
  <c r="BK326" i="1"/>
  <c r="BL326" i="1"/>
  <c r="AR327" i="1"/>
  <c r="AS327" i="1"/>
  <c r="AT327" i="1"/>
  <c r="AU327" i="1"/>
  <c r="AV327" i="1"/>
  <c r="AW327" i="1"/>
  <c r="AX327" i="1"/>
  <c r="AY327" i="1"/>
  <c r="AZ327" i="1"/>
  <c r="BA327" i="1"/>
  <c r="BB327" i="1"/>
  <c r="BC327" i="1"/>
  <c r="BD327" i="1"/>
  <c r="BE327" i="1"/>
  <c r="BF327" i="1"/>
  <c r="BG327" i="1"/>
  <c r="BH327" i="1"/>
  <c r="BI327" i="1"/>
  <c r="BJ327" i="1"/>
  <c r="BK327" i="1"/>
  <c r="BL327" i="1"/>
  <c r="AR328" i="1"/>
  <c r="AS328" i="1"/>
  <c r="AT328" i="1"/>
  <c r="AU328" i="1"/>
  <c r="AV328" i="1"/>
  <c r="AW328" i="1"/>
  <c r="AX328" i="1"/>
  <c r="AY328" i="1"/>
  <c r="AZ328" i="1"/>
  <c r="BA328" i="1"/>
  <c r="BB328" i="1"/>
  <c r="BC328" i="1"/>
  <c r="BD328" i="1"/>
  <c r="BE328" i="1"/>
  <c r="BF328" i="1"/>
  <c r="BG328" i="1"/>
  <c r="BH328" i="1"/>
  <c r="BI328" i="1"/>
  <c r="BJ328" i="1"/>
  <c r="BK328" i="1"/>
  <c r="BL328" i="1"/>
  <c r="AR329" i="1"/>
  <c r="AS329" i="1"/>
  <c r="AT329" i="1"/>
  <c r="AU329" i="1"/>
  <c r="AV329" i="1"/>
  <c r="AW329" i="1"/>
  <c r="AX329" i="1"/>
  <c r="AY329" i="1"/>
  <c r="AZ329" i="1"/>
  <c r="BA329" i="1"/>
  <c r="BB329" i="1"/>
  <c r="BC329" i="1"/>
  <c r="BD329" i="1"/>
  <c r="BE329" i="1"/>
  <c r="BF329" i="1"/>
  <c r="BG329" i="1"/>
  <c r="BH329" i="1"/>
  <c r="BI329" i="1"/>
  <c r="BJ329" i="1"/>
  <c r="BK329" i="1"/>
  <c r="BL329" i="1"/>
  <c r="AR330" i="1"/>
  <c r="AS330" i="1"/>
  <c r="AT330" i="1"/>
  <c r="AU330" i="1"/>
  <c r="AV330" i="1"/>
  <c r="AW330" i="1"/>
  <c r="AX330" i="1"/>
  <c r="AY330" i="1"/>
  <c r="AZ330" i="1"/>
  <c r="BA330" i="1"/>
  <c r="BB330" i="1"/>
  <c r="BC330" i="1"/>
  <c r="BD330" i="1"/>
  <c r="BE330" i="1"/>
  <c r="BF330" i="1"/>
  <c r="BG330" i="1"/>
  <c r="BH330" i="1"/>
  <c r="BI330" i="1"/>
  <c r="BJ330" i="1"/>
  <c r="BK330" i="1"/>
  <c r="BL330" i="1"/>
  <c r="AR331" i="1"/>
  <c r="AS331" i="1"/>
  <c r="AT331" i="1"/>
  <c r="AU331" i="1"/>
  <c r="AV331" i="1"/>
  <c r="AW331" i="1"/>
  <c r="AX331" i="1"/>
  <c r="AY331" i="1"/>
  <c r="AZ331" i="1"/>
  <c r="BA331" i="1"/>
  <c r="BB331" i="1"/>
  <c r="BC331" i="1"/>
  <c r="BD331" i="1"/>
  <c r="BE331" i="1"/>
  <c r="BF331" i="1"/>
  <c r="BG331" i="1"/>
  <c r="BH331" i="1"/>
  <c r="BI331" i="1"/>
  <c r="BJ331" i="1"/>
  <c r="BK331" i="1"/>
  <c r="BL331" i="1"/>
  <c r="AR332" i="1"/>
  <c r="AS332" i="1"/>
  <c r="AT332" i="1"/>
  <c r="AU332" i="1"/>
  <c r="AV332" i="1"/>
  <c r="AW332" i="1"/>
  <c r="AX332" i="1"/>
  <c r="AY332" i="1"/>
  <c r="AZ332" i="1"/>
  <c r="BA332" i="1"/>
  <c r="BB332" i="1"/>
  <c r="BC332" i="1"/>
  <c r="BD332" i="1"/>
  <c r="BE332" i="1"/>
  <c r="BF332" i="1"/>
  <c r="BG332" i="1"/>
  <c r="BH332" i="1"/>
  <c r="BI332" i="1"/>
  <c r="BJ332" i="1"/>
  <c r="BK332" i="1"/>
  <c r="BL332" i="1"/>
  <c r="AR333" i="1"/>
  <c r="AS333" i="1"/>
  <c r="AT333" i="1"/>
  <c r="AU333" i="1"/>
  <c r="AV333" i="1"/>
  <c r="AW333" i="1"/>
  <c r="AX333" i="1"/>
  <c r="AY333" i="1"/>
  <c r="AZ333" i="1"/>
  <c r="BA333" i="1"/>
  <c r="BB333" i="1"/>
  <c r="BC333" i="1"/>
  <c r="BD333" i="1"/>
  <c r="BE333" i="1"/>
  <c r="BF333" i="1"/>
  <c r="BG333" i="1"/>
  <c r="BH333" i="1"/>
  <c r="BI333" i="1"/>
  <c r="BJ333" i="1"/>
  <c r="BK333" i="1"/>
  <c r="BL333" i="1"/>
  <c r="AR334" i="1"/>
  <c r="AS334" i="1"/>
  <c r="AT334" i="1"/>
  <c r="AU334" i="1"/>
  <c r="AV334" i="1"/>
  <c r="AW334" i="1"/>
  <c r="AX334" i="1"/>
  <c r="AY334" i="1"/>
  <c r="AZ334" i="1"/>
  <c r="BA334" i="1"/>
  <c r="BB334" i="1"/>
  <c r="BC334" i="1"/>
  <c r="BD334" i="1"/>
  <c r="BE334" i="1"/>
  <c r="BF334" i="1"/>
  <c r="BG334" i="1"/>
  <c r="BH334" i="1"/>
  <c r="BI334" i="1"/>
  <c r="BJ334" i="1"/>
  <c r="BK334" i="1"/>
  <c r="BL334" i="1"/>
  <c r="AR335" i="1"/>
  <c r="AS335" i="1"/>
  <c r="AT335" i="1"/>
  <c r="AU335" i="1"/>
  <c r="AV335" i="1"/>
  <c r="AW335" i="1"/>
  <c r="AX335" i="1"/>
  <c r="AY335" i="1"/>
  <c r="AZ335" i="1"/>
  <c r="BA335" i="1"/>
  <c r="BB335" i="1"/>
  <c r="BC335" i="1"/>
  <c r="BD335" i="1"/>
  <c r="BE335" i="1"/>
  <c r="BF335" i="1"/>
  <c r="BG335" i="1"/>
  <c r="BH335" i="1"/>
  <c r="BI335" i="1"/>
  <c r="BJ335" i="1"/>
  <c r="BK335" i="1"/>
  <c r="BL335" i="1"/>
  <c r="AR336" i="1"/>
  <c r="AS336" i="1"/>
  <c r="AT336" i="1"/>
  <c r="AU336" i="1"/>
  <c r="AV336" i="1"/>
  <c r="AW336" i="1"/>
  <c r="AX336" i="1"/>
  <c r="AY336" i="1"/>
  <c r="AZ336" i="1"/>
  <c r="BA336" i="1"/>
  <c r="BB336" i="1"/>
  <c r="BC336" i="1"/>
  <c r="BD336" i="1"/>
  <c r="BE336" i="1"/>
  <c r="BF336" i="1"/>
  <c r="BG336" i="1"/>
  <c r="BH336" i="1"/>
  <c r="BI336" i="1"/>
  <c r="BJ336" i="1"/>
  <c r="BK336" i="1"/>
  <c r="BL336" i="1"/>
  <c r="AR337" i="1"/>
  <c r="AS337" i="1"/>
  <c r="AT337" i="1"/>
  <c r="AU337" i="1"/>
  <c r="AV337" i="1"/>
  <c r="AW337" i="1"/>
  <c r="AX337" i="1"/>
  <c r="AY337" i="1"/>
  <c r="AZ337" i="1"/>
  <c r="BA337" i="1"/>
  <c r="BB337" i="1"/>
  <c r="BC337" i="1"/>
  <c r="BD337" i="1"/>
  <c r="BE337" i="1"/>
  <c r="BF337" i="1"/>
  <c r="BG337" i="1"/>
  <c r="BH337" i="1"/>
  <c r="BI337" i="1"/>
  <c r="BJ337" i="1"/>
  <c r="BK337" i="1"/>
  <c r="BL337" i="1"/>
  <c r="AR338" i="1"/>
  <c r="AS338" i="1"/>
  <c r="AT338" i="1"/>
  <c r="AU338" i="1"/>
  <c r="AV338" i="1"/>
  <c r="AW338" i="1"/>
  <c r="AX338" i="1"/>
  <c r="AY338" i="1"/>
  <c r="AZ338" i="1"/>
  <c r="BA338" i="1"/>
  <c r="BB338" i="1"/>
  <c r="BC338" i="1"/>
  <c r="BD338" i="1"/>
  <c r="BE338" i="1"/>
  <c r="BF338" i="1"/>
  <c r="BG338" i="1"/>
  <c r="BH338" i="1"/>
  <c r="BI338" i="1"/>
  <c r="BJ338" i="1"/>
  <c r="BK338" i="1"/>
  <c r="BL338" i="1"/>
  <c r="AR339" i="1"/>
  <c r="AS339" i="1"/>
  <c r="AT339" i="1"/>
  <c r="AU339" i="1"/>
  <c r="AV339" i="1"/>
  <c r="AW339" i="1"/>
  <c r="AX339" i="1"/>
  <c r="AY339" i="1"/>
  <c r="AZ339" i="1"/>
  <c r="BA339" i="1"/>
  <c r="BB339" i="1"/>
  <c r="BC339" i="1"/>
  <c r="BD339" i="1"/>
  <c r="BE339" i="1"/>
  <c r="BF339" i="1"/>
  <c r="BG339" i="1"/>
  <c r="BH339" i="1"/>
  <c r="BI339" i="1"/>
  <c r="BJ339" i="1"/>
  <c r="BK339" i="1"/>
  <c r="BL339" i="1"/>
  <c r="AR340" i="1"/>
  <c r="AS340" i="1"/>
  <c r="AT340" i="1"/>
  <c r="AU340" i="1"/>
  <c r="AV340" i="1"/>
  <c r="AW340" i="1"/>
  <c r="AX340" i="1"/>
  <c r="AY340" i="1"/>
  <c r="AZ340" i="1"/>
  <c r="BA340" i="1"/>
  <c r="BB340" i="1"/>
  <c r="BC340" i="1"/>
  <c r="BD340" i="1"/>
  <c r="BE340" i="1"/>
  <c r="BF340" i="1"/>
  <c r="BG340" i="1"/>
  <c r="BH340" i="1"/>
  <c r="BI340" i="1"/>
  <c r="BJ340" i="1"/>
  <c r="BK340" i="1"/>
  <c r="BL340" i="1"/>
  <c r="AR341" i="1"/>
  <c r="AS341" i="1"/>
  <c r="AT341" i="1"/>
  <c r="AU341" i="1"/>
  <c r="AV341" i="1"/>
  <c r="AW341" i="1"/>
  <c r="AX341" i="1"/>
  <c r="AY341" i="1"/>
  <c r="AZ341" i="1"/>
  <c r="BA341" i="1"/>
  <c r="BB341" i="1"/>
  <c r="BC341" i="1"/>
  <c r="BD341" i="1"/>
  <c r="BE341" i="1"/>
  <c r="BF341" i="1"/>
  <c r="BG341" i="1"/>
  <c r="BH341" i="1"/>
  <c r="BI341" i="1"/>
  <c r="BJ341" i="1"/>
  <c r="BK341" i="1"/>
  <c r="BL341" i="1"/>
  <c r="AR342" i="1"/>
  <c r="AS342" i="1"/>
  <c r="AT342" i="1"/>
  <c r="AU342" i="1"/>
  <c r="AV342" i="1"/>
  <c r="AW342" i="1"/>
  <c r="AX342" i="1"/>
  <c r="AY342" i="1"/>
  <c r="AZ342" i="1"/>
  <c r="BA342" i="1"/>
  <c r="BB342" i="1"/>
  <c r="BC342" i="1"/>
  <c r="BD342" i="1"/>
  <c r="BE342" i="1"/>
  <c r="BF342" i="1"/>
  <c r="BG342" i="1"/>
  <c r="BH342" i="1"/>
  <c r="BI342" i="1"/>
  <c r="BJ342" i="1"/>
  <c r="BK342" i="1"/>
  <c r="BL342" i="1"/>
  <c r="AR343" i="1"/>
  <c r="AS343" i="1"/>
  <c r="AT343" i="1"/>
  <c r="AU343" i="1"/>
  <c r="AV343" i="1"/>
  <c r="AW343" i="1"/>
  <c r="AX343" i="1"/>
  <c r="AY343" i="1"/>
  <c r="AZ343" i="1"/>
  <c r="BA343" i="1"/>
  <c r="BB343" i="1"/>
  <c r="BC343" i="1"/>
  <c r="BD343" i="1"/>
  <c r="BE343" i="1"/>
  <c r="BF343" i="1"/>
  <c r="BG343" i="1"/>
  <c r="BH343" i="1"/>
  <c r="BI343" i="1"/>
  <c r="BJ343" i="1"/>
  <c r="BK343" i="1"/>
  <c r="BL343" i="1"/>
  <c r="AR344" i="1"/>
  <c r="AS344" i="1"/>
  <c r="AT344" i="1"/>
  <c r="AU344" i="1"/>
  <c r="AV344" i="1"/>
  <c r="AW344" i="1"/>
  <c r="AX344" i="1"/>
  <c r="AY344" i="1"/>
  <c r="AZ344" i="1"/>
  <c r="BA344" i="1"/>
  <c r="BB344" i="1"/>
  <c r="BC344" i="1"/>
  <c r="BD344" i="1"/>
  <c r="BE344" i="1"/>
  <c r="BF344" i="1"/>
  <c r="BG344" i="1"/>
  <c r="BH344" i="1"/>
  <c r="BI344" i="1"/>
  <c r="BJ344" i="1"/>
  <c r="BK344" i="1"/>
  <c r="BL344" i="1"/>
  <c r="AR345" i="1"/>
  <c r="AS345" i="1"/>
  <c r="AT345" i="1"/>
  <c r="AU345" i="1"/>
  <c r="AV345" i="1"/>
  <c r="AW345" i="1"/>
  <c r="AX345" i="1"/>
  <c r="AY345" i="1"/>
  <c r="AZ345" i="1"/>
  <c r="BA345" i="1"/>
  <c r="BB345" i="1"/>
  <c r="BC345" i="1"/>
  <c r="BD345" i="1"/>
  <c r="BE345" i="1"/>
  <c r="BF345" i="1"/>
  <c r="BG345" i="1"/>
  <c r="BH345" i="1"/>
  <c r="BI345" i="1"/>
  <c r="BJ345" i="1"/>
  <c r="BK345" i="1"/>
  <c r="BL345" i="1"/>
  <c r="AR346" i="1"/>
  <c r="AS346" i="1"/>
  <c r="AT346" i="1"/>
  <c r="AU346" i="1"/>
  <c r="AV346" i="1"/>
  <c r="AW346" i="1"/>
  <c r="AX346" i="1"/>
  <c r="AY346" i="1"/>
  <c r="AZ346" i="1"/>
  <c r="BA346" i="1"/>
  <c r="BB346" i="1"/>
  <c r="BC346" i="1"/>
  <c r="BD346" i="1"/>
  <c r="BE346" i="1"/>
  <c r="BF346" i="1"/>
  <c r="BG346" i="1"/>
  <c r="BH346" i="1"/>
  <c r="BI346" i="1"/>
  <c r="BJ346" i="1"/>
  <c r="BK346" i="1"/>
  <c r="BL346" i="1"/>
  <c r="AR347" i="1"/>
  <c r="AS347" i="1"/>
  <c r="AT347" i="1"/>
  <c r="AU347" i="1"/>
  <c r="AV347" i="1"/>
  <c r="AW347" i="1"/>
  <c r="AX347" i="1"/>
  <c r="AY347" i="1"/>
  <c r="AZ347" i="1"/>
  <c r="BA347" i="1"/>
  <c r="BB347" i="1"/>
  <c r="BC347" i="1"/>
  <c r="BD347" i="1"/>
  <c r="BE347" i="1"/>
  <c r="BF347" i="1"/>
  <c r="BG347" i="1"/>
  <c r="BH347" i="1"/>
  <c r="BI347" i="1"/>
  <c r="BJ347" i="1"/>
  <c r="BK347" i="1"/>
  <c r="BL347" i="1"/>
  <c r="AR348" i="1"/>
  <c r="AS348" i="1"/>
  <c r="AT348" i="1"/>
  <c r="AU348" i="1"/>
  <c r="AV348" i="1"/>
  <c r="AW348" i="1"/>
  <c r="AX348" i="1"/>
  <c r="AY348" i="1"/>
  <c r="AZ348" i="1"/>
  <c r="BA348" i="1"/>
  <c r="BB348" i="1"/>
  <c r="BC348" i="1"/>
  <c r="BD348" i="1"/>
  <c r="BE348" i="1"/>
  <c r="BF348" i="1"/>
  <c r="BG348" i="1"/>
  <c r="BH348" i="1"/>
  <c r="BI348" i="1"/>
  <c r="BJ348" i="1"/>
  <c r="BK348" i="1"/>
  <c r="BL348" i="1"/>
  <c r="AR349" i="1"/>
  <c r="AS349" i="1"/>
  <c r="AT349" i="1"/>
  <c r="AU349" i="1"/>
  <c r="AV349" i="1"/>
  <c r="AW349" i="1"/>
  <c r="AX349" i="1"/>
  <c r="AY349" i="1"/>
  <c r="AZ349" i="1"/>
  <c r="BA349" i="1"/>
  <c r="BB349" i="1"/>
  <c r="BC349" i="1"/>
  <c r="BD349" i="1"/>
  <c r="BE349" i="1"/>
  <c r="BF349" i="1"/>
  <c r="BG349" i="1"/>
  <c r="BH349" i="1"/>
  <c r="BI349" i="1"/>
  <c r="BJ349" i="1"/>
  <c r="BK349" i="1"/>
  <c r="BL349" i="1"/>
  <c r="AR350" i="1"/>
  <c r="AS350" i="1"/>
  <c r="AT350" i="1"/>
  <c r="AU350" i="1"/>
  <c r="AV350" i="1"/>
  <c r="AW350" i="1"/>
  <c r="AX350" i="1"/>
  <c r="AY350" i="1"/>
  <c r="AZ350" i="1"/>
  <c r="BA350" i="1"/>
  <c r="BB350" i="1"/>
  <c r="BC350" i="1"/>
  <c r="BD350" i="1"/>
  <c r="BE350" i="1"/>
  <c r="BF350" i="1"/>
  <c r="BG350" i="1"/>
  <c r="BH350" i="1"/>
  <c r="BI350" i="1"/>
  <c r="BJ350" i="1"/>
  <c r="BK350" i="1"/>
  <c r="BL350" i="1"/>
  <c r="AR351" i="1"/>
  <c r="AS351" i="1"/>
  <c r="AT351" i="1"/>
  <c r="AU351" i="1"/>
  <c r="AV351" i="1"/>
  <c r="AW351" i="1"/>
  <c r="AX351" i="1"/>
  <c r="AY351" i="1"/>
  <c r="AZ351" i="1"/>
  <c r="BA351" i="1"/>
  <c r="BB351" i="1"/>
  <c r="BC351" i="1"/>
  <c r="BD351" i="1"/>
  <c r="BE351" i="1"/>
  <c r="BF351" i="1"/>
  <c r="BG351" i="1"/>
  <c r="BH351" i="1"/>
  <c r="BI351" i="1"/>
  <c r="BJ351" i="1"/>
  <c r="BK351" i="1"/>
  <c r="BL351" i="1"/>
  <c r="AR352" i="1"/>
  <c r="AS352" i="1"/>
  <c r="AT352" i="1"/>
  <c r="AU352" i="1"/>
  <c r="AV352" i="1"/>
  <c r="AW352" i="1"/>
  <c r="AX352" i="1"/>
  <c r="AY352" i="1"/>
  <c r="AZ352" i="1"/>
  <c r="BA352" i="1"/>
  <c r="BB352" i="1"/>
  <c r="BC352" i="1"/>
  <c r="BD352" i="1"/>
  <c r="BE352" i="1"/>
  <c r="BF352" i="1"/>
  <c r="BG352" i="1"/>
  <c r="BH352" i="1"/>
  <c r="BI352" i="1"/>
  <c r="BJ352" i="1"/>
  <c r="BK352" i="1"/>
  <c r="BL352" i="1"/>
  <c r="AR353" i="1"/>
  <c r="AS353" i="1"/>
  <c r="AT353" i="1"/>
  <c r="AU353" i="1"/>
  <c r="AV353" i="1"/>
  <c r="AW353" i="1"/>
  <c r="AX353" i="1"/>
  <c r="AY353" i="1"/>
  <c r="AZ353" i="1"/>
  <c r="BA353" i="1"/>
  <c r="BB353" i="1"/>
  <c r="BC353" i="1"/>
  <c r="BD353" i="1"/>
  <c r="BE353" i="1"/>
  <c r="BF353" i="1"/>
  <c r="BG353" i="1"/>
  <c r="BH353" i="1"/>
  <c r="BI353" i="1"/>
  <c r="BJ353" i="1"/>
  <c r="BK353" i="1"/>
  <c r="BL353" i="1"/>
  <c r="AR354" i="1"/>
  <c r="AS354" i="1"/>
  <c r="AT354" i="1"/>
  <c r="AU354" i="1"/>
  <c r="AV354" i="1"/>
  <c r="AW354" i="1"/>
  <c r="AX354" i="1"/>
  <c r="AY354" i="1"/>
  <c r="AZ354" i="1"/>
  <c r="BA354" i="1"/>
  <c r="BB354" i="1"/>
  <c r="BC354" i="1"/>
  <c r="BD354" i="1"/>
  <c r="BE354" i="1"/>
  <c r="BF354" i="1"/>
  <c r="BG354" i="1"/>
  <c r="BH354" i="1"/>
  <c r="BI354" i="1"/>
  <c r="BJ354" i="1"/>
  <c r="BK354" i="1"/>
  <c r="BL354" i="1"/>
  <c r="AR355" i="1"/>
  <c r="AS355" i="1"/>
  <c r="AT355" i="1"/>
  <c r="AU355" i="1"/>
  <c r="AV355" i="1"/>
  <c r="AW355" i="1"/>
  <c r="AX355" i="1"/>
  <c r="AY355" i="1"/>
  <c r="AZ355" i="1"/>
  <c r="BA355" i="1"/>
  <c r="BB355" i="1"/>
  <c r="BC355" i="1"/>
  <c r="BD355" i="1"/>
  <c r="BE355" i="1"/>
  <c r="BF355" i="1"/>
  <c r="BG355" i="1"/>
  <c r="BH355" i="1"/>
  <c r="BI355" i="1"/>
  <c r="BJ355" i="1"/>
  <c r="BK355" i="1"/>
  <c r="BL355" i="1"/>
  <c r="AR356" i="1"/>
  <c r="AS356" i="1"/>
  <c r="AT356" i="1"/>
  <c r="AU356" i="1"/>
  <c r="AV356" i="1"/>
  <c r="AW356" i="1"/>
  <c r="AX356" i="1"/>
  <c r="AY356" i="1"/>
  <c r="AZ356" i="1"/>
  <c r="BA356" i="1"/>
  <c r="BB356" i="1"/>
  <c r="BC356" i="1"/>
  <c r="BD356" i="1"/>
  <c r="BE356" i="1"/>
  <c r="BF356" i="1"/>
  <c r="BG356" i="1"/>
  <c r="BH356" i="1"/>
  <c r="BI356" i="1"/>
  <c r="BJ356" i="1"/>
  <c r="BK356" i="1"/>
  <c r="BL356" i="1"/>
  <c r="AR357" i="1"/>
  <c r="AS357" i="1"/>
  <c r="AT357" i="1"/>
  <c r="AU357" i="1"/>
  <c r="AV357" i="1"/>
  <c r="AW357" i="1"/>
  <c r="AX357" i="1"/>
  <c r="AY357" i="1"/>
  <c r="AZ357" i="1"/>
  <c r="BA357" i="1"/>
  <c r="BB357" i="1"/>
  <c r="BC357" i="1"/>
  <c r="BD357" i="1"/>
  <c r="BE357" i="1"/>
  <c r="BF357" i="1"/>
  <c r="BG357" i="1"/>
  <c r="BH357" i="1"/>
  <c r="BI357" i="1"/>
  <c r="BJ357" i="1"/>
  <c r="BK357" i="1"/>
  <c r="BL357" i="1"/>
  <c r="AR358" i="1"/>
  <c r="AS358" i="1"/>
  <c r="AT358" i="1"/>
  <c r="AU358" i="1"/>
  <c r="AV358" i="1"/>
  <c r="AW358" i="1"/>
  <c r="AX358" i="1"/>
  <c r="AY358" i="1"/>
  <c r="AZ358" i="1"/>
  <c r="BA358" i="1"/>
  <c r="BB358" i="1"/>
  <c r="BC358" i="1"/>
  <c r="BD358" i="1"/>
  <c r="BE358" i="1"/>
  <c r="BF358" i="1"/>
  <c r="BG358" i="1"/>
  <c r="BH358" i="1"/>
  <c r="BI358" i="1"/>
  <c r="BJ358" i="1"/>
  <c r="BK358" i="1"/>
  <c r="BL358" i="1"/>
  <c r="AR359" i="1"/>
  <c r="AS359" i="1"/>
  <c r="AT359" i="1"/>
  <c r="AU359" i="1"/>
  <c r="AV359" i="1"/>
  <c r="AW359" i="1"/>
  <c r="AX359" i="1"/>
  <c r="AY359" i="1"/>
  <c r="AZ359" i="1"/>
  <c r="BA359" i="1"/>
  <c r="BB359" i="1"/>
  <c r="BC359" i="1"/>
  <c r="BD359" i="1"/>
  <c r="BE359" i="1"/>
  <c r="BF359" i="1"/>
  <c r="BG359" i="1"/>
  <c r="BH359" i="1"/>
  <c r="BI359" i="1"/>
  <c r="BJ359" i="1"/>
  <c r="BK359" i="1"/>
  <c r="BL359" i="1"/>
  <c r="AR360" i="1"/>
  <c r="AS360" i="1"/>
  <c r="AT360" i="1"/>
  <c r="AU360" i="1"/>
  <c r="AV360" i="1"/>
  <c r="AW360" i="1"/>
  <c r="AX360" i="1"/>
  <c r="AY360" i="1"/>
  <c r="AZ360" i="1"/>
  <c r="BA360" i="1"/>
  <c r="BB360" i="1"/>
  <c r="BC360" i="1"/>
  <c r="BD360" i="1"/>
  <c r="BE360" i="1"/>
  <c r="BF360" i="1"/>
  <c r="BG360" i="1"/>
  <c r="BH360" i="1"/>
  <c r="BI360" i="1"/>
  <c r="BJ360" i="1"/>
  <c r="BK360" i="1"/>
  <c r="BL360" i="1"/>
  <c r="AR361" i="1"/>
  <c r="AS361" i="1"/>
  <c r="AT361" i="1"/>
  <c r="AU361" i="1"/>
  <c r="AV361" i="1"/>
  <c r="AW361" i="1"/>
  <c r="AX361" i="1"/>
  <c r="AY361" i="1"/>
  <c r="AZ361" i="1"/>
  <c r="BA361" i="1"/>
  <c r="BB361" i="1"/>
  <c r="BC361" i="1"/>
  <c r="BD361" i="1"/>
  <c r="BE361" i="1"/>
  <c r="BF361" i="1"/>
  <c r="BG361" i="1"/>
  <c r="BH361" i="1"/>
  <c r="BI361" i="1"/>
  <c r="BJ361" i="1"/>
  <c r="BK361" i="1"/>
  <c r="BL361" i="1"/>
  <c r="AR362" i="1"/>
  <c r="AS362" i="1"/>
  <c r="AT362" i="1"/>
  <c r="AU362" i="1"/>
  <c r="AV362" i="1"/>
  <c r="AW362" i="1"/>
  <c r="AX362" i="1"/>
  <c r="AY362" i="1"/>
  <c r="AZ362" i="1"/>
  <c r="BA362" i="1"/>
  <c r="BB362" i="1"/>
  <c r="BC362" i="1"/>
  <c r="BD362" i="1"/>
  <c r="BE362" i="1"/>
  <c r="BF362" i="1"/>
  <c r="BG362" i="1"/>
  <c r="BH362" i="1"/>
  <c r="BI362" i="1"/>
  <c r="BJ362" i="1"/>
  <c r="BK362" i="1"/>
  <c r="BL362" i="1"/>
  <c r="AR363" i="1"/>
  <c r="AS363" i="1"/>
  <c r="AT363" i="1"/>
  <c r="AU363" i="1"/>
  <c r="AV363" i="1"/>
  <c r="AW363" i="1"/>
  <c r="AX363" i="1"/>
  <c r="AY363" i="1"/>
  <c r="AZ363" i="1"/>
  <c r="BA363" i="1"/>
  <c r="BB363" i="1"/>
  <c r="BC363" i="1"/>
  <c r="BD363" i="1"/>
  <c r="BE363" i="1"/>
  <c r="BF363" i="1"/>
  <c r="BG363" i="1"/>
  <c r="BH363" i="1"/>
  <c r="BI363" i="1"/>
  <c r="BJ363" i="1"/>
  <c r="BK363" i="1"/>
  <c r="BL363" i="1"/>
  <c r="AR364" i="1"/>
  <c r="AS364" i="1"/>
  <c r="AT364" i="1"/>
  <c r="AU364" i="1"/>
  <c r="AV364" i="1"/>
  <c r="AW364" i="1"/>
  <c r="AX364" i="1"/>
  <c r="AY364" i="1"/>
  <c r="AZ364" i="1"/>
  <c r="BA364" i="1"/>
  <c r="BB364" i="1"/>
  <c r="BC364" i="1"/>
  <c r="BD364" i="1"/>
  <c r="BE364" i="1"/>
  <c r="BF364" i="1"/>
  <c r="BG364" i="1"/>
  <c r="BH364" i="1"/>
  <c r="BI364" i="1"/>
  <c r="BJ364" i="1"/>
  <c r="BK364" i="1"/>
  <c r="BL364" i="1"/>
  <c r="AR365" i="1"/>
  <c r="AS365" i="1"/>
  <c r="AT365" i="1"/>
  <c r="AU365" i="1"/>
  <c r="AV365" i="1"/>
  <c r="AW365" i="1"/>
  <c r="AX365" i="1"/>
  <c r="AY365" i="1"/>
  <c r="AZ365" i="1"/>
  <c r="BA365" i="1"/>
  <c r="BB365" i="1"/>
  <c r="BC365" i="1"/>
  <c r="BD365" i="1"/>
  <c r="BE365" i="1"/>
  <c r="BF365" i="1"/>
  <c r="BG365" i="1"/>
  <c r="BH365" i="1"/>
  <c r="BI365" i="1"/>
  <c r="BJ365" i="1"/>
  <c r="BK365" i="1"/>
  <c r="BL365" i="1"/>
  <c r="AR366" i="1"/>
  <c r="AS366" i="1"/>
  <c r="AT366" i="1"/>
  <c r="AU366" i="1"/>
  <c r="AV366" i="1"/>
  <c r="AW366" i="1"/>
  <c r="AX366" i="1"/>
  <c r="AY366" i="1"/>
  <c r="AZ366" i="1"/>
  <c r="BA366" i="1"/>
  <c r="BB366" i="1"/>
  <c r="BC366" i="1"/>
  <c r="BD366" i="1"/>
  <c r="BE366" i="1"/>
  <c r="BF366" i="1"/>
  <c r="BG366" i="1"/>
  <c r="BH366" i="1"/>
  <c r="BI366" i="1"/>
  <c r="BJ366" i="1"/>
  <c r="BK366" i="1"/>
  <c r="BL366" i="1"/>
  <c r="AR367" i="1"/>
  <c r="AS367" i="1"/>
  <c r="AT367" i="1"/>
  <c r="AU367" i="1"/>
  <c r="AV367" i="1"/>
  <c r="AW367" i="1"/>
  <c r="AX367" i="1"/>
  <c r="AY367" i="1"/>
  <c r="AZ367" i="1"/>
  <c r="BA367" i="1"/>
  <c r="BB367" i="1"/>
  <c r="BC367" i="1"/>
  <c r="BD367" i="1"/>
  <c r="BE367" i="1"/>
  <c r="BF367" i="1"/>
  <c r="BG367" i="1"/>
  <c r="BH367" i="1"/>
  <c r="BI367" i="1"/>
  <c r="BJ367" i="1"/>
  <c r="BK367" i="1"/>
  <c r="BL367" i="1"/>
  <c r="AR368" i="1"/>
  <c r="AS368" i="1"/>
  <c r="AT368" i="1"/>
  <c r="AU368" i="1"/>
  <c r="AV368" i="1"/>
  <c r="AW368" i="1"/>
  <c r="AX368" i="1"/>
  <c r="AY368" i="1"/>
  <c r="AZ368" i="1"/>
  <c r="BA368" i="1"/>
  <c r="BB368" i="1"/>
  <c r="BC368" i="1"/>
  <c r="BD368" i="1"/>
  <c r="BE368" i="1"/>
  <c r="BF368" i="1"/>
  <c r="BG368" i="1"/>
  <c r="BH368" i="1"/>
  <c r="BI368" i="1"/>
  <c r="BJ368" i="1"/>
  <c r="BK368" i="1"/>
  <c r="BL368" i="1"/>
  <c r="AR369" i="1"/>
  <c r="AS369" i="1"/>
  <c r="AT369" i="1"/>
  <c r="AU369" i="1"/>
  <c r="AV369" i="1"/>
  <c r="AW369" i="1"/>
  <c r="AX369" i="1"/>
  <c r="AY369" i="1"/>
  <c r="AZ369" i="1"/>
  <c r="BA369" i="1"/>
  <c r="BB369" i="1"/>
  <c r="BC369" i="1"/>
  <c r="BD369" i="1"/>
  <c r="BE369" i="1"/>
  <c r="BF369" i="1"/>
  <c r="BG369" i="1"/>
  <c r="BH369" i="1"/>
  <c r="BI369" i="1"/>
  <c r="BJ369" i="1"/>
  <c r="BK369" i="1"/>
  <c r="BL369" i="1"/>
  <c r="AR370" i="1"/>
  <c r="AS370" i="1"/>
  <c r="AT370" i="1"/>
  <c r="AU370" i="1"/>
  <c r="AV370" i="1"/>
  <c r="AW370" i="1"/>
  <c r="AX370" i="1"/>
  <c r="AY370" i="1"/>
  <c r="AZ370" i="1"/>
  <c r="BA370" i="1"/>
  <c r="BB370" i="1"/>
  <c r="BC370" i="1"/>
  <c r="BD370" i="1"/>
  <c r="BE370" i="1"/>
  <c r="BF370" i="1"/>
  <c r="BG370" i="1"/>
  <c r="BH370" i="1"/>
  <c r="BI370" i="1"/>
  <c r="BJ370" i="1"/>
  <c r="BK370" i="1"/>
  <c r="BL370" i="1"/>
  <c r="AR371" i="1"/>
  <c r="AS371" i="1"/>
  <c r="AT371" i="1"/>
  <c r="AU371" i="1"/>
  <c r="AV371" i="1"/>
  <c r="AW371" i="1"/>
  <c r="AX371" i="1"/>
  <c r="AY371" i="1"/>
  <c r="AZ371" i="1"/>
  <c r="BA371" i="1"/>
  <c r="BB371" i="1"/>
  <c r="BC371" i="1"/>
  <c r="BD371" i="1"/>
  <c r="BE371" i="1"/>
  <c r="BF371" i="1"/>
  <c r="BG371" i="1"/>
  <c r="BH371" i="1"/>
  <c r="BI371" i="1"/>
  <c r="BJ371" i="1"/>
  <c r="BK371" i="1"/>
  <c r="BL371" i="1"/>
  <c r="AR372" i="1"/>
  <c r="AS372" i="1"/>
  <c r="AT372" i="1"/>
  <c r="AU372" i="1"/>
  <c r="AV372" i="1"/>
  <c r="AW372" i="1"/>
  <c r="AX372" i="1"/>
  <c r="AY372" i="1"/>
  <c r="AZ372" i="1"/>
  <c r="BA372" i="1"/>
  <c r="BB372" i="1"/>
  <c r="BC372" i="1"/>
  <c r="BD372" i="1"/>
  <c r="BE372" i="1"/>
  <c r="BF372" i="1"/>
  <c r="BG372" i="1"/>
  <c r="BH372" i="1"/>
  <c r="BI372" i="1"/>
  <c r="BJ372" i="1"/>
  <c r="BK372" i="1"/>
  <c r="BL372" i="1"/>
  <c r="AR373" i="1"/>
  <c r="AS373" i="1"/>
  <c r="AT373" i="1"/>
  <c r="AU373" i="1"/>
  <c r="AV373" i="1"/>
  <c r="AW373" i="1"/>
  <c r="AX373" i="1"/>
  <c r="AY373" i="1"/>
  <c r="AZ373" i="1"/>
  <c r="BA373" i="1"/>
  <c r="BB373" i="1"/>
  <c r="BC373" i="1"/>
  <c r="BD373" i="1"/>
  <c r="BE373" i="1"/>
  <c r="BF373" i="1"/>
  <c r="BG373" i="1"/>
  <c r="BH373" i="1"/>
  <c r="BI373" i="1"/>
  <c r="BJ373" i="1"/>
  <c r="BK373" i="1"/>
  <c r="BL373" i="1"/>
  <c r="AR374" i="1"/>
  <c r="AS374" i="1"/>
  <c r="AT374" i="1"/>
  <c r="AU374" i="1"/>
  <c r="AV374" i="1"/>
  <c r="AW374" i="1"/>
  <c r="AX374" i="1"/>
  <c r="AY374" i="1"/>
  <c r="AZ374" i="1"/>
  <c r="BA374" i="1"/>
  <c r="BB374" i="1"/>
  <c r="BC374" i="1"/>
  <c r="BD374" i="1"/>
  <c r="BE374" i="1"/>
  <c r="BF374" i="1"/>
  <c r="BG374" i="1"/>
  <c r="BH374" i="1"/>
  <c r="BI374" i="1"/>
  <c r="BJ374" i="1"/>
  <c r="BK374" i="1"/>
  <c r="BL374" i="1"/>
  <c r="AR375" i="1"/>
  <c r="AS375" i="1"/>
  <c r="AT375" i="1"/>
  <c r="AU375" i="1"/>
  <c r="AV375" i="1"/>
  <c r="AW375" i="1"/>
  <c r="AX375" i="1"/>
  <c r="AY375" i="1"/>
  <c r="AZ375" i="1"/>
  <c r="BA375" i="1"/>
  <c r="BB375" i="1"/>
  <c r="BC375" i="1"/>
  <c r="BD375" i="1"/>
  <c r="BE375" i="1"/>
  <c r="BF375" i="1"/>
  <c r="BG375" i="1"/>
  <c r="BH375" i="1"/>
  <c r="BI375" i="1"/>
  <c r="BJ375" i="1"/>
  <c r="BK375" i="1"/>
  <c r="BL375" i="1"/>
  <c r="AR376" i="1"/>
  <c r="AS376" i="1"/>
  <c r="AT376" i="1"/>
  <c r="AU376" i="1"/>
  <c r="AV376" i="1"/>
  <c r="AW376" i="1"/>
  <c r="AX376" i="1"/>
  <c r="AY376" i="1"/>
  <c r="AZ376" i="1"/>
  <c r="BA376" i="1"/>
  <c r="BB376" i="1"/>
  <c r="BC376" i="1"/>
  <c r="BD376" i="1"/>
  <c r="BE376" i="1"/>
  <c r="BF376" i="1"/>
  <c r="BG376" i="1"/>
  <c r="BH376" i="1"/>
  <c r="BI376" i="1"/>
  <c r="BJ376" i="1"/>
  <c r="BK376" i="1"/>
  <c r="BL376" i="1"/>
  <c r="AR377" i="1"/>
  <c r="AS377" i="1"/>
  <c r="AT377" i="1"/>
  <c r="AU377" i="1"/>
  <c r="AV377" i="1"/>
  <c r="AW377" i="1"/>
  <c r="AX377" i="1"/>
  <c r="AY377" i="1"/>
  <c r="AZ377" i="1"/>
  <c r="BA377" i="1"/>
  <c r="BB377" i="1"/>
  <c r="BC377" i="1"/>
  <c r="BD377" i="1"/>
  <c r="BE377" i="1"/>
  <c r="BF377" i="1"/>
  <c r="BG377" i="1"/>
  <c r="BH377" i="1"/>
  <c r="BI377" i="1"/>
  <c r="BJ377" i="1"/>
  <c r="BK377" i="1"/>
  <c r="BL377" i="1"/>
  <c r="AR378" i="1"/>
  <c r="AS378" i="1"/>
  <c r="AT378" i="1"/>
  <c r="AU378" i="1"/>
  <c r="AV378" i="1"/>
  <c r="AW378" i="1"/>
  <c r="AX378" i="1"/>
  <c r="AY378" i="1"/>
  <c r="AZ378" i="1"/>
  <c r="BA378" i="1"/>
  <c r="BB378" i="1"/>
  <c r="BC378" i="1"/>
  <c r="BD378" i="1"/>
  <c r="BE378" i="1"/>
  <c r="BF378" i="1"/>
  <c r="BG378" i="1"/>
  <c r="BH378" i="1"/>
  <c r="BI378" i="1"/>
  <c r="BJ378" i="1"/>
  <c r="BK378" i="1"/>
  <c r="BL378" i="1"/>
  <c r="AR379" i="1"/>
  <c r="AS379" i="1"/>
  <c r="AT379" i="1"/>
  <c r="AU379" i="1"/>
  <c r="AV379" i="1"/>
  <c r="AW379" i="1"/>
  <c r="AX379" i="1"/>
  <c r="AY379" i="1"/>
  <c r="AZ379" i="1"/>
  <c r="BA379" i="1"/>
  <c r="BB379" i="1"/>
  <c r="BC379" i="1"/>
  <c r="BD379" i="1"/>
  <c r="BE379" i="1"/>
  <c r="BF379" i="1"/>
  <c r="BG379" i="1"/>
  <c r="BH379" i="1"/>
  <c r="BI379" i="1"/>
  <c r="BJ379" i="1"/>
  <c r="BK379" i="1"/>
  <c r="BL379" i="1"/>
  <c r="AR380" i="1"/>
  <c r="AS380" i="1"/>
  <c r="AT380" i="1"/>
  <c r="AU380" i="1"/>
  <c r="AV380" i="1"/>
  <c r="AW380" i="1"/>
  <c r="AX380" i="1"/>
  <c r="AY380" i="1"/>
  <c r="AZ380" i="1"/>
  <c r="BA380" i="1"/>
  <c r="BB380" i="1"/>
  <c r="BC380" i="1"/>
  <c r="BD380" i="1"/>
  <c r="BE380" i="1"/>
  <c r="BF380" i="1"/>
  <c r="BG380" i="1"/>
  <c r="BH380" i="1"/>
  <c r="BI380" i="1"/>
  <c r="BJ380" i="1"/>
  <c r="BK380" i="1"/>
  <c r="BL380" i="1"/>
  <c r="AR381" i="1"/>
  <c r="AS381" i="1"/>
  <c r="AT381" i="1"/>
  <c r="AU381" i="1"/>
  <c r="AV381" i="1"/>
  <c r="AW381" i="1"/>
  <c r="AX381" i="1"/>
  <c r="AY381" i="1"/>
  <c r="AZ381" i="1"/>
  <c r="BA381" i="1"/>
  <c r="BB381" i="1"/>
  <c r="BC381" i="1"/>
  <c r="BD381" i="1"/>
  <c r="BE381" i="1"/>
  <c r="BF381" i="1"/>
  <c r="BG381" i="1"/>
  <c r="BH381" i="1"/>
  <c r="BI381" i="1"/>
  <c r="BJ381" i="1"/>
  <c r="BK381" i="1"/>
  <c r="BL381" i="1"/>
  <c r="AR382" i="1"/>
  <c r="AS382" i="1"/>
  <c r="AT382" i="1"/>
  <c r="AU382" i="1"/>
  <c r="AV382" i="1"/>
  <c r="AW382" i="1"/>
  <c r="AX382" i="1"/>
  <c r="AY382" i="1"/>
  <c r="AZ382" i="1"/>
  <c r="BA382" i="1"/>
  <c r="BB382" i="1"/>
  <c r="BC382" i="1"/>
  <c r="BD382" i="1"/>
  <c r="BE382" i="1"/>
  <c r="BF382" i="1"/>
  <c r="BG382" i="1"/>
  <c r="BH382" i="1"/>
  <c r="BI382" i="1"/>
  <c r="BJ382" i="1"/>
  <c r="BK382" i="1"/>
  <c r="BL382" i="1"/>
  <c r="AR383" i="1"/>
  <c r="AS383" i="1"/>
  <c r="AT383" i="1"/>
  <c r="AU383" i="1"/>
  <c r="AV383" i="1"/>
  <c r="AW383" i="1"/>
  <c r="AX383" i="1"/>
  <c r="AY383" i="1"/>
  <c r="AZ383" i="1"/>
  <c r="BA383" i="1"/>
  <c r="BB383" i="1"/>
  <c r="BC383" i="1"/>
  <c r="BD383" i="1"/>
  <c r="BE383" i="1"/>
  <c r="BF383" i="1"/>
  <c r="BG383" i="1"/>
  <c r="BH383" i="1"/>
  <c r="BI383" i="1"/>
  <c r="BJ383" i="1"/>
  <c r="BK383" i="1"/>
  <c r="BL383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S4" i="1"/>
  <c r="AR4" i="1"/>
  <c r="BO3" i="1"/>
  <c r="BN3" i="1"/>
  <c r="BO366" i="5" l="1"/>
  <c r="BN366" i="5"/>
  <c r="BN216" i="5"/>
  <c r="BO216" i="5"/>
  <c r="BO8" i="5"/>
  <c r="BN8" i="5"/>
  <c r="BO360" i="5"/>
  <c r="BN360" i="5"/>
  <c r="BN379" i="5"/>
  <c r="BO379" i="5"/>
  <c r="BO291" i="5"/>
  <c r="BN291" i="5"/>
  <c r="BO187" i="5"/>
  <c r="BN187" i="5"/>
  <c r="BO136" i="5"/>
  <c r="BN136" i="5"/>
  <c r="BO370" i="5"/>
  <c r="BN370" i="5"/>
  <c r="BO60" i="5"/>
  <c r="BN60" i="5"/>
  <c r="BO312" i="5"/>
  <c r="BN312" i="5"/>
  <c r="BN256" i="5"/>
  <c r="BO256" i="5"/>
  <c r="BN377" i="5"/>
  <c r="BO377" i="5"/>
  <c r="BO223" i="5"/>
  <c r="BN223" i="5"/>
  <c r="BO277" i="5"/>
  <c r="BN277" i="5"/>
  <c r="BO114" i="5"/>
  <c r="BN114" i="5"/>
  <c r="BO145" i="5"/>
  <c r="BN145" i="5"/>
  <c r="BN42" i="5"/>
  <c r="BO42" i="5"/>
  <c r="BO226" i="5"/>
  <c r="BN226" i="5"/>
  <c r="BN129" i="5"/>
  <c r="BO129" i="5"/>
  <c r="BO359" i="5"/>
  <c r="BN359" i="5"/>
  <c r="BO332" i="5"/>
  <c r="BN332" i="5"/>
  <c r="BN97" i="5"/>
  <c r="BO97" i="5"/>
  <c r="BO273" i="5"/>
  <c r="BN273" i="5"/>
  <c r="BO299" i="5"/>
  <c r="BN299" i="5"/>
  <c r="BO31" i="5"/>
  <c r="BN31" i="5"/>
  <c r="BN85" i="5"/>
  <c r="BO85" i="5"/>
  <c r="BO149" i="5"/>
  <c r="BN149" i="5"/>
  <c r="BN265" i="5"/>
  <c r="BO265" i="5"/>
  <c r="BO107" i="5"/>
  <c r="BN107" i="5"/>
  <c r="BO93" i="5"/>
  <c r="BN93" i="5"/>
  <c r="BO268" i="5"/>
  <c r="BN268" i="5"/>
  <c r="BO163" i="5"/>
  <c r="BN163" i="5"/>
  <c r="BO55" i="5"/>
  <c r="BN55" i="5"/>
  <c r="BO119" i="5"/>
  <c r="BN119" i="5"/>
  <c r="BO161" i="5"/>
  <c r="BN161" i="5"/>
  <c r="BN210" i="5"/>
  <c r="BO210" i="5"/>
  <c r="BO378" i="5"/>
  <c r="BN378" i="5"/>
  <c r="BO236" i="5"/>
  <c r="BN236" i="5"/>
  <c r="BO327" i="5"/>
  <c r="BN327" i="5"/>
  <c r="BN323" i="5"/>
  <c r="BO323" i="5"/>
  <c r="BO115" i="5"/>
  <c r="BN115" i="5"/>
  <c r="BO206" i="5"/>
  <c r="BN206" i="5"/>
  <c r="BO183" i="5"/>
  <c r="BN183" i="5"/>
  <c r="BO152" i="5"/>
  <c r="BN152" i="5"/>
  <c r="BO159" i="5"/>
  <c r="BN159" i="5"/>
  <c r="BO195" i="5"/>
  <c r="BN195" i="5"/>
  <c r="BN66" i="5"/>
  <c r="BO66" i="5"/>
  <c r="BO177" i="5"/>
  <c r="BN177" i="5"/>
  <c r="BO57" i="5"/>
  <c r="BN57" i="5"/>
  <c r="BO135" i="5"/>
  <c r="BN135" i="5"/>
  <c r="BO166" i="5"/>
  <c r="BN166" i="5"/>
  <c r="BO102" i="5"/>
  <c r="BN102" i="5"/>
  <c r="BO67" i="5"/>
  <c r="BN67" i="5"/>
  <c r="BO263" i="5"/>
  <c r="BN263" i="5"/>
  <c r="BO121" i="5"/>
  <c r="BN121" i="5"/>
  <c r="BN132" i="5"/>
  <c r="BO132" i="5"/>
  <c r="BN213" i="5"/>
  <c r="BO213" i="5"/>
  <c r="BN130" i="5"/>
  <c r="BO130" i="5"/>
  <c r="BO343" i="5"/>
  <c r="BN343" i="5"/>
  <c r="BO77" i="5"/>
  <c r="BN77" i="5"/>
  <c r="BN83" i="5"/>
  <c r="BO83" i="5"/>
  <c r="BO372" i="5"/>
  <c r="BN372" i="5"/>
  <c r="BO278" i="5"/>
  <c r="BN278" i="5"/>
  <c r="BO321" i="5"/>
  <c r="BN321" i="5"/>
  <c r="BO81" i="5"/>
  <c r="BN81" i="5"/>
  <c r="BO46" i="5"/>
  <c r="BN46" i="5"/>
  <c r="BO275" i="5"/>
  <c r="BN275" i="5"/>
  <c r="BO230" i="5"/>
  <c r="BN230" i="5"/>
  <c r="BO293" i="5"/>
  <c r="BN293" i="5"/>
  <c r="BO289" i="5"/>
  <c r="BN289" i="5"/>
  <c r="BO337" i="5"/>
  <c r="BN337" i="5"/>
  <c r="BO212" i="5"/>
  <c r="BN212" i="5"/>
  <c r="BO73" i="5"/>
  <c r="BN73" i="5"/>
  <c r="BN20" i="5"/>
  <c r="BO20" i="5"/>
  <c r="BN259" i="5"/>
  <c r="BO259" i="5"/>
  <c r="BO104" i="5"/>
  <c r="BN104" i="5"/>
  <c r="BO284" i="5"/>
  <c r="BN284" i="5"/>
  <c r="BN204" i="5"/>
  <c r="BO204" i="5"/>
  <c r="BO258" i="5"/>
  <c r="BN258" i="5"/>
  <c r="BO37" i="5"/>
  <c r="BN37" i="5"/>
  <c r="BO16" i="5"/>
  <c r="BN16" i="5"/>
  <c r="BO82" i="5"/>
  <c r="BN82" i="5"/>
  <c r="BO63" i="5"/>
  <c r="BN63" i="5"/>
  <c r="BN246" i="5"/>
  <c r="BO246" i="5"/>
  <c r="BO199" i="5"/>
  <c r="BN199" i="5"/>
  <c r="BN169" i="5"/>
  <c r="BO169" i="5"/>
  <c r="BO80" i="5"/>
  <c r="BN80" i="5"/>
  <c r="BO279" i="5"/>
  <c r="BN279" i="5"/>
  <c r="BN76" i="5"/>
  <c r="BO76" i="5"/>
  <c r="BO47" i="5"/>
  <c r="BN47" i="5"/>
  <c r="BO194" i="5"/>
  <c r="BN194" i="5"/>
  <c r="BO45" i="5"/>
  <c r="BN45" i="5"/>
  <c r="BO252" i="5"/>
  <c r="BN252" i="5"/>
  <c r="BO148" i="5"/>
  <c r="BN148" i="5"/>
  <c r="BO40" i="5"/>
  <c r="BN40" i="5"/>
  <c r="BO78" i="5"/>
  <c r="BN78" i="5"/>
  <c r="BN182" i="5"/>
  <c r="BO182" i="5"/>
  <c r="BO238" i="5"/>
  <c r="BN238" i="5"/>
  <c r="BO354" i="5"/>
  <c r="BN354" i="5"/>
  <c r="BO180" i="5"/>
  <c r="BN180" i="5"/>
  <c r="BO34" i="5"/>
  <c r="BN34" i="5"/>
  <c r="BO214" i="5"/>
  <c r="BN214" i="5"/>
  <c r="BO61" i="5"/>
  <c r="BN61" i="5"/>
  <c r="BO15" i="5"/>
  <c r="BN15" i="5"/>
  <c r="BO189" i="5"/>
  <c r="BN189" i="5"/>
  <c r="BN311" i="5"/>
  <c r="BO311" i="5"/>
  <c r="BO155" i="5"/>
  <c r="BN155" i="5"/>
  <c r="BO295" i="5"/>
  <c r="BN295" i="5"/>
  <c r="BN32" i="5"/>
  <c r="BO32" i="5"/>
  <c r="BO202" i="5"/>
  <c r="BN202" i="5"/>
  <c r="BO95" i="5"/>
  <c r="BN95" i="5"/>
  <c r="BO191" i="5"/>
  <c r="BN191" i="5"/>
  <c r="BO301" i="5"/>
  <c r="BN301" i="5"/>
  <c r="BO373" i="5"/>
  <c r="BN373" i="5"/>
  <c r="BN25" i="5"/>
  <c r="BO25" i="5"/>
  <c r="BO9" i="5"/>
  <c r="BN9" i="5"/>
  <c r="BO44" i="5"/>
  <c r="BN44" i="5"/>
  <c r="BO374" i="5"/>
  <c r="BN374" i="5"/>
  <c r="BO310" i="5"/>
  <c r="BN310" i="5"/>
  <c r="BO165" i="5"/>
  <c r="BN165" i="5"/>
  <c r="BO339" i="5"/>
  <c r="BN339" i="5"/>
  <c r="BO201" i="5"/>
  <c r="BN201" i="5"/>
  <c r="BO139" i="5"/>
  <c r="BN139" i="5"/>
  <c r="BO208" i="5"/>
  <c r="BN208" i="5"/>
  <c r="BO146" i="5"/>
  <c r="BN146" i="5"/>
  <c r="BO267" i="5"/>
  <c r="BN267" i="5"/>
  <c r="BO244" i="5"/>
  <c r="BN244" i="5"/>
  <c r="BO257" i="5"/>
  <c r="BN257" i="5"/>
  <c r="BO318" i="5"/>
  <c r="BN318" i="5"/>
  <c r="BO363" i="5"/>
  <c r="BN363" i="5"/>
  <c r="BN29" i="5"/>
  <c r="BO29" i="5"/>
  <c r="BO50" i="5"/>
  <c r="BN50" i="5"/>
  <c r="BN196" i="5"/>
  <c r="BO196" i="5"/>
  <c r="BO35" i="5"/>
  <c r="BN35" i="5"/>
  <c r="BN178" i="5"/>
  <c r="BO178" i="5"/>
  <c r="BO7" i="5"/>
  <c r="BN7" i="5"/>
  <c r="BN302" i="5"/>
  <c r="BO302" i="5"/>
  <c r="BO320" i="5"/>
  <c r="BN320" i="5"/>
  <c r="BO203" i="5"/>
  <c r="BN203" i="5"/>
  <c r="BN248" i="5"/>
  <c r="BO248" i="5"/>
  <c r="BO68" i="5"/>
  <c r="BN68" i="5"/>
  <c r="BO224" i="5"/>
  <c r="BN224" i="5"/>
  <c r="BO103" i="5"/>
  <c r="BN103" i="5"/>
  <c r="BO281" i="5"/>
  <c r="BN281" i="5"/>
  <c r="BO348" i="5"/>
  <c r="BN348" i="5"/>
  <c r="BO84" i="5"/>
  <c r="BN84" i="5"/>
  <c r="BN185" i="5"/>
  <c r="BO185" i="5"/>
  <c r="BO10" i="5"/>
  <c r="BN10" i="5"/>
  <c r="BN307" i="5"/>
  <c r="BO307" i="5"/>
  <c r="BO52" i="5"/>
  <c r="BN52" i="5"/>
  <c r="BO220" i="5"/>
  <c r="BN220" i="5"/>
  <c r="BO287" i="5"/>
  <c r="BN287" i="5"/>
  <c r="BO188" i="5"/>
  <c r="BN188" i="5"/>
  <c r="BO331" i="5"/>
  <c r="BN331" i="5"/>
  <c r="BO91" i="5"/>
  <c r="BN91" i="5"/>
  <c r="BO329" i="5"/>
  <c r="BN329" i="5"/>
  <c r="BO125" i="5"/>
  <c r="BN125" i="5"/>
  <c r="BO88" i="5"/>
  <c r="BN88" i="5"/>
  <c r="BO140" i="5"/>
  <c r="BN140" i="5"/>
  <c r="BO142" i="5"/>
  <c r="BN142" i="5"/>
  <c r="BN133" i="5"/>
  <c r="BO133" i="5"/>
  <c r="BO89" i="5"/>
  <c r="BN89" i="5"/>
  <c r="BO247" i="5"/>
  <c r="BN247" i="5"/>
  <c r="BO330" i="5"/>
  <c r="BN330" i="5"/>
  <c r="BN69" i="5"/>
  <c r="BO69" i="5"/>
  <c r="BN112" i="5"/>
  <c r="BO112" i="5"/>
  <c r="BO101" i="5"/>
  <c r="BN101" i="5"/>
  <c r="BO369" i="5"/>
  <c r="BN369" i="5"/>
  <c r="BO356" i="5"/>
  <c r="BN356" i="5"/>
  <c r="BO364" i="5"/>
  <c r="BN364" i="5"/>
  <c r="BO138" i="5"/>
  <c r="BN138" i="5"/>
  <c r="BO58" i="5"/>
  <c r="BN58" i="5"/>
  <c r="BO18" i="5"/>
  <c r="BN18" i="5"/>
  <c r="BO134" i="5"/>
  <c r="BN134" i="5"/>
  <c r="BO254" i="5"/>
  <c r="BN254" i="5"/>
  <c r="BO383" i="5"/>
  <c r="BN383" i="5"/>
  <c r="BO324" i="5"/>
  <c r="BN324" i="5"/>
  <c r="BO243" i="5"/>
  <c r="BN243" i="5"/>
  <c r="BO51" i="5"/>
  <c r="BN51" i="5"/>
  <c r="BO12" i="5"/>
  <c r="BN12" i="5"/>
  <c r="BO131" i="5"/>
  <c r="BN131" i="5"/>
  <c r="BN308" i="5"/>
  <c r="BO308" i="5"/>
  <c r="BO6" i="5"/>
  <c r="BN6" i="5"/>
  <c r="BO232" i="5"/>
  <c r="BN232" i="5"/>
  <c r="BO362" i="5"/>
  <c r="BN362" i="5"/>
  <c r="BO245" i="5"/>
  <c r="BN245" i="5"/>
  <c r="BO269" i="5"/>
  <c r="BN269" i="5"/>
  <c r="BO175" i="5"/>
  <c r="BN175" i="5"/>
  <c r="BO380" i="5"/>
  <c r="BN380" i="5"/>
  <c r="BN371" i="5"/>
  <c r="BO371" i="5"/>
  <c r="BO250" i="5"/>
  <c r="BN250" i="5"/>
  <c r="BN164" i="5"/>
  <c r="BO164" i="5"/>
  <c r="BO141" i="5"/>
  <c r="BN141" i="5"/>
  <c r="BO70" i="5"/>
  <c r="BN70" i="5"/>
  <c r="BN167" i="5"/>
  <c r="BO167" i="5"/>
  <c r="BN344" i="5"/>
  <c r="BO344" i="5"/>
  <c r="BO99" i="5"/>
  <c r="BN99" i="5"/>
  <c r="BO5" i="1"/>
  <c r="BO7" i="1"/>
  <c r="BO9" i="1"/>
  <c r="BO6" i="1"/>
  <c r="BO27" i="1"/>
  <c r="BO161" i="1"/>
  <c r="BO10" i="1"/>
  <c r="BO73" i="1"/>
  <c r="BN277" i="1"/>
  <c r="BN361" i="1"/>
  <c r="BN165" i="1"/>
  <c r="BN359" i="1"/>
  <c r="BN205" i="1"/>
  <c r="BO75" i="1"/>
  <c r="BO77" i="1"/>
  <c r="BO363" i="1"/>
  <c r="BO289" i="1"/>
  <c r="BN193" i="1"/>
  <c r="BO275" i="1"/>
  <c r="BO79" i="1"/>
  <c r="BO163" i="1"/>
  <c r="BO279" i="1"/>
  <c r="BO8" i="1"/>
  <c r="BN8" i="1"/>
  <c r="BN81" i="1"/>
  <c r="BO111" i="1"/>
  <c r="BO83" i="1"/>
  <c r="BO195" i="1"/>
  <c r="BN372" i="1"/>
  <c r="BO288" i="1"/>
  <c r="BO37" i="1"/>
  <c r="BN121" i="1"/>
  <c r="BN123" i="1"/>
  <c r="BN39" i="1"/>
  <c r="BN319" i="1"/>
  <c r="BN291" i="1"/>
  <c r="BN207" i="1"/>
  <c r="BN41" i="1"/>
  <c r="BN162" i="1"/>
  <c r="BO74" i="1"/>
  <c r="BO43" i="1"/>
  <c r="BO323" i="1"/>
  <c r="BO45" i="1"/>
  <c r="BN125" i="1"/>
  <c r="BN321" i="1"/>
  <c r="BO157" i="1"/>
  <c r="BO129" i="1"/>
  <c r="BO78" i="1"/>
  <c r="BO241" i="1"/>
  <c r="BO159" i="1"/>
  <c r="BO325" i="1"/>
  <c r="BO274" i="1"/>
  <c r="BN243" i="1"/>
  <c r="BN239" i="1"/>
  <c r="BO211" i="1"/>
  <c r="BN76" i="1"/>
  <c r="BO4" i="1"/>
  <c r="BN164" i="1"/>
  <c r="BO327" i="1"/>
  <c r="BO357" i="1"/>
  <c r="BN247" i="1"/>
  <c r="BO245" i="1"/>
  <c r="BN237" i="1"/>
  <c r="BN209" i="1"/>
  <c r="BN127" i="1"/>
  <c r="BO355" i="1"/>
  <c r="BN276" i="1"/>
  <c r="BN362" i="1"/>
  <c r="BN360" i="1"/>
  <c r="BN278" i="1"/>
  <c r="BN194" i="1"/>
  <c r="BO166" i="1"/>
  <c r="BN382" i="1"/>
  <c r="BO380" i="1"/>
  <c r="BO378" i="1"/>
  <c r="BN376" i="1"/>
  <c r="BN374" i="1"/>
  <c r="BN370" i="1"/>
  <c r="BO364" i="1"/>
  <c r="BO354" i="1"/>
  <c r="BO352" i="1"/>
  <c r="BO350" i="1"/>
  <c r="BO338" i="1"/>
  <c r="BO328" i="1"/>
  <c r="BO326" i="1"/>
  <c r="BN324" i="1"/>
  <c r="BO322" i="1"/>
  <c r="BN320" i="1"/>
  <c r="BO268" i="1"/>
  <c r="BO248" i="1"/>
  <c r="BO246" i="1"/>
  <c r="BO242" i="1"/>
  <c r="BO240" i="1"/>
  <c r="BO238" i="1"/>
  <c r="BO210" i="1"/>
  <c r="BN208" i="1"/>
  <c r="BO160" i="1"/>
  <c r="BO158" i="1"/>
  <c r="BN156" i="1"/>
  <c r="BO128" i="1"/>
  <c r="BN126" i="1"/>
  <c r="BN124" i="1"/>
  <c r="BN122" i="1"/>
  <c r="BO110" i="1"/>
  <c r="BN82" i="1"/>
  <c r="BO46" i="1"/>
  <c r="BO44" i="1"/>
  <c r="BN42" i="1"/>
  <c r="BN40" i="1"/>
  <c r="BO38" i="1"/>
  <c r="BO291" i="1"/>
  <c r="BO361" i="1"/>
  <c r="BO25" i="1"/>
  <c r="BO353" i="1"/>
  <c r="BO273" i="1"/>
  <c r="BN155" i="1"/>
  <c r="BO109" i="1"/>
  <c r="BO71" i="1"/>
  <c r="BO191" i="1"/>
  <c r="BN69" i="1"/>
  <c r="BN67" i="1"/>
  <c r="BO138" i="1"/>
  <c r="BN235" i="1"/>
  <c r="BO233" i="1"/>
  <c r="BO223" i="1"/>
  <c r="BO189" i="1"/>
  <c r="BN187" i="1"/>
  <c r="BN153" i="1"/>
  <c r="BN151" i="1"/>
  <c r="BO351" i="1"/>
  <c r="BN185" i="1"/>
  <c r="BO139" i="1"/>
  <c r="BO381" i="1"/>
  <c r="BO379" i="1"/>
  <c r="BN377" i="1"/>
  <c r="BN375" i="1"/>
  <c r="BN373" i="1"/>
  <c r="BO335" i="1"/>
  <c r="BO333" i="1"/>
  <c r="BO331" i="1"/>
  <c r="BN329" i="1"/>
  <c r="BO297" i="1"/>
  <c r="BN295" i="1"/>
  <c r="BN265" i="1"/>
  <c r="BN263" i="1"/>
  <c r="BO261" i="1"/>
  <c r="BO251" i="1"/>
  <c r="BO249" i="1"/>
  <c r="BN219" i="1"/>
  <c r="BO213" i="1"/>
  <c r="BN183" i="1"/>
  <c r="BN181" i="1"/>
  <c r="BN179" i="1"/>
  <c r="BO167" i="1"/>
  <c r="BO137" i="1"/>
  <c r="BN135" i="1"/>
  <c r="BN133" i="1"/>
  <c r="BN131" i="1"/>
  <c r="BO101" i="1"/>
  <c r="BO99" i="1"/>
  <c r="BO97" i="1"/>
  <c r="BN95" i="1"/>
  <c r="BN93" i="1"/>
  <c r="BO55" i="1"/>
  <c r="BO53" i="1"/>
  <c r="BO51" i="1"/>
  <c r="BO49" i="1"/>
  <c r="BO47" i="1"/>
  <c r="BN17" i="1"/>
  <c r="BN15" i="1"/>
  <c r="BN13" i="1"/>
  <c r="BN184" i="1"/>
  <c r="BO348" i="1"/>
  <c r="BN344" i="1"/>
  <c r="BN342" i="1"/>
  <c r="BN340" i="1"/>
  <c r="BO336" i="1"/>
  <c r="BO334" i="1"/>
  <c r="BO332" i="1"/>
  <c r="BN330" i="1"/>
  <c r="BN314" i="1"/>
  <c r="BN312" i="1"/>
  <c r="BN310" i="1"/>
  <c r="BO308" i="1"/>
  <c r="BO302" i="1"/>
  <c r="BO298" i="1"/>
  <c r="BN296" i="1"/>
  <c r="BN282" i="1"/>
  <c r="BO280" i="1"/>
  <c r="BN272" i="1"/>
  <c r="BO270" i="1"/>
  <c r="BN266" i="1"/>
  <c r="BN264" i="1"/>
  <c r="BO262" i="1"/>
  <c r="BN260" i="1"/>
  <c r="BN258" i="1"/>
  <c r="BO256" i="1"/>
  <c r="BO254" i="1"/>
  <c r="BO252" i="1"/>
  <c r="BO250" i="1"/>
  <c r="BN236" i="1"/>
  <c r="BO234" i="1"/>
  <c r="BN230" i="1"/>
  <c r="BO228" i="1"/>
  <c r="BO226" i="1"/>
  <c r="BO224" i="1"/>
  <c r="BO222" i="1"/>
  <c r="BO214" i="1"/>
  <c r="BO212" i="1"/>
  <c r="BO202" i="1"/>
  <c r="BO200" i="1"/>
  <c r="BN198" i="1"/>
  <c r="BO196" i="1"/>
  <c r="BN192" i="1"/>
  <c r="BO190" i="1"/>
  <c r="BO188" i="1"/>
  <c r="BN186" i="1"/>
  <c r="BN180" i="1"/>
  <c r="BO178" i="1"/>
  <c r="BO174" i="1"/>
  <c r="BO168" i="1"/>
  <c r="BN154" i="1"/>
  <c r="BN152" i="1"/>
  <c r="BO150" i="1"/>
  <c r="BO140" i="1"/>
  <c r="BN136" i="1"/>
  <c r="BN134" i="1"/>
  <c r="BO132" i="1"/>
  <c r="BO130" i="1"/>
  <c r="BN118" i="1"/>
  <c r="BO116" i="1"/>
  <c r="BO114" i="1"/>
  <c r="BO112" i="1"/>
  <c r="BO102" i="1"/>
  <c r="BO100" i="1"/>
  <c r="BO98" i="1"/>
  <c r="BN96" i="1"/>
  <c r="BO94" i="1"/>
  <c r="BN90" i="1"/>
  <c r="BO88" i="1"/>
  <c r="BO84" i="1"/>
  <c r="BN72" i="1"/>
  <c r="BN70" i="1"/>
  <c r="BN68" i="1"/>
  <c r="BO62" i="1"/>
  <c r="BN60" i="1"/>
  <c r="BO56" i="1"/>
  <c r="BO54" i="1"/>
  <c r="BO52" i="1"/>
  <c r="BN50" i="1"/>
  <c r="BO48" i="1"/>
  <c r="BO36" i="1"/>
  <c r="BO34" i="1"/>
  <c r="BO32" i="1"/>
  <c r="BO30" i="1"/>
  <c r="BN28" i="1"/>
  <c r="BO26" i="1"/>
  <c r="BN18" i="1"/>
  <c r="BN16" i="1"/>
  <c r="BO14" i="1"/>
  <c r="BN12" i="1"/>
  <c r="BN349" i="1"/>
  <c r="BO307" i="1"/>
  <c r="BO271" i="1"/>
  <c r="BO269" i="1"/>
  <c r="BN347" i="1"/>
  <c r="BN267" i="1"/>
  <c r="BN9" i="1"/>
  <c r="BO365" i="1"/>
  <c r="BN341" i="1"/>
  <c r="BO339" i="1"/>
  <c r="BO337" i="1"/>
  <c r="BN313" i="1"/>
  <c r="BN311" i="1"/>
  <c r="BO309" i="1"/>
  <c r="BN283" i="1"/>
  <c r="BO281" i="1"/>
  <c r="BO257" i="1"/>
  <c r="BO255" i="1"/>
  <c r="BN229" i="1"/>
  <c r="BO227" i="1"/>
  <c r="BO225" i="1"/>
  <c r="BO201" i="1"/>
  <c r="BO199" i="1"/>
  <c r="BO197" i="1"/>
  <c r="BO169" i="1"/>
  <c r="BO117" i="1"/>
  <c r="BN115" i="1"/>
  <c r="BO113" i="1"/>
  <c r="BO89" i="1"/>
  <c r="BN61" i="1"/>
  <c r="BN59" i="1"/>
  <c r="BO33" i="1"/>
  <c r="BO31" i="1"/>
  <c r="BN29" i="1"/>
  <c r="BN343" i="1"/>
  <c r="BN259" i="1"/>
  <c r="BO63" i="1"/>
  <c r="BN35" i="1"/>
  <c r="BN27" i="1"/>
  <c r="BN6" i="1"/>
  <c r="BN5" i="1" l="1"/>
  <c r="BN116" i="1"/>
  <c r="BO235" i="1"/>
  <c r="BO265" i="1"/>
  <c r="BO360" i="1"/>
  <c r="BO118" i="1"/>
  <c r="BN113" i="1"/>
  <c r="BO123" i="1"/>
  <c r="BN7" i="1"/>
  <c r="BN73" i="1"/>
  <c r="BN132" i="1"/>
  <c r="BN55" i="1"/>
  <c r="BN75" i="1"/>
  <c r="BN43" i="1"/>
  <c r="BO319" i="1"/>
  <c r="BN245" i="1"/>
  <c r="BN161" i="1"/>
  <c r="BN77" i="1"/>
  <c r="BN298" i="1"/>
  <c r="BN48" i="1"/>
  <c r="BO69" i="1"/>
  <c r="BO247" i="1"/>
  <c r="BO134" i="1"/>
  <c r="BO382" i="1"/>
  <c r="BN114" i="1"/>
  <c r="BO362" i="1"/>
  <c r="BN49" i="1"/>
  <c r="BO272" i="1"/>
  <c r="BO35" i="1"/>
  <c r="BO205" i="1"/>
  <c r="BN363" i="1"/>
  <c r="BN196" i="1"/>
  <c r="BO237" i="1"/>
  <c r="BO344" i="1"/>
  <c r="BO192" i="1"/>
  <c r="BO277" i="1"/>
  <c r="BO165" i="1"/>
  <c r="BN270" i="1"/>
  <c r="BN202" i="1"/>
  <c r="BO115" i="1"/>
  <c r="BO198" i="1"/>
  <c r="BN79" i="1"/>
  <c r="BO193" i="1"/>
  <c r="BN129" i="1"/>
  <c r="BN238" i="1"/>
  <c r="BO162" i="1"/>
  <c r="BN351" i="1"/>
  <c r="BO359" i="1"/>
  <c r="BN32" i="1"/>
  <c r="BN52" i="1"/>
  <c r="BO341" i="1"/>
  <c r="BN10" i="1"/>
  <c r="BN150" i="1"/>
  <c r="BO50" i="1"/>
  <c r="BN289" i="1"/>
  <c r="BN128" i="1"/>
  <c r="BN163" i="1"/>
  <c r="BN355" i="1"/>
  <c r="BN195" i="1"/>
  <c r="BN261" i="1"/>
  <c r="BN94" i="1"/>
  <c r="BN336" i="1"/>
  <c r="BN100" i="1"/>
  <c r="BN279" i="1"/>
  <c r="BO61" i="1"/>
  <c r="BN138" i="1"/>
  <c r="BN111" i="1"/>
  <c r="BO184" i="1"/>
  <c r="BN211" i="1"/>
  <c r="BO295" i="1"/>
  <c r="BN117" i="1"/>
  <c r="BN233" i="1"/>
  <c r="BN334" i="1"/>
  <c r="BO121" i="1"/>
  <c r="BN4" i="1"/>
  <c r="BO372" i="1"/>
  <c r="BN325" i="1"/>
  <c r="BN254" i="1"/>
  <c r="BN159" i="1"/>
  <c r="BN274" i="1"/>
  <c r="BO28" i="1"/>
  <c r="BO239" i="1"/>
  <c r="BN248" i="1"/>
  <c r="BO76" i="1"/>
  <c r="BN364" i="1"/>
  <c r="BO183" i="1"/>
  <c r="BN339" i="1"/>
  <c r="BO15" i="1"/>
  <c r="BN250" i="1"/>
  <c r="BN275" i="1"/>
  <c r="BO164" i="1"/>
  <c r="BN78" i="1"/>
  <c r="BO156" i="1"/>
  <c r="BN188" i="1"/>
  <c r="BN240" i="1"/>
  <c r="BN33" i="1"/>
  <c r="BO133" i="1"/>
  <c r="BN200" i="1"/>
  <c r="BN241" i="1"/>
  <c r="BN83" i="1"/>
  <c r="BN357" i="1"/>
  <c r="BO122" i="1"/>
  <c r="BN268" i="1"/>
  <c r="BO12" i="1"/>
  <c r="BO370" i="1"/>
  <c r="BN380" i="1"/>
  <c r="BO151" i="1"/>
  <c r="BN34" i="1"/>
  <c r="BO208" i="1"/>
  <c r="BN269" i="1"/>
  <c r="BO90" i="1"/>
  <c r="BN242" i="1"/>
  <c r="BN249" i="1"/>
  <c r="BO13" i="1"/>
  <c r="BN365" i="1"/>
  <c r="BO81" i="1"/>
  <c r="BO263" i="1"/>
  <c r="BO17" i="1"/>
  <c r="BN160" i="1"/>
  <c r="BO374" i="1"/>
  <c r="BO282" i="1"/>
  <c r="BN223" i="1"/>
  <c r="BN36" i="1"/>
  <c r="BO313" i="1"/>
  <c r="BN210" i="1"/>
  <c r="BO187" i="1"/>
  <c r="BO125" i="1"/>
  <c r="BO343" i="1"/>
  <c r="BN166" i="1"/>
  <c r="BO93" i="1"/>
  <c r="BN51" i="1"/>
  <c r="BN214" i="1"/>
  <c r="BO194" i="1"/>
  <c r="BN197" i="1"/>
  <c r="BN74" i="1"/>
  <c r="BO126" i="1"/>
  <c r="BN37" i="1"/>
  <c r="BN63" i="1"/>
  <c r="BN327" i="1"/>
  <c r="BO321" i="1"/>
  <c r="BO127" i="1"/>
  <c r="BN309" i="1"/>
  <c r="BO39" i="1"/>
  <c r="BN112" i="1"/>
  <c r="BO60" i="1"/>
  <c r="BN212" i="1"/>
  <c r="BN56" i="1"/>
  <c r="BO377" i="1"/>
  <c r="BN137" i="1"/>
  <c r="BN338" i="1"/>
  <c r="BN178" i="1"/>
  <c r="BO267" i="1"/>
  <c r="BN323" i="1"/>
  <c r="BN88" i="1"/>
  <c r="BN45" i="1"/>
  <c r="BO276" i="1"/>
  <c r="BO16" i="1"/>
  <c r="BN252" i="1"/>
  <c r="BN157" i="1"/>
  <c r="BN257" i="1"/>
  <c r="BN89" i="1"/>
  <c r="BN190" i="1"/>
  <c r="BN280" i="1"/>
  <c r="BO155" i="1"/>
  <c r="BN169" i="1"/>
  <c r="BO296" i="1"/>
  <c r="BN167" i="1"/>
  <c r="BO278" i="1"/>
  <c r="BO243" i="1"/>
  <c r="BN130" i="1"/>
  <c r="BO70" i="1"/>
  <c r="BO329" i="1"/>
  <c r="BN352" i="1"/>
  <c r="BN225" i="1"/>
  <c r="BN53" i="1"/>
  <c r="BO209" i="1"/>
  <c r="BO207" i="1"/>
  <c r="BO41" i="1"/>
  <c r="BN158" i="1"/>
  <c r="BO67" i="1"/>
  <c r="BN54" i="1"/>
  <c r="BN288" i="1"/>
  <c r="BN168" i="1"/>
  <c r="BO179" i="1"/>
  <c r="BO136" i="1"/>
  <c r="BN297" i="1"/>
  <c r="BO230" i="1"/>
  <c r="BO342" i="1"/>
  <c r="BO124" i="1"/>
  <c r="BO266" i="1"/>
  <c r="BN142" i="1"/>
  <c r="BO142" i="1"/>
  <c r="BN146" i="1"/>
  <c r="BO146" i="1"/>
  <c r="BO317" i="1"/>
  <c r="BN317" i="1"/>
  <c r="BO315" i="1"/>
  <c r="BN315" i="1"/>
  <c r="BN109" i="1"/>
  <c r="BN255" i="1"/>
  <c r="BN228" i="1"/>
  <c r="BN38" i="1"/>
  <c r="BN139" i="1"/>
  <c r="BN271" i="1"/>
  <c r="BN371" i="1"/>
  <c r="BO371" i="1"/>
  <c r="BN170" i="1"/>
  <c r="BO170" i="1"/>
  <c r="BO177" i="1"/>
  <c r="BN177" i="1"/>
  <c r="BO19" i="1"/>
  <c r="BN19" i="1"/>
  <c r="BN350" i="1"/>
  <c r="BO347" i="1"/>
  <c r="BN140" i="1"/>
  <c r="BN273" i="1"/>
  <c r="BN92" i="1"/>
  <c r="BO92" i="1"/>
  <c r="BN172" i="1"/>
  <c r="BO172" i="1"/>
  <c r="BO65" i="1"/>
  <c r="BN65" i="1"/>
  <c r="BN148" i="1"/>
  <c r="BO148" i="1"/>
  <c r="BN201" i="1"/>
  <c r="BN20" i="1"/>
  <c r="BO20" i="1"/>
  <c r="BN101" i="1"/>
  <c r="BO57" i="1"/>
  <c r="BN57" i="1"/>
  <c r="BN22" i="1"/>
  <c r="BO22" i="1"/>
  <c r="BN221" i="1"/>
  <c r="BO221" i="1"/>
  <c r="BO318" i="1"/>
  <c r="BN318" i="1"/>
  <c r="BN381" i="1"/>
  <c r="BN71" i="1"/>
  <c r="BN110" i="1"/>
  <c r="BN24" i="1"/>
  <c r="BO24" i="1"/>
  <c r="BN215" i="1"/>
  <c r="BO215" i="1"/>
  <c r="BN366" i="1"/>
  <c r="BO366" i="1"/>
  <c r="BO95" i="1"/>
  <c r="BO176" i="1"/>
  <c r="BN176" i="1"/>
  <c r="BN368" i="1"/>
  <c r="BO368" i="1"/>
  <c r="BO29" i="1"/>
  <c r="BN281" i="1"/>
  <c r="BO320" i="1"/>
  <c r="BN84" i="1"/>
  <c r="BO219" i="1"/>
  <c r="BO87" i="1"/>
  <c r="BN87" i="1"/>
  <c r="BN106" i="1"/>
  <c r="BO106" i="1"/>
  <c r="BN206" i="1"/>
  <c r="BO206" i="1"/>
  <c r="BN304" i="1"/>
  <c r="BO304" i="1"/>
  <c r="BO231" i="1"/>
  <c r="BN231" i="1"/>
  <c r="BO373" i="1"/>
  <c r="BO72" i="1"/>
  <c r="BN217" i="1"/>
  <c r="BO217" i="1"/>
  <c r="BN353" i="1"/>
  <c r="BN262" i="1"/>
  <c r="BN11" i="1"/>
  <c r="BO11" i="1"/>
  <c r="BN302" i="1"/>
  <c r="BN367" i="1"/>
  <c r="BO367" i="1"/>
  <c r="BN292" i="1"/>
  <c r="BO292" i="1"/>
  <c r="BN326" i="1"/>
  <c r="BN379" i="1"/>
  <c r="BN62" i="1"/>
  <c r="BN98" i="1"/>
  <c r="BN102" i="1"/>
  <c r="BO135" i="1"/>
  <c r="BN191" i="1"/>
  <c r="BN369" i="1"/>
  <c r="BO369" i="1"/>
  <c r="BN220" i="1"/>
  <c r="BO220" i="1"/>
  <c r="BN306" i="1"/>
  <c r="BO306" i="1"/>
  <c r="BO253" i="1"/>
  <c r="BN253" i="1"/>
  <c r="BO356" i="1"/>
  <c r="BN356" i="1"/>
  <c r="BO182" i="1"/>
  <c r="BN182" i="1"/>
  <c r="BN256" i="1"/>
  <c r="BO330" i="1"/>
  <c r="BN251" i="1"/>
  <c r="BN174" i="1"/>
  <c r="BO181" i="1"/>
  <c r="BO80" i="1"/>
  <c r="BN80" i="1"/>
  <c r="BO131" i="1"/>
  <c r="BN46" i="1"/>
  <c r="BN44" i="1"/>
  <c r="BO346" i="1"/>
  <c r="BN346" i="1"/>
  <c r="BN31" i="1"/>
  <c r="BN337" i="1"/>
  <c r="BO236" i="1"/>
  <c r="BO259" i="1"/>
  <c r="BN213" i="1"/>
  <c r="BN26" i="1"/>
  <c r="BN331" i="1"/>
  <c r="BO141" i="1"/>
  <c r="BN141" i="1"/>
  <c r="BO284" i="1"/>
  <c r="BN284" i="1"/>
  <c r="BN293" i="1"/>
  <c r="BO293" i="1"/>
  <c r="BN303" i="1"/>
  <c r="BO303" i="1"/>
  <c r="BN144" i="1"/>
  <c r="BO144" i="1"/>
  <c r="BO287" i="1"/>
  <c r="BN287" i="1"/>
  <c r="BO232" i="1"/>
  <c r="BN232" i="1"/>
  <c r="BO82" i="1"/>
  <c r="BO358" i="1"/>
  <c r="BN358" i="1"/>
  <c r="BN104" i="1"/>
  <c r="BO104" i="1"/>
  <c r="BN227" i="1"/>
  <c r="BN222" i="1"/>
  <c r="BN108" i="1"/>
  <c r="BO108" i="1"/>
  <c r="BN189" i="1"/>
  <c r="BN348" i="1"/>
  <c r="BO40" i="1"/>
  <c r="BO311" i="1"/>
  <c r="BO153" i="1"/>
  <c r="BN199" i="1"/>
  <c r="BO154" i="1"/>
  <c r="BN378" i="1"/>
  <c r="BN354" i="1"/>
  <c r="BO185" i="1"/>
  <c r="BO258" i="1"/>
  <c r="BO264" i="1"/>
  <c r="BO229" i="1"/>
  <c r="BO18" i="1"/>
  <c r="BN308" i="1"/>
  <c r="BN25" i="1"/>
  <c r="BN332" i="1"/>
  <c r="BN143" i="1"/>
  <c r="BO143" i="1"/>
  <c r="BO120" i="1"/>
  <c r="BN120" i="1"/>
  <c r="BO286" i="1"/>
  <c r="BN286" i="1"/>
  <c r="BN21" i="1"/>
  <c r="BO21" i="1"/>
  <c r="BN244" i="1"/>
  <c r="BO244" i="1"/>
  <c r="BN147" i="1"/>
  <c r="BO147" i="1"/>
  <c r="BO66" i="1"/>
  <c r="BN66" i="1"/>
  <c r="BO203" i="1"/>
  <c r="BN203" i="1"/>
  <c r="BO345" i="1"/>
  <c r="BN345" i="1"/>
  <c r="BN333" i="1"/>
  <c r="BO86" i="1"/>
  <c r="BN86" i="1"/>
  <c r="BN226" i="1"/>
  <c r="BN107" i="1"/>
  <c r="BO107" i="1"/>
  <c r="BO64" i="1"/>
  <c r="BN64" i="1"/>
  <c r="BN175" i="1"/>
  <c r="BO175" i="1"/>
  <c r="BO68" i="1"/>
  <c r="BO316" i="1"/>
  <c r="BN316" i="1"/>
  <c r="BO310" i="1"/>
  <c r="BO285" i="1"/>
  <c r="BN285" i="1"/>
  <c r="BO152" i="1"/>
  <c r="BO96" i="1"/>
  <c r="BO85" i="1"/>
  <c r="BN85" i="1"/>
  <c r="BO375" i="1"/>
  <c r="BN30" i="1"/>
  <c r="BN97" i="1"/>
  <c r="BO260" i="1"/>
  <c r="BO314" i="1"/>
  <c r="BO349" i="1"/>
  <c r="BN307" i="1"/>
  <c r="BN171" i="1"/>
  <c r="BO171" i="1"/>
  <c r="BN149" i="1"/>
  <c r="BO149" i="1"/>
  <c r="BO58" i="1"/>
  <c r="BN58" i="1"/>
  <c r="BN216" i="1"/>
  <c r="BO216" i="1"/>
  <c r="BO301" i="1"/>
  <c r="BN301" i="1"/>
  <c r="BO119" i="1"/>
  <c r="BN119" i="1"/>
  <c r="BN305" i="1"/>
  <c r="BO305" i="1"/>
  <c r="BN383" i="1"/>
  <c r="BO383" i="1"/>
  <c r="BO42" i="1"/>
  <c r="BN322" i="1"/>
  <c r="BN328" i="1"/>
  <c r="BN204" i="1"/>
  <c r="BO204" i="1"/>
  <c r="BN335" i="1"/>
  <c r="BO180" i="1"/>
  <c r="BO59" i="1"/>
  <c r="BN145" i="1"/>
  <c r="BO145" i="1"/>
  <c r="BN294" i="1"/>
  <c r="BO294" i="1"/>
  <c r="BN23" i="1"/>
  <c r="BO23" i="1"/>
  <c r="BO340" i="1"/>
  <c r="BO283" i="1"/>
  <c r="BN234" i="1"/>
  <c r="BN246" i="1"/>
  <c r="BN103" i="1"/>
  <c r="BO103" i="1"/>
  <c r="BO299" i="1"/>
  <c r="BN299" i="1"/>
  <c r="BO186" i="1"/>
  <c r="BO376" i="1"/>
  <c r="BO324" i="1"/>
  <c r="BN224" i="1"/>
  <c r="BO312" i="1"/>
  <c r="BN14" i="1"/>
  <c r="BN99" i="1"/>
  <c r="BN47" i="1"/>
  <c r="BN91" i="1"/>
  <c r="BO91" i="1"/>
  <c r="BN173" i="1"/>
  <c r="BO173" i="1"/>
  <c r="BN218" i="1"/>
  <c r="BO218" i="1"/>
  <c r="BO300" i="1"/>
  <c r="BN300" i="1"/>
  <c r="BN105" i="1"/>
  <c r="BO105" i="1"/>
  <c r="BN290" i="1"/>
  <c r="BO290" i="1"/>
</calcChain>
</file>

<file path=xl/sharedStrings.xml><?xml version="1.0" encoding="utf-8"?>
<sst xmlns="http://schemas.openxmlformats.org/spreadsheetml/2006/main" count="1713" uniqueCount="478">
  <si>
    <t>time</t>
  </si>
  <si>
    <t>2024-03-04_open</t>
  </si>
  <si>
    <t>2024-03-04_close</t>
  </si>
  <si>
    <t>2024-03-05_open</t>
  </si>
  <si>
    <t>2024-03-05_close</t>
  </si>
  <si>
    <t>2024-03-06_open</t>
  </si>
  <si>
    <t>2024-03-06_close</t>
  </si>
  <si>
    <t>2024-03-07_open</t>
  </si>
  <si>
    <t>2024-03-07_close</t>
  </si>
  <si>
    <t>2024-03-08_open</t>
  </si>
  <si>
    <t>2024-03-08_close</t>
  </si>
  <si>
    <t>2024-03-11_open</t>
  </si>
  <si>
    <t>2024-03-11_close</t>
  </si>
  <si>
    <t>2024-03-12_open</t>
  </si>
  <si>
    <t>2024-03-12_close</t>
  </si>
  <si>
    <t>2024-03-13_open</t>
  </si>
  <si>
    <t>2024-03-13_close</t>
  </si>
  <si>
    <t>2024-03-14_open</t>
  </si>
  <si>
    <t>2024-03-14_close</t>
  </si>
  <si>
    <t>2024-03-15_open</t>
  </si>
  <si>
    <t>2024-03-15_close</t>
  </si>
  <si>
    <t>2024-03-18_open</t>
  </si>
  <si>
    <t>2024-03-18_close</t>
  </si>
  <si>
    <t>2024-03-19_open</t>
  </si>
  <si>
    <t>2024-03-19_close</t>
  </si>
  <si>
    <t>2024-03-20_open</t>
  </si>
  <si>
    <t>2024-03-20_close</t>
  </si>
  <si>
    <t>2024-03-21_open</t>
  </si>
  <si>
    <t>2024-03-21_close</t>
  </si>
  <si>
    <t>2024-03-22_open</t>
  </si>
  <si>
    <t>2024-03-22_close</t>
  </si>
  <si>
    <t>2024-03-25_open</t>
  </si>
  <si>
    <t>2024-03-25_close</t>
  </si>
  <si>
    <t>2024-03-26_open</t>
  </si>
  <si>
    <t>2024-03-26_close</t>
  </si>
  <si>
    <t>2024-03-27_open</t>
  </si>
  <si>
    <t>2024-03-27_close</t>
  </si>
  <si>
    <t>2024-03-28_open</t>
  </si>
  <si>
    <t>2024-03-28_close</t>
  </si>
  <si>
    <t>2024-03-29_open</t>
  </si>
  <si>
    <t>2024-03-29_close</t>
  </si>
  <si>
    <t>2024-04-01_open</t>
  </si>
  <si>
    <t>2024-04-01_close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</si>
  <si>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</si>
  <si>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</si>
  <si>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</si>
  <si>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</si>
  <si>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</si>
  <si>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</si>
  <si>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</si>
  <si>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</si>
  <si>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</si>
  <si>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</si>
  <si>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</si>
  <si>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</si>
  <si>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</si>
  <si>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</si>
  <si>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</si>
  <si>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</si>
  <si>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</si>
  <si>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</si>
  <si>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</si>
  <si>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</si>
  <si>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</si>
  <si>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</si>
  <si>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</si>
  <si>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</si>
  <si>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</si>
  <si>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</si>
  <si>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</si>
  <si>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</si>
  <si>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</si>
  <si>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</si>
  <si>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</si>
  <si>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</si>
  <si>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</si>
  <si>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</si>
  <si>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</si>
  <si>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</si>
  <si>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</si>
  <si>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</si>
  <si>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</si>
  <si>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</si>
  <si>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</si>
  <si>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</si>
  <si>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</si>
  <si>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</si>
  <si>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</si>
  <si>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</si>
  <si>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</si>
  <si>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</si>
  <si>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</si>
  <si>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</si>
  <si>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</si>
  <si>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</si>
  <si>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</si>
  <si>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</si>
  <si>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</si>
  <si>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</si>
  <si>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</si>
  <si>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</si>
  <si>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</si>
  <si>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</si>
  <si>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</si>
  <si>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</si>
  <si>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</si>
  <si>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</si>
  <si>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</si>
  <si>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</si>
  <si>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</si>
  <si>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</si>
  <si>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</si>
  <si>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</si>
  <si>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</si>
  <si>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</si>
  <si>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</si>
  <si>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</si>
  <si>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</si>
  <si>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</si>
  <si>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</si>
  <si>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</si>
  <si>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</si>
  <si>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</si>
  <si>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</si>
  <si>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</si>
  <si>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</si>
  <si>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</si>
  <si>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</si>
  <si>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</si>
  <si>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</si>
  <si>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</si>
  <si>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</si>
  <si>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</si>
  <si>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</si>
  <si>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</si>
  <si>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</si>
  <si>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</si>
  <si>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</si>
  <si>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</si>
  <si>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</si>
  <si>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</si>
  <si>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</si>
  <si>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</si>
  <si>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</si>
  <si>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</si>
  <si>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</si>
  <si>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</si>
  <si>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</si>
  <si>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</si>
  <si>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</si>
  <si>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</si>
  <si>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</si>
  <si>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</si>
  <si>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</si>
  <si>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</si>
  <si>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</si>
  <si>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</si>
  <si>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</si>
  <si>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</si>
  <si>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</si>
  <si>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</si>
  <si>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</si>
  <si>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</si>
  <si>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</si>
  <si>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</si>
  <si>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</si>
  <si>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</si>
  <si>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</si>
  <si>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</si>
  <si>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</si>
  <si>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</si>
  <si>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</si>
  <si>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</si>
  <si>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</si>
  <si>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</si>
  <si>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</si>
  <si>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</si>
  <si>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</si>
  <si>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</si>
  <si>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</si>
  <si>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</si>
  <si>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</si>
  <si>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</si>
  <si>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</si>
  <si>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</si>
  <si>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</si>
  <si>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</si>
  <si>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</si>
  <si>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</si>
  <si>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</si>
  <si>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</si>
  <si>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</si>
  <si>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</si>
  <si>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</si>
  <si>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</si>
  <si>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</si>
  <si>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</si>
  <si>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</si>
  <si>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</si>
  <si>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</si>
  <si>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</si>
  <si>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</si>
  <si>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</si>
  <si>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</si>
  <si>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</si>
  <si>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</si>
  <si>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</si>
  <si>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</si>
  <si>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</si>
  <si>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</si>
  <si>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</si>
  <si>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</si>
  <si>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</si>
  <si>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</si>
  <si>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</si>
  <si>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</si>
  <si>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</si>
  <si>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</si>
  <si>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</si>
  <si>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</si>
  <si>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</si>
  <si>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</si>
  <si>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</si>
  <si>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</si>
  <si>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</si>
  <si>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</si>
  <si>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</si>
  <si>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</si>
  <si>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</si>
  <si>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</si>
  <si>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</si>
  <si>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</si>
  <si>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</si>
  <si>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</si>
  <si>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</si>
  <si>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</si>
  <si>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</si>
  <si>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</si>
  <si>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</si>
  <si>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</si>
  <si>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</si>
  <si>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</si>
  <si>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</si>
  <si>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</si>
  <si>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</si>
  <si>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</si>
  <si>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</si>
  <si>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</si>
  <si>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</si>
  <si>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</si>
  <si>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</si>
  <si>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</si>
  <si>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</si>
  <si>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</si>
  <si>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</si>
  <si>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</si>
  <si>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</si>
  <si>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</si>
  <si>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</si>
  <si>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</si>
  <si>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</si>
  <si>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</si>
  <si>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</si>
  <si>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</si>
  <si>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</si>
  <si>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</si>
  <si>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</si>
  <si>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</si>
  <si>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</si>
  <si>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</si>
  <si>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</si>
  <si>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</si>
  <si>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</si>
  <si>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</si>
  <si>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</si>
  <si>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</si>
  <si>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</si>
  <si>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</si>
  <si>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</si>
  <si>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</si>
  <si>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</si>
  <si>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</si>
  <si>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</si>
  <si>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</si>
  <si>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</si>
  <si>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</si>
  <si>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</si>
  <si>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</si>
  <si>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</si>
  <si>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</si>
  <si>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</si>
  <si>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</si>
  <si>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</si>
  <si>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</si>
  <si>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</si>
  <si>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</si>
  <si>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</si>
  <si>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</si>
  <si>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</si>
  <si>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</si>
  <si>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</si>
  <si>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</si>
  <si>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</si>
  <si>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</si>
  <si>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</si>
  <si>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</si>
  <si>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</si>
  <si>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</si>
  <si>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</si>
  <si>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</si>
  <si>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</si>
  <si>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</si>
  <si>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</si>
  <si>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</si>
  <si>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</si>
  <si>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</si>
  <si>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</si>
  <si>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</si>
  <si>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</si>
  <si>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</si>
  <si>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</si>
  <si>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</si>
  <si>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</si>
  <si>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</si>
  <si>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</si>
  <si>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</si>
  <si>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</si>
  <si>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</si>
  <si>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</si>
  <si>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</si>
  <si>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</si>
  <si>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</si>
  <si>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</si>
  <si>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</si>
  <si>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</si>
  <si>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</si>
  <si>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</si>
  <si>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</si>
  <si>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</si>
  <si>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</si>
  <si>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</si>
  <si>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</si>
  <si>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</si>
  <si>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</si>
  <si>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</si>
  <si>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</si>
  <si>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</si>
  <si>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</si>
  <si>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</si>
  <si>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</si>
  <si>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</si>
  <si>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</si>
  <si>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</si>
  <si>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</si>
  <si>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</si>
  <si>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</si>
  <si>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</si>
  <si>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</si>
  <si>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</si>
  <si>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</si>
  <si>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</si>
  <si>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</si>
  <si>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</si>
  <si>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</si>
  <si>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</si>
  <si>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</si>
  <si>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</si>
  <si>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</si>
  <si>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</si>
  <si>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</si>
  <si>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</si>
  <si>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</si>
  <si>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</si>
  <si>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</si>
  <si>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</si>
  <si>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</si>
  <si>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</si>
  <si>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</si>
  <si>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</si>
  <si>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</si>
  <si>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</si>
  <si>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</si>
  <si>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</si>
  <si>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</si>
  <si>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</si>
  <si>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</si>
  <si>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</si>
  <si>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</si>
  <si>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</si>
  <si>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</si>
  <si>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</si>
  <si>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</si>
  <si>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</si>
  <si>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</si>
  <si>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</si>
  <si>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</si>
  <si>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</si>
  <si>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</si>
  <si>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</si>
  <si>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</si>
  <si>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</si>
  <si>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</si>
  <si>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</si>
  <si>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</si>
  <si>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</si>
  <si>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</si>
  <si>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</si>
  <si>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</si>
  <si>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</si>
  <si>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</si>
  <si>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</si>
  <si>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</si>
  <si>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</si>
  <si>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</si>
  <si>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</si>
  <si>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</si>
  <si>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</si>
  <si>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</si>
  <si>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</si>
  <si>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</si>
  <si>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</si>
  <si>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</si>
  <si>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</si>
  <si>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15:30:00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</si>
  <si>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</si>
  <si>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</si>
  <si>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</si>
  <si>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</si>
  <si>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</si>
  <si>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</si>
  <si>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</si>
  <si>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</si>
  <si>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</si>
  <si>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</si>
  <si>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</si>
  <si>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</si>
  <si>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</si>
  <si>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</si>
  <si>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</si>
  <si>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Price</t>
    <phoneticPr fontId="2" type="noConversion"/>
  </si>
  <si>
    <t>Sigma</t>
    <phoneticPr fontId="2" type="noConversion"/>
  </si>
  <si>
    <t>Upper</t>
  </si>
  <si>
    <t>Upper</t>
    <phoneticPr fontId="2" type="noConversion"/>
  </si>
  <si>
    <t>Bound</t>
    <phoneticPr fontId="2" type="noConversion"/>
  </si>
  <si>
    <t>Lower</t>
  </si>
  <si>
    <t>Lower</t>
    <phoneticPr fontId="2" type="noConversion"/>
  </si>
  <si>
    <t>Close</t>
  </si>
  <si>
    <t>Close</t>
    <phoneticPr fontId="2" type="noConversion"/>
  </si>
  <si>
    <t>2024-03-04</t>
  </si>
  <si>
    <t>2024-03-05</t>
  </si>
  <si>
    <t>2024-03-06</t>
  </si>
  <si>
    <t>2024-03-07</t>
  </si>
  <si>
    <t>2024-03-08</t>
  </si>
  <si>
    <t>2024-03-11</t>
  </si>
  <si>
    <t>Move</t>
    <phoneticPr fontId="2" type="noConversion"/>
  </si>
  <si>
    <t>Open</t>
  </si>
  <si>
    <t>Open</t>
    <phoneticPr fontId="2" type="noConversion"/>
  </si>
  <si>
    <t>High</t>
  </si>
  <si>
    <t>High</t>
    <phoneticPr fontId="2" type="noConversion"/>
  </si>
  <si>
    <t>Low</t>
  </si>
  <si>
    <t>Low</t>
    <phoneticPr fontId="2" type="noConversion"/>
  </si>
  <si>
    <t>Volume</t>
  </si>
  <si>
    <t>Volume</t>
    <phoneticPr fontId="2" type="noConversion"/>
  </si>
  <si>
    <t>Date</t>
    <phoneticPr fontId="2" type="noConversion"/>
  </si>
  <si>
    <t>VWAP</t>
    <phoneticPr fontId="2" type="noConversion"/>
  </si>
  <si>
    <t>HLC</t>
    <phoneticPr fontId="2" type="noConversion"/>
  </si>
  <si>
    <t>VOL_HLC</t>
    <phoneticPr fontId="2" type="noConversion"/>
  </si>
  <si>
    <t>CUM_VOL_HLC</t>
    <phoneticPr fontId="2" type="noConversion"/>
  </si>
  <si>
    <t>CUM_VOL</t>
    <phoneticPr fontId="2" type="noConversion"/>
  </si>
  <si>
    <t>VWAP</t>
    <phoneticPr fontId="2" type="noConversion"/>
  </si>
  <si>
    <t>MINUTE</t>
    <phoneticPr fontId="2" type="noConversion"/>
  </si>
  <si>
    <t>TIME</t>
    <phoneticPr fontId="2" type="noConversion"/>
  </si>
  <si>
    <t>SIGNAL</t>
    <phoneticPr fontId="2" type="noConversion"/>
  </si>
  <si>
    <t>SIGNAL_UB</t>
    <phoneticPr fontId="2" type="noConversion"/>
  </si>
  <si>
    <t>SIGNAL_LB</t>
    <phoneticPr fontId="2" type="noConversion"/>
  </si>
  <si>
    <t>SIGNAL</t>
    <phoneticPr fontId="2" type="noConversion"/>
  </si>
  <si>
    <t>POSITION</t>
    <phoneticPr fontId="2" type="noConversion"/>
  </si>
  <si>
    <t>AUM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</si>
</sst>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000"/>
    <numFmt numFmtId="177" formatCode="_-* #,##0.00_-;\-* #,##0.00_-;_-* &quot;-&quot;_-;_-@_-"/>
  </numFmts>
  <fonts count="5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4" fillId="0" borderId="0" applyFont="0" applyFill="0" applyBorder="0" applyAlignment="0" applyProtection="0">
      <alignment vertical="center"/>
    </xf>
  </cellStyleXfs>
  <cellXfs count="19">
    <xf numFmtId="0" fontId="0" fillId="0" borderId="0" xfId="0"/>
    <xf numFmtId="0" fontId="1" fillId="0" borderId="0" xfId="0" applyFont="1" applyBorder="1" applyAlignment="1">
      <alignment horizontal="center" vertical="top"/>
    </xf>
    <xf numFmtId="0" fontId="1" fillId="0" borderId="0" xfId="0" applyFont="1" applyBorder="1"/>
    <xf numFmtId="0" fontId="0" fillId="0" borderId="0" xfId="0" applyBorder="1"/>
    <xf numFmtId="176" fontId="0" fillId="0" borderId="0" xfId="0" applyNumberFormat="1" applyBorder="1"/>
    <xf numFmtId="14" fontId="0" fillId="0" borderId="0" xfId="0" applyNumberFormat="1" applyBorder="1"/>
    <xf numFmtId="0" fontId="3" fillId="0" borderId="0" xfId="0" applyFont="1" applyBorder="1"/>
    <xf numFmtId="0" fontId="3" fillId="0" borderId="0" xfId="0" applyFont="1" applyFill="1" applyBorder="1" applyAlignment="1">
      <alignment horizontal="center" vertical="top"/>
    </xf>
    <xf numFmtId="0" fontId="0" fillId="0" borderId="0" xfId="0" applyFill="1" applyBorder="1"/>
    <xf numFmtId="1" fontId="0" fillId="0" borderId="0" xfId="0" applyNumberFormat="1" applyFill="1" applyBorder="1"/>
    <xf numFmtId="1" fontId="0" fillId="0" borderId="0" xfId="0" applyNumberFormat="1" applyBorder="1"/>
    <xf numFmtId="3" fontId="0" fillId="0" borderId="0" xfId="0" applyNumberFormat="1"/>
    <xf numFmtId="14" fontId="1" fillId="0" borderId="0" xfId="0" applyNumberFormat="1" applyFont="1" applyBorder="1" applyAlignment="1">
      <alignment horizontal="center" vertical="top"/>
    </xf>
    <xf numFmtId="3" fontId="0" fillId="0" borderId="0" xfId="0" applyNumberFormat="1" applyBorder="1"/>
    <xf numFmtId="177" fontId="0" fillId="0" borderId="0" xfId="1" applyNumberFormat="1" applyFont="1" applyFill="1" applyBorder="1" applyAlignment="1"/>
    <xf numFmtId="177" fontId="0" fillId="0" borderId="0" xfId="1" applyNumberFormat="1" applyFont="1" applyBorder="1" applyAlignment="1"/>
    <xf numFmtId="177" fontId="0" fillId="0" borderId="0" xfId="1" applyNumberFormat="1" applyFont="1" applyAlignment="1"/>
    <xf numFmtId="0" fontId="3" fillId="0" borderId="0" xfId="0" applyFont="1" applyBorder="1" applyAlignment="1">
      <alignment horizontal="center"/>
    </xf>
    <xf numFmtId="3" fontId="1" fillId="0" borderId="0" xfId="0" applyNumberFormat="1" applyFont="1" applyBorder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'20240401_example'!$BN$2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'20240401_example'!$A$3:$A$383</c:f>
              <c:strCache>
                <c:ptCount val="381"/>
                <c:pt idx="0">
                  <c:v>09:01:00</c:v>
                </c:pt>
                <c:pt idx="1">
                  <c:v>09:02:00</c:v>
                </c:pt>
                <c:pt idx="2">
                  <c:v>09:03:00</c:v>
                </c:pt>
                <c:pt idx="3">
                  <c:v>09:04:00</c:v>
                </c:pt>
                <c:pt idx="4">
                  <c:v>09:05:00</c:v>
                </c:pt>
                <c:pt idx="5">
                  <c:v>09:06:00</c:v>
                </c:pt>
                <c:pt idx="6">
                  <c:v>09:07:00</c:v>
                </c:pt>
                <c:pt idx="7">
                  <c:v>09:08:00</c:v>
                </c:pt>
                <c:pt idx="8">
                  <c:v>09:09:00</c:v>
                </c:pt>
                <c:pt idx="9">
                  <c:v>09:10:00</c:v>
                </c:pt>
                <c:pt idx="10">
                  <c:v>09:11:00</c:v>
                </c:pt>
                <c:pt idx="11">
                  <c:v>09:12:00</c:v>
                </c:pt>
                <c:pt idx="12">
                  <c:v>09:13:00</c:v>
                </c:pt>
                <c:pt idx="13">
                  <c:v>09:14:00</c:v>
                </c:pt>
                <c:pt idx="14">
                  <c:v>09:15:00</c:v>
                </c:pt>
                <c:pt idx="15">
                  <c:v>09:16:00</c:v>
                </c:pt>
                <c:pt idx="16">
                  <c:v>09:17:00</c:v>
                </c:pt>
                <c:pt idx="17">
                  <c:v>09:18:00</c:v>
                </c:pt>
                <c:pt idx="18">
                  <c:v>09:19:00</c:v>
                </c:pt>
                <c:pt idx="19">
                  <c:v>09:20:00</c:v>
                </c:pt>
                <c:pt idx="20">
                  <c:v>09:21:00</c:v>
                </c:pt>
                <c:pt idx="21">
                  <c:v>09:22:00</c:v>
                </c:pt>
                <c:pt idx="22">
                  <c:v>09:23:00</c:v>
                </c:pt>
                <c:pt idx="23">
                  <c:v>09:24:00</c:v>
                </c:pt>
                <c:pt idx="24">
                  <c:v>09:25:00</c:v>
                </c:pt>
                <c:pt idx="25">
                  <c:v>09:26:00</c:v>
                </c:pt>
                <c:pt idx="26">
                  <c:v>09:27:00</c:v>
                </c:pt>
                <c:pt idx="27">
                  <c:v>09:28:00</c:v>
                </c:pt>
                <c:pt idx="28">
                  <c:v>09:29:00</c:v>
                </c:pt>
                <c:pt idx="29">
                  <c:v>09:30:00</c:v>
                </c:pt>
                <c:pt idx="30">
                  <c:v>09:31:00</c:v>
                </c:pt>
                <c:pt idx="31">
                  <c:v>09:32:00</c:v>
                </c:pt>
                <c:pt idx="32">
                  <c:v>09:33:00</c:v>
                </c:pt>
                <c:pt idx="33">
                  <c:v>09:34:00</c:v>
                </c:pt>
                <c:pt idx="34">
                  <c:v>09:35:00</c:v>
                </c:pt>
                <c:pt idx="35">
                  <c:v>09:36:00</c:v>
                </c:pt>
                <c:pt idx="36">
                  <c:v>09:37:00</c:v>
                </c:pt>
                <c:pt idx="37">
                  <c:v>09:38:00</c:v>
                </c:pt>
                <c:pt idx="38">
                  <c:v>09:39:00</c:v>
                </c:pt>
                <c:pt idx="39">
                  <c:v>09:40:00</c:v>
                </c:pt>
                <c:pt idx="40">
                  <c:v>09:41:00</c:v>
                </c:pt>
                <c:pt idx="41">
                  <c:v>09:42:00</c:v>
                </c:pt>
                <c:pt idx="42">
                  <c:v>09:43:00</c:v>
                </c:pt>
                <c:pt idx="43">
                  <c:v>09:44:00</c:v>
                </c:pt>
                <c:pt idx="44">
                  <c:v>09:45:00</c:v>
                </c:pt>
                <c:pt idx="45">
                  <c:v>09:46:00</c:v>
                </c:pt>
                <c:pt idx="46">
                  <c:v>09:47:00</c:v>
                </c:pt>
                <c:pt idx="47">
                  <c:v>09:48:00</c:v>
                </c:pt>
                <c:pt idx="48">
                  <c:v>09:49:00</c:v>
                </c:pt>
                <c:pt idx="49">
                  <c:v>09:50:00</c:v>
                </c:pt>
                <c:pt idx="50">
                  <c:v>09:51:00</c:v>
                </c:pt>
                <c:pt idx="51">
                  <c:v>09:52:00</c:v>
                </c:pt>
                <c:pt idx="52">
                  <c:v>09:53:00</c:v>
                </c:pt>
                <c:pt idx="53">
                  <c:v>09:54:00</c:v>
                </c:pt>
                <c:pt idx="54">
                  <c:v>09:55:00</c:v>
                </c:pt>
                <c:pt idx="55">
                  <c:v>09:56:00</c:v>
                </c:pt>
                <c:pt idx="56">
                  <c:v>09:57:00</c:v>
                </c:pt>
                <c:pt idx="57">
                  <c:v>09:58:00</c:v>
                </c:pt>
                <c:pt idx="58">
                  <c:v>09:59:00</c:v>
                </c:pt>
                <c:pt idx="59">
                  <c:v>10:00:00</c:v>
                </c:pt>
                <c:pt idx="60">
                  <c:v>10:01:00</c:v>
                </c:pt>
                <c:pt idx="61">
                  <c:v>10:02:00</c:v>
                </c:pt>
                <c:pt idx="62">
                  <c:v>10:03:00</c:v>
                </c:pt>
                <c:pt idx="63">
                  <c:v>10:04:00</c:v>
                </c:pt>
                <c:pt idx="64">
                  <c:v>10:05:00</c:v>
                </c:pt>
                <c:pt idx="65">
                  <c:v>10:06:00</c:v>
                </c:pt>
                <c:pt idx="66">
                  <c:v>10:07:00</c:v>
                </c:pt>
                <c:pt idx="67">
                  <c:v>10:08:00</c:v>
                </c:pt>
                <c:pt idx="68">
                  <c:v>10:09:00</c:v>
                </c:pt>
                <c:pt idx="69">
                  <c:v>10:10:00</c:v>
                </c:pt>
                <c:pt idx="70">
                  <c:v>10:11:00</c:v>
                </c:pt>
                <c:pt idx="71">
                  <c:v>10:12:00</c:v>
                </c:pt>
                <c:pt idx="72">
                  <c:v>10:13:00</c:v>
                </c:pt>
                <c:pt idx="73">
                  <c:v>10:14:00</c:v>
                </c:pt>
                <c:pt idx="74">
                  <c:v>10:15:00</c:v>
                </c:pt>
                <c:pt idx="75">
                  <c:v>10:16:00</c:v>
                </c:pt>
                <c:pt idx="76">
                  <c:v>10:17:00</c:v>
                </c:pt>
                <c:pt idx="77">
                  <c:v>10:18:00</c:v>
                </c:pt>
                <c:pt idx="78">
                  <c:v>10:19:00</c:v>
                </c:pt>
                <c:pt idx="79">
                  <c:v>10:20:00</c:v>
                </c:pt>
                <c:pt idx="80">
                  <c:v>10:21:00</c:v>
                </c:pt>
                <c:pt idx="81">
                  <c:v>10:22:00</c:v>
                </c:pt>
                <c:pt idx="82">
                  <c:v>10:23:00</c:v>
                </c:pt>
                <c:pt idx="83">
                  <c:v>10:24:00</c:v>
                </c:pt>
                <c:pt idx="84">
                  <c:v>10:25:00</c:v>
                </c:pt>
                <c:pt idx="85">
                  <c:v>10:26:00</c:v>
                </c:pt>
                <c:pt idx="86">
                  <c:v>10:27:00</c:v>
                </c:pt>
                <c:pt idx="87">
                  <c:v>10:28:00</c:v>
                </c:pt>
                <c:pt idx="88">
                  <c:v>10:29:00</c:v>
                </c:pt>
                <c:pt idx="89">
                  <c:v>10:30:00</c:v>
                </c:pt>
                <c:pt idx="90">
                  <c:v>10:31:00</c:v>
                </c:pt>
                <c:pt idx="91">
                  <c:v>10:32:00</c:v>
                </c:pt>
                <c:pt idx="92">
                  <c:v>10:33:00</c:v>
                </c:pt>
                <c:pt idx="93">
                  <c:v>10:34:00</c:v>
                </c:pt>
                <c:pt idx="94">
                  <c:v>10:35:00</c:v>
                </c:pt>
                <c:pt idx="95">
                  <c:v>10:36:00</c:v>
                </c:pt>
                <c:pt idx="96">
                  <c:v>10:37:00</c:v>
                </c:pt>
                <c:pt idx="97">
                  <c:v>10:38:00</c:v>
                </c:pt>
                <c:pt idx="98">
                  <c:v>10:39:00</c:v>
                </c:pt>
                <c:pt idx="99">
                  <c:v>10:40:00</c:v>
                </c:pt>
                <c:pt idx="100">
                  <c:v>10:41:00</c:v>
                </c:pt>
                <c:pt idx="101">
                  <c:v>10:42:00</c:v>
                </c:pt>
                <c:pt idx="102">
                  <c:v>10:43:00</c:v>
                </c:pt>
                <c:pt idx="103">
                  <c:v>10:44:00</c:v>
                </c:pt>
                <c:pt idx="104">
                  <c:v>10:45:00</c:v>
                </c:pt>
                <c:pt idx="105">
                  <c:v>10:46:00</c:v>
                </c:pt>
                <c:pt idx="106">
                  <c:v>10:47:00</c:v>
                </c:pt>
                <c:pt idx="107">
                  <c:v>10:48:00</c:v>
                </c:pt>
                <c:pt idx="108">
                  <c:v>10:49:00</c:v>
                </c:pt>
                <c:pt idx="109">
                  <c:v>10:50:00</c:v>
                </c:pt>
                <c:pt idx="110">
                  <c:v>10:51:00</c:v>
                </c:pt>
                <c:pt idx="111">
                  <c:v>10:52:00</c:v>
                </c:pt>
                <c:pt idx="112">
                  <c:v>10:53:00</c:v>
                </c:pt>
                <c:pt idx="113">
                  <c:v>10:54:00</c:v>
                </c:pt>
                <c:pt idx="114">
                  <c:v>10:55:00</c:v>
                </c:pt>
                <c:pt idx="115">
                  <c:v>10:56:00</c:v>
                </c:pt>
                <c:pt idx="116">
                  <c:v>10:57:00</c:v>
                </c:pt>
                <c:pt idx="117">
                  <c:v>10:58:00</c:v>
                </c:pt>
                <c:pt idx="118">
                  <c:v>10:59:00</c:v>
                </c:pt>
                <c:pt idx="119">
                  <c:v>11:00:00</c:v>
                </c:pt>
                <c:pt idx="120">
                  <c:v>11:01:00</c:v>
                </c:pt>
                <c:pt idx="121">
                  <c:v>11:02:00</c:v>
                </c:pt>
                <c:pt idx="122">
                  <c:v>11:03:00</c:v>
                </c:pt>
                <c:pt idx="123">
                  <c:v>11:04:00</c:v>
                </c:pt>
                <c:pt idx="124">
                  <c:v>11:05:00</c:v>
                </c:pt>
                <c:pt idx="125">
                  <c:v>11:06:00</c:v>
                </c:pt>
                <c:pt idx="126">
                  <c:v>11:07:00</c:v>
                </c:pt>
                <c:pt idx="127">
                  <c:v>11:08:00</c:v>
                </c:pt>
                <c:pt idx="128">
                  <c:v>11:09:00</c:v>
                </c:pt>
                <c:pt idx="129">
                  <c:v>11:10:00</c:v>
                </c:pt>
                <c:pt idx="130">
                  <c:v>11:11:00</c:v>
                </c:pt>
                <c:pt idx="131">
                  <c:v>11:12:00</c:v>
                </c:pt>
                <c:pt idx="132">
                  <c:v>11:13:00</c:v>
                </c:pt>
                <c:pt idx="133">
                  <c:v>11:14:00</c:v>
                </c:pt>
                <c:pt idx="134">
                  <c:v>11:15:00</c:v>
                </c:pt>
                <c:pt idx="135">
                  <c:v>11:16:00</c:v>
                </c:pt>
                <c:pt idx="136">
                  <c:v>11:17:00</c:v>
                </c:pt>
                <c:pt idx="137">
                  <c:v>11:18:00</c:v>
                </c:pt>
                <c:pt idx="138">
                  <c:v>11:19:00</c:v>
                </c:pt>
                <c:pt idx="139">
                  <c:v>11:20:00</c:v>
                </c:pt>
                <c:pt idx="140">
                  <c:v>11:21:00</c:v>
                </c:pt>
                <c:pt idx="141">
                  <c:v>11:22:00</c:v>
                </c:pt>
                <c:pt idx="142">
                  <c:v>11:23:00</c:v>
                </c:pt>
                <c:pt idx="143">
                  <c:v>11:24:00</c:v>
                </c:pt>
                <c:pt idx="144">
                  <c:v>11:25:00</c:v>
                </c:pt>
                <c:pt idx="145">
                  <c:v>11:26:00</c:v>
                </c:pt>
                <c:pt idx="146">
                  <c:v>11:27:00</c:v>
                </c:pt>
                <c:pt idx="147">
                  <c:v>11:28:00</c:v>
                </c:pt>
                <c:pt idx="148">
                  <c:v>11:29:00</c:v>
                </c:pt>
                <c:pt idx="149">
                  <c:v>11:30:00</c:v>
                </c:pt>
                <c:pt idx="150">
                  <c:v>11:31:00</c:v>
                </c:pt>
                <c:pt idx="151">
                  <c:v>11:32:00</c:v>
                </c:pt>
                <c:pt idx="152">
                  <c:v>11:33:00</c:v>
                </c:pt>
                <c:pt idx="153">
                  <c:v>11:34:00</c:v>
                </c:pt>
                <c:pt idx="154">
                  <c:v>11:35:00</c:v>
                </c:pt>
                <c:pt idx="155">
                  <c:v>11:36:00</c:v>
                </c:pt>
                <c:pt idx="156">
                  <c:v>11:37:00</c:v>
                </c:pt>
                <c:pt idx="157">
                  <c:v>11:38:00</c:v>
                </c:pt>
                <c:pt idx="158">
                  <c:v>11:39:00</c:v>
                </c:pt>
                <c:pt idx="159">
                  <c:v>11:40:00</c:v>
                </c:pt>
                <c:pt idx="160">
                  <c:v>11:41:00</c:v>
                </c:pt>
                <c:pt idx="161">
                  <c:v>11:42:00</c:v>
                </c:pt>
                <c:pt idx="162">
                  <c:v>11:43:00</c:v>
                </c:pt>
                <c:pt idx="163">
                  <c:v>11:44:00</c:v>
                </c:pt>
                <c:pt idx="164">
                  <c:v>11:45:00</c:v>
                </c:pt>
                <c:pt idx="165">
                  <c:v>11:46:00</c:v>
                </c:pt>
                <c:pt idx="166">
                  <c:v>11:47:00</c:v>
                </c:pt>
                <c:pt idx="167">
                  <c:v>11:48:00</c:v>
                </c:pt>
                <c:pt idx="168">
                  <c:v>11:49:00</c:v>
                </c:pt>
                <c:pt idx="169">
                  <c:v>11:50:00</c:v>
                </c:pt>
                <c:pt idx="170">
                  <c:v>11:51:00</c:v>
                </c:pt>
                <c:pt idx="171">
                  <c:v>11:52:00</c:v>
                </c:pt>
                <c:pt idx="172">
                  <c:v>11:53:00</c:v>
                </c:pt>
                <c:pt idx="173">
                  <c:v>11:54:00</c:v>
                </c:pt>
                <c:pt idx="174">
                  <c:v>11:55:00</c:v>
                </c:pt>
                <c:pt idx="175">
                  <c:v>11:56:00</c:v>
                </c:pt>
                <c:pt idx="176">
                  <c:v>11:57:00</c:v>
                </c:pt>
                <c:pt idx="177">
                  <c:v>11:58:00</c:v>
                </c:pt>
                <c:pt idx="178">
                  <c:v>11:59:00</c:v>
                </c:pt>
                <c:pt idx="179">
                  <c:v>12:00:00</c:v>
                </c:pt>
                <c:pt idx="180">
                  <c:v>12:01:00</c:v>
                </c:pt>
                <c:pt idx="181">
                  <c:v>12:02:00</c:v>
                </c:pt>
                <c:pt idx="182">
                  <c:v>12:03:00</c:v>
                </c:pt>
                <c:pt idx="183">
                  <c:v>12:04:00</c:v>
                </c:pt>
                <c:pt idx="184">
                  <c:v>12:05:00</c:v>
                </c:pt>
                <c:pt idx="185">
                  <c:v>12:06:00</c:v>
                </c:pt>
                <c:pt idx="186">
                  <c:v>12:07:00</c:v>
                </c:pt>
                <c:pt idx="187">
                  <c:v>12:08:00</c:v>
                </c:pt>
                <c:pt idx="188">
                  <c:v>12:09:00</c:v>
                </c:pt>
                <c:pt idx="189">
                  <c:v>12:10:00</c:v>
                </c:pt>
                <c:pt idx="190">
                  <c:v>12:11:00</c:v>
                </c:pt>
                <c:pt idx="191">
                  <c:v>12:12:00</c:v>
                </c:pt>
                <c:pt idx="192">
                  <c:v>12:13:00</c:v>
                </c:pt>
                <c:pt idx="193">
                  <c:v>12:14:00</c:v>
                </c:pt>
                <c:pt idx="194">
                  <c:v>12:15:00</c:v>
                </c:pt>
                <c:pt idx="195">
                  <c:v>12:16:00</c:v>
                </c:pt>
                <c:pt idx="196">
                  <c:v>12:17:00</c:v>
                </c:pt>
                <c:pt idx="197">
                  <c:v>12:18:00</c:v>
                </c:pt>
                <c:pt idx="198">
                  <c:v>12:19:00</c:v>
                </c:pt>
                <c:pt idx="199">
                  <c:v>12:20:00</c:v>
                </c:pt>
                <c:pt idx="200">
                  <c:v>12:21:00</c:v>
                </c:pt>
                <c:pt idx="201">
                  <c:v>12:22:00</c:v>
                </c:pt>
                <c:pt idx="202">
                  <c:v>12:23:00</c:v>
                </c:pt>
                <c:pt idx="203">
                  <c:v>12:24:00</c:v>
                </c:pt>
                <c:pt idx="204">
                  <c:v>12:25:00</c:v>
                </c:pt>
                <c:pt idx="205">
                  <c:v>12:26:00</c:v>
                </c:pt>
                <c:pt idx="206">
                  <c:v>12:27:00</c:v>
                </c:pt>
                <c:pt idx="207">
                  <c:v>12:28:00</c:v>
                </c:pt>
                <c:pt idx="208">
                  <c:v>12:29:00</c:v>
                </c:pt>
                <c:pt idx="209">
                  <c:v>12:30:00</c:v>
                </c:pt>
                <c:pt idx="210">
                  <c:v>12:31:00</c:v>
                </c:pt>
                <c:pt idx="211">
                  <c:v>12:32:00</c:v>
                </c:pt>
                <c:pt idx="212">
                  <c:v>12:33:00</c:v>
                </c:pt>
                <c:pt idx="213">
                  <c:v>12:34:00</c:v>
                </c:pt>
                <c:pt idx="214">
                  <c:v>12:35:00</c:v>
                </c:pt>
                <c:pt idx="215">
                  <c:v>12:36:00</c:v>
                </c:pt>
                <c:pt idx="216">
                  <c:v>12:37:00</c:v>
                </c:pt>
                <c:pt idx="217">
                  <c:v>12:38:00</c:v>
                </c:pt>
                <c:pt idx="218">
                  <c:v>12:39:00</c:v>
                </c:pt>
                <c:pt idx="219">
                  <c:v>12:40:00</c:v>
                </c:pt>
                <c:pt idx="220">
                  <c:v>12:41:00</c:v>
                </c:pt>
                <c:pt idx="221">
                  <c:v>12:42:00</c:v>
                </c:pt>
                <c:pt idx="222">
                  <c:v>12:43:00</c:v>
                </c:pt>
                <c:pt idx="223">
                  <c:v>12:44:00</c:v>
                </c:pt>
                <c:pt idx="224">
                  <c:v>12:45:00</c:v>
                </c:pt>
                <c:pt idx="225">
                  <c:v>12:46:00</c:v>
                </c:pt>
                <c:pt idx="226">
                  <c:v>12:47:00</c:v>
                </c:pt>
                <c:pt idx="227">
                  <c:v>12:48:00</c:v>
                </c:pt>
                <c:pt idx="228">
                  <c:v>12:49:00</c:v>
                </c:pt>
                <c:pt idx="229">
                  <c:v>12:50:00</c:v>
                </c:pt>
                <c:pt idx="230">
                  <c:v>12:51:00</c:v>
                </c:pt>
                <c:pt idx="231">
                  <c:v>12:52:00</c:v>
                </c:pt>
                <c:pt idx="232">
                  <c:v>12:53:00</c:v>
                </c:pt>
                <c:pt idx="233">
                  <c:v>12:54:00</c:v>
                </c:pt>
                <c:pt idx="234">
                  <c:v>12:55:00</c:v>
                </c:pt>
                <c:pt idx="235">
                  <c:v>12:56:00</c:v>
                </c:pt>
                <c:pt idx="236">
                  <c:v>12:57:00</c:v>
                </c:pt>
                <c:pt idx="237">
                  <c:v>12:58:00</c:v>
                </c:pt>
                <c:pt idx="238">
                  <c:v>12:59:00</c:v>
                </c:pt>
                <c:pt idx="239">
                  <c:v>13:00:00</c:v>
                </c:pt>
                <c:pt idx="240">
                  <c:v>13:01:00</c:v>
                </c:pt>
                <c:pt idx="241">
                  <c:v>13:02:00</c:v>
                </c:pt>
                <c:pt idx="242">
                  <c:v>13:03:00</c:v>
                </c:pt>
                <c:pt idx="243">
                  <c:v>13:04:00</c:v>
                </c:pt>
                <c:pt idx="244">
                  <c:v>13:05:00</c:v>
                </c:pt>
                <c:pt idx="245">
                  <c:v>13:06:00</c:v>
                </c:pt>
                <c:pt idx="246">
                  <c:v>13:07:00</c:v>
                </c:pt>
                <c:pt idx="247">
                  <c:v>13:08:00</c:v>
                </c:pt>
                <c:pt idx="248">
                  <c:v>13:09:00</c:v>
                </c:pt>
                <c:pt idx="249">
                  <c:v>13:10:00</c:v>
                </c:pt>
                <c:pt idx="250">
                  <c:v>13:11:00</c:v>
                </c:pt>
                <c:pt idx="251">
                  <c:v>13:12:00</c:v>
                </c:pt>
                <c:pt idx="252">
                  <c:v>13:13:00</c:v>
                </c:pt>
                <c:pt idx="253">
                  <c:v>13:14:00</c:v>
                </c:pt>
                <c:pt idx="254">
                  <c:v>13:15:00</c:v>
                </c:pt>
                <c:pt idx="255">
                  <c:v>13:16:00</c:v>
                </c:pt>
                <c:pt idx="256">
                  <c:v>13:17:00</c:v>
                </c:pt>
                <c:pt idx="257">
                  <c:v>13:18:00</c:v>
                </c:pt>
                <c:pt idx="258">
                  <c:v>13:19:00</c:v>
                </c:pt>
                <c:pt idx="259">
                  <c:v>13:20:00</c:v>
                </c:pt>
                <c:pt idx="260">
                  <c:v>13:21:00</c:v>
                </c:pt>
                <c:pt idx="261">
                  <c:v>13:22:00</c:v>
                </c:pt>
                <c:pt idx="262">
                  <c:v>13:23:00</c:v>
                </c:pt>
                <c:pt idx="263">
                  <c:v>13:24:00</c:v>
                </c:pt>
                <c:pt idx="264">
                  <c:v>13:25:00</c:v>
                </c:pt>
                <c:pt idx="265">
                  <c:v>13:26:00</c:v>
                </c:pt>
                <c:pt idx="266">
                  <c:v>13:27:00</c:v>
                </c:pt>
                <c:pt idx="267">
                  <c:v>13:28:00</c:v>
                </c:pt>
                <c:pt idx="268">
                  <c:v>13:29:00</c:v>
                </c:pt>
                <c:pt idx="269">
                  <c:v>13:30:00</c:v>
                </c:pt>
                <c:pt idx="270">
                  <c:v>13:31:00</c:v>
                </c:pt>
                <c:pt idx="271">
                  <c:v>13:32:00</c:v>
                </c:pt>
                <c:pt idx="272">
                  <c:v>13:33:00</c:v>
                </c:pt>
                <c:pt idx="273">
                  <c:v>13:34:00</c:v>
                </c:pt>
                <c:pt idx="274">
                  <c:v>13:35:00</c:v>
                </c:pt>
                <c:pt idx="275">
                  <c:v>13:36:00</c:v>
                </c:pt>
                <c:pt idx="276">
                  <c:v>13:37:00</c:v>
                </c:pt>
                <c:pt idx="277">
                  <c:v>13:38:00</c:v>
                </c:pt>
                <c:pt idx="278">
                  <c:v>13:39:00</c:v>
                </c:pt>
                <c:pt idx="279">
                  <c:v>13:40:00</c:v>
                </c:pt>
                <c:pt idx="280">
                  <c:v>13:41:00</c:v>
                </c:pt>
                <c:pt idx="281">
                  <c:v>13:42:00</c:v>
                </c:pt>
                <c:pt idx="282">
                  <c:v>13:43:00</c:v>
                </c:pt>
                <c:pt idx="283">
                  <c:v>13:44:00</c:v>
                </c:pt>
                <c:pt idx="284">
                  <c:v>13:45:00</c:v>
                </c:pt>
                <c:pt idx="285">
                  <c:v>13:46:00</c:v>
                </c:pt>
                <c:pt idx="286">
                  <c:v>13:47:00</c:v>
                </c:pt>
                <c:pt idx="287">
                  <c:v>13:48:00</c:v>
                </c:pt>
                <c:pt idx="288">
                  <c:v>13:49:00</c:v>
                </c:pt>
                <c:pt idx="289">
                  <c:v>13:50:00</c:v>
                </c:pt>
                <c:pt idx="290">
                  <c:v>13:51:00</c:v>
                </c:pt>
                <c:pt idx="291">
                  <c:v>13:52:00</c:v>
                </c:pt>
                <c:pt idx="292">
                  <c:v>13:53:00</c:v>
                </c:pt>
                <c:pt idx="293">
                  <c:v>13:54:00</c:v>
                </c:pt>
                <c:pt idx="294">
                  <c:v>13:55:00</c:v>
                </c:pt>
                <c:pt idx="295">
                  <c:v>13:56:00</c:v>
                </c:pt>
                <c:pt idx="296">
                  <c:v>13:57:00</c:v>
                </c:pt>
                <c:pt idx="297">
                  <c:v>13:58:00</c:v>
                </c:pt>
                <c:pt idx="298">
                  <c:v>13:59:00</c:v>
                </c:pt>
                <c:pt idx="299">
                  <c:v>14:00:00</c:v>
                </c:pt>
                <c:pt idx="300">
                  <c:v>14:01:00</c:v>
                </c:pt>
                <c:pt idx="301">
                  <c:v>14:02:00</c:v>
                </c:pt>
                <c:pt idx="302">
                  <c:v>14:03:00</c:v>
                </c:pt>
                <c:pt idx="303">
                  <c:v>14:04:00</c:v>
                </c:pt>
                <c:pt idx="304">
                  <c:v>14:05:00</c:v>
                </c:pt>
                <c:pt idx="305">
                  <c:v>14:06:00</c:v>
                </c:pt>
                <c:pt idx="306">
                  <c:v>14:07:00</c:v>
                </c:pt>
                <c:pt idx="307">
                  <c:v>14:08:00</c:v>
                </c:pt>
                <c:pt idx="308">
                  <c:v>14:09:00</c:v>
                </c:pt>
                <c:pt idx="309">
                  <c:v>14:10:00</c:v>
                </c:pt>
                <c:pt idx="310">
                  <c:v>14:11:00</c:v>
                </c:pt>
                <c:pt idx="311">
                  <c:v>14:12:00</c:v>
                </c:pt>
                <c:pt idx="312">
                  <c:v>14:13:00</c:v>
                </c:pt>
                <c:pt idx="313">
                  <c:v>14:14:00</c:v>
                </c:pt>
                <c:pt idx="314">
                  <c:v>14:15:00</c:v>
                </c:pt>
                <c:pt idx="315">
                  <c:v>14:16:00</c:v>
                </c:pt>
                <c:pt idx="316">
                  <c:v>14:17:00</c:v>
                </c:pt>
                <c:pt idx="317">
                  <c:v>14:18:00</c:v>
                </c:pt>
                <c:pt idx="318">
                  <c:v>14:19:00</c:v>
                </c:pt>
                <c:pt idx="319">
                  <c:v>14:20:00</c:v>
                </c:pt>
                <c:pt idx="320">
                  <c:v>14:21:00</c:v>
                </c:pt>
                <c:pt idx="321">
                  <c:v>14:22:00</c:v>
                </c:pt>
                <c:pt idx="322">
                  <c:v>14:23:00</c:v>
                </c:pt>
                <c:pt idx="323">
                  <c:v>14:24:00</c:v>
                </c:pt>
                <c:pt idx="324">
                  <c:v>14:25:00</c:v>
                </c:pt>
                <c:pt idx="325">
                  <c:v>14:26:00</c:v>
                </c:pt>
                <c:pt idx="326">
                  <c:v>14:27:00</c:v>
                </c:pt>
                <c:pt idx="327">
                  <c:v>14:28:00</c:v>
                </c:pt>
                <c:pt idx="328">
                  <c:v>14:29:00</c:v>
                </c:pt>
                <c:pt idx="329">
                  <c:v>14:30:00</c:v>
                </c:pt>
                <c:pt idx="330">
                  <c:v>14:31:00</c:v>
                </c:pt>
                <c:pt idx="331">
                  <c:v>14:32:00</c:v>
                </c:pt>
                <c:pt idx="332">
                  <c:v>14:33:00</c:v>
                </c:pt>
                <c:pt idx="333">
                  <c:v>14:34:00</c:v>
                </c:pt>
                <c:pt idx="334">
                  <c:v>14:35:00</c:v>
                </c:pt>
                <c:pt idx="335">
                  <c:v>14:36:00</c:v>
                </c:pt>
                <c:pt idx="336">
                  <c:v>14:37:00</c:v>
                </c:pt>
                <c:pt idx="337">
                  <c:v>14:38:00</c:v>
                </c:pt>
                <c:pt idx="338">
                  <c:v>14:39:00</c:v>
                </c:pt>
                <c:pt idx="339">
                  <c:v>14:40:00</c:v>
                </c:pt>
                <c:pt idx="340">
                  <c:v>14:41:00</c:v>
                </c:pt>
                <c:pt idx="341">
                  <c:v>14:42:00</c:v>
                </c:pt>
                <c:pt idx="342">
                  <c:v>14:43:00</c:v>
                </c:pt>
                <c:pt idx="343">
                  <c:v>14:44:00</c:v>
                </c:pt>
                <c:pt idx="344">
                  <c:v>14:45:00</c:v>
                </c:pt>
                <c:pt idx="345">
                  <c:v>14:46:00</c:v>
                </c:pt>
                <c:pt idx="346">
                  <c:v>14:47:00</c:v>
                </c:pt>
                <c:pt idx="347">
                  <c:v>14:48:00</c:v>
                </c:pt>
                <c:pt idx="348">
                  <c:v>14:49:00</c:v>
                </c:pt>
                <c:pt idx="349">
                  <c:v>14:50:00</c:v>
                </c:pt>
                <c:pt idx="350">
                  <c:v>14:51:00</c:v>
                </c:pt>
                <c:pt idx="351">
                  <c:v>14:52:00</c:v>
                </c:pt>
                <c:pt idx="352">
                  <c:v>14:53:00</c:v>
                </c:pt>
                <c:pt idx="353">
                  <c:v>14:54:00</c:v>
                </c:pt>
                <c:pt idx="354">
                  <c:v>14:55:00</c:v>
                </c:pt>
                <c:pt idx="355">
                  <c:v>14:56:00</c:v>
                </c:pt>
                <c:pt idx="356">
                  <c:v>14:57:00</c:v>
                </c:pt>
                <c:pt idx="357">
                  <c:v>14:58:00</c:v>
                </c:pt>
                <c:pt idx="358">
                  <c:v>14:59:00</c:v>
                </c:pt>
                <c:pt idx="359">
                  <c:v>15:00:00</c:v>
                </c:pt>
                <c:pt idx="360">
                  <c:v>15:01:00</c:v>
                </c:pt>
                <c:pt idx="361">
                  <c:v>15:02:00</c:v>
                </c:pt>
                <c:pt idx="362">
                  <c:v>15:03:00</c:v>
                </c:pt>
                <c:pt idx="363">
                  <c:v>15:04:00</c:v>
                </c:pt>
                <c:pt idx="364">
                  <c:v>15:05:00</c:v>
                </c:pt>
                <c:pt idx="365">
                  <c:v>15:06:00</c:v>
                </c:pt>
                <c:pt idx="366">
                  <c:v>15:07:00</c:v>
                </c:pt>
                <c:pt idx="367">
                  <c:v>15:08:00</c:v>
                </c:pt>
                <c:pt idx="368">
                  <c:v>15:09:00</c:v>
                </c:pt>
                <c:pt idx="369">
                  <c:v>15:10:00</c:v>
                </c:pt>
                <c:pt idx="370">
                  <c:v>15:11:00</c:v>
                </c:pt>
                <c:pt idx="371">
                  <c:v>15:12:00</c:v>
                </c:pt>
                <c:pt idx="372">
                  <c:v>15:13:00</c:v>
                </c:pt>
                <c:pt idx="373">
                  <c:v>15:14:00</c:v>
                </c:pt>
                <c:pt idx="374">
                  <c:v>15:15:00</c:v>
                </c:pt>
                <c:pt idx="375">
                  <c:v>15:16:00</c:v>
                </c:pt>
                <c:pt idx="376">
                  <c:v>15:17:00</c:v>
                </c:pt>
                <c:pt idx="377">
                  <c:v>15:18:00</c:v>
                </c:pt>
                <c:pt idx="378">
                  <c:v>15:19:00</c:v>
                </c:pt>
                <c:pt idx="379">
                  <c:v>15:20:00</c:v>
                </c:pt>
                <c:pt idx="380">
                  <c:v>15:30:00</c:v>
                </c:pt>
              </c:strCache>
            </c:strRef>
          </c:cat>
          <c:val>
            <c:numRef>
              <c:f>'20240401_example'!$BN$3:$BN$383</c:f>
              <c:numCache>
                <c:formatCode>_-* #,##0.00_-;\-* #,##0.00_-;_-* "-"_-;_-@_-</c:formatCode>
                <c:ptCount val="381"/>
                <c:pt idx="0">
                  <c:v>13481.348571446049</c:v>
                </c:pt>
                <c:pt idx="1">
                  <c:v>13510.536186936735</c:v>
                </c:pt>
                <c:pt idx="2">
                  <c:v>13533.701805119912</c:v>
                </c:pt>
                <c:pt idx="3">
                  <c:v>13526.022913598887</c:v>
                </c:pt>
                <c:pt idx="4">
                  <c:v>13539.283221199405</c:v>
                </c:pt>
                <c:pt idx="5">
                  <c:v>13560.266052981209</c:v>
                </c:pt>
                <c:pt idx="6">
                  <c:v>13567.8117798936</c:v>
                </c:pt>
                <c:pt idx="7">
                  <c:v>13567.833316406835</c:v>
                </c:pt>
                <c:pt idx="8">
                  <c:v>13578.403448788024</c:v>
                </c:pt>
                <c:pt idx="9">
                  <c:v>13574.645108700361</c:v>
                </c:pt>
                <c:pt idx="10">
                  <c:v>13586.171752126884</c:v>
                </c:pt>
                <c:pt idx="11">
                  <c:v>13598.242146326571</c:v>
                </c:pt>
                <c:pt idx="12">
                  <c:v>13598.250599610372</c:v>
                </c:pt>
                <c:pt idx="13">
                  <c:v>13601.990370641901</c:v>
                </c:pt>
                <c:pt idx="14">
                  <c:v>13606.246130186315</c:v>
                </c:pt>
                <c:pt idx="15">
                  <c:v>13604.433627603195</c:v>
                </c:pt>
                <c:pt idx="16">
                  <c:v>13603.38303021896</c:v>
                </c:pt>
                <c:pt idx="17">
                  <c:v>13601.361402436789</c:v>
                </c:pt>
                <c:pt idx="18">
                  <c:v>13605.029852889527</c:v>
                </c:pt>
                <c:pt idx="19">
                  <c:v>13606.944607914917</c:v>
                </c:pt>
                <c:pt idx="20">
                  <c:v>13625.540837247856</c:v>
                </c:pt>
                <c:pt idx="21">
                  <c:v>13624.718573247907</c:v>
                </c:pt>
                <c:pt idx="22">
                  <c:v>13641.926146521382</c:v>
                </c:pt>
                <c:pt idx="23">
                  <c:v>13634.452451733008</c:v>
                </c:pt>
                <c:pt idx="24">
                  <c:v>13644.668339362664</c:v>
                </c:pt>
                <c:pt idx="25">
                  <c:v>13647.466709498594</c:v>
                </c:pt>
                <c:pt idx="26">
                  <c:v>13638.868701862746</c:v>
                </c:pt>
                <c:pt idx="27">
                  <c:v>13645.576842551349</c:v>
                </c:pt>
                <c:pt idx="28">
                  <c:v>13648.026530952015</c:v>
                </c:pt>
                <c:pt idx="29">
                  <c:v>13642.615195977785</c:v>
                </c:pt>
                <c:pt idx="30">
                  <c:v>13649.656823827569</c:v>
                </c:pt>
                <c:pt idx="31">
                  <c:v>13654.700143903296</c:v>
                </c:pt>
                <c:pt idx="32">
                  <c:v>13658.629977284327</c:v>
                </c:pt>
                <c:pt idx="33">
                  <c:v>13656.065950403841</c:v>
                </c:pt>
                <c:pt idx="34">
                  <c:v>13662.581890052692</c:v>
                </c:pt>
                <c:pt idx="35">
                  <c:v>13655.326455905097</c:v>
                </c:pt>
                <c:pt idx="36">
                  <c:v>13649.781531384553</c:v>
                </c:pt>
                <c:pt idx="37">
                  <c:v>13651.955423496211</c:v>
                </c:pt>
                <c:pt idx="38">
                  <c:v>13648.758723398812</c:v>
                </c:pt>
                <c:pt idx="39">
                  <c:v>13654.648018728731</c:v>
                </c:pt>
                <c:pt idx="40">
                  <c:v>13653.158973278751</c:v>
                </c:pt>
                <c:pt idx="41">
                  <c:v>13654.051401564011</c:v>
                </c:pt>
                <c:pt idx="42">
                  <c:v>13651.930891604785</c:v>
                </c:pt>
                <c:pt idx="43">
                  <c:v>13648.167296354495</c:v>
                </c:pt>
                <c:pt idx="44">
                  <c:v>13645.416424352017</c:v>
                </c:pt>
                <c:pt idx="45">
                  <c:v>13649.705356574123</c:v>
                </c:pt>
                <c:pt idx="46">
                  <c:v>13650.143872659211</c:v>
                </c:pt>
                <c:pt idx="47">
                  <c:v>13651.906275479696</c:v>
                </c:pt>
                <c:pt idx="48">
                  <c:v>13652.662650517594</c:v>
                </c:pt>
                <c:pt idx="49">
                  <c:v>13655.208061632546</c:v>
                </c:pt>
                <c:pt idx="50">
                  <c:v>13654.896957930421</c:v>
                </c:pt>
                <c:pt idx="51">
                  <c:v>13656.838925358616</c:v>
                </c:pt>
                <c:pt idx="52">
                  <c:v>13661.269195335795</c:v>
                </c:pt>
                <c:pt idx="53">
                  <c:v>13657.788262398057</c:v>
                </c:pt>
                <c:pt idx="54">
                  <c:v>13657.555190745587</c:v>
                </c:pt>
                <c:pt idx="55">
                  <c:v>13660.842743162948</c:v>
                </c:pt>
                <c:pt idx="56">
                  <c:v>13658.074747624307</c:v>
                </c:pt>
                <c:pt idx="57">
                  <c:v>13655.630351114505</c:v>
                </c:pt>
                <c:pt idx="58">
                  <c:v>13647.275199142929</c:v>
                </c:pt>
                <c:pt idx="59">
                  <c:v>13648.780665851209</c:v>
                </c:pt>
                <c:pt idx="60">
                  <c:v>13655.253129049706</c:v>
                </c:pt>
                <c:pt idx="61">
                  <c:v>13654.18947219513</c:v>
                </c:pt>
                <c:pt idx="62">
                  <c:v>13653.767678664359</c:v>
                </c:pt>
                <c:pt idx="63">
                  <c:v>13650.350619217843</c:v>
                </c:pt>
                <c:pt idx="64">
                  <c:v>13649.873745943085</c:v>
                </c:pt>
                <c:pt idx="65">
                  <c:v>13652.559158941463</c:v>
                </c:pt>
                <c:pt idx="66">
                  <c:v>13652.466713828257</c:v>
                </c:pt>
                <c:pt idx="67">
                  <c:v>13650.792585596122</c:v>
                </c:pt>
                <c:pt idx="68">
                  <c:v>13644.149086397309</c:v>
                </c:pt>
                <c:pt idx="69">
                  <c:v>13641.888515998578</c:v>
                </c:pt>
                <c:pt idx="70">
                  <c:v>13649.694409911859</c:v>
                </c:pt>
                <c:pt idx="71">
                  <c:v>13649.07891228548</c:v>
                </c:pt>
                <c:pt idx="72">
                  <c:v>13646.323359805376</c:v>
                </c:pt>
                <c:pt idx="73">
                  <c:v>13643.987311809473</c:v>
                </c:pt>
                <c:pt idx="74">
                  <c:v>13640.429349881857</c:v>
                </c:pt>
                <c:pt idx="75">
                  <c:v>13642.79601084121</c:v>
                </c:pt>
                <c:pt idx="76">
                  <c:v>13639.715159737074</c:v>
                </c:pt>
                <c:pt idx="77">
                  <c:v>13637.09597849447</c:v>
                </c:pt>
                <c:pt idx="78">
                  <c:v>13640.7902698332</c:v>
                </c:pt>
                <c:pt idx="79">
                  <c:v>13638.811801959102</c:v>
                </c:pt>
                <c:pt idx="80">
                  <c:v>13636.469872993535</c:v>
                </c:pt>
                <c:pt idx="81">
                  <c:v>13635.602788415466</c:v>
                </c:pt>
                <c:pt idx="82">
                  <c:v>13634.210768449004</c:v>
                </c:pt>
                <c:pt idx="83">
                  <c:v>13639.910176857424</c:v>
                </c:pt>
                <c:pt idx="84">
                  <c:v>13636.363082061145</c:v>
                </c:pt>
                <c:pt idx="85">
                  <c:v>13640.53999581978</c:v>
                </c:pt>
                <c:pt idx="86">
                  <c:v>13638.560159340686</c:v>
                </c:pt>
                <c:pt idx="87">
                  <c:v>13632.463825375124</c:v>
                </c:pt>
                <c:pt idx="88">
                  <c:v>13628.881557294244</c:v>
                </c:pt>
                <c:pt idx="89">
                  <c:v>13631.876808300773</c:v>
                </c:pt>
                <c:pt idx="90">
                  <c:v>13642.627131383575</c:v>
                </c:pt>
                <c:pt idx="91">
                  <c:v>13640.667996193732</c:v>
                </c:pt>
                <c:pt idx="92">
                  <c:v>13643.217309065596</c:v>
                </c:pt>
                <c:pt idx="93">
                  <c:v>13645.154773276297</c:v>
                </c:pt>
                <c:pt idx="94">
                  <c:v>13640.391117089746</c:v>
                </c:pt>
                <c:pt idx="95">
                  <c:v>13649.931211528532</c:v>
                </c:pt>
                <c:pt idx="96">
                  <c:v>13650.463516000331</c:v>
                </c:pt>
                <c:pt idx="97">
                  <c:v>13648.460243809041</c:v>
                </c:pt>
                <c:pt idx="98">
                  <c:v>13647.483180272433</c:v>
                </c:pt>
                <c:pt idx="99">
                  <c:v>13652.014535945227</c:v>
                </c:pt>
                <c:pt idx="100">
                  <c:v>13652.384975011169</c:v>
                </c:pt>
                <c:pt idx="101">
                  <c:v>13654.699338067234</c:v>
                </c:pt>
                <c:pt idx="102">
                  <c:v>13653.499701214261</c:v>
                </c:pt>
                <c:pt idx="103">
                  <c:v>13650.273139601117</c:v>
                </c:pt>
                <c:pt idx="104">
                  <c:v>13650.02427018317</c:v>
                </c:pt>
                <c:pt idx="105">
                  <c:v>13656.541227777123</c:v>
                </c:pt>
                <c:pt idx="106">
                  <c:v>13661.396252994122</c:v>
                </c:pt>
                <c:pt idx="107">
                  <c:v>13658.542799892457</c:v>
                </c:pt>
                <c:pt idx="108">
                  <c:v>13660.386889236328</c:v>
                </c:pt>
                <c:pt idx="109">
                  <c:v>13663.637136470601</c:v>
                </c:pt>
                <c:pt idx="110">
                  <c:v>13666.342011365879</c:v>
                </c:pt>
                <c:pt idx="111">
                  <c:v>13668.266729680003</c:v>
                </c:pt>
                <c:pt idx="112">
                  <c:v>13674.908344345835</c:v>
                </c:pt>
                <c:pt idx="113">
                  <c:v>13673.260682383525</c:v>
                </c:pt>
                <c:pt idx="114">
                  <c:v>13677.356347797353</c:v>
                </c:pt>
                <c:pt idx="115">
                  <c:v>13681.507050219103</c:v>
                </c:pt>
                <c:pt idx="116">
                  <c:v>13679.06715693638</c:v>
                </c:pt>
                <c:pt idx="117">
                  <c:v>13672.69801711758</c:v>
                </c:pt>
                <c:pt idx="118">
                  <c:v>13674.5421327558</c:v>
                </c:pt>
                <c:pt idx="119">
                  <c:v>13678.613669950329</c:v>
                </c:pt>
                <c:pt idx="120">
                  <c:v>13679.376528419338</c:v>
                </c:pt>
                <c:pt idx="121">
                  <c:v>13682.509320635416</c:v>
                </c:pt>
                <c:pt idx="122">
                  <c:v>13682.160398344891</c:v>
                </c:pt>
                <c:pt idx="123">
                  <c:v>13678.929084147348</c:v>
                </c:pt>
                <c:pt idx="124">
                  <c:v>13672.755760633965</c:v>
                </c:pt>
                <c:pt idx="125">
                  <c:v>13677.117687210348</c:v>
                </c:pt>
                <c:pt idx="126">
                  <c:v>13680.340304478397</c:v>
                </c:pt>
                <c:pt idx="127">
                  <c:v>13675.113478228743</c:v>
                </c:pt>
                <c:pt idx="128">
                  <c:v>13678.98917317702</c:v>
                </c:pt>
                <c:pt idx="129">
                  <c:v>13685.435253669737</c:v>
                </c:pt>
                <c:pt idx="130">
                  <c:v>13690.527035339717</c:v>
                </c:pt>
                <c:pt idx="131">
                  <c:v>13689.751595454398</c:v>
                </c:pt>
                <c:pt idx="132">
                  <c:v>13684.489769301266</c:v>
                </c:pt>
                <c:pt idx="133">
                  <c:v>13690.085361062993</c:v>
                </c:pt>
                <c:pt idx="134">
                  <c:v>13688.934563982235</c:v>
                </c:pt>
                <c:pt idx="135">
                  <c:v>13689.703879613016</c:v>
                </c:pt>
                <c:pt idx="136">
                  <c:v>13686.054053931392</c:v>
                </c:pt>
                <c:pt idx="137">
                  <c:v>13683.090621033853</c:v>
                </c:pt>
                <c:pt idx="138">
                  <c:v>13682.730450214243</c:v>
                </c:pt>
                <c:pt idx="139">
                  <c:v>13686.397192614437</c:v>
                </c:pt>
                <c:pt idx="140">
                  <c:v>13690.350469755782</c:v>
                </c:pt>
                <c:pt idx="141">
                  <c:v>13694.870590010811</c:v>
                </c:pt>
                <c:pt idx="142">
                  <c:v>13689.784611052133</c:v>
                </c:pt>
                <c:pt idx="143">
                  <c:v>13689.957002827783</c:v>
                </c:pt>
                <c:pt idx="144">
                  <c:v>13691.402111378708</c:v>
                </c:pt>
                <c:pt idx="145">
                  <c:v>13692.680673971285</c:v>
                </c:pt>
                <c:pt idx="146">
                  <c:v>13686.019127494099</c:v>
                </c:pt>
                <c:pt idx="147">
                  <c:v>13688.233335340414</c:v>
                </c:pt>
                <c:pt idx="148">
                  <c:v>13690.148601716714</c:v>
                </c:pt>
                <c:pt idx="149">
                  <c:v>13688.811291361993</c:v>
                </c:pt>
                <c:pt idx="150">
                  <c:v>13683.748165316958</c:v>
                </c:pt>
                <c:pt idx="151">
                  <c:v>13681.318961396459</c:v>
                </c:pt>
                <c:pt idx="152">
                  <c:v>13682.873283806572</c:v>
                </c:pt>
                <c:pt idx="153">
                  <c:v>13681.667412726238</c:v>
                </c:pt>
                <c:pt idx="154">
                  <c:v>13676.765335267395</c:v>
                </c:pt>
                <c:pt idx="155">
                  <c:v>13674.286747795231</c:v>
                </c:pt>
                <c:pt idx="156">
                  <c:v>13673.66584248379</c:v>
                </c:pt>
                <c:pt idx="157">
                  <c:v>13675.718637953722</c:v>
                </c:pt>
                <c:pt idx="158">
                  <c:v>13679.288472178792</c:v>
                </c:pt>
                <c:pt idx="159">
                  <c:v>13680.516458381777</c:v>
                </c:pt>
                <c:pt idx="160">
                  <c:v>13676.529742070306</c:v>
                </c:pt>
                <c:pt idx="161">
                  <c:v>13676.799420914498</c:v>
                </c:pt>
                <c:pt idx="162">
                  <c:v>13678.679787714276</c:v>
                </c:pt>
                <c:pt idx="163">
                  <c:v>13676.42904758095</c:v>
                </c:pt>
                <c:pt idx="164">
                  <c:v>13677.395493053937</c:v>
                </c:pt>
                <c:pt idx="165">
                  <c:v>13673.591338253556</c:v>
                </c:pt>
                <c:pt idx="166">
                  <c:v>13666.86066297972</c:v>
                </c:pt>
                <c:pt idx="167">
                  <c:v>13672.079172707437</c:v>
                </c:pt>
                <c:pt idx="168">
                  <c:v>13673.181860552226</c:v>
                </c:pt>
                <c:pt idx="169">
                  <c:v>13674.712108808848</c:v>
                </c:pt>
                <c:pt idx="170">
                  <c:v>13675.103929950696</c:v>
                </c:pt>
                <c:pt idx="171">
                  <c:v>13676.123908892527</c:v>
                </c:pt>
                <c:pt idx="172">
                  <c:v>13675.443797936714</c:v>
                </c:pt>
                <c:pt idx="173">
                  <c:v>13676.834459471878</c:v>
                </c:pt>
                <c:pt idx="174">
                  <c:v>13674.195531811094</c:v>
                </c:pt>
                <c:pt idx="175">
                  <c:v>13676.100072358473</c:v>
                </c:pt>
                <c:pt idx="176">
                  <c:v>13674.275310374502</c:v>
                </c:pt>
                <c:pt idx="177">
                  <c:v>13681.282225440691</c:v>
                </c:pt>
                <c:pt idx="178">
                  <c:v>13679.575072693831</c:v>
                </c:pt>
                <c:pt idx="179">
                  <c:v>13681.090942384728</c:v>
                </c:pt>
                <c:pt idx="180">
                  <c:v>13680.160287791783</c:v>
                </c:pt>
                <c:pt idx="181">
                  <c:v>13681.757467879403</c:v>
                </c:pt>
                <c:pt idx="182">
                  <c:v>13678.012477304213</c:v>
                </c:pt>
                <c:pt idx="183">
                  <c:v>13676.552869591651</c:v>
                </c:pt>
                <c:pt idx="184">
                  <c:v>13680.517503659357</c:v>
                </c:pt>
                <c:pt idx="185">
                  <c:v>13683.970176011828</c:v>
                </c:pt>
                <c:pt idx="186">
                  <c:v>13683.68192171989</c:v>
                </c:pt>
                <c:pt idx="187">
                  <c:v>13683.845948559767</c:v>
                </c:pt>
                <c:pt idx="188">
                  <c:v>13681.518459684477</c:v>
                </c:pt>
                <c:pt idx="189">
                  <c:v>13684.154490141418</c:v>
                </c:pt>
                <c:pt idx="190">
                  <c:v>13679.353084527736</c:v>
                </c:pt>
                <c:pt idx="191">
                  <c:v>13678.530383341704</c:v>
                </c:pt>
                <c:pt idx="192">
                  <c:v>13682.041922230539</c:v>
                </c:pt>
                <c:pt idx="193">
                  <c:v>13684.007630809874</c:v>
                </c:pt>
                <c:pt idx="194">
                  <c:v>13683.496549286901</c:v>
                </c:pt>
                <c:pt idx="195">
                  <c:v>13686.557230947665</c:v>
                </c:pt>
                <c:pt idx="196">
                  <c:v>13688.218775297391</c:v>
                </c:pt>
                <c:pt idx="197">
                  <c:v>13689.217531907461</c:v>
                </c:pt>
                <c:pt idx="198">
                  <c:v>13690.325725603539</c:v>
                </c:pt>
                <c:pt idx="199">
                  <c:v>13689.887382466695</c:v>
                </c:pt>
                <c:pt idx="200">
                  <c:v>13686.50878746657</c:v>
                </c:pt>
                <c:pt idx="201">
                  <c:v>13683.187673938064</c:v>
                </c:pt>
                <c:pt idx="202">
                  <c:v>13683.574352559077</c:v>
                </c:pt>
                <c:pt idx="203">
                  <c:v>13685.600424916916</c:v>
                </c:pt>
                <c:pt idx="204">
                  <c:v>13685.886949272988</c:v>
                </c:pt>
                <c:pt idx="205">
                  <c:v>13686.579492057132</c:v>
                </c:pt>
                <c:pt idx="206">
                  <c:v>13684.615062770752</c:v>
                </c:pt>
                <c:pt idx="207">
                  <c:v>13686.043690718543</c:v>
                </c:pt>
                <c:pt idx="208">
                  <c:v>13688.830123965172</c:v>
                </c:pt>
                <c:pt idx="209">
                  <c:v>13688.487076784018</c:v>
                </c:pt>
                <c:pt idx="210">
                  <c:v>13688.193228733977</c:v>
                </c:pt>
                <c:pt idx="211">
                  <c:v>13685.725178536937</c:v>
                </c:pt>
                <c:pt idx="212">
                  <c:v>13688.347256091378</c:v>
                </c:pt>
                <c:pt idx="213">
                  <c:v>13686.62444858108</c:v>
                </c:pt>
                <c:pt idx="214">
                  <c:v>13684.526161685981</c:v>
                </c:pt>
                <c:pt idx="215">
                  <c:v>13687.088019953846</c:v>
                </c:pt>
                <c:pt idx="216">
                  <c:v>13690.166044817419</c:v>
                </c:pt>
                <c:pt idx="217">
                  <c:v>13692.733534678044</c:v>
                </c:pt>
                <c:pt idx="218">
                  <c:v>13696.966521851413</c:v>
                </c:pt>
                <c:pt idx="219">
                  <c:v>13697.522452937232</c:v>
                </c:pt>
                <c:pt idx="220">
                  <c:v>13699.221822349671</c:v>
                </c:pt>
                <c:pt idx="221">
                  <c:v>13692.959671569944</c:v>
                </c:pt>
                <c:pt idx="222">
                  <c:v>13693.476603559542</c:v>
                </c:pt>
                <c:pt idx="223">
                  <c:v>13691.941650880941</c:v>
                </c:pt>
                <c:pt idx="224">
                  <c:v>13691.639307981201</c:v>
                </c:pt>
                <c:pt idx="225">
                  <c:v>13694.199153986085</c:v>
                </c:pt>
                <c:pt idx="226">
                  <c:v>13690.775390639465</c:v>
                </c:pt>
                <c:pt idx="227">
                  <c:v>13686.786483030699</c:v>
                </c:pt>
                <c:pt idx="228">
                  <c:v>13681.994273295308</c:v>
                </c:pt>
                <c:pt idx="229">
                  <c:v>13682.051516039761</c:v>
                </c:pt>
                <c:pt idx="230">
                  <c:v>13679.751254415629</c:v>
                </c:pt>
                <c:pt idx="231">
                  <c:v>13672.863120929553</c:v>
                </c:pt>
                <c:pt idx="232">
                  <c:v>13676.670706858611</c:v>
                </c:pt>
                <c:pt idx="233">
                  <c:v>13672.30304921186</c:v>
                </c:pt>
                <c:pt idx="234">
                  <c:v>13670.719445263843</c:v>
                </c:pt>
                <c:pt idx="235">
                  <c:v>13675.163240839958</c:v>
                </c:pt>
                <c:pt idx="236">
                  <c:v>13670.008123242911</c:v>
                </c:pt>
                <c:pt idx="237">
                  <c:v>13669.967846499399</c:v>
                </c:pt>
                <c:pt idx="238">
                  <c:v>13666.108456533015</c:v>
                </c:pt>
                <c:pt idx="239">
                  <c:v>13670.443876334159</c:v>
                </c:pt>
                <c:pt idx="240">
                  <c:v>13673.195143506042</c:v>
                </c:pt>
                <c:pt idx="241">
                  <c:v>13675.283117943762</c:v>
                </c:pt>
                <c:pt idx="242">
                  <c:v>13671.205951458225</c:v>
                </c:pt>
                <c:pt idx="243">
                  <c:v>13670.148209112924</c:v>
                </c:pt>
                <c:pt idx="244">
                  <c:v>13670.088991714347</c:v>
                </c:pt>
                <c:pt idx="245">
                  <c:v>13673.733833159231</c:v>
                </c:pt>
                <c:pt idx="246">
                  <c:v>13674.274438420545</c:v>
                </c:pt>
                <c:pt idx="247">
                  <c:v>13681.211571338757</c:v>
                </c:pt>
                <c:pt idx="248">
                  <c:v>13675.499636660728</c:v>
                </c:pt>
                <c:pt idx="249">
                  <c:v>13669.804412922966</c:v>
                </c:pt>
                <c:pt idx="250">
                  <c:v>13668.057587528187</c:v>
                </c:pt>
                <c:pt idx="251">
                  <c:v>13675.691404752635</c:v>
                </c:pt>
                <c:pt idx="252">
                  <c:v>13679.93157882072</c:v>
                </c:pt>
                <c:pt idx="253">
                  <c:v>13680.215089448537</c:v>
                </c:pt>
                <c:pt idx="254">
                  <c:v>13675.855819350958</c:v>
                </c:pt>
                <c:pt idx="255">
                  <c:v>13686.756928434115</c:v>
                </c:pt>
                <c:pt idx="256">
                  <c:v>13688.478919741969</c:v>
                </c:pt>
                <c:pt idx="257">
                  <c:v>13678.70088262543</c:v>
                </c:pt>
                <c:pt idx="258">
                  <c:v>13678.531131277372</c:v>
                </c:pt>
                <c:pt idx="259">
                  <c:v>13676.579553712172</c:v>
                </c:pt>
                <c:pt idx="260">
                  <c:v>13674.133241730358</c:v>
                </c:pt>
                <c:pt idx="261">
                  <c:v>13679.579003368392</c:v>
                </c:pt>
                <c:pt idx="262">
                  <c:v>13678.040179382479</c:v>
                </c:pt>
                <c:pt idx="263">
                  <c:v>13683.622624098549</c:v>
                </c:pt>
                <c:pt idx="264">
                  <c:v>13681.512982411597</c:v>
                </c:pt>
                <c:pt idx="265">
                  <c:v>13678.394932209187</c:v>
                </c:pt>
                <c:pt idx="266">
                  <c:v>13682.13343037057</c:v>
                </c:pt>
                <c:pt idx="267">
                  <c:v>13687.270699876099</c:v>
                </c:pt>
                <c:pt idx="268">
                  <c:v>13691.299151711861</c:v>
                </c:pt>
                <c:pt idx="269">
                  <c:v>13688.420418679414</c:v>
                </c:pt>
                <c:pt idx="270">
                  <c:v>13688.227185853428</c:v>
                </c:pt>
                <c:pt idx="271">
                  <c:v>13688.296328844845</c:v>
                </c:pt>
                <c:pt idx="272">
                  <c:v>13686.40729655</c:v>
                </c:pt>
                <c:pt idx="273">
                  <c:v>13688.475271912726</c:v>
                </c:pt>
                <c:pt idx="274">
                  <c:v>13684.495568638702</c:v>
                </c:pt>
                <c:pt idx="275">
                  <c:v>13690.286415464681</c:v>
                </c:pt>
                <c:pt idx="276">
                  <c:v>13692.508229527473</c:v>
                </c:pt>
                <c:pt idx="277">
                  <c:v>13687.546674040161</c:v>
                </c:pt>
                <c:pt idx="278">
                  <c:v>13687.48873344901</c:v>
                </c:pt>
                <c:pt idx="279">
                  <c:v>13692.11817148706</c:v>
                </c:pt>
                <c:pt idx="280">
                  <c:v>13686.464392780565</c:v>
                </c:pt>
                <c:pt idx="281">
                  <c:v>13684.32960737824</c:v>
                </c:pt>
                <c:pt idx="282">
                  <c:v>13684.601990779774</c:v>
                </c:pt>
                <c:pt idx="283">
                  <c:v>13684.97985156695</c:v>
                </c:pt>
                <c:pt idx="284">
                  <c:v>13683.530837863773</c:v>
                </c:pt>
                <c:pt idx="285">
                  <c:v>13672.33634880621</c:v>
                </c:pt>
                <c:pt idx="286">
                  <c:v>13683.379821171855</c:v>
                </c:pt>
                <c:pt idx="287">
                  <c:v>13681.405311568027</c:v>
                </c:pt>
                <c:pt idx="288">
                  <c:v>13682.106100877952</c:v>
                </c:pt>
                <c:pt idx="289">
                  <c:v>13685.332004271864</c:v>
                </c:pt>
                <c:pt idx="290">
                  <c:v>13680.469333859812</c:v>
                </c:pt>
                <c:pt idx="291">
                  <c:v>13684.143619056433</c:v>
                </c:pt>
                <c:pt idx="292">
                  <c:v>13683.632223208477</c:v>
                </c:pt>
                <c:pt idx="293">
                  <c:v>13684.662120626563</c:v>
                </c:pt>
                <c:pt idx="294">
                  <c:v>13685.993567799966</c:v>
                </c:pt>
                <c:pt idx="295">
                  <c:v>13686.241801351011</c:v>
                </c:pt>
                <c:pt idx="296">
                  <c:v>13685.762150482429</c:v>
                </c:pt>
                <c:pt idx="297">
                  <c:v>13686.123680810217</c:v>
                </c:pt>
                <c:pt idx="298">
                  <c:v>13688.154647658617</c:v>
                </c:pt>
                <c:pt idx="299">
                  <c:v>13687.517531992893</c:v>
                </c:pt>
                <c:pt idx="300">
                  <c:v>13685.715758251012</c:v>
                </c:pt>
                <c:pt idx="301">
                  <c:v>13684.901122690999</c:v>
                </c:pt>
                <c:pt idx="302">
                  <c:v>13680.49251841204</c:v>
                </c:pt>
                <c:pt idx="303">
                  <c:v>13683.41812934695</c:v>
                </c:pt>
                <c:pt idx="304">
                  <c:v>13691.686879779418</c:v>
                </c:pt>
                <c:pt idx="305">
                  <c:v>13692.34128913419</c:v>
                </c:pt>
                <c:pt idx="306">
                  <c:v>13692.842115200672</c:v>
                </c:pt>
                <c:pt idx="307">
                  <c:v>13694.813527417635</c:v>
                </c:pt>
                <c:pt idx="308">
                  <c:v>13692.655453218984</c:v>
                </c:pt>
                <c:pt idx="309">
                  <c:v>13693.656477716006</c:v>
                </c:pt>
                <c:pt idx="310">
                  <c:v>13690.349489610162</c:v>
                </c:pt>
                <c:pt idx="311">
                  <c:v>13695.459432802296</c:v>
                </c:pt>
                <c:pt idx="312">
                  <c:v>13695.501208437719</c:v>
                </c:pt>
                <c:pt idx="313">
                  <c:v>13695.704646291062</c:v>
                </c:pt>
                <c:pt idx="314">
                  <c:v>13696.312215465488</c:v>
                </c:pt>
                <c:pt idx="315">
                  <c:v>13700.062796837021</c:v>
                </c:pt>
                <c:pt idx="316">
                  <c:v>13697.999658416866</c:v>
                </c:pt>
                <c:pt idx="317">
                  <c:v>13702.377544563158</c:v>
                </c:pt>
                <c:pt idx="318">
                  <c:v>13696.17892578612</c:v>
                </c:pt>
                <c:pt idx="319">
                  <c:v>13691.644093106697</c:v>
                </c:pt>
                <c:pt idx="320">
                  <c:v>13692.035111558393</c:v>
                </c:pt>
                <c:pt idx="321">
                  <c:v>13689.681554617257</c:v>
                </c:pt>
                <c:pt idx="322">
                  <c:v>13685.95212964683</c:v>
                </c:pt>
                <c:pt idx="323">
                  <c:v>13690.836270850941</c:v>
                </c:pt>
                <c:pt idx="324">
                  <c:v>13690.147730941595</c:v>
                </c:pt>
                <c:pt idx="325">
                  <c:v>13695.09587014028</c:v>
                </c:pt>
                <c:pt idx="326">
                  <c:v>13688.49419552261</c:v>
                </c:pt>
                <c:pt idx="327">
                  <c:v>13691.449944273696</c:v>
                </c:pt>
                <c:pt idx="328">
                  <c:v>13692.308755119482</c:v>
                </c:pt>
                <c:pt idx="329">
                  <c:v>13691.259672945172</c:v>
                </c:pt>
                <c:pt idx="330">
                  <c:v>13686.749499963014</c:v>
                </c:pt>
                <c:pt idx="331">
                  <c:v>13690.043591932848</c:v>
                </c:pt>
                <c:pt idx="332">
                  <c:v>13689.692747257101</c:v>
                </c:pt>
                <c:pt idx="333">
                  <c:v>13692.646303187083</c:v>
                </c:pt>
                <c:pt idx="334">
                  <c:v>13694.734289518934</c:v>
                </c:pt>
                <c:pt idx="335">
                  <c:v>13695.484552537226</c:v>
                </c:pt>
                <c:pt idx="336">
                  <c:v>13694.303070203998</c:v>
                </c:pt>
                <c:pt idx="337">
                  <c:v>13694.669132120058</c:v>
                </c:pt>
                <c:pt idx="338">
                  <c:v>13694.710474828538</c:v>
                </c:pt>
                <c:pt idx="339">
                  <c:v>13691.043443566201</c:v>
                </c:pt>
                <c:pt idx="340">
                  <c:v>13693.440884966736</c:v>
                </c:pt>
                <c:pt idx="341">
                  <c:v>13694.877727208548</c:v>
                </c:pt>
                <c:pt idx="342">
                  <c:v>13695.748648157125</c:v>
                </c:pt>
                <c:pt idx="343">
                  <c:v>13701.284248427228</c:v>
                </c:pt>
                <c:pt idx="344">
                  <c:v>13701.592981359052</c:v>
                </c:pt>
                <c:pt idx="345">
                  <c:v>13696.089451669752</c:v>
                </c:pt>
                <c:pt idx="346">
                  <c:v>13694.96495856004</c:v>
                </c:pt>
                <c:pt idx="347">
                  <c:v>13698.422940889213</c:v>
                </c:pt>
                <c:pt idx="348">
                  <c:v>13696.431615696571</c:v>
                </c:pt>
                <c:pt idx="349">
                  <c:v>13699.427168363953</c:v>
                </c:pt>
                <c:pt idx="350">
                  <c:v>13697.270016816154</c:v>
                </c:pt>
                <c:pt idx="351">
                  <c:v>13698.336774988033</c:v>
                </c:pt>
                <c:pt idx="352">
                  <c:v>13701.997169352571</c:v>
                </c:pt>
                <c:pt idx="353">
                  <c:v>13699.464198290028</c:v>
                </c:pt>
                <c:pt idx="354">
                  <c:v>13699.859841214931</c:v>
                </c:pt>
                <c:pt idx="355">
                  <c:v>13697.278754030009</c:v>
                </c:pt>
                <c:pt idx="356">
                  <c:v>13696.4153942639</c:v>
                </c:pt>
                <c:pt idx="357">
                  <c:v>13696.832432888035</c:v>
                </c:pt>
                <c:pt idx="358">
                  <c:v>13700.309864828343</c:v>
                </c:pt>
                <c:pt idx="359">
                  <c:v>13697.340810156607</c:v>
                </c:pt>
                <c:pt idx="360">
                  <c:v>13691.541552276773</c:v>
                </c:pt>
                <c:pt idx="361">
                  <c:v>13686.52952152314</c:v>
                </c:pt>
                <c:pt idx="362">
                  <c:v>13688.358108497099</c:v>
                </c:pt>
                <c:pt idx="363">
                  <c:v>13685.660088333687</c:v>
                </c:pt>
                <c:pt idx="364">
                  <c:v>13687.479152899066</c:v>
                </c:pt>
                <c:pt idx="365">
                  <c:v>13686.748377264861</c:v>
                </c:pt>
                <c:pt idx="366">
                  <c:v>13687.407105195984</c:v>
                </c:pt>
                <c:pt idx="367">
                  <c:v>13687.30119392774</c:v>
                </c:pt>
                <c:pt idx="368">
                  <c:v>13689.137471399701</c:v>
                </c:pt>
                <c:pt idx="369">
                  <c:v>13690.801543356645</c:v>
                </c:pt>
                <c:pt idx="370">
                  <c:v>13687.88527764195</c:v>
                </c:pt>
                <c:pt idx="371">
                  <c:v>13687.21402470793</c:v>
                </c:pt>
                <c:pt idx="372">
                  <c:v>13691.937187851318</c:v>
                </c:pt>
                <c:pt idx="373">
                  <c:v>13692.496088911821</c:v>
                </c:pt>
                <c:pt idx="374">
                  <c:v>13693.304339178772</c:v>
                </c:pt>
                <c:pt idx="375">
                  <c:v>13692.765841069995</c:v>
                </c:pt>
                <c:pt idx="376">
                  <c:v>13689.866927619225</c:v>
                </c:pt>
                <c:pt idx="377">
                  <c:v>13687.569795847385</c:v>
                </c:pt>
                <c:pt idx="378">
                  <c:v>13688.584002845322</c:v>
                </c:pt>
                <c:pt idx="379">
                  <c:v>13687.459337722692</c:v>
                </c:pt>
                <c:pt idx="380">
                  <c:v>13689.379627986038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'20240401_example'!$BO$2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'20240401_example'!$A$3:$A$383</c:f>
              <c:strCache>
                <c:ptCount val="381"/>
                <c:pt idx="0">
                  <c:v>09:01:00</c:v>
                </c:pt>
                <c:pt idx="1">
                  <c:v>09:02:00</c:v>
                </c:pt>
                <c:pt idx="2">
                  <c:v>09:03:00</c:v>
                </c:pt>
                <c:pt idx="3">
                  <c:v>09:04:00</c:v>
                </c:pt>
                <c:pt idx="4">
                  <c:v>09:05:00</c:v>
                </c:pt>
                <c:pt idx="5">
                  <c:v>09:06:00</c:v>
                </c:pt>
                <c:pt idx="6">
                  <c:v>09:07:00</c:v>
                </c:pt>
                <c:pt idx="7">
                  <c:v>09:08:00</c:v>
                </c:pt>
                <c:pt idx="8">
                  <c:v>09:09:00</c:v>
                </c:pt>
                <c:pt idx="9">
                  <c:v>09:10:00</c:v>
                </c:pt>
                <c:pt idx="10">
                  <c:v>09:11:00</c:v>
                </c:pt>
                <c:pt idx="11">
                  <c:v>09:12:00</c:v>
                </c:pt>
                <c:pt idx="12">
                  <c:v>09:13:00</c:v>
                </c:pt>
                <c:pt idx="13">
                  <c:v>09:14:00</c:v>
                </c:pt>
                <c:pt idx="14">
                  <c:v>09:15:00</c:v>
                </c:pt>
                <c:pt idx="15">
                  <c:v>09:16:00</c:v>
                </c:pt>
                <c:pt idx="16">
                  <c:v>09:17:00</c:v>
                </c:pt>
                <c:pt idx="17">
                  <c:v>09:18:00</c:v>
                </c:pt>
                <c:pt idx="18">
                  <c:v>09:19:00</c:v>
                </c:pt>
                <c:pt idx="19">
                  <c:v>09:20:00</c:v>
                </c:pt>
                <c:pt idx="20">
                  <c:v>09:21:00</c:v>
                </c:pt>
                <c:pt idx="21">
                  <c:v>09:22:00</c:v>
                </c:pt>
                <c:pt idx="22">
                  <c:v>09:23:00</c:v>
                </c:pt>
                <c:pt idx="23">
                  <c:v>09:24:00</c:v>
                </c:pt>
                <c:pt idx="24">
                  <c:v>09:25:00</c:v>
                </c:pt>
                <c:pt idx="25">
                  <c:v>09:26:00</c:v>
                </c:pt>
                <c:pt idx="26">
                  <c:v>09:27:00</c:v>
                </c:pt>
                <c:pt idx="27">
                  <c:v>09:28:00</c:v>
                </c:pt>
                <c:pt idx="28">
                  <c:v>09:29:00</c:v>
                </c:pt>
                <c:pt idx="29">
                  <c:v>09:30:00</c:v>
                </c:pt>
                <c:pt idx="30">
                  <c:v>09:31:00</c:v>
                </c:pt>
                <c:pt idx="31">
                  <c:v>09:32:00</c:v>
                </c:pt>
                <c:pt idx="32">
                  <c:v>09:33:00</c:v>
                </c:pt>
                <c:pt idx="33">
                  <c:v>09:34:00</c:v>
                </c:pt>
                <c:pt idx="34">
                  <c:v>09:35:00</c:v>
                </c:pt>
                <c:pt idx="35">
                  <c:v>09:36:00</c:v>
                </c:pt>
                <c:pt idx="36">
                  <c:v>09:37:00</c:v>
                </c:pt>
                <c:pt idx="37">
                  <c:v>09:38:00</c:v>
                </c:pt>
                <c:pt idx="38">
                  <c:v>09:39:00</c:v>
                </c:pt>
                <c:pt idx="39">
                  <c:v>09:40:00</c:v>
                </c:pt>
                <c:pt idx="40">
                  <c:v>09:41:00</c:v>
                </c:pt>
                <c:pt idx="41">
                  <c:v>09:42:00</c:v>
                </c:pt>
                <c:pt idx="42">
                  <c:v>09:43:00</c:v>
                </c:pt>
                <c:pt idx="43">
                  <c:v>09:44:00</c:v>
                </c:pt>
                <c:pt idx="44">
                  <c:v>09:45:00</c:v>
                </c:pt>
                <c:pt idx="45">
                  <c:v>09:46:00</c:v>
                </c:pt>
                <c:pt idx="46">
                  <c:v>09:47:00</c:v>
                </c:pt>
                <c:pt idx="47">
                  <c:v>09:48:00</c:v>
                </c:pt>
                <c:pt idx="48">
                  <c:v>09:49:00</c:v>
                </c:pt>
                <c:pt idx="49">
                  <c:v>09:50:00</c:v>
                </c:pt>
                <c:pt idx="50">
                  <c:v>09:51:00</c:v>
                </c:pt>
                <c:pt idx="51">
                  <c:v>09:52:00</c:v>
                </c:pt>
                <c:pt idx="52">
                  <c:v>09:53:00</c:v>
                </c:pt>
                <c:pt idx="53">
                  <c:v>09:54:00</c:v>
                </c:pt>
                <c:pt idx="54">
                  <c:v>09:55:00</c:v>
                </c:pt>
                <c:pt idx="55">
                  <c:v>09:56:00</c:v>
                </c:pt>
                <c:pt idx="56">
                  <c:v>09:57:00</c:v>
                </c:pt>
                <c:pt idx="57">
                  <c:v>09:58:00</c:v>
                </c:pt>
                <c:pt idx="58">
                  <c:v>09:59:00</c:v>
                </c:pt>
                <c:pt idx="59">
                  <c:v>10:00:00</c:v>
                </c:pt>
                <c:pt idx="60">
                  <c:v>10:01:00</c:v>
                </c:pt>
                <c:pt idx="61">
                  <c:v>10:02:00</c:v>
                </c:pt>
                <c:pt idx="62">
                  <c:v>10:03:00</c:v>
                </c:pt>
                <c:pt idx="63">
                  <c:v>10:04:00</c:v>
                </c:pt>
                <c:pt idx="64">
                  <c:v>10:05:00</c:v>
                </c:pt>
                <c:pt idx="65">
                  <c:v>10:06:00</c:v>
                </c:pt>
                <c:pt idx="66">
                  <c:v>10:07:00</c:v>
                </c:pt>
                <c:pt idx="67">
                  <c:v>10:08:00</c:v>
                </c:pt>
                <c:pt idx="68">
                  <c:v>10:09:00</c:v>
                </c:pt>
                <c:pt idx="69">
                  <c:v>10:10:00</c:v>
                </c:pt>
                <c:pt idx="70">
                  <c:v>10:11:00</c:v>
                </c:pt>
                <c:pt idx="71">
                  <c:v>10:12:00</c:v>
                </c:pt>
                <c:pt idx="72">
                  <c:v>10:13:00</c:v>
                </c:pt>
                <c:pt idx="73">
                  <c:v>10:14:00</c:v>
                </c:pt>
                <c:pt idx="74">
                  <c:v>10:15:00</c:v>
                </c:pt>
                <c:pt idx="75">
                  <c:v>10:16:00</c:v>
                </c:pt>
                <c:pt idx="76">
                  <c:v>10:17:00</c:v>
                </c:pt>
                <c:pt idx="77">
                  <c:v>10:18:00</c:v>
                </c:pt>
                <c:pt idx="78">
                  <c:v>10:19:00</c:v>
                </c:pt>
                <c:pt idx="79">
                  <c:v>10:20:00</c:v>
                </c:pt>
                <c:pt idx="80">
                  <c:v>10:21:00</c:v>
                </c:pt>
                <c:pt idx="81">
                  <c:v>10:22:00</c:v>
                </c:pt>
                <c:pt idx="82">
                  <c:v>10:23:00</c:v>
                </c:pt>
                <c:pt idx="83">
                  <c:v>10:24:00</c:v>
                </c:pt>
                <c:pt idx="84">
                  <c:v>10:25:00</c:v>
                </c:pt>
                <c:pt idx="85">
                  <c:v>10:26:00</c:v>
                </c:pt>
                <c:pt idx="86">
                  <c:v>10:27:00</c:v>
                </c:pt>
                <c:pt idx="87">
                  <c:v>10:28:00</c:v>
                </c:pt>
                <c:pt idx="88">
                  <c:v>10:29:00</c:v>
                </c:pt>
                <c:pt idx="89">
                  <c:v>10:30:00</c:v>
                </c:pt>
                <c:pt idx="90">
                  <c:v>10:31:00</c:v>
                </c:pt>
                <c:pt idx="91">
                  <c:v>10:32:00</c:v>
                </c:pt>
                <c:pt idx="92">
                  <c:v>10:33:00</c:v>
                </c:pt>
                <c:pt idx="93">
                  <c:v>10:34:00</c:v>
                </c:pt>
                <c:pt idx="94">
                  <c:v>10:35:00</c:v>
                </c:pt>
                <c:pt idx="95">
                  <c:v>10:36:00</c:v>
                </c:pt>
                <c:pt idx="96">
                  <c:v>10:37:00</c:v>
                </c:pt>
                <c:pt idx="97">
                  <c:v>10:38:00</c:v>
                </c:pt>
                <c:pt idx="98">
                  <c:v>10:39:00</c:v>
                </c:pt>
                <c:pt idx="99">
                  <c:v>10:40:00</c:v>
                </c:pt>
                <c:pt idx="100">
                  <c:v>10:41:00</c:v>
                </c:pt>
                <c:pt idx="101">
                  <c:v>10:42:00</c:v>
                </c:pt>
                <c:pt idx="102">
                  <c:v>10:43:00</c:v>
                </c:pt>
                <c:pt idx="103">
                  <c:v>10:44:00</c:v>
                </c:pt>
                <c:pt idx="104">
                  <c:v>10:45:00</c:v>
                </c:pt>
                <c:pt idx="105">
                  <c:v>10:46:00</c:v>
                </c:pt>
                <c:pt idx="106">
                  <c:v>10:47:00</c:v>
                </c:pt>
                <c:pt idx="107">
                  <c:v>10:48:00</c:v>
                </c:pt>
                <c:pt idx="108">
                  <c:v>10:49:00</c:v>
                </c:pt>
                <c:pt idx="109">
                  <c:v>10:50:00</c:v>
                </c:pt>
                <c:pt idx="110">
                  <c:v>10:51:00</c:v>
                </c:pt>
                <c:pt idx="111">
                  <c:v>10:52:00</c:v>
                </c:pt>
                <c:pt idx="112">
                  <c:v>10:53:00</c:v>
                </c:pt>
                <c:pt idx="113">
                  <c:v>10:54:00</c:v>
                </c:pt>
                <c:pt idx="114">
                  <c:v>10:55:00</c:v>
                </c:pt>
                <c:pt idx="115">
                  <c:v>10:56:00</c:v>
                </c:pt>
                <c:pt idx="116">
                  <c:v>10:57:00</c:v>
                </c:pt>
                <c:pt idx="117">
                  <c:v>10:58:00</c:v>
                </c:pt>
                <c:pt idx="118">
                  <c:v>10:59:00</c:v>
                </c:pt>
                <c:pt idx="119">
                  <c:v>11:00:00</c:v>
                </c:pt>
                <c:pt idx="120">
                  <c:v>11:01:00</c:v>
                </c:pt>
                <c:pt idx="121">
                  <c:v>11:02:00</c:v>
                </c:pt>
                <c:pt idx="122">
                  <c:v>11:03:00</c:v>
                </c:pt>
                <c:pt idx="123">
                  <c:v>11:04:00</c:v>
                </c:pt>
                <c:pt idx="124">
                  <c:v>11:05:00</c:v>
                </c:pt>
                <c:pt idx="125">
                  <c:v>11:06:00</c:v>
                </c:pt>
                <c:pt idx="126">
                  <c:v>11:07:00</c:v>
                </c:pt>
                <c:pt idx="127">
                  <c:v>11:08:00</c:v>
                </c:pt>
                <c:pt idx="128">
                  <c:v>11:09:00</c:v>
                </c:pt>
                <c:pt idx="129">
                  <c:v>11:10:00</c:v>
                </c:pt>
                <c:pt idx="130">
                  <c:v>11:11:00</c:v>
                </c:pt>
                <c:pt idx="131">
                  <c:v>11:12:00</c:v>
                </c:pt>
                <c:pt idx="132">
                  <c:v>11:13:00</c:v>
                </c:pt>
                <c:pt idx="133">
                  <c:v>11:14:00</c:v>
                </c:pt>
                <c:pt idx="134">
                  <c:v>11:15:00</c:v>
                </c:pt>
                <c:pt idx="135">
                  <c:v>11:16:00</c:v>
                </c:pt>
                <c:pt idx="136">
                  <c:v>11:17:00</c:v>
                </c:pt>
                <c:pt idx="137">
                  <c:v>11:18:00</c:v>
                </c:pt>
                <c:pt idx="138">
                  <c:v>11:19:00</c:v>
                </c:pt>
                <c:pt idx="139">
                  <c:v>11:20:00</c:v>
                </c:pt>
                <c:pt idx="140">
                  <c:v>11:21:00</c:v>
                </c:pt>
                <c:pt idx="141">
                  <c:v>11:22:00</c:v>
                </c:pt>
                <c:pt idx="142">
                  <c:v>11:23:00</c:v>
                </c:pt>
                <c:pt idx="143">
                  <c:v>11:24:00</c:v>
                </c:pt>
                <c:pt idx="144">
                  <c:v>11:25:00</c:v>
                </c:pt>
                <c:pt idx="145">
                  <c:v>11:26:00</c:v>
                </c:pt>
                <c:pt idx="146">
                  <c:v>11:27:00</c:v>
                </c:pt>
                <c:pt idx="147">
                  <c:v>11:28:00</c:v>
                </c:pt>
                <c:pt idx="148">
                  <c:v>11:29:00</c:v>
                </c:pt>
                <c:pt idx="149">
                  <c:v>11:30:00</c:v>
                </c:pt>
                <c:pt idx="150">
                  <c:v>11:31:00</c:v>
                </c:pt>
                <c:pt idx="151">
                  <c:v>11:32:00</c:v>
                </c:pt>
                <c:pt idx="152">
                  <c:v>11:33:00</c:v>
                </c:pt>
                <c:pt idx="153">
                  <c:v>11:34:00</c:v>
                </c:pt>
                <c:pt idx="154">
                  <c:v>11:35:00</c:v>
                </c:pt>
                <c:pt idx="155">
                  <c:v>11:36:00</c:v>
                </c:pt>
                <c:pt idx="156">
                  <c:v>11:37:00</c:v>
                </c:pt>
                <c:pt idx="157">
                  <c:v>11:38:00</c:v>
                </c:pt>
                <c:pt idx="158">
                  <c:v>11:39:00</c:v>
                </c:pt>
                <c:pt idx="159">
                  <c:v>11:40:00</c:v>
                </c:pt>
                <c:pt idx="160">
                  <c:v>11:41:00</c:v>
                </c:pt>
                <c:pt idx="161">
                  <c:v>11:42:00</c:v>
                </c:pt>
                <c:pt idx="162">
                  <c:v>11:43:00</c:v>
                </c:pt>
                <c:pt idx="163">
                  <c:v>11:44:00</c:v>
                </c:pt>
                <c:pt idx="164">
                  <c:v>11:45:00</c:v>
                </c:pt>
                <c:pt idx="165">
                  <c:v>11:46:00</c:v>
                </c:pt>
                <c:pt idx="166">
                  <c:v>11:47:00</c:v>
                </c:pt>
                <c:pt idx="167">
                  <c:v>11:48:00</c:v>
                </c:pt>
                <c:pt idx="168">
                  <c:v>11:49:00</c:v>
                </c:pt>
                <c:pt idx="169">
                  <c:v>11:50:00</c:v>
                </c:pt>
                <c:pt idx="170">
                  <c:v>11:51:00</c:v>
                </c:pt>
                <c:pt idx="171">
                  <c:v>11:52:00</c:v>
                </c:pt>
                <c:pt idx="172">
                  <c:v>11:53:00</c:v>
                </c:pt>
                <c:pt idx="173">
                  <c:v>11:54:00</c:v>
                </c:pt>
                <c:pt idx="174">
                  <c:v>11:55:00</c:v>
                </c:pt>
                <c:pt idx="175">
                  <c:v>11:56:00</c:v>
                </c:pt>
                <c:pt idx="176">
                  <c:v>11:57:00</c:v>
                </c:pt>
                <c:pt idx="177">
                  <c:v>11:58:00</c:v>
                </c:pt>
                <c:pt idx="178">
                  <c:v>11:59:00</c:v>
                </c:pt>
                <c:pt idx="179">
                  <c:v>12:00:00</c:v>
                </c:pt>
                <c:pt idx="180">
                  <c:v>12:01:00</c:v>
                </c:pt>
                <c:pt idx="181">
                  <c:v>12:02:00</c:v>
                </c:pt>
                <c:pt idx="182">
                  <c:v>12:03:00</c:v>
                </c:pt>
                <c:pt idx="183">
                  <c:v>12:04:00</c:v>
                </c:pt>
                <c:pt idx="184">
                  <c:v>12:05:00</c:v>
                </c:pt>
                <c:pt idx="185">
                  <c:v>12:06:00</c:v>
                </c:pt>
                <c:pt idx="186">
                  <c:v>12:07:00</c:v>
                </c:pt>
                <c:pt idx="187">
                  <c:v>12:08:00</c:v>
                </c:pt>
                <c:pt idx="188">
                  <c:v>12:09:00</c:v>
                </c:pt>
                <c:pt idx="189">
                  <c:v>12:10:00</c:v>
                </c:pt>
                <c:pt idx="190">
                  <c:v>12:11:00</c:v>
                </c:pt>
                <c:pt idx="191">
                  <c:v>12:12:00</c:v>
                </c:pt>
                <c:pt idx="192">
                  <c:v>12:13:00</c:v>
                </c:pt>
                <c:pt idx="193">
                  <c:v>12:14:00</c:v>
                </c:pt>
                <c:pt idx="194">
                  <c:v>12:15:00</c:v>
                </c:pt>
                <c:pt idx="195">
                  <c:v>12:16:00</c:v>
                </c:pt>
                <c:pt idx="196">
                  <c:v>12:17:00</c:v>
                </c:pt>
                <c:pt idx="197">
                  <c:v>12:18:00</c:v>
                </c:pt>
                <c:pt idx="198">
                  <c:v>12:19:00</c:v>
                </c:pt>
                <c:pt idx="199">
                  <c:v>12:20:00</c:v>
                </c:pt>
                <c:pt idx="200">
                  <c:v>12:21:00</c:v>
                </c:pt>
                <c:pt idx="201">
                  <c:v>12:22:00</c:v>
                </c:pt>
                <c:pt idx="202">
                  <c:v>12:23:00</c:v>
                </c:pt>
                <c:pt idx="203">
                  <c:v>12:24:00</c:v>
                </c:pt>
                <c:pt idx="204">
                  <c:v>12:25:00</c:v>
                </c:pt>
                <c:pt idx="205">
                  <c:v>12:26:00</c:v>
                </c:pt>
                <c:pt idx="206">
                  <c:v>12:27:00</c:v>
                </c:pt>
                <c:pt idx="207">
                  <c:v>12:28:00</c:v>
                </c:pt>
                <c:pt idx="208">
                  <c:v>12:29:00</c:v>
                </c:pt>
                <c:pt idx="209">
                  <c:v>12:30:00</c:v>
                </c:pt>
                <c:pt idx="210">
                  <c:v>12:31:00</c:v>
                </c:pt>
                <c:pt idx="211">
                  <c:v>12:32:00</c:v>
                </c:pt>
                <c:pt idx="212">
                  <c:v>12:33:00</c:v>
                </c:pt>
                <c:pt idx="213">
                  <c:v>12:34:00</c:v>
                </c:pt>
                <c:pt idx="214">
                  <c:v>12:35:00</c:v>
                </c:pt>
                <c:pt idx="215">
                  <c:v>12:36:00</c:v>
                </c:pt>
                <c:pt idx="216">
                  <c:v>12:37:00</c:v>
                </c:pt>
                <c:pt idx="217">
                  <c:v>12:38:00</c:v>
                </c:pt>
                <c:pt idx="218">
                  <c:v>12:39:00</c:v>
                </c:pt>
                <c:pt idx="219">
                  <c:v>12:40:00</c:v>
                </c:pt>
                <c:pt idx="220">
                  <c:v>12:41:00</c:v>
                </c:pt>
                <c:pt idx="221">
                  <c:v>12:42:00</c:v>
                </c:pt>
                <c:pt idx="222">
                  <c:v>12:43:00</c:v>
                </c:pt>
                <c:pt idx="223">
                  <c:v>12:44:00</c:v>
                </c:pt>
                <c:pt idx="224">
                  <c:v>12:45:00</c:v>
                </c:pt>
                <c:pt idx="225">
                  <c:v>12:46:00</c:v>
                </c:pt>
                <c:pt idx="226">
                  <c:v>12:47:00</c:v>
                </c:pt>
                <c:pt idx="227">
                  <c:v>12:48:00</c:v>
                </c:pt>
                <c:pt idx="228">
                  <c:v>12:49:00</c:v>
                </c:pt>
                <c:pt idx="229">
                  <c:v>12:50:00</c:v>
                </c:pt>
                <c:pt idx="230">
                  <c:v>12:51:00</c:v>
                </c:pt>
                <c:pt idx="231">
                  <c:v>12:52:00</c:v>
                </c:pt>
                <c:pt idx="232">
                  <c:v>12:53:00</c:v>
                </c:pt>
                <c:pt idx="233">
                  <c:v>12:54:00</c:v>
                </c:pt>
                <c:pt idx="234">
                  <c:v>12:55:00</c:v>
                </c:pt>
                <c:pt idx="235">
                  <c:v>12:56:00</c:v>
                </c:pt>
                <c:pt idx="236">
                  <c:v>12:57:00</c:v>
                </c:pt>
                <c:pt idx="237">
                  <c:v>12:58:00</c:v>
                </c:pt>
                <c:pt idx="238">
                  <c:v>12:59:00</c:v>
                </c:pt>
                <c:pt idx="239">
                  <c:v>13:00:00</c:v>
                </c:pt>
                <c:pt idx="240">
                  <c:v>13:01:00</c:v>
                </c:pt>
                <c:pt idx="241">
                  <c:v>13:02:00</c:v>
                </c:pt>
                <c:pt idx="242">
                  <c:v>13:03:00</c:v>
                </c:pt>
                <c:pt idx="243">
                  <c:v>13:04:00</c:v>
                </c:pt>
                <c:pt idx="244">
                  <c:v>13:05:00</c:v>
                </c:pt>
                <c:pt idx="245">
                  <c:v>13:06:00</c:v>
                </c:pt>
                <c:pt idx="246">
                  <c:v>13:07:00</c:v>
                </c:pt>
                <c:pt idx="247">
                  <c:v>13:08:00</c:v>
                </c:pt>
                <c:pt idx="248">
                  <c:v>13:09:00</c:v>
                </c:pt>
                <c:pt idx="249">
                  <c:v>13:10:00</c:v>
                </c:pt>
                <c:pt idx="250">
                  <c:v>13:11:00</c:v>
                </c:pt>
                <c:pt idx="251">
                  <c:v>13:12:00</c:v>
                </c:pt>
                <c:pt idx="252">
                  <c:v>13:13:00</c:v>
                </c:pt>
                <c:pt idx="253">
                  <c:v>13:14:00</c:v>
                </c:pt>
                <c:pt idx="254">
                  <c:v>13:15:00</c:v>
                </c:pt>
                <c:pt idx="255">
                  <c:v>13:16:00</c:v>
                </c:pt>
                <c:pt idx="256">
                  <c:v>13:17:00</c:v>
                </c:pt>
                <c:pt idx="257">
                  <c:v>13:18:00</c:v>
                </c:pt>
                <c:pt idx="258">
                  <c:v>13:19:00</c:v>
                </c:pt>
                <c:pt idx="259">
                  <c:v>13:20:00</c:v>
                </c:pt>
                <c:pt idx="260">
                  <c:v>13:21:00</c:v>
                </c:pt>
                <c:pt idx="261">
                  <c:v>13:22:00</c:v>
                </c:pt>
                <c:pt idx="262">
                  <c:v>13:23:00</c:v>
                </c:pt>
                <c:pt idx="263">
                  <c:v>13:24:00</c:v>
                </c:pt>
                <c:pt idx="264">
                  <c:v>13:25:00</c:v>
                </c:pt>
                <c:pt idx="265">
                  <c:v>13:26:00</c:v>
                </c:pt>
                <c:pt idx="266">
                  <c:v>13:27:00</c:v>
                </c:pt>
                <c:pt idx="267">
                  <c:v>13:28:00</c:v>
                </c:pt>
                <c:pt idx="268">
                  <c:v>13:29:00</c:v>
                </c:pt>
                <c:pt idx="269">
                  <c:v>13:30:00</c:v>
                </c:pt>
                <c:pt idx="270">
                  <c:v>13:31:00</c:v>
                </c:pt>
                <c:pt idx="271">
                  <c:v>13:32:00</c:v>
                </c:pt>
                <c:pt idx="272">
                  <c:v>13:33:00</c:v>
                </c:pt>
                <c:pt idx="273">
                  <c:v>13:34:00</c:v>
                </c:pt>
                <c:pt idx="274">
                  <c:v>13:35:00</c:v>
                </c:pt>
                <c:pt idx="275">
                  <c:v>13:36:00</c:v>
                </c:pt>
                <c:pt idx="276">
                  <c:v>13:37:00</c:v>
                </c:pt>
                <c:pt idx="277">
                  <c:v>13:38:00</c:v>
                </c:pt>
                <c:pt idx="278">
                  <c:v>13:39:00</c:v>
                </c:pt>
                <c:pt idx="279">
                  <c:v>13:40:00</c:v>
                </c:pt>
                <c:pt idx="280">
                  <c:v>13:41:00</c:v>
                </c:pt>
                <c:pt idx="281">
                  <c:v>13:42:00</c:v>
                </c:pt>
                <c:pt idx="282">
                  <c:v>13:43:00</c:v>
                </c:pt>
                <c:pt idx="283">
                  <c:v>13:44:00</c:v>
                </c:pt>
                <c:pt idx="284">
                  <c:v>13:45:00</c:v>
                </c:pt>
                <c:pt idx="285">
                  <c:v>13:46:00</c:v>
                </c:pt>
                <c:pt idx="286">
                  <c:v>13:47:00</c:v>
                </c:pt>
                <c:pt idx="287">
                  <c:v>13:48:00</c:v>
                </c:pt>
                <c:pt idx="288">
                  <c:v>13:49:00</c:v>
                </c:pt>
                <c:pt idx="289">
                  <c:v>13:50:00</c:v>
                </c:pt>
                <c:pt idx="290">
                  <c:v>13:51:00</c:v>
                </c:pt>
                <c:pt idx="291">
                  <c:v>13:52:00</c:v>
                </c:pt>
                <c:pt idx="292">
                  <c:v>13:53:00</c:v>
                </c:pt>
                <c:pt idx="293">
                  <c:v>13:54:00</c:v>
                </c:pt>
                <c:pt idx="294">
                  <c:v>13:55:00</c:v>
                </c:pt>
                <c:pt idx="295">
                  <c:v>13:56:00</c:v>
                </c:pt>
                <c:pt idx="296">
                  <c:v>13:57:00</c:v>
                </c:pt>
                <c:pt idx="297">
                  <c:v>13:58:00</c:v>
                </c:pt>
                <c:pt idx="298">
                  <c:v>13:59:00</c:v>
                </c:pt>
                <c:pt idx="299">
                  <c:v>14:00:00</c:v>
                </c:pt>
                <c:pt idx="300">
                  <c:v>14:01:00</c:v>
                </c:pt>
                <c:pt idx="301">
                  <c:v>14:02:00</c:v>
                </c:pt>
                <c:pt idx="302">
                  <c:v>14:03:00</c:v>
                </c:pt>
                <c:pt idx="303">
                  <c:v>14:04:00</c:v>
                </c:pt>
                <c:pt idx="304">
                  <c:v>14:05:00</c:v>
                </c:pt>
                <c:pt idx="305">
                  <c:v>14:06:00</c:v>
                </c:pt>
                <c:pt idx="306">
                  <c:v>14:07:00</c:v>
                </c:pt>
                <c:pt idx="307">
                  <c:v>14:08:00</c:v>
                </c:pt>
                <c:pt idx="308">
                  <c:v>14:09:00</c:v>
                </c:pt>
                <c:pt idx="309">
                  <c:v>14:10:00</c:v>
                </c:pt>
                <c:pt idx="310">
                  <c:v>14:11:00</c:v>
                </c:pt>
                <c:pt idx="311">
                  <c:v>14:12:00</c:v>
                </c:pt>
                <c:pt idx="312">
                  <c:v>14:13:00</c:v>
                </c:pt>
                <c:pt idx="313">
                  <c:v>14:14:00</c:v>
                </c:pt>
                <c:pt idx="314">
                  <c:v>14:15:00</c:v>
                </c:pt>
                <c:pt idx="315">
                  <c:v>14:16:00</c:v>
                </c:pt>
                <c:pt idx="316">
                  <c:v>14:17:00</c:v>
                </c:pt>
                <c:pt idx="317">
                  <c:v>14:18:00</c:v>
                </c:pt>
                <c:pt idx="318">
                  <c:v>14:19:00</c:v>
                </c:pt>
                <c:pt idx="319">
                  <c:v>14:20:00</c:v>
                </c:pt>
                <c:pt idx="320">
                  <c:v>14:21:00</c:v>
                </c:pt>
                <c:pt idx="321">
                  <c:v>14:22:00</c:v>
                </c:pt>
                <c:pt idx="322">
                  <c:v>14:23:00</c:v>
                </c:pt>
                <c:pt idx="323">
                  <c:v>14:24:00</c:v>
                </c:pt>
                <c:pt idx="324">
                  <c:v>14:25:00</c:v>
                </c:pt>
                <c:pt idx="325">
                  <c:v>14:26:00</c:v>
                </c:pt>
                <c:pt idx="326">
                  <c:v>14:27:00</c:v>
                </c:pt>
                <c:pt idx="327">
                  <c:v>14:28:00</c:v>
                </c:pt>
                <c:pt idx="328">
                  <c:v>14:29:00</c:v>
                </c:pt>
                <c:pt idx="329">
                  <c:v>14:30:00</c:v>
                </c:pt>
                <c:pt idx="330">
                  <c:v>14:31:00</c:v>
                </c:pt>
                <c:pt idx="331">
                  <c:v>14:32:00</c:v>
                </c:pt>
                <c:pt idx="332">
                  <c:v>14:33:00</c:v>
                </c:pt>
                <c:pt idx="333">
                  <c:v>14:34:00</c:v>
                </c:pt>
                <c:pt idx="334">
                  <c:v>14:35:00</c:v>
                </c:pt>
                <c:pt idx="335">
                  <c:v>14:36:00</c:v>
                </c:pt>
                <c:pt idx="336">
                  <c:v>14:37:00</c:v>
                </c:pt>
                <c:pt idx="337">
                  <c:v>14:38:00</c:v>
                </c:pt>
                <c:pt idx="338">
                  <c:v>14:39:00</c:v>
                </c:pt>
                <c:pt idx="339">
                  <c:v>14:40:00</c:v>
                </c:pt>
                <c:pt idx="340">
                  <c:v>14:41:00</c:v>
                </c:pt>
                <c:pt idx="341">
                  <c:v>14:42:00</c:v>
                </c:pt>
                <c:pt idx="342">
                  <c:v>14:43:00</c:v>
                </c:pt>
                <c:pt idx="343">
                  <c:v>14:44:00</c:v>
                </c:pt>
                <c:pt idx="344">
                  <c:v>14:45:00</c:v>
                </c:pt>
                <c:pt idx="345">
                  <c:v>14:46:00</c:v>
                </c:pt>
                <c:pt idx="346">
                  <c:v>14:47:00</c:v>
                </c:pt>
                <c:pt idx="347">
                  <c:v>14:48:00</c:v>
                </c:pt>
                <c:pt idx="348">
                  <c:v>14:49:00</c:v>
                </c:pt>
                <c:pt idx="349">
                  <c:v>14:50:00</c:v>
                </c:pt>
                <c:pt idx="350">
                  <c:v>14:51:00</c:v>
                </c:pt>
                <c:pt idx="351">
                  <c:v>14:52:00</c:v>
                </c:pt>
                <c:pt idx="352">
                  <c:v>14:53:00</c:v>
                </c:pt>
                <c:pt idx="353">
                  <c:v>14:54:00</c:v>
                </c:pt>
                <c:pt idx="354">
                  <c:v>14:55:00</c:v>
                </c:pt>
                <c:pt idx="355">
                  <c:v>14:56:00</c:v>
                </c:pt>
                <c:pt idx="356">
                  <c:v>14:57:00</c:v>
                </c:pt>
                <c:pt idx="357">
                  <c:v>14:58:00</c:v>
                </c:pt>
                <c:pt idx="358">
                  <c:v>14:59:00</c:v>
                </c:pt>
                <c:pt idx="359">
                  <c:v>15:00:00</c:v>
                </c:pt>
                <c:pt idx="360">
                  <c:v>15:01:00</c:v>
                </c:pt>
                <c:pt idx="361">
                  <c:v>15:02:00</c:v>
                </c:pt>
                <c:pt idx="362">
                  <c:v>15:03:00</c:v>
                </c:pt>
                <c:pt idx="363">
                  <c:v>15:04:00</c:v>
                </c:pt>
                <c:pt idx="364">
                  <c:v>15:05:00</c:v>
                </c:pt>
                <c:pt idx="365">
                  <c:v>15:06:00</c:v>
                </c:pt>
                <c:pt idx="366">
                  <c:v>15:07:00</c:v>
                </c:pt>
                <c:pt idx="367">
                  <c:v>15:08:00</c:v>
                </c:pt>
                <c:pt idx="368">
                  <c:v>15:09:00</c:v>
                </c:pt>
                <c:pt idx="369">
                  <c:v>15:10:00</c:v>
                </c:pt>
                <c:pt idx="370">
                  <c:v>15:11:00</c:v>
                </c:pt>
                <c:pt idx="371">
                  <c:v>15:12:00</c:v>
                </c:pt>
                <c:pt idx="372">
                  <c:v>15:13:00</c:v>
                </c:pt>
                <c:pt idx="373">
                  <c:v>15:14:00</c:v>
                </c:pt>
                <c:pt idx="374">
                  <c:v>15:15:00</c:v>
                </c:pt>
                <c:pt idx="375">
                  <c:v>15:16:00</c:v>
                </c:pt>
                <c:pt idx="376">
                  <c:v>15:17:00</c:v>
                </c:pt>
                <c:pt idx="377">
                  <c:v>15:18:00</c:v>
                </c:pt>
                <c:pt idx="378">
                  <c:v>15:19:00</c:v>
                </c:pt>
                <c:pt idx="379">
                  <c:v>15:20:00</c:v>
                </c:pt>
                <c:pt idx="380">
                  <c:v>15:30:00</c:v>
                </c:pt>
              </c:strCache>
            </c:strRef>
          </c:cat>
          <c:val>
            <c:numRef>
              <c:f>'20240401_example'!$BO$3:$BO$383</c:f>
              <c:numCache>
                <c:formatCode>_-* #,##0.00_-;\-* #,##0.00_-;_-* "-"_-;_-@_-</c:formatCode>
                <c:ptCount val="381"/>
                <c:pt idx="0">
                  <c:v>13298.906004123477</c:v>
                </c:pt>
                <c:pt idx="1">
                  <c:v>13270.000394579562</c:v>
                </c:pt>
                <c:pt idx="2">
                  <c:v>13247.058598794289</c:v>
                </c:pt>
                <c:pt idx="3">
                  <c:v>13254.663298126708</c:v>
                </c:pt>
                <c:pt idx="4">
                  <c:v>13241.531109440202</c:v>
                </c:pt>
                <c:pt idx="5">
                  <c:v>13220.75101033262</c:v>
                </c:pt>
                <c:pt idx="6">
                  <c:v>13213.278188994258</c:v>
                </c:pt>
                <c:pt idx="7">
                  <c:v>13213.25686056328</c:v>
                </c:pt>
                <c:pt idx="8">
                  <c:v>13202.788855065</c:v>
                </c:pt>
                <c:pt idx="9">
                  <c:v>13206.510882688048</c:v>
                </c:pt>
                <c:pt idx="10">
                  <c:v>13195.095607797048</c:v>
                </c:pt>
                <c:pt idx="11">
                  <c:v>13183.141835763541</c:v>
                </c:pt>
                <c:pt idx="12">
                  <c:v>13183.133464153978</c:v>
                </c:pt>
                <c:pt idx="13">
                  <c:v>13179.429826175896</c:v>
                </c:pt>
                <c:pt idx="14">
                  <c:v>13175.215185081186</c:v>
                </c:pt>
                <c:pt idx="15">
                  <c:v>13177.010175562051</c:v>
                </c:pt>
                <c:pt idx="16">
                  <c:v>13178.050622246923</c:v>
                </c:pt>
                <c:pt idx="17">
                  <c:v>13180.052717393515</c:v>
                </c:pt>
                <c:pt idx="18">
                  <c:v>13176.419710906506</c:v>
                </c:pt>
                <c:pt idx="19">
                  <c:v>13174.52345592967</c:v>
                </c:pt>
                <c:pt idx="20">
                  <c:v>13156.106900310093</c:v>
                </c:pt>
                <c:pt idx="21">
                  <c:v>13156.921219730333</c:v>
                </c:pt>
                <c:pt idx="22">
                  <c:v>13139.879903203462</c:v>
                </c:pt>
                <c:pt idx="23">
                  <c:v>13147.281388380352</c:v>
                </c:pt>
                <c:pt idx="24">
                  <c:v>13137.164204979003</c:v>
                </c:pt>
                <c:pt idx="25">
                  <c:v>13134.392872235694</c:v>
                </c:pt>
                <c:pt idx="26">
                  <c:v>13142.907807333995</c:v>
                </c:pt>
                <c:pt idx="27">
                  <c:v>13136.264479598905</c:v>
                </c:pt>
                <c:pt idx="28">
                  <c:v>13133.838459685203</c:v>
                </c:pt>
                <c:pt idx="29">
                  <c:v>13139.19751122973</c:v>
                </c:pt>
                <c:pt idx="30">
                  <c:v>13132.223918431637</c:v>
                </c:pt>
                <c:pt idx="31">
                  <c:v>13127.22932608611</c:v>
                </c:pt>
                <c:pt idx="32">
                  <c:v>13123.337462109725</c:v>
                </c:pt>
                <c:pt idx="33">
                  <c:v>13125.876715783634</c:v>
                </c:pt>
                <c:pt idx="34">
                  <c:v>13119.423732073421</c:v>
                </c:pt>
                <c:pt idx="35">
                  <c:v>13126.609065407998</c:v>
                </c:pt>
                <c:pt idx="36">
                  <c:v>13132.100415778581</c:v>
                </c:pt>
                <c:pt idx="37">
                  <c:v>13129.947527455444</c:v>
                </c:pt>
                <c:pt idx="38">
                  <c:v>13133.113341561562</c:v>
                </c:pt>
                <c:pt idx="39">
                  <c:v>13127.280947635798</c:v>
                </c:pt>
                <c:pt idx="40">
                  <c:v>13128.755606173219</c:v>
                </c:pt>
                <c:pt idx="41">
                  <c:v>13127.871800383467</c:v>
                </c:pt>
                <c:pt idx="42">
                  <c:v>13129.971822323761</c:v>
                </c:pt>
                <c:pt idx="43">
                  <c:v>13133.69905433492</c:v>
                </c:pt>
                <c:pt idx="44">
                  <c:v>13136.423347863945</c:v>
                </c:pt>
                <c:pt idx="45">
                  <c:v>13132.175854600506</c:v>
                </c:pt>
                <c:pt idx="46">
                  <c:v>13131.741575385802</c:v>
                </c:pt>
                <c:pt idx="47">
                  <c:v>13129.996200611895</c:v>
                </c:pt>
                <c:pt idx="48">
                  <c:v>13129.247133545379</c:v>
                </c:pt>
                <c:pt idx="49">
                  <c:v>13126.726315774529</c:v>
                </c:pt>
                <c:pt idx="50">
                  <c:v>13127.034413643785</c:v>
                </c:pt>
                <c:pt idx="51">
                  <c:v>13125.111209185912</c:v>
                </c:pt>
                <c:pt idx="52">
                  <c:v>13120.723743749577</c:v>
                </c:pt>
                <c:pt idx="53">
                  <c:v>13124.171044485016</c:v>
                </c:pt>
                <c:pt idx="54">
                  <c:v>13124.401864237461</c:v>
                </c:pt>
                <c:pt idx="55">
                  <c:v>13121.146075611572</c:v>
                </c:pt>
                <c:pt idx="56">
                  <c:v>13123.887327231967</c:v>
                </c:pt>
                <c:pt idx="57">
                  <c:v>13126.308106384187</c:v>
                </c:pt>
                <c:pt idx="58">
                  <c:v>13134.582532249755</c:v>
                </c:pt>
                <c:pt idx="59">
                  <c:v>13133.091611113538</c:v>
                </c:pt>
                <c:pt idx="60">
                  <c:v>13126.681683791356</c:v>
                </c:pt>
                <c:pt idx="61">
                  <c:v>13127.735063768108</c:v>
                </c:pt>
                <c:pt idx="62">
                  <c:v>13128.152781999064</c:v>
                </c:pt>
                <c:pt idx="63">
                  <c:v>13131.536826378468</c:v>
                </c:pt>
                <c:pt idx="64">
                  <c:v>13132.00909218197</c:v>
                </c:pt>
                <c:pt idx="65">
                  <c:v>13129.349625202898</c:v>
                </c:pt>
                <c:pt idx="66">
                  <c:v>13129.441177126604</c:v>
                </c:pt>
                <c:pt idx="67">
                  <c:v>13131.099130206738</c:v>
                </c:pt>
                <c:pt idx="68">
                  <c:v>13137.678441007496</c:v>
                </c:pt>
                <c:pt idx="69">
                  <c:v>13139.917170146337</c:v>
                </c:pt>
                <c:pt idx="70">
                  <c:v>13132.18669549792</c:v>
                </c:pt>
                <c:pt idx="71">
                  <c:v>13132.796246287324</c:v>
                </c:pt>
                <c:pt idx="72">
                  <c:v>13135.525175071969</c:v>
                </c:pt>
                <c:pt idx="73">
                  <c:v>13137.838652555834</c:v>
                </c:pt>
                <c:pt idx="74">
                  <c:v>13141.362238039708</c:v>
                </c:pt>
                <c:pt idx="75">
                  <c:v>13139.018443369816</c:v>
                </c:pt>
                <c:pt idx="76">
                  <c:v>13142.069527796619</c:v>
                </c:pt>
                <c:pt idx="77">
                  <c:v>13144.663402940259</c:v>
                </c:pt>
                <c:pt idx="78">
                  <c:v>13141.004805237651</c:v>
                </c:pt>
                <c:pt idx="79">
                  <c:v>13142.964157480115</c:v>
                </c:pt>
                <c:pt idx="80">
                  <c:v>13145.283459112683</c:v>
                </c:pt>
                <c:pt idx="81">
                  <c:v>13146.142166061978</c:v>
                </c:pt>
                <c:pt idx="82">
                  <c:v>13147.520736560165</c:v>
                </c:pt>
                <c:pt idx="83">
                  <c:v>13141.876394899651</c:v>
                </c:pt>
                <c:pt idx="84">
                  <c:v>13145.389218248625</c:v>
                </c:pt>
                <c:pt idx="85">
                  <c:v>13141.252661144661</c:v>
                </c:pt>
                <c:pt idx="86">
                  <c:v>13143.213368768886</c:v>
                </c:pt>
                <c:pt idx="87">
                  <c:v>13149.250800957003</c:v>
                </c:pt>
                <c:pt idx="88">
                  <c:v>13152.798457752077</c:v>
                </c:pt>
                <c:pt idx="89">
                  <c:v>13149.832146368799</c:v>
                </c:pt>
                <c:pt idx="90">
                  <c:v>13139.185691141871</c:v>
                </c:pt>
                <c:pt idx="91">
                  <c:v>13141.125897489299</c:v>
                </c:pt>
                <c:pt idx="92">
                  <c:v>13138.601215659673</c:v>
                </c:pt>
                <c:pt idx="93">
                  <c:v>13136.682470909947</c:v>
                </c:pt>
                <c:pt idx="94">
                  <c:v>13141.400101432861</c:v>
                </c:pt>
                <c:pt idx="95">
                  <c:v>13131.952181819572</c:v>
                </c:pt>
                <c:pt idx="96">
                  <c:v>13131.425020386147</c:v>
                </c:pt>
                <c:pt idx="97">
                  <c:v>13133.408937290566</c:v>
                </c:pt>
                <c:pt idx="98">
                  <c:v>13134.376560599763</c:v>
                </c:pt>
                <c:pt idx="99">
                  <c:v>13129.888986141201</c:v>
                </c:pt>
                <c:pt idx="100">
                  <c:v>13129.522126196669</c:v>
                </c:pt>
                <c:pt idx="101">
                  <c:v>13127.230124136315</c:v>
                </c:pt>
                <c:pt idx="102">
                  <c:v>13128.418170295057</c:v>
                </c:pt>
                <c:pt idx="103">
                  <c:v>13131.613557399858</c:v>
                </c:pt>
                <c:pt idx="104">
                  <c:v>13131.860022282368</c:v>
                </c:pt>
                <c:pt idx="105">
                  <c:v>13125.406030462269</c:v>
                </c:pt>
                <c:pt idx="106">
                  <c:v>13120.597913701471</c:v>
                </c:pt>
                <c:pt idx="107">
                  <c:v>13123.423797207954</c:v>
                </c:pt>
                <c:pt idx="108">
                  <c:v>13121.597525152429</c:v>
                </c:pt>
                <c:pt idx="109">
                  <c:v>13118.378681273078</c:v>
                </c:pt>
                <c:pt idx="110">
                  <c:v>13115.699940434757</c:v>
                </c:pt>
                <c:pt idx="111">
                  <c:v>13113.793818432847</c:v>
                </c:pt>
                <c:pt idx="112">
                  <c:v>13107.216373957022</c:v>
                </c:pt>
                <c:pt idx="113">
                  <c:v>13108.848116480083</c:v>
                </c:pt>
                <c:pt idx="114">
                  <c:v>13104.792022712767</c:v>
                </c:pt>
                <c:pt idx="115">
                  <c:v>13100.681423696056</c:v>
                </c:pt>
                <c:pt idx="116">
                  <c:v>13103.097743130638</c:v>
                </c:pt>
                <c:pt idx="117">
                  <c:v>13109.405345366647</c:v>
                </c:pt>
                <c:pt idx="118">
                  <c:v>13107.579047270827</c:v>
                </c:pt>
                <c:pt idx="119">
                  <c:v>13103.546848599917</c:v>
                </c:pt>
                <c:pt idx="120">
                  <c:v>13102.791360744133</c:v>
                </c:pt>
                <c:pt idx="121">
                  <c:v>13099.688837051883</c:v>
                </c:pt>
                <c:pt idx="122">
                  <c:v>13100.034388112545</c:v>
                </c:pt>
                <c:pt idx="123">
                  <c:v>13103.234481883061</c:v>
                </c:pt>
                <c:pt idx="124">
                  <c:v>13109.348159758632</c:v>
                </c:pt>
                <c:pt idx="125">
                  <c:v>13105.02837740038</c:v>
                </c:pt>
                <c:pt idx="126">
                  <c:v>13101.836896531056</c:v>
                </c:pt>
                <c:pt idx="127">
                  <c:v>13107.013222043997</c:v>
                </c:pt>
                <c:pt idx="128">
                  <c:v>13103.174973423726</c:v>
                </c:pt>
                <c:pt idx="129">
                  <c:v>13096.791173901953</c:v>
                </c:pt>
                <c:pt idx="130">
                  <c:v>13091.748588190134</c:v>
                </c:pt>
                <c:pt idx="131">
                  <c:v>13092.516535902651</c:v>
                </c:pt>
                <c:pt idx="132">
                  <c:v>13097.727523155749</c:v>
                </c:pt>
                <c:pt idx="133">
                  <c:v>13092.185995082546</c:v>
                </c:pt>
                <c:pt idx="134">
                  <c:v>13093.325673350926</c:v>
                </c:pt>
                <c:pt idx="135">
                  <c:v>13092.563790721408</c:v>
                </c:pt>
                <c:pt idx="136">
                  <c:v>13096.178352386785</c:v>
                </c:pt>
                <c:pt idx="137">
                  <c:v>13099.113153082415</c:v>
                </c:pt>
                <c:pt idx="138">
                  <c:v>13099.469843990726</c:v>
                </c:pt>
                <c:pt idx="139">
                  <c:v>13095.838529053337</c:v>
                </c:pt>
                <c:pt idx="140">
                  <c:v>13091.923447826399</c:v>
                </c:pt>
                <c:pt idx="141">
                  <c:v>13087.447000230841</c:v>
                </c:pt>
                <c:pt idx="142">
                  <c:v>13092.483839296197</c:v>
                </c:pt>
                <c:pt idx="143">
                  <c:v>13092.313113141567</c:v>
                </c:pt>
                <c:pt idx="144">
                  <c:v>13090.881966992101</c:v>
                </c:pt>
                <c:pt idx="145">
                  <c:v>13089.615757661288</c:v>
                </c:pt>
                <c:pt idx="146">
                  <c:v>13096.212941370577</c:v>
                </c:pt>
                <c:pt idx="147">
                  <c:v>13094.020126836787</c:v>
                </c:pt>
                <c:pt idx="148">
                  <c:v>13092.123365449632</c:v>
                </c:pt>
                <c:pt idx="149">
                  <c:v>13093.447754931358</c:v>
                </c:pt>
                <c:pt idx="150">
                  <c:v>13098.461961884172</c:v>
                </c:pt>
                <c:pt idx="151">
                  <c:v>13100.867695235389</c:v>
                </c:pt>
                <c:pt idx="152">
                  <c:v>13099.328390433106</c:v>
                </c:pt>
                <c:pt idx="153">
                  <c:v>13100.522610585127</c:v>
                </c:pt>
                <c:pt idx="154">
                  <c:v>13105.377324976733</c:v>
                </c:pt>
                <c:pt idx="155">
                  <c:v>13107.831964743853</c:v>
                </c:pt>
                <c:pt idx="156">
                  <c:v>13108.446870970161</c:v>
                </c:pt>
                <c:pt idx="157">
                  <c:v>13106.413909272884</c:v>
                </c:pt>
                <c:pt idx="158">
                  <c:v>13102.878566199746</c:v>
                </c:pt>
                <c:pt idx="159">
                  <c:v>13101.662444597756</c:v>
                </c:pt>
                <c:pt idx="160">
                  <c:v>13105.610641911047</c:v>
                </c:pt>
                <c:pt idx="161">
                  <c:v>13105.343568659557</c:v>
                </c:pt>
                <c:pt idx="162">
                  <c:v>13103.481369654945</c:v>
                </c:pt>
                <c:pt idx="163">
                  <c:v>13105.710363506789</c:v>
                </c:pt>
                <c:pt idx="164">
                  <c:v>13104.753255671221</c:v>
                </c:pt>
                <c:pt idx="165">
                  <c:v>13108.520655352757</c:v>
                </c:pt>
                <c:pt idx="166">
                  <c:v>13115.186299947622</c:v>
                </c:pt>
                <c:pt idx="167">
                  <c:v>13110.018210603748</c:v>
                </c:pt>
                <c:pt idx="168">
                  <c:v>13108.926176747796</c:v>
                </c:pt>
                <c:pt idx="169">
                  <c:v>13107.410713498486</c:v>
                </c:pt>
                <c:pt idx="170">
                  <c:v>13107.02267806815</c:v>
                </c:pt>
                <c:pt idx="171">
                  <c:v>13106.012553995322</c:v>
                </c:pt>
                <c:pt idx="172">
                  <c:v>13106.686093830791</c:v>
                </c:pt>
                <c:pt idx="173">
                  <c:v>13105.30886863896</c:v>
                </c:pt>
                <c:pt idx="174">
                  <c:v>13107.922299414133</c:v>
                </c:pt>
                <c:pt idx="175">
                  <c:v>13106.036160224699</c:v>
                </c:pt>
                <c:pt idx="176">
                  <c:v>13107.843291658104</c:v>
                </c:pt>
                <c:pt idx="177">
                  <c:v>13100.90407625439</c:v>
                </c:pt>
                <c:pt idx="178">
                  <c:v>13102.59473477181</c:v>
                </c:pt>
                <c:pt idx="179">
                  <c:v>13101.093511164883</c:v>
                </c:pt>
                <c:pt idx="180">
                  <c:v>13102.015173926011</c:v>
                </c:pt>
                <c:pt idx="181">
                  <c:v>13100.43342553006</c:v>
                </c:pt>
                <c:pt idx="182">
                  <c:v>13104.142232621432</c:v>
                </c:pt>
                <c:pt idx="183">
                  <c:v>13105.587737844018</c:v>
                </c:pt>
                <c:pt idx="184">
                  <c:v>13101.661409419477</c:v>
                </c:pt>
                <c:pt idx="185">
                  <c:v>13098.242096220169</c:v>
                </c:pt>
                <c:pt idx="186">
                  <c:v>13098.527565446486</c:v>
                </c:pt>
                <c:pt idx="187">
                  <c:v>13098.365123406997</c:v>
                </c:pt>
                <c:pt idx="188">
                  <c:v>13100.670124467062</c:v>
                </c:pt>
                <c:pt idx="189">
                  <c:v>13098.059562903427</c:v>
                </c:pt>
                <c:pt idx="190">
                  <c:v>13102.814578124706</c:v>
                </c:pt>
                <c:pt idx="191">
                  <c:v>13103.629330507008</c:v>
                </c:pt>
                <c:pt idx="192">
                  <c:v>13100.151719530144</c:v>
                </c:pt>
                <c:pt idx="193">
                  <c:v>13098.205003304231</c:v>
                </c:pt>
                <c:pt idx="194">
                  <c:v>13098.711146841475</c:v>
                </c:pt>
                <c:pt idx="195">
                  <c:v>13095.680036984197</c:v>
                </c:pt>
                <c:pt idx="196">
                  <c:v>13094.034546203067</c:v>
                </c:pt>
                <c:pt idx="197">
                  <c:v>13093.045439415315</c:v>
                </c:pt>
                <c:pt idx="198">
                  <c:v>13091.947952904708</c:v>
                </c:pt>
                <c:pt idx="199">
                  <c:v>13092.382060842163</c:v>
                </c:pt>
                <c:pt idx="200">
                  <c:v>13095.728012412335</c:v>
                </c:pt>
                <c:pt idx="201">
                  <c:v>13099.017037887425</c:v>
                </c:pt>
                <c:pt idx="202">
                  <c:v>13098.634095291734</c:v>
                </c:pt>
                <c:pt idx="203">
                  <c:v>13096.627598512234</c:v>
                </c:pt>
                <c:pt idx="204">
                  <c:v>13096.343842507427</c:v>
                </c:pt>
                <c:pt idx="205">
                  <c:v>13095.657990957912</c:v>
                </c:pt>
                <c:pt idx="206">
                  <c:v>13097.603440251187</c:v>
                </c:pt>
                <c:pt idx="207">
                  <c:v>13096.188615471974</c:v>
                </c:pt>
                <c:pt idx="208">
                  <c:v>13093.429104285698</c:v>
                </c:pt>
                <c:pt idx="209">
                  <c:v>13093.768837001335</c:v>
                </c:pt>
                <c:pt idx="210">
                  <c:v>13094.059845939781</c:v>
                </c:pt>
                <c:pt idx="211">
                  <c:v>13096.504050241198</c:v>
                </c:pt>
                <c:pt idx="212">
                  <c:v>13093.907306769406</c:v>
                </c:pt>
                <c:pt idx="213">
                  <c:v>13095.613468796515</c:v>
                </c:pt>
                <c:pt idx="214">
                  <c:v>13097.69148238828</c:v>
                </c:pt>
                <c:pt idx="215">
                  <c:v>13095.154376374212</c:v>
                </c:pt>
                <c:pt idx="216">
                  <c:v>13092.1060908813</c:v>
                </c:pt>
                <c:pt idx="217">
                  <c:v>13089.563407685995</c:v>
                </c:pt>
                <c:pt idx="218">
                  <c:v>13085.371318939422</c:v>
                </c:pt>
                <c:pt idx="219">
                  <c:v>13084.82075916844</c:v>
                </c:pt>
                <c:pt idx="220">
                  <c:v>13083.137808784144</c:v>
                </c:pt>
                <c:pt idx="221">
                  <c:v>13089.339455691601</c:v>
                </c:pt>
                <c:pt idx="222">
                  <c:v>13088.827518213979</c:v>
                </c:pt>
                <c:pt idx="223">
                  <c:v>13090.347640431919</c:v>
                </c:pt>
                <c:pt idx="224">
                  <c:v>13090.64706214422</c:v>
                </c:pt>
                <c:pt idx="225">
                  <c:v>13088.111948950978</c:v>
                </c:pt>
                <c:pt idx="226">
                  <c:v>13091.502632458503</c:v>
                </c:pt>
                <c:pt idx="227">
                  <c:v>13095.452999897132</c:v>
                </c:pt>
                <c:pt idx="228">
                  <c:v>13100.198908089187</c:v>
                </c:pt>
                <c:pt idx="229">
                  <c:v>13100.14221841473</c:v>
                </c:pt>
                <c:pt idx="230">
                  <c:v>13102.420255288871</c:v>
                </c:pt>
                <c:pt idx="231">
                  <c:v>13109.24183676059</c:v>
                </c:pt>
                <c:pt idx="232">
                  <c:v>13105.471039101376</c:v>
                </c:pt>
                <c:pt idx="233">
                  <c:v>13109.796497157338</c:v>
                </c:pt>
                <c:pt idx="234">
                  <c:v>13111.364800584119</c:v>
                </c:pt>
                <c:pt idx="235">
                  <c:v>13106.96394023096</c:v>
                </c:pt>
                <c:pt idx="236">
                  <c:v>13112.06924992852</c:v>
                </c:pt>
                <c:pt idx="237">
                  <c:v>13112.109137524751</c:v>
                </c:pt>
                <c:pt idx="238">
                  <c:v>13115.93123869919</c:v>
                </c:pt>
                <c:pt idx="239">
                  <c:v>13111.637707012067</c:v>
                </c:pt>
                <c:pt idx="240">
                  <c:v>13108.913022131697</c:v>
                </c:pt>
                <c:pt idx="241">
                  <c:v>13106.845221360043</c:v>
                </c:pt>
                <c:pt idx="242">
                  <c:v>13110.882994932676</c:v>
                </c:pt>
                <c:pt idx="243">
                  <c:v>13111.930517545174</c:v>
                </c:pt>
                <c:pt idx="244">
                  <c:v>13111.989162794971</c:v>
                </c:pt>
                <c:pt idx="245">
                  <c:v>13108.379537209457</c:v>
                </c:pt>
                <c:pt idx="246">
                  <c:v>13107.84415518738</c:v>
                </c:pt>
                <c:pt idx="247">
                  <c:v>13100.974047707992</c:v>
                </c:pt>
                <c:pt idx="248">
                  <c:v>13106.630794611354</c:v>
                </c:pt>
                <c:pt idx="249">
                  <c:v>13112.270992032813</c:v>
                </c:pt>
                <c:pt idx="250">
                  <c:v>13114.000939887545</c:v>
                </c:pt>
                <c:pt idx="251">
                  <c:v>13106.440879351256</c:v>
                </c:pt>
                <c:pt idx="252">
                  <c:v>13102.241673148561</c:v>
                </c:pt>
                <c:pt idx="253">
                  <c:v>13101.960901753866</c:v>
                </c:pt>
                <c:pt idx="254">
                  <c:v>13106.278053299773</c:v>
                </c:pt>
                <c:pt idx="255">
                  <c:v>13095.482268942058</c:v>
                </c:pt>
                <c:pt idx="256">
                  <c:v>13093.776915231383</c:v>
                </c:pt>
                <c:pt idx="257">
                  <c:v>13103.460478559358</c:v>
                </c:pt>
                <c:pt idx="258">
                  <c:v>13103.628589797772</c:v>
                </c:pt>
                <c:pt idx="259">
                  <c:v>13105.561311541085</c:v>
                </c:pt>
                <c:pt idx="260">
                  <c:v>13107.983987658343</c:v>
                </c:pt>
                <c:pt idx="261">
                  <c:v>13102.590842074782</c:v>
                </c:pt>
                <c:pt idx="262">
                  <c:v>13104.114798196095</c:v>
                </c:pt>
                <c:pt idx="263">
                  <c:v>13098.586290143947</c:v>
                </c:pt>
                <c:pt idx="264">
                  <c:v>13100.675548819432</c:v>
                </c:pt>
                <c:pt idx="265">
                  <c:v>13103.763472932931</c:v>
                </c:pt>
                <c:pt idx="266">
                  <c:v>13100.061095526731</c:v>
                </c:pt>
                <c:pt idx="267">
                  <c:v>13094.973461475362</c:v>
                </c:pt>
                <c:pt idx="268">
                  <c:v>13090.98393187956</c:v>
                </c:pt>
                <c:pt idx="269">
                  <c:v>13093.83485106628</c:v>
                </c:pt>
                <c:pt idx="270">
                  <c:v>13094.02621690844</c:v>
                </c:pt>
                <c:pt idx="271">
                  <c:v>13093.957741965251</c:v>
                </c:pt>
                <c:pt idx="272">
                  <c:v>13095.828522740338</c:v>
                </c:pt>
                <c:pt idx="273">
                  <c:v>13093.780527815898</c:v>
                </c:pt>
                <c:pt idx="274">
                  <c:v>13097.721779850561</c:v>
                </c:pt>
                <c:pt idx="275">
                  <c:v>13091.98688323546</c:v>
                </c:pt>
                <c:pt idx="276">
                  <c:v>13089.786535975207</c:v>
                </c:pt>
                <c:pt idx="277">
                  <c:v>13094.700153728343</c:v>
                </c:pt>
                <c:pt idx="278">
                  <c:v>13094.757534507018</c:v>
                </c:pt>
                <c:pt idx="279">
                  <c:v>13090.172825338903</c:v>
                </c:pt>
                <c:pt idx="280">
                  <c:v>13095.771978164175</c:v>
                </c:pt>
                <c:pt idx="281">
                  <c:v>13097.886137620582</c:v>
                </c:pt>
                <c:pt idx="282">
                  <c:v>13097.616385942734</c:v>
                </c:pt>
                <c:pt idx="283">
                  <c:v>13097.24217598442</c:v>
                </c:pt>
                <c:pt idx="284">
                  <c:v>13098.677189555201</c:v>
                </c:pt>
                <c:pt idx="285">
                  <c:v>13109.7635192982</c:v>
                </c:pt>
                <c:pt idx="286">
                  <c:v>13098.826747148647</c:v>
                </c:pt>
                <c:pt idx="287">
                  <c:v>13100.782179364996</c:v>
                </c:pt>
                <c:pt idx="288">
                  <c:v>13100.088160966279</c:v>
                </c:pt>
                <c:pt idx="289">
                  <c:v>13096.893425721099</c:v>
                </c:pt>
                <c:pt idx="290">
                  <c:v>13101.709113810331</c:v>
                </c:pt>
                <c:pt idx="291">
                  <c:v>13098.070328953774</c:v>
                </c:pt>
                <c:pt idx="292">
                  <c:v>13098.576783779044</c:v>
                </c:pt>
                <c:pt idx="293">
                  <c:v>13097.556837060651</c:v>
                </c:pt>
                <c:pt idx="294">
                  <c:v>13096.238254111144</c:v>
                </c:pt>
                <c:pt idx="295">
                  <c:v>13095.992418951895</c:v>
                </c:pt>
                <c:pt idx="296">
                  <c:v>13096.467435512568</c:v>
                </c:pt>
                <c:pt idx="297">
                  <c:v>13096.109398231431</c:v>
                </c:pt>
                <c:pt idx="298">
                  <c:v>13094.098054251128</c:v>
                </c:pt>
                <c:pt idx="299">
                  <c:v>13094.729014209935</c:v>
                </c:pt>
                <c:pt idx="300">
                  <c:v>13096.513379509866</c:v>
                </c:pt>
                <c:pt idx="301">
                  <c:v>13097.320144194906</c:v>
                </c:pt>
                <c:pt idx="302">
                  <c:v>13101.686153263439</c:v>
                </c:pt>
                <c:pt idx="303">
                  <c:v>13098.788809100848</c:v>
                </c:pt>
                <c:pt idx="304">
                  <c:v>13090.599949976904</c:v>
                </c:pt>
                <c:pt idx="305">
                  <c:v>13089.951863417831</c:v>
                </c:pt>
                <c:pt idx="306">
                  <c:v>13089.455876250542</c:v>
                </c:pt>
                <c:pt idx="307">
                  <c:v>13087.503511494613</c:v>
                </c:pt>
                <c:pt idx="308">
                  <c:v>13089.640734734823</c:v>
                </c:pt>
                <c:pt idx="309">
                  <c:v>13088.649381972071</c:v>
                </c:pt>
                <c:pt idx="310">
                  <c:v>13091.924418502012</c:v>
                </c:pt>
                <c:pt idx="311">
                  <c:v>13086.863846741688</c:v>
                </c:pt>
                <c:pt idx="312">
                  <c:v>13086.822474735591</c:v>
                </c:pt>
                <c:pt idx="313">
                  <c:v>13086.621002465376</c:v>
                </c:pt>
                <c:pt idx="314">
                  <c:v>13086.019303524516</c:v>
                </c:pt>
                <c:pt idx="315">
                  <c:v>13082.30495965416</c:v>
                </c:pt>
                <c:pt idx="316">
                  <c:v>13084.348164369772</c:v>
                </c:pt>
                <c:pt idx="317">
                  <c:v>13080.012576640353</c:v>
                </c:pt>
                <c:pt idx="318">
                  <c:v>13086.151305380894</c:v>
                </c:pt>
                <c:pt idx="319">
                  <c:v>13090.642323251821</c:v>
                </c:pt>
                <c:pt idx="320">
                  <c:v>13090.255082756183</c:v>
                </c:pt>
                <c:pt idx="321">
                  <c:v>13092.585900016727</c:v>
                </c:pt>
                <c:pt idx="322">
                  <c:v>13096.279291895653</c:v>
                </c:pt>
                <c:pt idx="323">
                  <c:v>13091.442340461626</c:v>
                </c:pt>
                <c:pt idx="324">
                  <c:v>13092.124227811462</c:v>
                </c:pt>
                <c:pt idx="325">
                  <c:v>13087.223896720981</c:v>
                </c:pt>
                <c:pt idx="326">
                  <c:v>13093.761787042828</c:v>
                </c:pt>
                <c:pt idx="327">
                  <c:v>13090.83459625069</c:v>
                </c:pt>
                <c:pt idx="328">
                  <c:v>13089.98408309423</c:v>
                </c:pt>
                <c:pt idx="329">
                  <c:v>13091.023029208887</c:v>
                </c:pt>
                <c:pt idx="330">
                  <c:v>13095.489625640492</c:v>
                </c:pt>
                <c:pt idx="331">
                  <c:v>13092.227360646215</c:v>
                </c:pt>
                <c:pt idx="332">
                  <c:v>13092.574815518328</c:v>
                </c:pt>
                <c:pt idx="333">
                  <c:v>13089.649796360618</c:v>
                </c:pt>
                <c:pt idx="334">
                  <c:v>13087.58198380975</c:v>
                </c:pt>
                <c:pt idx="335">
                  <c:v>13086.83896970951</c:v>
                </c:pt>
                <c:pt idx="336">
                  <c:v>13088.009036754496</c:v>
                </c:pt>
                <c:pt idx="337">
                  <c:v>13087.646511668541</c:v>
                </c:pt>
                <c:pt idx="338">
                  <c:v>13087.605568406521</c:v>
                </c:pt>
                <c:pt idx="339">
                  <c:v>13091.237169415113</c:v>
                </c:pt>
                <c:pt idx="340">
                  <c:v>13088.862891699609</c:v>
                </c:pt>
                <c:pt idx="341">
                  <c:v>13087.439931991537</c:v>
                </c:pt>
                <c:pt idx="342">
                  <c:v>13086.577425738114</c:v>
                </c:pt>
                <c:pt idx="343">
                  <c:v>13081.095309528589</c:v>
                </c:pt>
                <c:pt idx="344">
                  <c:v>13080.789559523646</c:v>
                </c:pt>
                <c:pt idx="345">
                  <c:v>13086.23991501305</c:v>
                </c:pt>
                <c:pt idx="346">
                  <c:v>13087.35354345503</c:v>
                </c:pt>
                <c:pt idx="347">
                  <c:v>13083.928971583147</c:v>
                </c:pt>
                <c:pt idx="348">
                  <c:v>13085.901056918856</c:v>
                </c:pt>
                <c:pt idx="349">
                  <c:v>13082.934446789322</c:v>
                </c:pt>
                <c:pt idx="350">
                  <c:v>13085.070756293182</c:v>
                </c:pt>
                <c:pt idx="351">
                  <c:v>13084.014304963543</c:v>
                </c:pt>
                <c:pt idx="352">
                  <c:v>13080.38927672813</c:v>
                </c:pt>
                <c:pt idx="353">
                  <c:v>13082.897774640312</c:v>
                </c:pt>
                <c:pt idx="354">
                  <c:v>13082.505954352364</c:v>
                </c:pt>
                <c:pt idx="355">
                  <c:v>13085.062103496854</c:v>
                </c:pt>
                <c:pt idx="356">
                  <c:v>13085.917121622708</c:v>
                </c:pt>
                <c:pt idx="357">
                  <c:v>13085.504112357259</c:v>
                </c:pt>
                <c:pt idx="358">
                  <c:v>13082.060278793186</c:v>
                </c:pt>
                <c:pt idx="359">
                  <c:v>13085.000646946355</c:v>
                </c:pt>
                <c:pt idx="360">
                  <c:v>13090.743873349089</c:v>
                </c:pt>
                <c:pt idx="361">
                  <c:v>13095.707478684812</c:v>
                </c:pt>
                <c:pt idx="362">
                  <c:v>13093.896559217847</c:v>
                </c:pt>
                <c:pt idx="363">
                  <c:v>13096.568511553594</c:v>
                </c:pt>
                <c:pt idx="364">
                  <c:v>13094.767022491262</c:v>
                </c:pt>
                <c:pt idx="365">
                  <c:v>13095.490737491322</c:v>
                </c:pt>
                <c:pt idx="366">
                  <c:v>13094.838374081271</c:v>
                </c:pt>
                <c:pt idx="367">
                  <c:v>13094.943262052237</c:v>
                </c:pt>
                <c:pt idx="368">
                  <c:v>13093.124726391599</c:v>
                </c:pt>
                <c:pt idx="369">
                  <c:v>13091.476732424579</c:v>
                </c:pt>
                <c:pt idx="370">
                  <c:v>13094.364821658937</c:v>
                </c:pt>
                <c:pt idx="371">
                  <c:v>13095.029589057365</c:v>
                </c:pt>
                <c:pt idx="372">
                  <c:v>13090.352060340483</c:v>
                </c:pt>
                <c:pt idx="373">
                  <c:v>13089.798559290226</c:v>
                </c:pt>
                <c:pt idx="374">
                  <c:v>13088.998118204596</c:v>
                </c:pt>
                <c:pt idx="375">
                  <c:v>13089.531413433097</c:v>
                </c:pt>
                <c:pt idx="376">
                  <c:v>13092.402318058255</c:v>
                </c:pt>
                <c:pt idx="377">
                  <c:v>13094.677255320221</c:v>
                </c:pt>
                <c:pt idx="378">
                  <c:v>13093.672847423715</c:v>
                </c:pt>
                <c:pt idx="379">
                  <c:v>13094.78664621666</c:v>
                </c:pt>
                <c:pt idx="380">
                  <c:v>13092.884909482429</c:v>
                </c:pt>
              </c:numCache>
            </c:numRef>
          </c:val>
          <c:smooth val="0"/>
        </c:ser>
        <c:ser>
          <c:idx val="2"/>
          <c:order val="2"/>
          <c:tx>
            <c:v>Close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dPt>
            <c:idx val="50"/>
            <c:marker>
              <c:symbol val="triangle"/>
              <c:size val="10"/>
              <c:spPr>
                <a:solidFill>
                  <a:srgbClr val="00B050"/>
                </a:solidFill>
                <a:ln w="9525">
                  <a:solidFill>
                    <a:srgbClr val="00B050"/>
                  </a:solidFill>
                </a:ln>
                <a:effectLst/>
              </c:spPr>
            </c:marker>
            <c:bubble3D val="0"/>
          </c:dPt>
          <c:dPt>
            <c:idx val="63"/>
            <c:marker>
              <c:symbol val="square"/>
              <c:size val="10"/>
              <c:spPr>
                <a:noFill/>
                <a:ln w="9525">
                  <a:solidFill>
                    <a:srgbClr val="C00000"/>
                  </a:solidFill>
                </a:ln>
                <a:effectLst/>
              </c:spPr>
            </c:marker>
            <c:bubble3D val="0"/>
          </c:dPt>
          <c:dPt>
            <c:idx val="96"/>
            <c:marker>
              <c:symbol val="circle"/>
              <c:size val="10"/>
              <c:spPr>
                <a:solidFill>
                  <a:schemeClr val="tx2"/>
                </a:solidFill>
                <a:ln w="9525">
                  <a:solidFill>
                    <a:schemeClr val="tx2"/>
                  </a:solidFill>
                </a:ln>
                <a:effectLst/>
              </c:spPr>
            </c:marker>
            <c:bubble3D val="0"/>
          </c:dPt>
          <c:dPt>
            <c:idx val="380"/>
            <c:marker>
              <c:symbol val="circle"/>
              <c:size val="10"/>
              <c:spPr>
                <a:solidFill>
                  <a:schemeClr val="tx2"/>
                </a:solidFill>
                <a:ln w="9525">
                  <a:solidFill>
                    <a:schemeClr val="tx2"/>
                  </a:solidFill>
                </a:ln>
                <a:effectLst/>
              </c:spPr>
            </c:marker>
            <c:bubble3D val="0"/>
          </c:dPt>
          <c:val>
            <c:numRef>
              <c:f>'20240401_example'!$BS$3:$BS$383</c:f>
              <c:numCache>
                <c:formatCode>_-* #,##0.00_-;\-* #,##0.00_-;_-* "-"_-;_-@_-</c:formatCode>
                <c:ptCount val="381"/>
                <c:pt idx="0">
                  <c:v>13470</c:v>
                </c:pt>
                <c:pt idx="1">
                  <c:v>13510</c:v>
                </c:pt>
                <c:pt idx="2">
                  <c:v>13445</c:v>
                </c:pt>
                <c:pt idx="3">
                  <c:v>13390</c:v>
                </c:pt>
                <c:pt idx="4">
                  <c:v>13395</c:v>
                </c:pt>
                <c:pt idx="5">
                  <c:v>13430</c:v>
                </c:pt>
                <c:pt idx="6">
                  <c:v>13445</c:v>
                </c:pt>
                <c:pt idx="7">
                  <c:v>13420</c:v>
                </c:pt>
                <c:pt idx="8">
                  <c:v>13450</c:v>
                </c:pt>
                <c:pt idx="9">
                  <c:v>13420</c:v>
                </c:pt>
                <c:pt idx="10">
                  <c:v>13405</c:v>
                </c:pt>
                <c:pt idx="11">
                  <c:v>13420</c:v>
                </c:pt>
                <c:pt idx="12">
                  <c:v>13385</c:v>
                </c:pt>
                <c:pt idx="13">
                  <c:v>13390</c:v>
                </c:pt>
                <c:pt idx="14">
                  <c:v>13355</c:v>
                </c:pt>
                <c:pt idx="15">
                  <c:v>13410</c:v>
                </c:pt>
                <c:pt idx="16">
                  <c:v>13415</c:v>
                </c:pt>
                <c:pt idx="17">
                  <c:v>13445</c:v>
                </c:pt>
                <c:pt idx="18">
                  <c:v>13445</c:v>
                </c:pt>
                <c:pt idx="19">
                  <c:v>13445</c:v>
                </c:pt>
                <c:pt idx="20">
                  <c:v>13425</c:v>
                </c:pt>
                <c:pt idx="21">
                  <c:v>13470</c:v>
                </c:pt>
                <c:pt idx="22">
                  <c:v>13445</c:v>
                </c:pt>
                <c:pt idx="23">
                  <c:v>13480</c:v>
                </c:pt>
                <c:pt idx="24">
                  <c:v>13445</c:v>
                </c:pt>
                <c:pt idx="25">
                  <c:v>13465</c:v>
                </c:pt>
                <c:pt idx="26">
                  <c:v>13430</c:v>
                </c:pt>
                <c:pt idx="27">
                  <c:v>13435</c:v>
                </c:pt>
                <c:pt idx="28">
                  <c:v>13420</c:v>
                </c:pt>
                <c:pt idx="29">
                  <c:v>13415</c:v>
                </c:pt>
                <c:pt idx="30">
                  <c:v>13415</c:v>
                </c:pt>
                <c:pt idx="31">
                  <c:v>13400</c:v>
                </c:pt>
                <c:pt idx="32">
                  <c:v>13410</c:v>
                </c:pt>
                <c:pt idx="33">
                  <c:v>13410</c:v>
                </c:pt>
                <c:pt idx="34">
                  <c:v>13410</c:v>
                </c:pt>
                <c:pt idx="35">
                  <c:v>13420</c:v>
                </c:pt>
                <c:pt idx="36">
                  <c:v>13435</c:v>
                </c:pt>
                <c:pt idx="37">
                  <c:v>13440</c:v>
                </c:pt>
                <c:pt idx="38">
                  <c:v>13455</c:v>
                </c:pt>
                <c:pt idx="39">
                  <c:v>13475</c:v>
                </c:pt>
                <c:pt idx="40">
                  <c:v>13475</c:v>
                </c:pt>
                <c:pt idx="41">
                  <c:v>13495</c:v>
                </c:pt>
                <c:pt idx="42">
                  <c:v>13500</c:v>
                </c:pt>
                <c:pt idx="43">
                  <c:v>13495</c:v>
                </c:pt>
                <c:pt idx="44">
                  <c:v>13500</c:v>
                </c:pt>
                <c:pt idx="45">
                  <c:v>13530</c:v>
                </c:pt>
                <c:pt idx="46">
                  <c:v>13625</c:v>
                </c:pt>
                <c:pt idx="47">
                  <c:v>13650</c:v>
                </c:pt>
                <c:pt idx="48">
                  <c:v>13675</c:v>
                </c:pt>
                <c:pt idx="49">
                  <c:v>13645</c:v>
                </c:pt>
                <c:pt idx="50">
                  <c:v>13650</c:v>
                </c:pt>
                <c:pt idx="51">
                  <c:v>13665</c:v>
                </c:pt>
                <c:pt idx="52">
                  <c:v>13680</c:v>
                </c:pt>
                <c:pt idx="53">
                  <c:v>13685</c:v>
                </c:pt>
                <c:pt idx="54">
                  <c:v>13710</c:v>
                </c:pt>
                <c:pt idx="55">
                  <c:v>13705</c:v>
                </c:pt>
                <c:pt idx="56">
                  <c:v>13695</c:v>
                </c:pt>
                <c:pt idx="57">
                  <c:v>13710</c:v>
                </c:pt>
                <c:pt idx="58">
                  <c:v>13670</c:v>
                </c:pt>
                <c:pt idx="59">
                  <c:v>13680</c:v>
                </c:pt>
                <c:pt idx="60">
                  <c:v>13675</c:v>
                </c:pt>
                <c:pt idx="61">
                  <c:v>13685</c:v>
                </c:pt>
                <c:pt idx="62">
                  <c:v>13685</c:v>
                </c:pt>
                <c:pt idx="63">
                  <c:v>13665</c:v>
                </c:pt>
                <c:pt idx="64">
                  <c:v>13660</c:v>
                </c:pt>
                <c:pt idx="65">
                  <c:v>13670</c:v>
                </c:pt>
                <c:pt idx="66">
                  <c:v>13675</c:v>
                </c:pt>
                <c:pt idx="67">
                  <c:v>13680</c:v>
                </c:pt>
                <c:pt idx="68">
                  <c:v>13675</c:v>
                </c:pt>
                <c:pt idx="69">
                  <c:v>13665</c:v>
                </c:pt>
                <c:pt idx="70">
                  <c:v>13665</c:v>
                </c:pt>
                <c:pt idx="71">
                  <c:v>13685</c:v>
                </c:pt>
                <c:pt idx="72">
                  <c:v>13675</c:v>
                </c:pt>
                <c:pt idx="73">
                  <c:v>13680</c:v>
                </c:pt>
                <c:pt idx="74">
                  <c:v>13690</c:v>
                </c:pt>
                <c:pt idx="75">
                  <c:v>13700</c:v>
                </c:pt>
                <c:pt idx="76">
                  <c:v>13690</c:v>
                </c:pt>
                <c:pt idx="77">
                  <c:v>13695</c:v>
                </c:pt>
                <c:pt idx="78">
                  <c:v>13700</c:v>
                </c:pt>
                <c:pt idx="79">
                  <c:v>13695</c:v>
                </c:pt>
                <c:pt idx="80">
                  <c:v>13710</c:v>
                </c:pt>
                <c:pt idx="81">
                  <c:v>13700</c:v>
                </c:pt>
                <c:pt idx="82">
                  <c:v>13720</c:v>
                </c:pt>
                <c:pt idx="83">
                  <c:v>13745</c:v>
                </c:pt>
                <c:pt idx="84">
                  <c:v>13750</c:v>
                </c:pt>
                <c:pt idx="85">
                  <c:v>13770</c:v>
                </c:pt>
                <c:pt idx="86">
                  <c:v>13800</c:v>
                </c:pt>
                <c:pt idx="87">
                  <c:v>13805</c:v>
                </c:pt>
                <c:pt idx="88">
                  <c:v>13795</c:v>
                </c:pt>
                <c:pt idx="89">
                  <c:v>13785</c:v>
                </c:pt>
                <c:pt idx="90">
                  <c:v>13780</c:v>
                </c:pt>
                <c:pt idx="91">
                  <c:v>13765</c:v>
                </c:pt>
                <c:pt idx="92">
                  <c:v>13745</c:v>
                </c:pt>
                <c:pt idx="93">
                  <c:v>13760</c:v>
                </c:pt>
                <c:pt idx="94">
                  <c:v>13675</c:v>
                </c:pt>
                <c:pt idx="95">
                  <c:v>13670</c:v>
                </c:pt>
                <c:pt idx="96">
                  <c:v>13645</c:v>
                </c:pt>
                <c:pt idx="97">
                  <c:v>13670</c:v>
                </c:pt>
                <c:pt idx="98">
                  <c:v>13675</c:v>
                </c:pt>
                <c:pt idx="99">
                  <c:v>13680</c:v>
                </c:pt>
                <c:pt idx="100">
                  <c:v>13670</c:v>
                </c:pt>
                <c:pt idx="101">
                  <c:v>13680</c:v>
                </c:pt>
                <c:pt idx="102">
                  <c:v>13670</c:v>
                </c:pt>
                <c:pt idx="103">
                  <c:v>13650</c:v>
                </c:pt>
                <c:pt idx="104">
                  <c:v>13630</c:v>
                </c:pt>
                <c:pt idx="105">
                  <c:v>13630</c:v>
                </c:pt>
                <c:pt idx="106">
                  <c:v>13620</c:v>
                </c:pt>
                <c:pt idx="107">
                  <c:v>13640</c:v>
                </c:pt>
                <c:pt idx="108">
                  <c:v>13655</c:v>
                </c:pt>
                <c:pt idx="109">
                  <c:v>13645</c:v>
                </c:pt>
                <c:pt idx="110">
                  <c:v>13625</c:v>
                </c:pt>
                <c:pt idx="111">
                  <c:v>13620</c:v>
                </c:pt>
                <c:pt idx="112">
                  <c:v>13620</c:v>
                </c:pt>
                <c:pt idx="113">
                  <c:v>13615</c:v>
                </c:pt>
                <c:pt idx="114">
                  <c:v>13615</c:v>
                </c:pt>
                <c:pt idx="115">
                  <c:v>13600</c:v>
                </c:pt>
                <c:pt idx="116">
                  <c:v>13605</c:v>
                </c:pt>
                <c:pt idx="117">
                  <c:v>13580</c:v>
                </c:pt>
                <c:pt idx="118">
                  <c:v>13585</c:v>
                </c:pt>
                <c:pt idx="119">
                  <c:v>13570</c:v>
                </c:pt>
                <c:pt idx="120">
                  <c:v>13485</c:v>
                </c:pt>
                <c:pt idx="121">
                  <c:v>13490</c:v>
                </c:pt>
                <c:pt idx="122">
                  <c:v>13470</c:v>
                </c:pt>
                <c:pt idx="123">
                  <c:v>13490</c:v>
                </c:pt>
                <c:pt idx="124">
                  <c:v>13490</c:v>
                </c:pt>
                <c:pt idx="125">
                  <c:v>13505</c:v>
                </c:pt>
                <c:pt idx="126">
                  <c:v>13500</c:v>
                </c:pt>
                <c:pt idx="127">
                  <c:v>13505</c:v>
                </c:pt>
                <c:pt idx="128">
                  <c:v>13505</c:v>
                </c:pt>
                <c:pt idx="129">
                  <c:v>13495</c:v>
                </c:pt>
                <c:pt idx="130">
                  <c:v>13480</c:v>
                </c:pt>
                <c:pt idx="131">
                  <c:v>13475</c:v>
                </c:pt>
                <c:pt idx="132">
                  <c:v>13485</c:v>
                </c:pt>
                <c:pt idx="133">
                  <c:v>13485</c:v>
                </c:pt>
                <c:pt idx="134">
                  <c:v>13485</c:v>
                </c:pt>
                <c:pt idx="135">
                  <c:v>13475</c:v>
                </c:pt>
                <c:pt idx="136">
                  <c:v>13475</c:v>
                </c:pt>
                <c:pt idx="137">
                  <c:v>13485</c:v>
                </c:pt>
                <c:pt idx="138">
                  <c:v>13510</c:v>
                </c:pt>
                <c:pt idx="139">
                  <c:v>13525</c:v>
                </c:pt>
                <c:pt idx="140">
                  <c:v>13520</c:v>
                </c:pt>
                <c:pt idx="141">
                  <c:v>13530</c:v>
                </c:pt>
                <c:pt idx="142">
                  <c:v>13525</c:v>
                </c:pt>
                <c:pt idx="143">
                  <c:v>13525</c:v>
                </c:pt>
                <c:pt idx="144">
                  <c:v>13510</c:v>
                </c:pt>
                <c:pt idx="145">
                  <c:v>13520</c:v>
                </c:pt>
                <c:pt idx="146">
                  <c:v>13525</c:v>
                </c:pt>
                <c:pt idx="147">
                  <c:v>13530</c:v>
                </c:pt>
                <c:pt idx="148">
                  <c:v>13525</c:v>
                </c:pt>
                <c:pt idx="149">
                  <c:v>13530</c:v>
                </c:pt>
                <c:pt idx="150">
                  <c:v>13530</c:v>
                </c:pt>
                <c:pt idx="151">
                  <c:v>13530</c:v>
                </c:pt>
                <c:pt idx="152">
                  <c:v>13530</c:v>
                </c:pt>
                <c:pt idx="153">
                  <c:v>13525</c:v>
                </c:pt>
                <c:pt idx="154">
                  <c:v>13525</c:v>
                </c:pt>
                <c:pt idx="155">
                  <c:v>13525</c:v>
                </c:pt>
                <c:pt idx="156">
                  <c:v>13520</c:v>
                </c:pt>
                <c:pt idx="157">
                  <c:v>13515</c:v>
                </c:pt>
                <c:pt idx="158">
                  <c:v>13530</c:v>
                </c:pt>
                <c:pt idx="159">
                  <c:v>13525</c:v>
                </c:pt>
                <c:pt idx="160">
                  <c:v>13530</c:v>
                </c:pt>
                <c:pt idx="161">
                  <c:v>13515</c:v>
                </c:pt>
                <c:pt idx="162">
                  <c:v>13510</c:v>
                </c:pt>
                <c:pt idx="163">
                  <c:v>13510</c:v>
                </c:pt>
                <c:pt idx="164">
                  <c:v>13510</c:v>
                </c:pt>
                <c:pt idx="165">
                  <c:v>13495</c:v>
                </c:pt>
                <c:pt idx="166">
                  <c:v>13480</c:v>
                </c:pt>
                <c:pt idx="167">
                  <c:v>13475</c:v>
                </c:pt>
                <c:pt idx="168">
                  <c:v>13480</c:v>
                </c:pt>
                <c:pt idx="169">
                  <c:v>13495</c:v>
                </c:pt>
                <c:pt idx="170">
                  <c:v>13505</c:v>
                </c:pt>
                <c:pt idx="171">
                  <c:v>13495</c:v>
                </c:pt>
                <c:pt idx="172">
                  <c:v>13475</c:v>
                </c:pt>
                <c:pt idx="173">
                  <c:v>13475</c:v>
                </c:pt>
                <c:pt idx="174">
                  <c:v>13470</c:v>
                </c:pt>
                <c:pt idx="175">
                  <c:v>13475</c:v>
                </c:pt>
                <c:pt idx="176">
                  <c:v>13490</c:v>
                </c:pt>
                <c:pt idx="177">
                  <c:v>13490</c:v>
                </c:pt>
                <c:pt idx="178">
                  <c:v>13505</c:v>
                </c:pt>
                <c:pt idx="179">
                  <c:v>13510</c:v>
                </c:pt>
                <c:pt idx="180">
                  <c:v>13505</c:v>
                </c:pt>
                <c:pt idx="181">
                  <c:v>13480</c:v>
                </c:pt>
                <c:pt idx="182">
                  <c:v>13470</c:v>
                </c:pt>
                <c:pt idx="183">
                  <c:v>13470</c:v>
                </c:pt>
                <c:pt idx="184">
                  <c:v>13475</c:v>
                </c:pt>
                <c:pt idx="185">
                  <c:v>13485</c:v>
                </c:pt>
                <c:pt idx="186">
                  <c:v>13480</c:v>
                </c:pt>
                <c:pt idx="187">
                  <c:v>13470</c:v>
                </c:pt>
                <c:pt idx="188">
                  <c:v>13465</c:v>
                </c:pt>
                <c:pt idx="189">
                  <c:v>13475</c:v>
                </c:pt>
                <c:pt idx="190">
                  <c:v>13480</c:v>
                </c:pt>
                <c:pt idx="191">
                  <c:v>13470</c:v>
                </c:pt>
                <c:pt idx="192">
                  <c:v>13480</c:v>
                </c:pt>
                <c:pt idx="193">
                  <c:v>13475</c:v>
                </c:pt>
                <c:pt idx="194">
                  <c:v>13475</c:v>
                </c:pt>
                <c:pt idx="195">
                  <c:v>13465</c:v>
                </c:pt>
                <c:pt idx="196">
                  <c:v>13485</c:v>
                </c:pt>
                <c:pt idx="197">
                  <c:v>13490</c:v>
                </c:pt>
                <c:pt idx="198">
                  <c:v>13505</c:v>
                </c:pt>
                <c:pt idx="199">
                  <c:v>13500</c:v>
                </c:pt>
                <c:pt idx="200">
                  <c:v>13505</c:v>
                </c:pt>
                <c:pt idx="201">
                  <c:v>13495</c:v>
                </c:pt>
                <c:pt idx="202">
                  <c:v>13490</c:v>
                </c:pt>
                <c:pt idx="203">
                  <c:v>13495</c:v>
                </c:pt>
                <c:pt idx="204">
                  <c:v>13490</c:v>
                </c:pt>
                <c:pt idx="205">
                  <c:v>13490</c:v>
                </c:pt>
                <c:pt idx="206">
                  <c:v>13475</c:v>
                </c:pt>
                <c:pt idx="207">
                  <c:v>13475</c:v>
                </c:pt>
                <c:pt idx="208">
                  <c:v>13485</c:v>
                </c:pt>
                <c:pt idx="209">
                  <c:v>13485</c:v>
                </c:pt>
                <c:pt idx="210">
                  <c:v>13475</c:v>
                </c:pt>
                <c:pt idx="211">
                  <c:v>13480</c:v>
                </c:pt>
                <c:pt idx="212">
                  <c:v>13485</c:v>
                </c:pt>
                <c:pt idx="213">
                  <c:v>13500</c:v>
                </c:pt>
                <c:pt idx="214">
                  <c:v>13505</c:v>
                </c:pt>
                <c:pt idx="215">
                  <c:v>13495</c:v>
                </c:pt>
                <c:pt idx="216">
                  <c:v>13500</c:v>
                </c:pt>
                <c:pt idx="217">
                  <c:v>13495</c:v>
                </c:pt>
                <c:pt idx="218">
                  <c:v>13495</c:v>
                </c:pt>
                <c:pt idx="219">
                  <c:v>13485</c:v>
                </c:pt>
                <c:pt idx="220">
                  <c:v>13490</c:v>
                </c:pt>
                <c:pt idx="221">
                  <c:v>13505</c:v>
                </c:pt>
                <c:pt idx="222">
                  <c:v>13505</c:v>
                </c:pt>
                <c:pt idx="223">
                  <c:v>13505</c:v>
                </c:pt>
                <c:pt idx="224">
                  <c:v>13510</c:v>
                </c:pt>
                <c:pt idx="225">
                  <c:v>13505</c:v>
                </c:pt>
                <c:pt idx="226">
                  <c:v>13495</c:v>
                </c:pt>
                <c:pt idx="227">
                  <c:v>13505</c:v>
                </c:pt>
                <c:pt idx="228">
                  <c:v>13500</c:v>
                </c:pt>
                <c:pt idx="229">
                  <c:v>13505</c:v>
                </c:pt>
                <c:pt idx="230">
                  <c:v>13505</c:v>
                </c:pt>
                <c:pt idx="231">
                  <c:v>13495</c:v>
                </c:pt>
                <c:pt idx="232">
                  <c:v>13500</c:v>
                </c:pt>
                <c:pt idx="233">
                  <c:v>13485</c:v>
                </c:pt>
                <c:pt idx="234">
                  <c:v>13480</c:v>
                </c:pt>
                <c:pt idx="235">
                  <c:v>13485</c:v>
                </c:pt>
                <c:pt idx="236">
                  <c:v>13475</c:v>
                </c:pt>
                <c:pt idx="237">
                  <c:v>13475</c:v>
                </c:pt>
                <c:pt idx="238">
                  <c:v>13485</c:v>
                </c:pt>
                <c:pt idx="239">
                  <c:v>13475</c:v>
                </c:pt>
                <c:pt idx="240">
                  <c:v>13490</c:v>
                </c:pt>
                <c:pt idx="241">
                  <c:v>13500</c:v>
                </c:pt>
                <c:pt idx="242">
                  <c:v>13500</c:v>
                </c:pt>
                <c:pt idx="243">
                  <c:v>13495</c:v>
                </c:pt>
                <c:pt idx="244">
                  <c:v>13490</c:v>
                </c:pt>
                <c:pt idx="245">
                  <c:v>13490</c:v>
                </c:pt>
                <c:pt idx="246">
                  <c:v>13480</c:v>
                </c:pt>
                <c:pt idx="247">
                  <c:v>13480</c:v>
                </c:pt>
                <c:pt idx="248">
                  <c:v>13470</c:v>
                </c:pt>
                <c:pt idx="249">
                  <c:v>13470</c:v>
                </c:pt>
                <c:pt idx="250">
                  <c:v>13460</c:v>
                </c:pt>
                <c:pt idx="251">
                  <c:v>13460</c:v>
                </c:pt>
                <c:pt idx="252">
                  <c:v>13410</c:v>
                </c:pt>
                <c:pt idx="253">
                  <c:v>13420</c:v>
                </c:pt>
                <c:pt idx="254">
                  <c:v>13440</c:v>
                </c:pt>
                <c:pt idx="255">
                  <c:v>13430</c:v>
                </c:pt>
                <c:pt idx="256">
                  <c:v>13450</c:v>
                </c:pt>
                <c:pt idx="257">
                  <c:v>13455</c:v>
                </c:pt>
                <c:pt idx="258">
                  <c:v>13445</c:v>
                </c:pt>
                <c:pt idx="259">
                  <c:v>13425</c:v>
                </c:pt>
                <c:pt idx="260">
                  <c:v>13415</c:v>
                </c:pt>
                <c:pt idx="261">
                  <c:v>13420</c:v>
                </c:pt>
                <c:pt idx="262">
                  <c:v>13400</c:v>
                </c:pt>
                <c:pt idx="263">
                  <c:v>13420</c:v>
                </c:pt>
                <c:pt idx="264">
                  <c:v>13415</c:v>
                </c:pt>
                <c:pt idx="265">
                  <c:v>13405</c:v>
                </c:pt>
                <c:pt idx="266">
                  <c:v>13405</c:v>
                </c:pt>
                <c:pt idx="267">
                  <c:v>13395</c:v>
                </c:pt>
                <c:pt idx="268">
                  <c:v>13400</c:v>
                </c:pt>
                <c:pt idx="269">
                  <c:v>13400</c:v>
                </c:pt>
                <c:pt idx="270">
                  <c:v>13370</c:v>
                </c:pt>
                <c:pt idx="271">
                  <c:v>13365</c:v>
                </c:pt>
                <c:pt idx="272">
                  <c:v>13370</c:v>
                </c:pt>
                <c:pt idx="273">
                  <c:v>13375</c:v>
                </c:pt>
                <c:pt idx="274">
                  <c:v>13385</c:v>
                </c:pt>
                <c:pt idx="275">
                  <c:v>13385</c:v>
                </c:pt>
                <c:pt idx="276">
                  <c:v>13380</c:v>
                </c:pt>
                <c:pt idx="277">
                  <c:v>13380</c:v>
                </c:pt>
                <c:pt idx="278">
                  <c:v>13385</c:v>
                </c:pt>
                <c:pt idx="279">
                  <c:v>13385</c:v>
                </c:pt>
                <c:pt idx="280">
                  <c:v>13395</c:v>
                </c:pt>
                <c:pt idx="281">
                  <c:v>13410</c:v>
                </c:pt>
                <c:pt idx="282">
                  <c:v>13410</c:v>
                </c:pt>
                <c:pt idx="283">
                  <c:v>13400</c:v>
                </c:pt>
                <c:pt idx="284">
                  <c:v>13405</c:v>
                </c:pt>
                <c:pt idx="285">
                  <c:v>13420</c:v>
                </c:pt>
                <c:pt idx="286">
                  <c:v>13420</c:v>
                </c:pt>
                <c:pt idx="287">
                  <c:v>13425</c:v>
                </c:pt>
                <c:pt idx="288">
                  <c:v>13440</c:v>
                </c:pt>
                <c:pt idx="289">
                  <c:v>13435</c:v>
                </c:pt>
                <c:pt idx="290">
                  <c:v>13435</c:v>
                </c:pt>
                <c:pt idx="291">
                  <c:v>13460</c:v>
                </c:pt>
                <c:pt idx="292">
                  <c:v>13465</c:v>
                </c:pt>
                <c:pt idx="293">
                  <c:v>13445</c:v>
                </c:pt>
                <c:pt idx="294">
                  <c:v>13455</c:v>
                </c:pt>
                <c:pt idx="295">
                  <c:v>13450</c:v>
                </c:pt>
                <c:pt idx="296">
                  <c:v>13460</c:v>
                </c:pt>
                <c:pt idx="297">
                  <c:v>13450</c:v>
                </c:pt>
                <c:pt idx="298">
                  <c:v>13460</c:v>
                </c:pt>
                <c:pt idx="299">
                  <c:v>13455</c:v>
                </c:pt>
                <c:pt idx="300">
                  <c:v>13440</c:v>
                </c:pt>
                <c:pt idx="301">
                  <c:v>13450</c:v>
                </c:pt>
                <c:pt idx="302">
                  <c:v>13460</c:v>
                </c:pt>
                <c:pt idx="303">
                  <c:v>13450</c:v>
                </c:pt>
                <c:pt idx="304">
                  <c:v>13445</c:v>
                </c:pt>
                <c:pt idx="305">
                  <c:v>13450</c:v>
                </c:pt>
                <c:pt idx="306">
                  <c:v>13445</c:v>
                </c:pt>
                <c:pt idx="307">
                  <c:v>13450</c:v>
                </c:pt>
                <c:pt idx="308">
                  <c:v>13455</c:v>
                </c:pt>
                <c:pt idx="309">
                  <c:v>13460</c:v>
                </c:pt>
                <c:pt idx="310">
                  <c:v>13475</c:v>
                </c:pt>
                <c:pt idx="311">
                  <c:v>13470</c:v>
                </c:pt>
                <c:pt idx="312">
                  <c:v>13485</c:v>
                </c:pt>
                <c:pt idx="313">
                  <c:v>13470</c:v>
                </c:pt>
                <c:pt idx="314">
                  <c:v>13470</c:v>
                </c:pt>
                <c:pt idx="315">
                  <c:v>13480</c:v>
                </c:pt>
                <c:pt idx="316">
                  <c:v>13465</c:v>
                </c:pt>
                <c:pt idx="317">
                  <c:v>13455</c:v>
                </c:pt>
                <c:pt idx="318">
                  <c:v>13470</c:v>
                </c:pt>
                <c:pt idx="319">
                  <c:v>13465</c:v>
                </c:pt>
                <c:pt idx="320">
                  <c:v>13460</c:v>
                </c:pt>
                <c:pt idx="321">
                  <c:v>13460</c:v>
                </c:pt>
                <c:pt idx="322">
                  <c:v>13460</c:v>
                </c:pt>
                <c:pt idx="323">
                  <c:v>13480</c:v>
                </c:pt>
                <c:pt idx="324">
                  <c:v>13480</c:v>
                </c:pt>
                <c:pt idx="325">
                  <c:v>13485</c:v>
                </c:pt>
                <c:pt idx="326">
                  <c:v>13480</c:v>
                </c:pt>
                <c:pt idx="327">
                  <c:v>13480</c:v>
                </c:pt>
                <c:pt idx="328">
                  <c:v>13495</c:v>
                </c:pt>
                <c:pt idx="329">
                  <c:v>13495</c:v>
                </c:pt>
                <c:pt idx="330">
                  <c:v>13480</c:v>
                </c:pt>
                <c:pt idx="331">
                  <c:v>13470</c:v>
                </c:pt>
                <c:pt idx="332">
                  <c:v>13460</c:v>
                </c:pt>
                <c:pt idx="333">
                  <c:v>13450</c:v>
                </c:pt>
                <c:pt idx="334">
                  <c:v>13465</c:v>
                </c:pt>
                <c:pt idx="335">
                  <c:v>13455</c:v>
                </c:pt>
                <c:pt idx="336">
                  <c:v>13455</c:v>
                </c:pt>
                <c:pt idx="337">
                  <c:v>13455</c:v>
                </c:pt>
                <c:pt idx="338">
                  <c:v>13455</c:v>
                </c:pt>
                <c:pt idx="339">
                  <c:v>13445</c:v>
                </c:pt>
                <c:pt idx="340">
                  <c:v>13420</c:v>
                </c:pt>
                <c:pt idx="341">
                  <c:v>13425</c:v>
                </c:pt>
                <c:pt idx="342">
                  <c:v>13430</c:v>
                </c:pt>
                <c:pt idx="343">
                  <c:v>13435</c:v>
                </c:pt>
                <c:pt idx="344">
                  <c:v>13430</c:v>
                </c:pt>
                <c:pt idx="345">
                  <c:v>13430</c:v>
                </c:pt>
                <c:pt idx="346">
                  <c:v>13435</c:v>
                </c:pt>
                <c:pt idx="347">
                  <c:v>13430</c:v>
                </c:pt>
                <c:pt idx="348">
                  <c:v>13420</c:v>
                </c:pt>
                <c:pt idx="349">
                  <c:v>13410</c:v>
                </c:pt>
                <c:pt idx="350">
                  <c:v>13405</c:v>
                </c:pt>
                <c:pt idx="351">
                  <c:v>13390</c:v>
                </c:pt>
                <c:pt idx="352">
                  <c:v>13395</c:v>
                </c:pt>
                <c:pt idx="353">
                  <c:v>13375</c:v>
                </c:pt>
                <c:pt idx="354">
                  <c:v>13390</c:v>
                </c:pt>
                <c:pt idx="355">
                  <c:v>13395</c:v>
                </c:pt>
                <c:pt idx="356">
                  <c:v>13395</c:v>
                </c:pt>
                <c:pt idx="357">
                  <c:v>13395</c:v>
                </c:pt>
                <c:pt idx="358">
                  <c:v>13405</c:v>
                </c:pt>
                <c:pt idx="359">
                  <c:v>13400</c:v>
                </c:pt>
                <c:pt idx="360">
                  <c:v>13405</c:v>
                </c:pt>
                <c:pt idx="361">
                  <c:v>13395</c:v>
                </c:pt>
                <c:pt idx="362">
                  <c:v>13400</c:v>
                </c:pt>
                <c:pt idx="363">
                  <c:v>13395</c:v>
                </c:pt>
                <c:pt idx="364">
                  <c:v>13395</c:v>
                </c:pt>
                <c:pt idx="365">
                  <c:v>13395</c:v>
                </c:pt>
                <c:pt idx="366">
                  <c:v>13385</c:v>
                </c:pt>
                <c:pt idx="367">
                  <c:v>13385</c:v>
                </c:pt>
                <c:pt idx="368">
                  <c:v>13375</c:v>
                </c:pt>
                <c:pt idx="369">
                  <c:v>13395</c:v>
                </c:pt>
                <c:pt idx="370">
                  <c:v>13385</c:v>
                </c:pt>
                <c:pt idx="371">
                  <c:v>13395</c:v>
                </c:pt>
                <c:pt idx="372">
                  <c:v>13390</c:v>
                </c:pt>
                <c:pt idx="373">
                  <c:v>13390</c:v>
                </c:pt>
                <c:pt idx="374">
                  <c:v>13390</c:v>
                </c:pt>
                <c:pt idx="375">
                  <c:v>13395</c:v>
                </c:pt>
                <c:pt idx="376">
                  <c:v>13395</c:v>
                </c:pt>
                <c:pt idx="377">
                  <c:v>13395</c:v>
                </c:pt>
                <c:pt idx="378">
                  <c:v>13400</c:v>
                </c:pt>
                <c:pt idx="379">
                  <c:v>13410</c:v>
                </c:pt>
                <c:pt idx="380">
                  <c:v>13410</c:v>
                </c:pt>
              </c:numCache>
            </c:numRef>
          </c:val>
          <c:smooth val="0"/>
        </c:ser>
        <c:ser>
          <c:idx val="4"/>
          <c:order val="4"/>
          <c:tx>
            <c:v>VWAP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'20240401_example'!$BY$3:$BY$383</c:f>
              <c:numCache>
                <c:formatCode>_-* #,##0.00_-;\-* #,##0.00_-;_-* "-"_-;_-@_-</c:formatCode>
                <c:ptCount val="381"/>
                <c:pt idx="0">
                  <c:v>13466.666666666666</c:v>
                </c:pt>
                <c:pt idx="1">
                  <c:v>13488.814524851221</c:v>
                </c:pt>
                <c:pt idx="2">
                  <c:v>13482.379180097387</c:v>
                </c:pt>
                <c:pt idx="3">
                  <c:v>13471.748187939937</c:v>
                </c:pt>
                <c:pt idx="4">
                  <c:v>13466.601143263546</c:v>
                </c:pt>
                <c:pt idx="5">
                  <c:v>13461.764016420355</c:v>
                </c:pt>
                <c:pt idx="6">
                  <c:v>13460.384136422965</c:v>
                </c:pt>
                <c:pt idx="7">
                  <c:v>13459.158948716653</c:v>
                </c:pt>
                <c:pt idx="8">
                  <c:v>13458.563796876351</c:v>
                </c:pt>
                <c:pt idx="9">
                  <c:v>13457.691786427906</c:v>
                </c:pt>
                <c:pt idx="10">
                  <c:v>13455.984271495297</c:v>
                </c:pt>
                <c:pt idx="11">
                  <c:v>13455.189794176098</c:v>
                </c:pt>
                <c:pt idx="12">
                  <c:v>13454.057363972455</c:v>
                </c:pt>
                <c:pt idx="13">
                  <c:v>13453.337970955896</c:v>
                </c:pt>
                <c:pt idx="14">
                  <c:v>13449.793863107581</c:v>
                </c:pt>
                <c:pt idx="15">
                  <c:v>13446.852368627546</c:v>
                </c:pt>
                <c:pt idx="16">
                  <c:v>13446.064250212548</c:v>
                </c:pt>
                <c:pt idx="17">
                  <c:v>13445.477206264763</c:v>
                </c:pt>
                <c:pt idx="18">
                  <c:v>13445.559773380697</c:v>
                </c:pt>
                <c:pt idx="19">
                  <c:v>13445.914844164723</c:v>
                </c:pt>
                <c:pt idx="20">
                  <c:v>13445.708836369729</c:v>
                </c:pt>
                <c:pt idx="21">
                  <c:v>13445.837060493719</c:v>
                </c:pt>
                <c:pt idx="22">
                  <c:v>13445.863620434582</c:v>
                </c:pt>
                <c:pt idx="23">
                  <c:v>13446.356572345851</c:v>
                </c:pt>
                <c:pt idx="24">
                  <c:v>13446.474491570927</c:v>
                </c:pt>
                <c:pt idx="25">
                  <c:v>13446.556854042898</c:v>
                </c:pt>
                <c:pt idx="26">
                  <c:v>13446.50846740029</c:v>
                </c:pt>
                <c:pt idx="27">
                  <c:v>13446.399460623563</c:v>
                </c:pt>
                <c:pt idx="28">
                  <c:v>13446.203091294608</c:v>
                </c:pt>
                <c:pt idx="29">
                  <c:v>13445.887990281237</c:v>
                </c:pt>
                <c:pt idx="30">
                  <c:v>13445.706891086815</c:v>
                </c:pt>
                <c:pt idx="31">
                  <c:v>13445.152184258886</c:v>
                </c:pt>
                <c:pt idx="32">
                  <c:v>13444.731365572923</c:v>
                </c:pt>
                <c:pt idx="33">
                  <c:v>13444.503186874024</c:v>
                </c:pt>
                <c:pt idx="34">
                  <c:v>13444.344284000363</c:v>
                </c:pt>
                <c:pt idx="35">
                  <c:v>13444.089550478011</c:v>
                </c:pt>
                <c:pt idx="36">
                  <c:v>13443.937437939439</c:v>
                </c:pt>
                <c:pt idx="37">
                  <c:v>13443.854740423949</c:v>
                </c:pt>
                <c:pt idx="38">
                  <c:v>13444.022506482517</c:v>
                </c:pt>
                <c:pt idx="39">
                  <c:v>13444.810119169786</c:v>
                </c:pt>
                <c:pt idx="40">
                  <c:v>13446.760365294931</c:v>
                </c:pt>
                <c:pt idx="41">
                  <c:v>13447.553412778438</c:v>
                </c:pt>
                <c:pt idx="42">
                  <c:v>13448.574504832668</c:v>
                </c:pt>
                <c:pt idx="43">
                  <c:v>13449.135863393638</c:v>
                </c:pt>
                <c:pt idx="44">
                  <c:v>13449.587904783495</c:v>
                </c:pt>
                <c:pt idx="45">
                  <c:v>13452.755023559639</c:v>
                </c:pt>
                <c:pt idx="46">
                  <c:v>13464.515859181296</c:v>
                </c:pt>
                <c:pt idx="47">
                  <c:v>13474.307785627281</c:v>
                </c:pt>
                <c:pt idx="48">
                  <c:v>13483.96724829258</c:v>
                </c:pt>
                <c:pt idx="49">
                  <c:v>13487.397650046914</c:v>
                </c:pt>
                <c:pt idx="50">
                  <c:v>13489.031901465578</c:v>
                </c:pt>
                <c:pt idx="51">
                  <c:v>13492.483487310226</c:v>
                </c:pt>
                <c:pt idx="52">
                  <c:v>13494.919770024288</c:v>
                </c:pt>
                <c:pt idx="53">
                  <c:v>13503.767900838688</c:v>
                </c:pt>
                <c:pt idx="54">
                  <c:v>13509.474033896351</c:v>
                </c:pt>
                <c:pt idx="55">
                  <c:v>13515.019922777508</c:v>
                </c:pt>
                <c:pt idx="56">
                  <c:v>13516.899489882224</c:v>
                </c:pt>
                <c:pt idx="57">
                  <c:v>13517.671978266664</c:v>
                </c:pt>
                <c:pt idx="58">
                  <c:v>13519.063402562513</c:v>
                </c:pt>
                <c:pt idx="59">
                  <c:v>13519.85040301415</c:v>
                </c:pt>
                <c:pt idx="60">
                  <c:v>13521.097617031266</c:v>
                </c:pt>
                <c:pt idx="61">
                  <c:v>13521.654496085783</c:v>
                </c:pt>
                <c:pt idx="62">
                  <c:v>13522.418849286352</c:v>
                </c:pt>
                <c:pt idx="63">
                  <c:v>13522.922199468196</c:v>
                </c:pt>
                <c:pt idx="64">
                  <c:v>13523.599501063449</c:v>
                </c:pt>
                <c:pt idx="65">
                  <c:v>13524.582559423578</c:v>
                </c:pt>
                <c:pt idx="66">
                  <c:v>13525.419740381085</c:v>
                </c:pt>
                <c:pt idx="67">
                  <c:v>13525.840316917129</c:v>
                </c:pt>
                <c:pt idx="68">
                  <c:v>13525.923715157924</c:v>
                </c:pt>
                <c:pt idx="69">
                  <c:v>13526.590432513516</c:v>
                </c:pt>
                <c:pt idx="70">
                  <c:v>13527.739114978558</c:v>
                </c:pt>
                <c:pt idx="71">
                  <c:v>13529.001333731094</c:v>
                </c:pt>
                <c:pt idx="72">
                  <c:v>13529.595556994303</c:v>
                </c:pt>
                <c:pt idx="73">
                  <c:v>13529.644424833363</c:v>
                </c:pt>
                <c:pt idx="74">
                  <c:v>13530.04421275284</c:v>
                </c:pt>
                <c:pt idx="75">
                  <c:v>13530.606473232683</c:v>
                </c:pt>
                <c:pt idx="76">
                  <c:v>13531.071616361891</c:v>
                </c:pt>
                <c:pt idx="77">
                  <c:v>13531.216503165404</c:v>
                </c:pt>
                <c:pt idx="78">
                  <c:v>13531.767719371013</c:v>
                </c:pt>
                <c:pt idx="79">
                  <c:v>13532.191238747395</c:v>
                </c:pt>
                <c:pt idx="80">
                  <c:v>13533.225449230651</c:v>
                </c:pt>
                <c:pt idx="81">
                  <c:v>13534.614733958826</c:v>
                </c:pt>
                <c:pt idx="82">
                  <c:v>13535.494461723654</c:v>
                </c:pt>
                <c:pt idx="83">
                  <c:v>13541.539928479315</c:v>
                </c:pt>
                <c:pt idx="84">
                  <c:v>13542.691773480994</c:v>
                </c:pt>
                <c:pt idx="85">
                  <c:v>13547.774479384931</c:v>
                </c:pt>
                <c:pt idx="86">
                  <c:v>13550.201103247582</c:v>
                </c:pt>
                <c:pt idx="87">
                  <c:v>13556.523529857683</c:v>
                </c:pt>
                <c:pt idx="88">
                  <c:v>13559.272253612646</c:v>
                </c:pt>
                <c:pt idx="89">
                  <c:v>13560.057021410352</c:v>
                </c:pt>
                <c:pt idx="90">
                  <c:v>13562.084382195613</c:v>
                </c:pt>
                <c:pt idx="91">
                  <c:v>13562.946097369966</c:v>
                </c:pt>
                <c:pt idx="92">
                  <c:v>13563.591865675386</c:v>
                </c:pt>
                <c:pt idx="93">
                  <c:v>13564.422937053894</c:v>
                </c:pt>
                <c:pt idx="94">
                  <c:v>13567.777006466307</c:v>
                </c:pt>
                <c:pt idx="95">
                  <c:v>13568.538865119232</c:v>
                </c:pt>
                <c:pt idx="96">
                  <c:v>13569.641500801785</c:v>
                </c:pt>
                <c:pt idx="97">
                  <c:v>13570.091318028202</c:v>
                </c:pt>
                <c:pt idx="98">
                  <c:v>13570.355470005918</c:v>
                </c:pt>
                <c:pt idx="99">
                  <c:v>13570.535792655655</c:v>
                </c:pt>
                <c:pt idx="100">
                  <c:v>13570.675741232179</c:v>
                </c:pt>
                <c:pt idx="101">
                  <c:v>13570.943712580569</c:v>
                </c:pt>
                <c:pt idx="102">
                  <c:v>13571.048483647333</c:v>
                </c:pt>
                <c:pt idx="103">
                  <c:v>13571.220422574061</c:v>
                </c:pt>
                <c:pt idx="104">
                  <c:v>13571.573481738968</c:v>
                </c:pt>
                <c:pt idx="105">
                  <c:v>13571.672173437702</c:v>
                </c:pt>
                <c:pt idx="106">
                  <c:v>13571.773697966357</c:v>
                </c:pt>
                <c:pt idx="107">
                  <c:v>13571.89145357577</c:v>
                </c:pt>
                <c:pt idx="108">
                  <c:v>13572.041862655245</c:v>
                </c:pt>
                <c:pt idx="109">
                  <c:v>13572.264078621602</c:v>
                </c:pt>
                <c:pt idx="110">
                  <c:v>13572.649249179074</c:v>
                </c:pt>
                <c:pt idx="111">
                  <c:v>13572.685029125287</c:v>
                </c:pt>
                <c:pt idx="112">
                  <c:v>13572.81085984295</c:v>
                </c:pt>
                <c:pt idx="113">
                  <c:v>13572.844692968562</c:v>
                </c:pt>
                <c:pt idx="114">
                  <c:v>13572.902605830639</c:v>
                </c:pt>
                <c:pt idx="115">
                  <c:v>13573.265587484309</c:v>
                </c:pt>
                <c:pt idx="116">
                  <c:v>13573.366725423735</c:v>
                </c:pt>
                <c:pt idx="117">
                  <c:v>13573.413428015523</c:v>
                </c:pt>
                <c:pt idx="118">
                  <c:v>13573.438768814216</c:v>
                </c:pt>
                <c:pt idx="119">
                  <c:v>13573.441322670045</c:v>
                </c:pt>
                <c:pt idx="120">
                  <c:v>13570.539464440179</c:v>
                </c:pt>
                <c:pt idx="121">
                  <c:v>13570.030531958748</c:v>
                </c:pt>
                <c:pt idx="122">
                  <c:v>13569.519782964784</c:v>
                </c:pt>
                <c:pt idx="123">
                  <c:v>13569.035509242214</c:v>
                </c:pt>
                <c:pt idx="124">
                  <c:v>13568.742283973634</c:v>
                </c:pt>
                <c:pt idx="125">
                  <c:v>13568.471136676766</c:v>
                </c:pt>
                <c:pt idx="126">
                  <c:v>13568.188249993596</c:v>
                </c:pt>
                <c:pt idx="127">
                  <c:v>13568.126638714586</c:v>
                </c:pt>
                <c:pt idx="128">
                  <c:v>13568.068591105248</c:v>
                </c:pt>
                <c:pt idx="129">
                  <c:v>13567.831296070965</c:v>
                </c:pt>
                <c:pt idx="130">
                  <c:v>13567.497846916649</c:v>
                </c:pt>
                <c:pt idx="131">
                  <c:v>13567.306003552363</c:v>
                </c:pt>
                <c:pt idx="132">
                  <c:v>13567.178959386843</c:v>
                </c:pt>
                <c:pt idx="133">
                  <c:v>13567.039081605859</c:v>
                </c:pt>
                <c:pt idx="134">
                  <c:v>13566.873387527683</c:v>
                </c:pt>
                <c:pt idx="135">
                  <c:v>13566.632259776847</c:v>
                </c:pt>
                <c:pt idx="136">
                  <c:v>13566.509815041185</c:v>
                </c:pt>
                <c:pt idx="137">
                  <c:v>13566.343567964181</c:v>
                </c:pt>
                <c:pt idx="138">
                  <c:v>13566.253696234404</c:v>
                </c:pt>
                <c:pt idx="139">
                  <c:v>13566.108663679275</c:v>
                </c:pt>
                <c:pt idx="140">
                  <c:v>13566.009078147115</c:v>
                </c:pt>
                <c:pt idx="141">
                  <c:v>13565.914803796471</c:v>
                </c:pt>
                <c:pt idx="142">
                  <c:v>13565.879176622195</c:v>
                </c:pt>
                <c:pt idx="143">
                  <c:v>13565.847035382094</c:v>
                </c:pt>
                <c:pt idx="144">
                  <c:v>13565.767053688724</c:v>
                </c:pt>
                <c:pt idx="145">
                  <c:v>13565.680750830787</c:v>
                </c:pt>
                <c:pt idx="146">
                  <c:v>13565.629455333505</c:v>
                </c:pt>
                <c:pt idx="147">
                  <c:v>13565.563381541664</c:v>
                </c:pt>
                <c:pt idx="148">
                  <c:v>13565.546274118691</c:v>
                </c:pt>
                <c:pt idx="149">
                  <c:v>13565.521366545036</c:v>
                </c:pt>
                <c:pt idx="150">
                  <c:v>13565.510245480209</c:v>
                </c:pt>
                <c:pt idx="151">
                  <c:v>13565.47837602789</c:v>
                </c:pt>
                <c:pt idx="152">
                  <c:v>13565.434735829664</c:v>
                </c:pt>
                <c:pt idx="153">
                  <c:v>13565.417209870455</c:v>
                </c:pt>
                <c:pt idx="154">
                  <c:v>13565.406787062439</c:v>
                </c:pt>
                <c:pt idx="155">
                  <c:v>13565.386328336477</c:v>
                </c:pt>
                <c:pt idx="156">
                  <c:v>13565.368717091736</c:v>
                </c:pt>
                <c:pt idx="157">
                  <c:v>13565.257241498002</c:v>
                </c:pt>
                <c:pt idx="158">
                  <c:v>13565.235722062183</c:v>
                </c:pt>
                <c:pt idx="159">
                  <c:v>13565.152162024</c:v>
                </c:pt>
                <c:pt idx="160">
                  <c:v>13565.126657615183</c:v>
                </c:pt>
                <c:pt idx="161">
                  <c:v>13565.098679962222</c:v>
                </c:pt>
                <c:pt idx="162">
                  <c:v>13565.068651513762</c:v>
                </c:pt>
                <c:pt idx="163">
                  <c:v>13565.049622907645</c:v>
                </c:pt>
                <c:pt idx="164">
                  <c:v>13564.832401785856</c:v>
                </c:pt>
                <c:pt idx="165">
                  <c:v>13564.821407947471</c:v>
                </c:pt>
                <c:pt idx="166">
                  <c:v>13564.669584383082</c:v>
                </c:pt>
                <c:pt idx="167">
                  <c:v>13564.520581533345</c:v>
                </c:pt>
                <c:pt idx="168">
                  <c:v>13564.422109487519</c:v>
                </c:pt>
                <c:pt idx="169">
                  <c:v>13564.34293836325</c:v>
                </c:pt>
                <c:pt idx="170">
                  <c:v>13564.243258760944</c:v>
                </c:pt>
                <c:pt idx="171">
                  <c:v>13564.136501632393</c:v>
                </c:pt>
                <c:pt idx="172">
                  <c:v>13563.98965942872</c:v>
                </c:pt>
                <c:pt idx="173">
                  <c:v>13563.74538977763</c:v>
                </c:pt>
                <c:pt idx="174">
                  <c:v>13563.243501590498</c:v>
                </c:pt>
                <c:pt idx="175">
                  <c:v>13562.970356427853</c:v>
                </c:pt>
                <c:pt idx="176">
                  <c:v>13562.848133271791</c:v>
                </c:pt>
                <c:pt idx="177">
                  <c:v>13562.632987014815</c:v>
                </c:pt>
                <c:pt idx="178">
                  <c:v>13562.562293054418</c:v>
                </c:pt>
                <c:pt idx="179">
                  <c:v>13562.528728309724</c:v>
                </c:pt>
                <c:pt idx="180">
                  <c:v>13562.441113976522</c:v>
                </c:pt>
                <c:pt idx="181">
                  <c:v>13562.328985839556</c:v>
                </c:pt>
                <c:pt idx="182">
                  <c:v>13562.061596844895</c:v>
                </c:pt>
                <c:pt idx="183">
                  <c:v>13562.048366210316</c:v>
                </c:pt>
                <c:pt idx="184">
                  <c:v>13561.68948750671</c:v>
                </c:pt>
                <c:pt idx="185">
                  <c:v>13561.590816954204</c:v>
                </c:pt>
                <c:pt idx="186">
                  <c:v>13561.539824432417</c:v>
                </c:pt>
                <c:pt idx="187">
                  <c:v>13561.482785770957</c:v>
                </c:pt>
                <c:pt idx="188">
                  <c:v>13561.32840655624</c:v>
                </c:pt>
                <c:pt idx="189">
                  <c:v>13561.290227440526</c:v>
                </c:pt>
                <c:pt idx="190">
                  <c:v>13561.148183310817</c:v>
                </c:pt>
                <c:pt idx="191">
                  <c:v>13561.101667447172</c:v>
                </c:pt>
                <c:pt idx="192">
                  <c:v>13560.977162650104</c:v>
                </c:pt>
                <c:pt idx="193">
                  <c:v>13560.923849928335</c:v>
                </c:pt>
                <c:pt idx="194">
                  <c:v>13560.882588021697</c:v>
                </c:pt>
                <c:pt idx="195">
                  <c:v>13560.747328679134</c:v>
                </c:pt>
                <c:pt idx="196">
                  <c:v>13560.595295423564</c:v>
                </c:pt>
                <c:pt idx="197">
                  <c:v>13560.550281979886</c:v>
                </c:pt>
                <c:pt idx="198">
                  <c:v>13560.337256468771</c:v>
                </c:pt>
                <c:pt idx="199">
                  <c:v>13560.306687150731</c:v>
                </c:pt>
                <c:pt idx="200">
                  <c:v>13560.243212175808</c:v>
                </c:pt>
                <c:pt idx="201">
                  <c:v>13560.233862547668</c:v>
                </c:pt>
                <c:pt idx="202">
                  <c:v>13560.19157055655</c:v>
                </c:pt>
                <c:pt idx="203">
                  <c:v>13560.157212753047</c:v>
                </c:pt>
                <c:pt idx="204">
                  <c:v>13560.152947457196</c:v>
                </c:pt>
                <c:pt idx="205">
                  <c:v>13560.108124408762</c:v>
                </c:pt>
                <c:pt idx="206">
                  <c:v>13560.074404098461</c:v>
                </c:pt>
                <c:pt idx="207">
                  <c:v>13560.038749046829</c:v>
                </c:pt>
                <c:pt idx="208">
                  <c:v>13559.908129896299</c:v>
                </c:pt>
                <c:pt idx="209">
                  <c:v>13559.872503019953</c:v>
                </c:pt>
                <c:pt idx="210">
                  <c:v>13559.837675346584</c:v>
                </c:pt>
                <c:pt idx="211">
                  <c:v>13559.836383946013</c:v>
                </c:pt>
                <c:pt idx="212">
                  <c:v>13559.821022743121</c:v>
                </c:pt>
                <c:pt idx="213">
                  <c:v>13559.762005118726</c:v>
                </c:pt>
                <c:pt idx="214">
                  <c:v>13559.719404101628</c:v>
                </c:pt>
                <c:pt idx="215">
                  <c:v>13559.681259929639</c:v>
                </c:pt>
                <c:pt idx="216">
                  <c:v>13559.651971991319</c:v>
                </c:pt>
                <c:pt idx="217">
                  <c:v>13559.509733163968</c:v>
                </c:pt>
                <c:pt idx="218">
                  <c:v>13559.476158870866</c:v>
                </c:pt>
                <c:pt idx="219">
                  <c:v>13559.45531921604</c:v>
                </c:pt>
                <c:pt idx="220">
                  <c:v>13559.450072222953</c:v>
                </c:pt>
                <c:pt idx="221">
                  <c:v>13559.434751509263</c:v>
                </c:pt>
                <c:pt idx="222">
                  <c:v>13559.421461719285</c:v>
                </c:pt>
                <c:pt idx="223">
                  <c:v>13559.339279930826</c:v>
                </c:pt>
                <c:pt idx="224">
                  <c:v>13559.227225790955</c:v>
                </c:pt>
                <c:pt idx="225">
                  <c:v>13559.201452744701</c:v>
                </c:pt>
                <c:pt idx="226">
                  <c:v>13559.171784623679</c:v>
                </c:pt>
                <c:pt idx="227">
                  <c:v>13559.151824036191</c:v>
                </c:pt>
                <c:pt idx="228">
                  <c:v>13559.127329853487</c:v>
                </c:pt>
                <c:pt idx="229">
                  <c:v>13559.110016580902</c:v>
                </c:pt>
                <c:pt idx="230">
                  <c:v>13559.101754839225</c:v>
                </c:pt>
                <c:pt idx="231">
                  <c:v>13559.087220912679</c:v>
                </c:pt>
                <c:pt idx="232">
                  <c:v>13559.069766379134</c:v>
                </c:pt>
                <c:pt idx="233">
                  <c:v>13559.002098718836</c:v>
                </c:pt>
                <c:pt idx="234">
                  <c:v>13558.989229476969</c:v>
                </c:pt>
                <c:pt idx="235">
                  <c:v>13558.952210468369</c:v>
                </c:pt>
                <c:pt idx="236">
                  <c:v>13558.910796659005</c:v>
                </c:pt>
                <c:pt idx="237">
                  <c:v>13558.725714081176</c:v>
                </c:pt>
                <c:pt idx="238">
                  <c:v>13558.704297215805</c:v>
                </c:pt>
                <c:pt idx="239">
                  <c:v>13558.657076613492</c:v>
                </c:pt>
                <c:pt idx="240">
                  <c:v>13558.61161692426</c:v>
                </c:pt>
                <c:pt idx="241">
                  <c:v>13558.546700734723</c:v>
                </c:pt>
                <c:pt idx="242">
                  <c:v>13558.503434191158</c:v>
                </c:pt>
                <c:pt idx="243">
                  <c:v>13558.463336573348</c:v>
                </c:pt>
                <c:pt idx="244">
                  <c:v>13558.392391753014</c:v>
                </c:pt>
                <c:pt idx="245">
                  <c:v>13558.328714582172</c:v>
                </c:pt>
                <c:pt idx="246">
                  <c:v>13558.30697184215</c:v>
                </c:pt>
                <c:pt idx="247">
                  <c:v>13558.278283960666</c:v>
                </c:pt>
                <c:pt idx="248">
                  <c:v>13557.824096794035</c:v>
                </c:pt>
                <c:pt idx="249">
                  <c:v>13557.733063260099</c:v>
                </c:pt>
                <c:pt idx="250">
                  <c:v>13557.562743298949</c:v>
                </c:pt>
                <c:pt idx="251">
                  <c:v>13557.372227237978</c:v>
                </c:pt>
                <c:pt idx="252">
                  <c:v>13555.740754834802</c:v>
                </c:pt>
                <c:pt idx="253">
                  <c:v>13555.367672230266</c:v>
                </c:pt>
                <c:pt idx="254">
                  <c:v>13551.584093102427</c:v>
                </c:pt>
                <c:pt idx="255">
                  <c:v>13551.410206814415</c:v>
                </c:pt>
                <c:pt idx="256">
                  <c:v>13551.147951055696</c:v>
                </c:pt>
                <c:pt idx="257">
                  <c:v>13551.012419802171</c:v>
                </c:pt>
                <c:pt idx="258">
                  <c:v>13550.928536646468</c:v>
                </c:pt>
                <c:pt idx="259">
                  <c:v>13550.802094488345</c:v>
                </c:pt>
                <c:pt idx="260">
                  <c:v>13550.470710357442</c:v>
                </c:pt>
                <c:pt idx="261">
                  <c:v>13549.961646534222</c:v>
                </c:pt>
                <c:pt idx="262">
                  <c:v>13549.302558271584</c:v>
                </c:pt>
                <c:pt idx="263">
                  <c:v>13549.179620537938</c:v>
                </c:pt>
                <c:pt idx="264">
                  <c:v>13549.060114821577</c:v>
                </c:pt>
                <c:pt idx="265">
                  <c:v>13548.909557120236</c:v>
                </c:pt>
                <c:pt idx="266">
                  <c:v>13548.830548575494</c:v>
                </c:pt>
                <c:pt idx="267">
                  <c:v>13548.568255745959</c:v>
                </c:pt>
                <c:pt idx="268">
                  <c:v>13548.375476231704</c:v>
                </c:pt>
                <c:pt idx="269">
                  <c:v>13548.339876510578</c:v>
                </c:pt>
                <c:pt idx="270">
                  <c:v>13547.562558483902</c:v>
                </c:pt>
                <c:pt idx="271">
                  <c:v>13547.172423124392</c:v>
                </c:pt>
                <c:pt idx="272">
                  <c:v>13546.629552551807</c:v>
                </c:pt>
                <c:pt idx="273">
                  <c:v>13546.415154989572</c:v>
                </c:pt>
                <c:pt idx="274">
                  <c:v>13546.0731485346</c:v>
                </c:pt>
                <c:pt idx="275">
                  <c:v>13545.817675998805</c:v>
                </c:pt>
                <c:pt idx="276">
                  <c:v>13545.579737851227</c:v>
                </c:pt>
                <c:pt idx="277">
                  <c:v>13545.535161708682</c:v>
                </c:pt>
                <c:pt idx="278">
                  <c:v>13545.391779795347</c:v>
                </c:pt>
                <c:pt idx="279">
                  <c:v>13545.215005728778</c:v>
                </c:pt>
                <c:pt idx="280">
                  <c:v>13545.041065159177</c:v>
                </c:pt>
                <c:pt idx="281">
                  <c:v>13544.760350386568</c:v>
                </c:pt>
                <c:pt idx="282">
                  <c:v>13544.586128880082</c:v>
                </c:pt>
                <c:pt idx="283">
                  <c:v>13544.502902928929</c:v>
                </c:pt>
                <c:pt idx="284">
                  <c:v>13544.487005711519</c:v>
                </c:pt>
                <c:pt idx="285">
                  <c:v>13544.182939206637</c:v>
                </c:pt>
                <c:pt idx="286">
                  <c:v>13544.105898424308</c:v>
                </c:pt>
                <c:pt idx="287">
                  <c:v>13543.74957612298</c:v>
                </c:pt>
                <c:pt idx="288">
                  <c:v>13543.379364034059</c:v>
                </c:pt>
                <c:pt idx="289">
                  <c:v>13543.224139669375</c:v>
                </c:pt>
                <c:pt idx="290">
                  <c:v>13542.881300282221</c:v>
                </c:pt>
                <c:pt idx="291">
                  <c:v>13542.684800137555</c:v>
                </c:pt>
                <c:pt idx="292">
                  <c:v>13542.530949997945</c:v>
                </c:pt>
                <c:pt idx="293">
                  <c:v>13542.244002397827</c:v>
                </c:pt>
                <c:pt idx="294">
                  <c:v>13542.199030897611</c:v>
                </c:pt>
                <c:pt idx="295">
                  <c:v>13542.134160583839</c:v>
                </c:pt>
                <c:pt idx="296">
                  <c:v>13542.11980411166</c:v>
                </c:pt>
                <c:pt idx="297">
                  <c:v>13542.005447243651</c:v>
                </c:pt>
                <c:pt idx="298">
                  <c:v>13541.905920793592</c:v>
                </c:pt>
                <c:pt idx="299">
                  <c:v>13541.875781875839</c:v>
                </c:pt>
                <c:pt idx="300">
                  <c:v>13541.784465196512</c:v>
                </c:pt>
                <c:pt idx="301">
                  <c:v>13541.718949272929</c:v>
                </c:pt>
                <c:pt idx="302">
                  <c:v>13541.614810637404</c:v>
                </c:pt>
                <c:pt idx="303">
                  <c:v>13541.565621347063</c:v>
                </c:pt>
                <c:pt idx="304">
                  <c:v>13541.477455760914</c:v>
                </c:pt>
                <c:pt idx="305">
                  <c:v>13541.441230724411</c:v>
                </c:pt>
                <c:pt idx="306">
                  <c:v>13541.398940499721</c:v>
                </c:pt>
                <c:pt idx="307">
                  <c:v>13541.321802122366</c:v>
                </c:pt>
                <c:pt idx="308">
                  <c:v>13541.308849365256</c:v>
                </c:pt>
                <c:pt idx="309">
                  <c:v>13541.280264238228</c:v>
                </c:pt>
                <c:pt idx="310">
                  <c:v>13541.11415794377</c:v>
                </c:pt>
                <c:pt idx="311">
                  <c:v>13541.043768527928</c:v>
                </c:pt>
                <c:pt idx="312">
                  <c:v>13540.901492467659</c:v>
                </c:pt>
                <c:pt idx="313">
                  <c:v>13540.857376754851</c:v>
                </c:pt>
                <c:pt idx="314">
                  <c:v>13540.816923530931</c:v>
                </c:pt>
                <c:pt idx="315">
                  <c:v>13540.715268786018</c:v>
                </c:pt>
                <c:pt idx="316">
                  <c:v>13540.620491263619</c:v>
                </c:pt>
                <c:pt idx="317">
                  <c:v>13540.532446738458</c:v>
                </c:pt>
                <c:pt idx="318">
                  <c:v>13540.508480799253</c:v>
                </c:pt>
                <c:pt idx="319">
                  <c:v>13540.446464359336</c:v>
                </c:pt>
                <c:pt idx="320">
                  <c:v>13540.390422254508</c:v>
                </c:pt>
                <c:pt idx="321">
                  <c:v>13540.357481853493</c:v>
                </c:pt>
                <c:pt idx="322">
                  <c:v>13540.271830588941</c:v>
                </c:pt>
                <c:pt idx="323">
                  <c:v>13540.002024673937</c:v>
                </c:pt>
                <c:pt idx="324">
                  <c:v>13539.992497840605</c:v>
                </c:pt>
                <c:pt idx="325">
                  <c:v>13539.894899247503</c:v>
                </c:pt>
                <c:pt idx="326">
                  <c:v>13539.867096475544</c:v>
                </c:pt>
                <c:pt idx="327">
                  <c:v>13539.751398208302</c:v>
                </c:pt>
                <c:pt idx="328">
                  <c:v>13539.64594925872</c:v>
                </c:pt>
                <c:pt idx="329">
                  <c:v>13539.617782665269</c:v>
                </c:pt>
                <c:pt idx="330">
                  <c:v>13539.478894942493</c:v>
                </c:pt>
                <c:pt idx="331">
                  <c:v>13539.384084474183</c:v>
                </c:pt>
                <c:pt idx="332">
                  <c:v>13539.346300729412</c:v>
                </c:pt>
                <c:pt idx="333">
                  <c:v>13539.298593407839</c:v>
                </c:pt>
                <c:pt idx="334">
                  <c:v>13539.245057548647</c:v>
                </c:pt>
                <c:pt idx="335">
                  <c:v>13539.221605962613</c:v>
                </c:pt>
                <c:pt idx="336">
                  <c:v>13539.207061697727</c:v>
                </c:pt>
                <c:pt idx="337">
                  <c:v>13539.184724136639</c:v>
                </c:pt>
                <c:pt idx="338">
                  <c:v>13539.165519082499</c:v>
                </c:pt>
                <c:pt idx="339">
                  <c:v>13539.067524053704</c:v>
                </c:pt>
                <c:pt idx="340">
                  <c:v>13538.787092329985</c:v>
                </c:pt>
                <c:pt idx="341">
                  <c:v>13538.700988247623</c:v>
                </c:pt>
                <c:pt idx="342">
                  <c:v>13538.605500904361</c:v>
                </c:pt>
                <c:pt idx="343">
                  <c:v>13538.544216259132</c:v>
                </c:pt>
                <c:pt idx="344">
                  <c:v>13538.452608329873</c:v>
                </c:pt>
                <c:pt idx="345">
                  <c:v>13538.378863066222</c:v>
                </c:pt>
                <c:pt idx="346">
                  <c:v>13538.248810892323</c:v>
                </c:pt>
                <c:pt idx="347">
                  <c:v>13538.201635345958</c:v>
                </c:pt>
                <c:pt idx="348">
                  <c:v>13537.724338657341</c:v>
                </c:pt>
                <c:pt idx="349">
                  <c:v>13537.59861983377</c:v>
                </c:pt>
                <c:pt idx="350">
                  <c:v>13537.42450455405</c:v>
                </c:pt>
                <c:pt idx="351">
                  <c:v>13537.132064428355</c:v>
                </c:pt>
                <c:pt idx="352">
                  <c:v>13534.597779868405</c:v>
                </c:pt>
                <c:pt idx="353">
                  <c:v>13533.443083820261</c:v>
                </c:pt>
                <c:pt idx="354">
                  <c:v>13533.14551730757</c:v>
                </c:pt>
                <c:pt idx="355">
                  <c:v>13532.822311542022</c:v>
                </c:pt>
                <c:pt idx="356">
                  <c:v>13532.684665452643</c:v>
                </c:pt>
                <c:pt idx="357">
                  <c:v>13532.494605374921</c:v>
                </c:pt>
                <c:pt idx="358">
                  <c:v>13532.172561508707</c:v>
                </c:pt>
                <c:pt idx="359">
                  <c:v>13531.988349584404</c:v>
                </c:pt>
                <c:pt idx="360">
                  <c:v>13531.912946602364</c:v>
                </c:pt>
                <c:pt idx="361">
                  <c:v>13531.62523527673</c:v>
                </c:pt>
                <c:pt idx="362">
                  <c:v>13531.529032117185</c:v>
                </c:pt>
                <c:pt idx="363">
                  <c:v>13531.428540399447</c:v>
                </c:pt>
                <c:pt idx="364">
                  <c:v>13531.294204798167</c:v>
                </c:pt>
                <c:pt idx="365">
                  <c:v>13530.897435553095</c:v>
                </c:pt>
                <c:pt idx="366">
                  <c:v>13530.573280047867</c:v>
                </c:pt>
                <c:pt idx="367">
                  <c:v>13530.498424545296</c:v>
                </c:pt>
                <c:pt idx="368">
                  <c:v>13530.256210930849</c:v>
                </c:pt>
                <c:pt idx="369">
                  <c:v>13529.845035052032</c:v>
                </c:pt>
                <c:pt idx="370">
                  <c:v>13529.651476745559</c:v>
                </c:pt>
                <c:pt idx="371">
                  <c:v>13529.459130381054</c:v>
                </c:pt>
                <c:pt idx="372">
                  <c:v>13529.387237791538</c:v>
                </c:pt>
                <c:pt idx="373">
                  <c:v>13529.278647121439</c:v>
                </c:pt>
                <c:pt idx="374">
                  <c:v>13529.130192205688</c:v>
                </c:pt>
                <c:pt idx="375">
                  <c:v>13529.036100010546</c:v>
                </c:pt>
                <c:pt idx="376">
                  <c:v>13528.904498018388</c:v>
                </c:pt>
                <c:pt idx="377">
                  <c:v>13528.612214598063</c:v>
                </c:pt>
                <c:pt idx="378">
                  <c:v>13528.386339836483</c:v>
                </c:pt>
                <c:pt idx="379">
                  <c:v>13528.084412682001</c:v>
                </c:pt>
                <c:pt idx="380">
                  <c:v>13527.340956821035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86749456"/>
        <c:axId val="-686770128"/>
      </c:lineChart>
      <c:lineChart>
        <c:grouping val="standard"/>
        <c:varyColors val="0"/>
        <c:ser>
          <c:idx val="3"/>
          <c:order val="3"/>
          <c:tx>
            <c:v>Position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'20240401_example'!$CE$3:$CE$383</c:f>
              <c:numCache>
                <c:formatCode>General</c:formatCode>
                <c:ptCount val="38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86755440"/>
        <c:axId val="-686765232"/>
      </c:lineChart>
      <c:catAx>
        <c:axId val="-686749456"/>
        <c:scaling>
          <c:orientation val="minMax"/>
        </c:scaling>
        <c:delete val="0"/>
        <c:axPos val="b"/>
        <c:numFmt formatCode="[$-F400]h:mm:ss\ AM/PM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86770128"/>
        <c:crosses val="autoZero"/>
        <c:auto val="1"/>
        <c:lblAlgn val="ctr"/>
        <c:lblOffset val="100"/>
        <c:tickMarkSkip val="1"/>
        <c:noMultiLvlLbl val="0"/>
      </c:catAx>
      <c:valAx>
        <c:axId val="-686770128"/>
        <c:scaling>
          <c:orientation val="minMax"/>
          <c:min val="13000"/>
        </c:scaling>
        <c:delete val="0"/>
        <c:axPos val="l"/>
        <c:numFmt formatCode="_-* #,##0.00_-;\-* #,##0.00_-;_-* &quot;-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86749456"/>
        <c:crosses val="autoZero"/>
        <c:crossBetween val="between"/>
      </c:valAx>
      <c:valAx>
        <c:axId val="-6867652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686755440"/>
        <c:crosses val="max"/>
        <c:crossBetween val="between"/>
      </c:valAx>
      <c:catAx>
        <c:axId val="-686755440"/>
        <c:scaling>
          <c:orientation val="minMax"/>
        </c:scaling>
        <c:delete val="1"/>
        <c:axPos val="b"/>
        <c:majorTickMark val="out"/>
        <c:minorTickMark val="none"/>
        <c:tickLblPos val="nextTo"/>
        <c:crossAx val="-6867652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4</xdr:row>
      <xdr:rowOff>142875</xdr:rowOff>
    </xdr:from>
    <xdr:to>
      <xdr:col>19</xdr:col>
      <xdr:colOff>628650</xdr:colOff>
      <xdr:row>26</xdr:row>
      <xdr:rowOff>200025</xdr:rowOff>
    </xdr:to>
    <xdr:graphicFrame macro="">
      <xdr:nvGraphicFramePr>
        <xdr:cNvPr id="2" name="차트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628650</xdr:colOff>
      <xdr:row>27</xdr:row>
      <xdr:rowOff>211229</xdr:rowOff>
    </xdr:from>
    <xdr:to>
      <xdr:col>19</xdr:col>
      <xdr:colOff>419100</xdr:colOff>
      <xdr:row>68</xdr:row>
      <xdr:rowOff>64631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2209" y="5959847"/>
          <a:ext cx="12094509" cy="8582784"/>
        </a:xfrm>
        <a:prstGeom prst="rect">
          <a:avLst/>
        </a:prstGeom>
      </xdr:spPr>
    </xdr:pic>
    <xdr:clientData/>
  </xdr:twoCellAnchor>
  <xdr:twoCellAnchor editAs="oneCell">
    <xdr:from>
      <xdr:col>19</xdr:col>
      <xdr:colOff>627529</xdr:colOff>
      <xdr:row>28</xdr:row>
      <xdr:rowOff>145677</xdr:rowOff>
    </xdr:from>
    <xdr:to>
      <xdr:col>37</xdr:col>
      <xdr:colOff>650918</xdr:colOff>
      <xdr:row>68</xdr:row>
      <xdr:rowOff>211606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15147" y="6107206"/>
          <a:ext cx="12327447" cy="858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Views>
    <sheetView workbookViewId="0">
      <selection activeCell="B16" sqref="B15:E16"/>
    </sheetView>
  </sheetViews>
  <sheetFormatPr defaultRowHeight="16.5" x14ac:dyDescent="0.3"/>
  <sheetData>
    <row r="1" spans="1:8" x14ac:dyDescent="0.3">
      <c r="A1" t="s">
        <v>463</v>
      </c>
      <c r="B1" t="s">
        <v>441</v>
      </c>
      <c r="C1" t="s">
        <v>444</v>
      </c>
      <c r="D1" t="s">
        <v>455</v>
      </c>
      <c r="E1" t="s">
        <v>457</v>
      </c>
      <c r="F1" t="s">
        <v>459</v>
      </c>
      <c r="G1" t="s">
        <v>446</v>
      </c>
      <c r="H1" t="s">
        <v>461</v>
      </c>
    </row>
    <row r="2" spans="1:8" x14ac:dyDescent="0.3">
      <c r="A2" s="3" t="s">
        <v>43</v>
      </c>
      <c r="B2" s="11">
        <v>13455</v>
      </c>
      <c r="C2" s="11">
        <v>13325</v>
      </c>
      <c r="D2" s="11">
        <v>13455</v>
      </c>
      <c r="E2" s="11">
        <v>13475</v>
      </c>
      <c r="F2" s="11">
        <v>13455</v>
      </c>
      <c r="G2" s="11">
        <v>13470</v>
      </c>
      <c r="H2" s="11">
        <v>540824</v>
      </c>
    </row>
    <row r="3" spans="1:8" x14ac:dyDescent="0.3">
      <c r="A3" s="3" t="s">
        <v>44</v>
      </c>
      <c r="B3" s="11">
        <v>13510.536186936735</v>
      </c>
      <c r="C3" s="11">
        <v>13270.000394579562</v>
      </c>
      <c r="D3" s="11">
        <v>13470</v>
      </c>
      <c r="E3" s="11">
        <v>13540</v>
      </c>
      <c r="F3" s="11">
        <v>13465</v>
      </c>
      <c r="G3" s="11">
        <v>13510</v>
      </c>
      <c r="H3" s="11">
        <v>740052</v>
      </c>
    </row>
    <row r="4" spans="1:8" x14ac:dyDescent="0.3">
      <c r="A4" s="3" t="s">
        <v>45</v>
      </c>
      <c r="B4" s="11">
        <v>13533.701805119912</v>
      </c>
      <c r="C4" s="11">
        <v>13247.058598794289</v>
      </c>
      <c r="D4" s="11">
        <v>13510</v>
      </c>
      <c r="E4" s="11">
        <v>13515</v>
      </c>
      <c r="F4" s="11">
        <v>13420</v>
      </c>
      <c r="G4" s="11">
        <v>13445</v>
      </c>
      <c r="H4" s="11">
        <v>368328</v>
      </c>
    </row>
    <row r="5" spans="1:8" x14ac:dyDescent="0.3">
      <c r="A5" s="3" t="s">
        <v>46</v>
      </c>
      <c r="B5" s="11">
        <v>13526.022913598887</v>
      </c>
      <c r="C5" s="11">
        <v>13254.663298126708</v>
      </c>
      <c r="D5" s="11">
        <v>13445</v>
      </c>
      <c r="E5" s="11">
        <v>13455</v>
      </c>
      <c r="F5" s="11">
        <v>13365</v>
      </c>
      <c r="G5" s="11">
        <v>13390</v>
      </c>
      <c r="H5" s="11">
        <v>256270</v>
      </c>
    </row>
    <row r="6" spans="1:8" x14ac:dyDescent="0.3">
      <c r="A6" s="3" t="s">
        <v>47</v>
      </c>
      <c r="B6" s="11">
        <v>13539.283221199405</v>
      </c>
      <c r="C6" s="11">
        <v>13241.531109440202</v>
      </c>
      <c r="D6" s="11">
        <v>13390</v>
      </c>
      <c r="E6" s="11">
        <v>13395</v>
      </c>
      <c r="F6" s="11">
        <v>13365</v>
      </c>
      <c r="G6" s="11">
        <v>13395</v>
      </c>
      <c r="H6" s="11">
        <v>120189</v>
      </c>
    </row>
    <row r="7" spans="1:8" x14ac:dyDescent="0.3">
      <c r="A7" s="3" t="s">
        <v>48</v>
      </c>
      <c r="B7" s="11">
        <v>13560.266052981209</v>
      </c>
      <c r="C7" s="11">
        <v>13220.75101033262</v>
      </c>
      <c r="D7" s="11">
        <v>13390</v>
      </c>
      <c r="E7" s="11">
        <v>13455</v>
      </c>
      <c r="F7" s="11">
        <v>13380</v>
      </c>
      <c r="G7" s="11">
        <v>13430</v>
      </c>
      <c r="H7" s="11">
        <v>244365</v>
      </c>
    </row>
    <row r="8" spans="1:8" x14ac:dyDescent="0.3">
      <c r="A8" s="3" t="s">
        <v>49</v>
      </c>
      <c r="B8" s="11">
        <v>13567.8117798936</v>
      </c>
      <c r="C8" s="11">
        <v>13213.278188994258</v>
      </c>
      <c r="D8" s="11">
        <v>13430</v>
      </c>
      <c r="E8" s="11">
        <v>13450</v>
      </c>
      <c r="F8" s="11">
        <v>13415</v>
      </c>
      <c r="G8" s="11">
        <v>13445</v>
      </c>
      <c r="H8" s="11">
        <v>132070</v>
      </c>
    </row>
    <row r="9" spans="1:8" x14ac:dyDescent="0.3">
      <c r="A9" s="3" t="s">
        <v>50</v>
      </c>
      <c r="B9" s="11">
        <v>13567.833316406835</v>
      </c>
      <c r="C9" s="11">
        <v>13213.25686056328</v>
      </c>
      <c r="D9" s="11">
        <v>13445</v>
      </c>
      <c r="E9" s="11">
        <v>13445</v>
      </c>
      <c r="F9" s="11">
        <v>13415</v>
      </c>
      <c r="G9" s="11">
        <v>13420</v>
      </c>
      <c r="H9" s="11">
        <v>90576</v>
      </c>
    </row>
    <row r="10" spans="1:8" x14ac:dyDescent="0.3">
      <c r="A10" s="3" t="s">
        <v>51</v>
      </c>
      <c r="B10" s="11">
        <v>13578.403448788024</v>
      </c>
      <c r="C10" s="11">
        <v>13202.788855065</v>
      </c>
      <c r="D10" s="11">
        <v>13420</v>
      </c>
      <c r="E10" s="11">
        <v>13475</v>
      </c>
      <c r="F10" s="11">
        <v>13420</v>
      </c>
      <c r="G10" s="11">
        <v>13450</v>
      </c>
      <c r="H10" s="11">
        <v>145010</v>
      </c>
    </row>
    <row r="11" spans="1:8" x14ac:dyDescent="0.3">
      <c r="A11" s="3" t="s">
        <v>52</v>
      </c>
      <c r="B11" s="11">
        <v>13574.645108700361</v>
      </c>
      <c r="C11" s="11">
        <v>13206.510882688048</v>
      </c>
      <c r="D11" s="11">
        <v>13445</v>
      </c>
      <c r="E11" s="11">
        <v>13450</v>
      </c>
      <c r="F11" s="11">
        <v>13415</v>
      </c>
      <c r="G11" s="11">
        <v>13420</v>
      </c>
      <c r="H11" s="11">
        <v>78345</v>
      </c>
    </row>
    <row r="12" spans="1:8" x14ac:dyDescent="0.3">
      <c r="A12" s="3" t="s">
        <v>53</v>
      </c>
      <c r="B12" s="11">
        <v>13586.171752126884</v>
      </c>
      <c r="C12" s="11">
        <v>13195.095607797048</v>
      </c>
      <c r="D12" s="11">
        <v>13420</v>
      </c>
      <c r="E12" s="11">
        <v>13425</v>
      </c>
      <c r="F12" s="11">
        <v>13405</v>
      </c>
      <c r="G12" s="11">
        <v>13405</v>
      </c>
      <c r="H12" s="11">
        <v>104646</v>
      </c>
    </row>
    <row r="13" spans="1:8" x14ac:dyDescent="0.3">
      <c r="A13" s="3" t="s">
        <v>54</v>
      </c>
      <c r="B13" s="11">
        <v>13598.242146326571</v>
      </c>
      <c r="C13" s="11">
        <v>13183.141835763541</v>
      </c>
      <c r="D13" s="11">
        <v>13400</v>
      </c>
      <c r="E13" s="11">
        <v>13420</v>
      </c>
      <c r="F13" s="11">
        <v>13395</v>
      </c>
      <c r="G13" s="11">
        <v>13420</v>
      </c>
      <c r="H13" s="11">
        <v>51489</v>
      </c>
    </row>
    <row r="14" spans="1:8" x14ac:dyDescent="0.3">
      <c r="A14" s="3" t="s">
        <v>55</v>
      </c>
      <c r="B14" s="11">
        <v>13598.250599610372</v>
      </c>
      <c r="C14" s="11">
        <v>13183.133464153978</v>
      </c>
      <c r="D14" s="11">
        <v>13420</v>
      </c>
      <c r="E14" s="11">
        <v>13420</v>
      </c>
      <c r="F14" s="11">
        <v>13380</v>
      </c>
      <c r="G14" s="11">
        <v>13385</v>
      </c>
      <c r="H14" s="11">
        <v>55074</v>
      </c>
    </row>
    <row r="15" spans="1:8" x14ac:dyDescent="0.3">
      <c r="A15" s="3" t="s">
        <v>56</v>
      </c>
      <c r="B15" s="11">
        <v>13601.990370641901</v>
      </c>
      <c r="C15" s="11">
        <v>13179.429826175896</v>
      </c>
      <c r="D15" s="11">
        <v>13385</v>
      </c>
      <c r="E15" s="11">
        <v>13390</v>
      </c>
      <c r="F15" s="11">
        <v>13375</v>
      </c>
      <c r="G15" s="11">
        <v>13390</v>
      </c>
      <c r="H15" s="11">
        <v>30815</v>
      </c>
    </row>
    <row r="16" spans="1:8" x14ac:dyDescent="0.3">
      <c r="A16" s="3" t="s">
        <v>57</v>
      </c>
      <c r="B16" s="11">
        <v>13606.246130186315</v>
      </c>
      <c r="C16" s="11">
        <v>13175.215185081186</v>
      </c>
      <c r="D16" s="11">
        <v>13385</v>
      </c>
      <c r="E16" s="11">
        <v>13390</v>
      </c>
      <c r="F16" s="11">
        <v>13350</v>
      </c>
      <c r="G16" s="11">
        <v>13355</v>
      </c>
      <c r="H16" s="11">
        <v>123637</v>
      </c>
    </row>
    <row r="17" spans="1:8" x14ac:dyDescent="0.3">
      <c r="A17" s="3" t="s">
        <v>58</v>
      </c>
      <c r="B17" s="11">
        <v>13604.433627603195</v>
      </c>
      <c r="C17" s="11">
        <v>13177.010175562051</v>
      </c>
      <c r="D17" s="11">
        <v>13355</v>
      </c>
      <c r="E17" s="11">
        <v>13415</v>
      </c>
      <c r="F17" s="11">
        <v>13340</v>
      </c>
      <c r="G17" s="11">
        <v>13410</v>
      </c>
      <c r="H17" s="11">
        <v>154903</v>
      </c>
    </row>
    <row r="18" spans="1:8" x14ac:dyDescent="0.3">
      <c r="A18" s="3" t="s">
        <v>59</v>
      </c>
      <c r="B18" s="11">
        <v>13603.38303021896</v>
      </c>
      <c r="C18" s="11">
        <v>13178.050622246923</v>
      </c>
      <c r="D18" s="11">
        <v>13410</v>
      </c>
      <c r="E18" s="11">
        <v>13420</v>
      </c>
      <c r="F18" s="11">
        <v>13405</v>
      </c>
      <c r="G18" s="11">
        <v>13415</v>
      </c>
      <c r="H18" s="11">
        <v>77933</v>
      </c>
    </row>
    <row r="19" spans="1:8" x14ac:dyDescent="0.3">
      <c r="A19" s="3" t="s">
        <v>60</v>
      </c>
      <c r="B19" s="11">
        <v>13601.361402436789</v>
      </c>
      <c r="C19" s="11">
        <v>13180.052717393515</v>
      </c>
      <c r="D19" s="11">
        <v>13420</v>
      </c>
      <c r="E19" s="11">
        <v>13450</v>
      </c>
      <c r="F19" s="11">
        <v>13415</v>
      </c>
      <c r="G19" s="11">
        <v>13445</v>
      </c>
      <c r="H19" s="11">
        <v>220846</v>
      </c>
    </row>
    <row r="20" spans="1:8" x14ac:dyDescent="0.3">
      <c r="A20" s="3" t="s">
        <v>61</v>
      </c>
      <c r="B20" s="11">
        <v>13605.029852889527</v>
      </c>
      <c r="C20" s="11">
        <v>13176.419710906506</v>
      </c>
      <c r="D20" s="11">
        <v>13440</v>
      </c>
      <c r="E20" s="11">
        <v>13465</v>
      </c>
      <c r="F20" s="11">
        <v>13430</v>
      </c>
      <c r="G20" s="11">
        <v>13445</v>
      </c>
      <c r="H20" s="11">
        <v>263716</v>
      </c>
    </row>
    <row r="21" spans="1:8" x14ac:dyDescent="0.3">
      <c r="A21" s="3" t="s">
        <v>62</v>
      </c>
      <c r="B21" s="11">
        <v>13606.944607914917</v>
      </c>
      <c r="C21" s="11">
        <v>13174.52345592967</v>
      </c>
      <c r="D21" s="11">
        <v>13450</v>
      </c>
      <c r="E21" s="11">
        <v>13480</v>
      </c>
      <c r="F21" s="11">
        <v>13445</v>
      </c>
      <c r="G21" s="11">
        <v>13445</v>
      </c>
      <c r="H21" s="11">
        <v>125462</v>
      </c>
    </row>
    <row r="22" spans="1:8" x14ac:dyDescent="0.3">
      <c r="A22" s="3" t="s">
        <v>63</v>
      </c>
      <c r="B22" s="11">
        <v>13625.540837247856</v>
      </c>
      <c r="C22" s="11">
        <v>13156.106900310093</v>
      </c>
      <c r="D22" s="11">
        <v>13440</v>
      </c>
      <c r="E22" s="11">
        <v>13465</v>
      </c>
      <c r="F22" s="11">
        <v>13425</v>
      </c>
      <c r="G22" s="11">
        <v>13425</v>
      </c>
      <c r="H22" s="11">
        <v>109618</v>
      </c>
    </row>
    <row r="23" spans="1:8" x14ac:dyDescent="0.3">
      <c r="A23" s="3" t="s">
        <v>64</v>
      </c>
      <c r="B23" s="11">
        <v>13624.718573247907</v>
      </c>
      <c r="C23" s="11">
        <v>13156.921219730333</v>
      </c>
      <c r="D23" s="11">
        <v>13425</v>
      </c>
      <c r="E23" s="11">
        <v>13470</v>
      </c>
      <c r="F23" s="11">
        <v>13405</v>
      </c>
      <c r="G23" s="11">
        <v>13470</v>
      </c>
      <c r="H23" s="11">
        <v>207220</v>
      </c>
    </row>
    <row r="24" spans="1:8" x14ac:dyDescent="0.3">
      <c r="A24" s="3" t="s">
        <v>65</v>
      </c>
      <c r="B24" s="11">
        <v>13641.926146521382</v>
      </c>
      <c r="C24" s="11">
        <v>13139.879903203462</v>
      </c>
      <c r="D24" s="11">
        <v>13465</v>
      </c>
      <c r="E24" s="11">
        <v>13465</v>
      </c>
      <c r="F24" s="11">
        <v>13435</v>
      </c>
      <c r="G24" s="11">
        <v>13445</v>
      </c>
      <c r="H24" s="11">
        <v>45613</v>
      </c>
    </row>
    <row r="25" spans="1:8" x14ac:dyDescent="0.3">
      <c r="A25" s="3" t="s">
        <v>66</v>
      </c>
      <c r="B25" s="11">
        <v>13634.452451733008</v>
      </c>
      <c r="C25" s="11">
        <v>13147.281388380352</v>
      </c>
      <c r="D25" s="11">
        <v>13445</v>
      </c>
      <c r="E25" s="11">
        <v>13480</v>
      </c>
      <c r="F25" s="11">
        <v>13445</v>
      </c>
      <c r="G25" s="11">
        <v>13480</v>
      </c>
      <c r="H25" s="11">
        <v>96160</v>
      </c>
    </row>
    <row r="26" spans="1:8" x14ac:dyDescent="0.3">
      <c r="A26" s="3" t="s">
        <v>67</v>
      </c>
      <c r="B26" s="11">
        <v>13644.668339362664</v>
      </c>
      <c r="C26" s="11">
        <v>13137.164204979003</v>
      </c>
      <c r="D26" s="11">
        <v>13480</v>
      </c>
      <c r="E26" s="11">
        <v>13480</v>
      </c>
      <c r="F26" s="11">
        <v>13440</v>
      </c>
      <c r="G26" s="11">
        <v>13445</v>
      </c>
      <c r="H26" s="11">
        <v>60625</v>
      </c>
    </row>
    <row r="27" spans="1:8" x14ac:dyDescent="0.3">
      <c r="A27" s="3" t="s">
        <v>68</v>
      </c>
      <c r="B27" s="11">
        <v>13647.466709498594</v>
      </c>
      <c r="C27" s="11">
        <v>13134.392872235694</v>
      </c>
      <c r="D27" s="11">
        <v>13450</v>
      </c>
      <c r="E27" s="11">
        <v>13465</v>
      </c>
      <c r="F27" s="11">
        <v>13445</v>
      </c>
      <c r="G27" s="11">
        <v>13465</v>
      </c>
      <c r="H27" s="11">
        <v>31079</v>
      </c>
    </row>
    <row r="28" spans="1:8" x14ac:dyDescent="0.3">
      <c r="A28" s="3" t="s">
        <v>69</v>
      </c>
      <c r="B28" s="11">
        <v>13638.868701862746</v>
      </c>
      <c r="C28" s="11">
        <v>13142.907807333995</v>
      </c>
      <c r="D28" s="11">
        <v>13465</v>
      </c>
      <c r="E28" s="11">
        <v>13465</v>
      </c>
      <c r="F28" s="11">
        <v>13425</v>
      </c>
      <c r="G28" s="11">
        <v>13430</v>
      </c>
      <c r="H28" s="11">
        <v>33268</v>
      </c>
    </row>
    <row r="29" spans="1:8" x14ac:dyDescent="0.3">
      <c r="A29" s="3" t="s">
        <v>70</v>
      </c>
      <c r="B29" s="11">
        <v>13645.576842551349</v>
      </c>
      <c r="C29" s="11">
        <v>13136.264479598905</v>
      </c>
      <c r="D29" s="11">
        <v>13430</v>
      </c>
      <c r="E29" s="11">
        <v>13440</v>
      </c>
      <c r="F29" s="11">
        <v>13425</v>
      </c>
      <c r="G29" s="11">
        <v>13435</v>
      </c>
      <c r="H29" s="11">
        <v>37610</v>
      </c>
    </row>
    <row r="30" spans="1:8" x14ac:dyDescent="0.3">
      <c r="A30" s="3" t="s">
        <v>71</v>
      </c>
      <c r="B30" s="11">
        <v>13648.026530952015</v>
      </c>
      <c r="C30" s="11">
        <v>13133.838459685203</v>
      </c>
      <c r="D30" s="11">
        <v>13435</v>
      </c>
      <c r="E30" s="11">
        <v>13450</v>
      </c>
      <c r="F30" s="11">
        <v>13420</v>
      </c>
      <c r="G30" s="11">
        <v>13420</v>
      </c>
      <c r="H30" s="11">
        <v>55091</v>
      </c>
    </row>
    <row r="31" spans="1:8" x14ac:dyDescent="0.3">
      <c r="A31" s="3" t="s">
        <v>72</v>
      </c>
      <c r="B31" s="11">
        <v>13642.615195977785</v>
      </c>
      <c r="C31" s="11">
        <v>13139.19751122973</v>
      </c>
      <c r="D31" s="11">
        <v>13420</v>
      </c>
      <c r="E31" s="11">
        <v>13435</v>
      </c>
      <c r="F31" s="11">
        <v>13410</v>
      </c>
      <c r="G31" s="11">
        <v>13415</v>
      </c>
      <c r="H31" s="11">
        <v>56000</v>
      </c>
    </row>
    <row r="32" spans="1:8" x14ac:dyDescent="0.3">
      <c r="A32" s="3" t="s">
        <v>73</v>
      </c>
      <c r="B32" s="11">
        <v>13649.656823827569</v>
      </c>
      <c r="C32" s="11">
        <v>13132.223918431637</v>
      </c>
      <c r="D32" s="11">
        <v>13415</v>
      </c>
      <c r="E32" s="11">
        <v>13445</v>
      </c>
      <c r="F32" s="11">
        <v>13410</v>
      </c>
      <c r="G32" s="11">
        <v>13415</v>
      </c>
      <c r="H32" s="11">
        <v>37694</v>
      </c>
    </row>
    <row r="33" spans="1:8" x14ac:dyDescent="0.3">
      <c r="A33" s="3" t="s">
        <v>74</v>
      </c>
      <c r="B33" s="11">
        <v>13654.700143903296</v>
      </c>
      <c r="C33" s="11">
        <v>13127.22932608611</v>
      </c>
      <c r="D33" s="11">
        <v>13415</v>
      </c>
      <c r="E33" s="11">
        <v>13415</v>
      </c>
      <c r="F33" s="11">
        <v>13390</v>
      </c>
      <c r="G33" s="11">
        <v>13400</v>
      </c>
      <c r="H33" s="11">
        <v>59884</v>
      </c>
    </row>
    <row r="34" spans="1:8" x14ac:dyDescent="0.3">
      <c r="A34" s="3" t="s">
        <v>75</v>
      </c>
      <c r="B34" s="11">
        <v>13658.629977284327</v>
      </c>
      <c r="C34" s="11">
        <v>13123.337462109725</v>
      </c>
      <c r="D34" s="11">
        <v>13400</v>
      </c>
      <c r="E34" s="11">
        <v>13430</v>
      </c>
      <c r="F34" s="11">
        <v>13400</v>
      </c>
      <c r="G34" s="11">
        <v>13410</v>
      </c>
      <c r="H34" s="11">
        <v>63722</v>
      </c>
    </row>
    <row r="35" spans="1:8" x14ac:dyDescent="0.3">
      <c r="A35" s="3" t="s">
        <v>76</v>
      </c>
      <c r="B35" s="11">
        <v>13656.065950403841</v>
      </c>
      <c r="C35" s="11">
        <v>13125.876715783634</v>
      </c>
      <c r="D35" s="11">
        <v>13410</v>
      </c>
      <c r="E35" s="11">
        <v>13440</v>
      </c>
      <c r="F35" s="11">
        <v>13405</v>
      </c>
      <c r="G35" s="11">
        <v>13410</v>
      </c>
      <c r="H35" s="11">
        <v>42010</v>
      </c>
    </row>
    <row r="36" spans="1:8" x14ac:dyDescent="0.3">
      <c r="A36" s="3" t="s">
        <v>77</v>
      </c>
      <c r="B36" s="11">
        <v>13662.581890052692</v>
      </c>
      <c r="C36" s="11">
        <v>13119.423732073421</v>
      </c>
      <c r="D36" s="11">
        <v>13415</v>
      </c>
      <c r="E36" s="11">
        <v>13415</v>
      </c>
      <c r="F36" s="11">
        <v>13400</v>
      </c>
      <c r="G36" s="11">
        <v>13410</v>
      </c>
      <c r="H36" s="11">
        <v>21446</v>
      </c>
    </row>
    <row r="37" spans="1:8" x14ac:dyDescent="0.3">
      <c r="A37" s="3" t="s">
        <v>78</v>
      </c>
      <c r="B37" s="11">
        <v>13655.326455905097</v>
      </c>
      <c r="C37" s="11">
        <v>13126.609065407998</v>
      </c>
      <c r="D37" s="11">
        <v>13410</v>
      </c>
      <c r="E37" s="11">
        <v>13420</v>
      </c>
      <c r="F37" s="11">
        <v>13400</v>
      </c>
      <c r="G37" s="11">
        <v>13420</v>
      </c>
      <c r="H37" s="11">
        <v>40431</v>
      </c>
    </row>
    <row r="38" spans="1:8" x14ac:dyDescent="0.3">
      <c r="A38" s="3" t="s">
        <v>79</v>
      </c>
      <c r="B38" s="11">
        <v>13649.781531384553</v>
      </c>
      <c r="C38" s="11">
        <v>13132.100415778581</v>
      </c>
      <c r="D38" s="11">
        <v>13415</v>
      </c>
      <c r="E38" s="11">
        <v>13445</v>
      </c>
      <c r="F38" s="11">
        <v>13415</v>
      </c>
      <c r="G38" s="11">
        <v>13435</v>
      </c>
      <c r="H38" s="11">
        <v>61015</v>
      </c>
    </row>
    <row r="39" spans="1:8" x14ac:dyDescent="0.3">
      <c r="A39" s="3" t="s">
        <v>80</v>
      </c>
      <c r="B39" s="11">
        <v>13651.955423496211</v>
      </c>
      <c r="C39" s="11">
        <v>13129.947527455444</v>
      </c>
      <c r="D39" s="11">
        <v>13440</v>
      </c>
      <c r="E39" s="11">
        <v>13455</v>
      </c>
      <c r="F39" s="11">
        <v>13420</v>
      </c>
      <c r="G39" s="11">
        <v>13440</v>
      </c>
      <c r="H39" s="11">
        <v>74634</v>
      </c>
    </row>
    <row r="40" spans="1:8" x14ac:dyDescent="0.3">
      <c r="A40" s="3" t="s">
        <v>81</v>
      </c>
      <c r="B40" s="11">
        <v>13648.758723398812</v>
      </c>
      <c r="C40" s="11">
        <v>13133.113341561562</v>
      </c>
      <c r="D40" s="11">
        <v>13445</v>
      </c>
      <c r="E40" s="11">
        <v>13465</v>
      </c>
      <c r="F40" s="11">
        <v>13445</v>
      </c>
      <c r="G40" s="11">
        <v>13455</v>
      </c>
      <c r="H40" s="11">
        <v>77295</v>
      </c>
    </row>
    <row r="41" spans="1:8" x14ac:dyDescent="0.3">
      <c r="A41" s="3" t="s">
        <v>82</v>
      </c>
      <c r="B41" s="11">
        <v>13654.648018728731</v>
      </c>
      <c r="C41" s="11">
        <v>13127.280947635798</v>
      </c>
      <c r="D41" s="11">
        <v>13460</v>
      </c>
      <c r="E41" s="11">
        <v>13485</v>
      </c>
      <c r="F41" s="11">
        <v>13460</v>
      </c>
      <c r="G41" s="11">
        <v>13475</v>
      </c>
      <c r="H41" s="11">
        <v>141792</v>
      </c>
    </row>
    <row r="42" spans="1:8" x14ac:dyDescent="0.3">
      <c r="A42" s="3" t="s">
        <v>83</v>
      </c>
      <c r="B42" s="11">
        <v>13653.158973278751</v>
      </c>
      <c r="C42" s="11">
        <v>13128.755606173219</v>
      </c>
      <c r="D42" s="11">
        <v>13480</v>
      </c>
      <c r="E42" s="11">
        <v>13510</v>
      </c>
      <c r="F42" s="11">
        <v>13465</v>
      </c>
      <c r="G42" s="11">
        <v>13475</v>
      </c>
      <c r="H42" s="11">
        <v>281382</v>
      </c>
    </row>
    <row r="43" spans="1:8" x14ac:dyDescent="0.3">
      <c r="A43" s="3" t="s">
        <v>84</v>
      </c>
      <c r="B43" s="11">
        <v>13654.051401564011</v>
      </c>
      <c r="C43" s="11">
        <v>13127.871800383467</v>
      </c>
      <c r="D43" s="11">
        <v>13475</v>
      </c>
      <c r="E43" s="11">
        <v>13495</v>
      </c>
      <c r="F43" s="11">
        <v>13470</v>
      </c>
      <c r="G43" s="11">
        <v>13495</v>
      </c>
      <c r="H43" s="11">
        <v>112695</v>
      </c>
    </row>
    <row r="44" spans="1:8" x14ac:dyDescent="0.3">
      <c r="A44" s="3" t="s">
        <v>85</v>
      </c>
      <c r="B44" s="11">
        <v>13651.930891604785</v>
      </c>
      <c r="C44" s="11">
        <v>13129.971822323761</v>
      </c>
      <c r="D44" s="11">
        <v>13495</v>
      </c>
      <c r="E44" s="11">
        <v>13510</v>
      </c>
      <c r="F44" s="11">
        <v>13495</v>
      </c>
      <c r="G44" s="11">
        <v>13500</v>
      </c>
      <c r="H44" s="11">
        <v>109064</v>
      </c>
    </row>
    <row r="45" spans="1:8" x14ac:dyDescent="0.3">
      <c r="A45" s="3" t="s">
        <v>86</v>
      </c>
      <c r="B45" s="11">
        <v>13648.167296354495</v>
      </c>
      <c r="C45" s="11">
        <v>13133.69905433492</v>
      </c>
      <c r="D45" s="11">
        <v>13505</v>
      </c>
      <c r="E45" s="11">
        <v>13510</v>
      </c>
      <c r="F45" s="11">
        <v>13485</v>
      </c>
      <c r="G45" s="11">
        <v>13495</v>
      </c>
      <c r="H45" s="11">
        <v>68263</v>
      </c>
    </row>
    <row r="46" spans="1:8" x14ac:dyDescent="0.3">
      <c r="A46" s="3" t="s">
        <v>87</v>
      </c>
      <c r="B46" s="11">
        <v>13645.416424352017</v>
      </c>
      <c r="C46" s="11">
        <v>13136.423347863945</v>
      </c>
      <c r="D46" s="11">
        <v>13495</v>
      </c>
      <c r="E46" s="11">
        <v>13505</v>
      </c>
      <c r="F46" s="11">
        <v>13490</v>
      </c>
      <c r="G46" s="11">
        <v>13500</v>
      </c>
      <c r="H46" s="11">
        <v>54233</v>
      </c>
    </row>
    <row r="47" spans="1:8" x14ac:dyDescent="0.3">
      <c r="A47" s="3" t="s">
        <v>88</v>
      </c>
      <c r="B47" s="11">
        <v>13649.705356574123</v>
      </c>
      <c r="C47" s="11">
        <v>13132.175854600506</v>
      </c>
      <c r="D47" s="11">
        <v>13500</v>
      </c>
      <c r="E47" s="11">
        <v>13540</v>
      </c>
      <c r="F47" s="11">
        <v>13500</v>
      </c>
      <c r="G47" s="11">
        <v>13530</v>
      </c>
      <c r="H47" s="11">
        <v>264863</v>
      </c>
    </row>
    <row r="48" spans="1:8" x14ac:dyDescent="0.3">
      <c r="A48" s="3" t="s">
        <v>89</v>
      </c>
      <c r="B48" s="11">
        <v>13650.143872659211</v>
      </c>
      <c r="C48" s="11">
        <v>13131.741575385802</v>
      </c>
      <c r="D48" s="11">
        <v>13535</v>
      </c>
      <c r="E48" s="11">
        <v>13625</v>
      </c>
      <c r="F48" s="11">
        <v>13530</v>
      </c>
      <c r="G48" s="11">
        <v>13625</v>
      </c>
      <c r="H48" s="11">
        <v>563061</v>
      </c>
    </row>
    <row r="49" spans="1:8" x14ac:dyDescent="0.3">
      <c r="A49" s="3" t="s">
        <v>90</v>
      </c>
      <c r="B49" s="11">
        <v>13651.906275479696</v>
      </c>
      <c r="C49" s="11">
        <v>13129.996200611895</v>
      </c>
      <c r="D49" s="11">
        <v>13630</v>
      </c>
      <c r="E49" s="11">
        <v>13670</v>
      </c>
      <c r="F49" s="11">
        <v>13625</v>
      </c>
      <c r="G49" s="11">
        <v>13650</v>
      </c>
      <c r="H49" s="11">
        <v>378696</v>
      </c>
    </row>
    <row r="50" spans="1:8" x14ac:dyDescent="0.3">
      <c r="A50" s="3" t="s">
        <v>91</v>
      </c>
      <c r="B50" s="11">
        <v>13652.662650517594</v>
      </c>
      <c r="C50" s="11">
        <v>13129.247133545379</v>
      </c>
      <c r="D50" s="11">
        <v>13650</v>
      </c>
      <c r="E50" s="11">
        <v>13700</v>
      </c>
      <c r="F50" s="11">
        <v>13645</v>
      </c>
      <c r="G50" s="11">
        <v>13675</v>
      </c>
      <c r="H50" s="11">
        <v>362627</v>
      </c>
    </row>
    <row r="51" spans="1:8" x14ac:dyDescent="0.3">
      <c r="A51" s="3" t="s">
        <v>92</v>
      </c>
      <c r="B51" s="11">
        <v>13655.208061632546</v>
      </c>
      <c r="C51" s="11">
        <v>13126.726315774529</v>
      </c>
      <c r="D51" s="11">
        <v>13670</v>
      </c>
      <c r="E51" s="11">
        <v>13680</v>
      </c>
      <c r="F51" s="11">
        <v>13630</v>
      </c>
      <c r="G51" s="11">
        <v>13645</v>
      </c>
      <c r="H51" s="11">
        <v>156029</v>
      </c>
    </row>
    <row r="52" spans="1:8" x14ac:dyDescent="0.3">
      <c r="A52" s="3" t="s">
        <v>93</v>
      </c>
      <c r="B52" s="11">
        <v>13654.896957930421</v>
      </c>
      <c r="C52" s="11">
        <v>13127.034413643785</v>
      </c>
      <c r="D52" s="11">
        <v>13645</v>
      </c>
      <c r="E52" s="11">
        <v>13665</v>
      </c>
      <c r="F52" s="11">
        <v>13635</v>
      </c>
      <c r="G52" s="11">
        <v>13650</v>
      </c>
      <c r="H52" s="11">
        <v>77441</v>
      </c>
    </row>
    <row r="53" spans="1:8" x14ac:dyDescent="0.3">
      <c r="A53" s="3" t="s">
        <v>94</v>
      </c>
      <c r="B53" s="11">
        <v>13656.838925358616</v>
      </c>
      <c r="C53" s="11">
        <v>13125.111209185912</v>
      </c>
      <c r="D53" s="11">
        <v>13655</v>
      </c>
      <c r="E53" s="11">
        <v>13680</v>
      </c>
      <c r="F53" s="11">
        <v>13630</v>
      </c>
      <c r="G53" s="11">
        <v>13665</v>
      </c>
      <c r="H53" s="11">
        <v>160355</v>
      </c>
    </row>
    <row r="54" spans="1:8" x14ac:dyDescent="0.3">
      <c r="A54" s="3" t="s">
        <v>95</v>
      </c>
      <c r="B54" s="11">
        <v>13661.269195335795</v>
      </c>
      <c r="C54" s="11">
        <v>13120.723743749577</v>
      </c>
      <c r="D54" s="11">
        <v>13665</v>
      </c>
      <c r="E54" s="11">
        <v>13690</v>
      </c>
      <c r="F54" s="11">
        <v>13665</v>
      </c>
      <c r="G54" s="11">
        <v>13680</v>
      </c>
      <c r="H54" s="11">
        <v>104477</v>
      </c>
    </row>
    <row r="55" spans="1:8" x14ac:dyDescent="0.3">
      <c r="A55" s="3" t="s">
        <v>96</v>
      </c>
      <c r="B55" s="11">
        <v>13657.788262398057</v>
      </c>
      <c r="C55" s="11">
        <v>13124.171044485016</v>
      </c>
      <c r="D55" s="11">
        <v>13675</v>
      </c>
      <c r="E55" s="11">
        <v>13700</v>
      </c>
      <c r="F55" s="11">
        <v>13655</v>
      </c>
      <c r="G55" s="11">
        <v>13685</v>
      </c>
      <c r="H55" s="11">
        <v>400149</v>
      </c>
    </row>
    <row r="56" spans="1:8" x14ac:dyDescent="0.3">
      <c r="A56" s="3" t="s">
        <v>97</v>
      </c>
      <c r="B56" s="11">
        <v>13657.555190745587</v>
      </c>
      <c r="C56" s="11">
        <v>13124.401864237461</v>
      </c>
      <c r="D56" s="11">
        <v>13690</v>
      </c>
      <c r="E56" s="11">
        <v>13715</v>
      </c>
      <c r="F56" s="11">
        <v>13675</v>
      </c>
      <c r="G56" s="11">
        <v>13710</v>
      </c>
      <c r="H56" s="11">
        <v>250679</v>
      </c>
    </row>
    <row r="57" spans="1:8" x14ac:dyDescent="0.3">
      <c r="A57" s="3" t="s">
        <v>98</v>
      </c>
      <c r="B57" s="11">
        <v>13660.842743162948</v>
      </c>
      <c r="C57" s="11">
        <v>13121.146075611572</v>
      </c>
      <c r="D57" s="11">
        <v>13710</v>
      </c>
      <c r="E57" s="11">
        <v>13740</v>
      </c>
      <c r="F57" s="11">
        <v>13705</v>
      </c>
      <c r="G57" s="11">
        <v>13705</v>
      </c>
      <c r="H57" s="11">
        <v>237097</v>
      </c>
    </row>
    <row r="58" spans="1:8" x14ac:dyDescent="0.3">
      <c r="A58" s="3" t="s">
        <v>99</v>
      </c>
      <c r="B58" s="11">
        <v>13658.074747624307</v>
      </c>
      <c r="C58" s="11">
        <v>13123.887327231967</v>
      </c>
      <c r="D58" s="11">
        <v>13705</v>
      </c>
      <c r="E58" s="11">
        <v>13715</v>
      </c>
      <c r="F58" s="11">
        <v>13680</v>
      </c>
      <c r="G58" s="11">
        <v>13695</v>
      </c>
      <c r="H58" s="11">
        <v>92614</v>
      </c>
    </row>
    <row r="59" spans="1:8" x14ac:dyDescent="0.3">
      <c r="A59" s="3" t="s">
        <v>100</v>
      </c>
      <c r="B59" s="11">
        <v>13655.630351114505</v>
      </c>
      <c r="C59" s="11">
        <v>13126.308106384187</v>
      </c>
      <c r="D59" s="11">
        <v>13695</v>
      </c>
      <c r="E59" s="11">
        <v>13720</v>
      </c>
      <c r="F59" s="11">
        <v>13695</v>
      </c>
      <c r="G59" s="11">
        <v>13710</v>
      </c>
      <c r="H59" s="11">
        <v>36264</v>
      </c>
    </row>
    <row r="60" spans="1:8" x14ac:dyDescent="0.3">
      <c r="A60" s="3" t="s">
        <v>101</v>
      </c>
      <c r="B60" s="11">
        <v>13647.275199142929</v>
      </c>
      <c r="C60" s="11">
        <v>13134.582532249755</v>
      </c>
      <c r="D60" s="11">
        <v>13710</v>
      </c>
      <c r="E60" s="11">
        <v>13720</v>
      </c>
      <c r="F60" s="11">
        <v>13670</v>
      </c>
      <c r="G60" s="11">
        <v>13670</v>
      </c>
      <c r="H60" s="11">
        <v>74607</v>
      </c>
    </row>
    <row r="61" spans="1:8" x14ac:dyDescent="0.3">
      <c r="A61" s="3" t="s">
        <v>102</v>
      </c>
      <c r="B61" s="11">
        <v>13648.780665851209</v>
      </c>
      <c r="C61" s="11">
        <v>13133.091611113538</v>
      </c>
      <c r="D61" s="11">
        <v>13675</v>
      </c>
      <c r="E61" s="11">
        <v>13695</v>
      </c>
      <c r="F61" s="11">
        <v>13675</v>
      </c>
      <c r="G61" s="11">
        <v>13680</v>
      </c>
      <c r="H61" s="11">
        <v>43621</v>
      </c>
    </row>
    <row r="62" spans="1:8" x14ac:dyDescent="0.3">
      <c r="A62" s="3" t="s">
        <v>103</v>
      </c>
      <c r="B62" s="11">
        <v>13655.253129049706</v>
      </c>
      <c r="C62" s="11">
        <v>13126.681683791356</v>
      </c>
      <c r="D62" s="11">
        <v>13680</v>
      </c>
      <c r="E62" s="11">
        <v>13710</v>
      </c>
      <c r="F62" s="11">
        <v>13665</v>
      </c>
      <c r="G62" s="11">
        <v>13675</v>
      </c>
      <c r="H62" s="11">
        <v>69996</v>
      </c>
    </row>
    <row r="63" spans="1:8" x14ac:dyDescent="0.3">
      <c r="A63" s="3" t="s">
        <v>104</v>
      </c>
      <c r="B63" s="11">
        <v>13654.18947219513</v>
      </c>
      <c r="C63" s="11">
        <v>13127.735063768108</v>
      </c>
      <c r="D63" s="11">
        <v>13680</v>
      </c>
      <c r="E63" s="11">
        <v>13690</v>
      </c>
      <c r="F63" s="11">
        <v>13670</v>
      </c>
      <c r="G63" s="11">
        <v>13685</v>
      </c>
      <c r="H63" s="11">
        <v>31931</v>
      </c>
    </row>
    <row r="64" spans="1:8" x14ac:dyDescent="0.3">
      <c r="A64" s="3" t="s">
        <v>105</v>
      </c>
      <c r="B64" s="11">
        <v>13653.767678664359</v>
      </c>
      <c r="C64" s="11">
        <v>13128.152781999064</v>
      </c>
      <c r="D64" s="11">
        <v>13690</v>
      </c>
      <c r="E64" s="11">
        <v>13705</v>
      </c>
      <c r="F64" s="11">
        <v>13685</v>
      </c>
      <c r="G64" s="11">
        <v>13685</v>
      </c>
      <c r="H64" s="11">
        <v>41580</v>
      </c>
    </row>
    <row r="65" spans="1:8" x14ac:dyDescent="0.3">
      <c r="A65" s="3" t="s">
        <v>106</v>
      </c>
      <c r="B65" s="11">
        <v>13650.350619217843</v>
      </c>
      <c r="C65" s="11">
        <v>13131.536826378468</v>
      </c>
      <c r="D65" s="11">
        <v>13690</v>
      </c>
      <c r="E65" s="11">
        <v>13690</v>
      </c>
      <c r="F65" s="11">
        <v>13665</v>
      </c>
      <c r="G65" s="11">
        <v>13665</v>
      </c>
      <c r="H65" s="11">
        <v>30950</v>
      </c>
    </row>
    <row r="66" spans="1:8" x14ac:dyDescent="0.3">
      <c r="A66" s="3" t="s">
        <v>107</v>
      </c>
      <c r="B66" s="11">
        <v>13649.873745943085</v>
      </c>
      <c r="C66" s="11">
        <v>13132.00909218197</v>
      </c>
      <c r="D66" s="11">
        <v>13670</v>
      </c>
      <c r="E66" s="11">
        <v>13690</v>
      </c>
      <c r="F66" s="11">
        <v>13660</v>
      </c>
      <c r="G66" s="11">
        <v>13660</v>
      </c>
      <c r="H66" s="11">
        <v>42930</v>
      </c>
    </row>
    <row r="67" spans="1:8" x14ac:dyDescent="0.3">
      <c r="A67" s="3" t="s">
        <v>108</v>
      </c>
      <c r="B67" s="11">
        <v>13652.559158941463</v>
      </c>
      <c r="C67" s="11">
        <v>13129.349625202898</v>
      </c>
      <c r="D67" s="11">
        <v>13660</v>
      </c>
      <c r="E67" s="11">
        <v>13675</v>
      </c>
      <c r="F67" s="11">
        <v>13655</v>
      </c>
      <c r="G67" s="11">
        <v>13670</v>
      </c>
      <c r="H67" s="11">
        <v>64500</v>
      </c>
    </row>
    <row r="68" spans="1:8" x14ac:dyDescent="0.3">
      <c r="A68" s="3" t="s">
        <v>109</v>
      </c>
      <c r="B68" s="11">
        <v>13652.466713828257</v>
      </c>
      <c r="C68" s="11">
        <v>13129.441177126604</v>
      </c>
      <c r="D68" s="11">
        <v>13675</v>
      </c>
      <c r="E68" s="11">
        <v>13685</v>
      </c>
      <c r="F68" s="11">
        <v>13660</v>
      </c>
      <c r="G68" s="11">
        <v>13675</v>
      </c>
      <c r="H68" s="11">
        <v>53129</v>
      </c>
    </row>
    <row r="69" spans="1:8" x14ac:dyDescent="0.3">
      <c r="A69" s="3" t="s">
        <v>110</v>
      </c>
      <c r="B69" s="11">
        <v>13650.792585596122</v>
      </c>
      <c r="C69" s="11">
        <v>13131.099130206738</v>
      </c>
      <c r="D69" s="11">
        <v>13680</v>
      </c>
      <c r="E69" s="11">
        <v>13695</v>
      </c>
      <c r="F69" s="11">
        <v>13680</v>
      </c>
      <c r="G69" s="11">
        <v>13680</v>
      </c>
      <c r="H69" s="11">
        <v>24945</v>
      </c>
    </row>
    <row r="70" spans="1:8" x14ac:dyDescent="0.3">
      <c r="A70" s="3" t="s">
        <v>111</v>
      </c>
      <c r="B70" s="11">
        <v>13644.149086397309</v>
      </c>
      <c r="C70" s="11">
        <v>13137.678441007496</v>
      </c>
      <c r="D70" s="11">
        <v>13675</v>
      </c>
      <c r="E70" s="11">
        <v>13680</v>
      </c>
      <c r="F70" s="11">
        <v>13670</v>
      </c>
      <c r="G70" s="11">
        <v>13675</v>
      </c>
      <c r="H70" s="11">
        <v>5295</v>
      </c>
    </row>
    <row r="71" spans="1:8" x14ac:dyDescent="0.3">
      <c r="A71" s="3" t="s">
        <v>112</v>
      </c>
      <c r="B71" s="11">
        <v>13641.888515998578</v>
      </c>
      <c r="C71" s="11">
        <v>13139.917170146337</v>
      </c>
      <c r="D71" s="11">
        <v>13670</v>
      </c>
      <c r="E71" s="11">
        <v>13675</v>
      </c>
      <c r="F71" s="11">
        <v>13650</v>
      </c>
      <c r="G71" s="11">
        <v>13665</v>
      </c>
      <c r="H71" s="11">
        <v>46174</v>
      </c>
    </row>
    <row r="72" spans="1:8" x14ac:dyDescent="0.3">
      <c r="A72" s="3" t="s">
        <v>113</v>
      </c>
      <c r="B72" s="11">
        <v>13649.694409911859</v>
      </c>
      <c r="C72" s="11">
        <v>13132.18669549792</v>
      </c>
      <c r="D72" s="11">
        <v>13665</v>
      </c>
      <c r="E72" s="11">
        <v>13685</v>
      </c>
      <c r="F72" s="11">
        <v>13660</v>
      </c>
      <c r="G72" s="11">
        <v>13665</v>
      </c>
      <c r="H72" s="11">
        <v>76840</v>
      </c>
    </row>
    <row r="73" spans="1:8" x14ac:dyDescent="0.3">
      <c r="A73" s="3" t="s">
        <v>114</v>
      </c>
      <c r="B73" s="11">
        <v>13649.07891228548</v>
      </c>
      <c r="C73" s="11">
        <v>13132.796246287324</v>
      </c>
      <c r="D73" s="11">
        <v>13665</v>
      </c>
      <c r="E73" s="11">
        <v>13705</v>
      </c>
      <c r="F73" s="11">
        <v>13665</v>
      </c>
      <c r="G73" s="11">
        <v>13685</v>
      </c>
      <c r="H73" s="11">
        <v>77621</v>
      </c>
    </row>
    <row r="74" spans="1:8" x14ac:dyDescent="0.3">
      <c r="A74" s="3" t="s">
        <v>115</v>
      </c>
      <c r="B74" s="11">
        <v>13646.323359805376</v>
      </c>
      <c r="C74" s="11">
        <v>13135.525175071969</v>
      </c>
      <c r="D74" s="11">
        <v>13690</v>
      </c>
      <c r="E74" s="11">
        <v>13690</v>
      </c>
      <c r="F74" s="11">
        <v>13675</v>
      </c>
      <c r="G74" s="11">
        <v>13675</v>
      </c>
      <c r="H74" s="11">
        <v>38208</v>
      </c>
    </row>
    <row r="75" spans="1:8" x14ac:dyDescent="0.3">
      <c r="A75" s="3" t="s">
        <v>116</v>
      </c>
      <c r="B75" s="11">
        <v>13643.987311809473</v>
      </c>
      <c r="C75" s="11">
        <v>13137.838652555834</v>
      </c>
      <c r="D75" s="11">
        <v>13680</v>
      </c>
      <c r="E75" s="11">
        <v>13690</v>
      </c>
      <c r="F75" s="11">
        <v>13675</v>
      </c>
      <c r="G75" s="11">
        <v>13680</v>
      </c>
      <c r="H75" s="11">
        <v>3121</v>
      </c>
    </row>
    <row r="76" spans="1:8" x14ac:dyDescent="0.3">
      <c r="A76" s="3" t="s">
        <v>117</v>
      </c>
      <c r="B76" s="11">
        <v>13640.429349881857</v>
      </c>
      <c r="C76" s="11">
        <v>13141.362238039708</v>
      </c>
      <c r="D76" s="11">
        <v>13685</v>
      </c>
      <c r="E76" s="11">
        <v>13700</v>
      </c>
      <c r="F76" s="11">
        <v>13685</v>
      </c>
      <c r="G76" s="11">
        <v>13690</v>
      </c>
      <c r="H76" s="11">
        <v>24024</v>
      </c>
    </row>
    <row r="77" spans="1:8" x14ac:dyDescent="0.3">
      <c r="A77" s="3" t="s">
        <v>118</v>
      </c>
      <c r="B77" s="11">
        <v>13642.79601084121</v>
      </c>
      <c r="C77" s="11">
        <v>13139.018443369816</v>
      </c>
      <c r="D77" s="11">
        <v>13690</v>
      </c>
      <c r="E77" s="11">
        <v>13710</v>
      </c>
      <c r="F77" s="11">
        <v>13690</v>
      </c>
      <c r="G77" s="11">
        <v>13700</v>
      </c>
      <c r="H77" s="11">
        <v>32317</v>
      </c>
    </row>
    <row r="78" spans="1:8" x14ac:dyDescent="0.3">
      <c r="A78" s="3" t="s">
        <v>119</v>
      </c>
      <c r="B78" s="11">
        <v>13639.715159737074</v>
      </c>
      <c r="C78" s="11">
        <v>13142.069527796619</v>
      </c>
      <c r="D78" s="11">
        <v>13695</v>
      </c>
      <c r="E78" s="11">
        <v>13705</v>
      </c>
      <c r="F78" s="11">
        <v>13690</v>
      </c>
      <c r="G78" s="11">
        <v>13690</v>
      </c>
      <c r="H78" s="11">
        <v>27718</v>
      </c>
    </row>
    <row r="79" spans="1:8" x14ac:dyDescent="0.3">
      <c r="A79" s="3" t="s">
        <v>120</v>
      </c>
      <c r="B79" s="11">
        <v>13637.09597849447</v>
      </c>
      <c r="C79" s="11">
        <v>13144.663402940259</v>
      </c>
      <c r="D79" s="11">
        <v>13695</v>
      </c>
      <c r="E79" s="11">
        <v>13700</v>
      </c>
      <c r="F79" s="11">
        <v>13690</v>
      </c>
      <c r="G79" s="11">
        <v>13695</v>
      </c>
      <c r="H79" s="11">
        <v>8666</v>
      </c>
    </row>
    <row r="80" spans="1:8" x14ac:dyDescent="0.3">
      <c r="A80" s="3" t="s">
        <v>121</v>
      </c>
      <c r="B80" s="11">
        <v>13640.7902698332</v>
      </c>
      <c r="C80" s="11">
        <v>13141.004805237651</v>
      </c>
      <c r="D80" s="11">
        <v>13695</v>
      </c>
      <c r="E80" s="11">
        <v>13705</v>
      </c>
      <c r="F80" s="11">
        <v>13695</v>
      </c>
      <c r="G80" s="11">
        <v>13700</v>
      </c>
      <c r="H80" s="11">
        <v>32126</v>
      </c>
    </row>
    <row r="81" spans="1:8" x14ac:dyDescent="0.3">
      <c r="A81" s="3" t="s">
        <v>122</v>
      </c>
      <c r="B81" s="11">
        <v>13638.811801959102</v>
      </c>
      <c r="C81" s="11">
        <v>13142.964157480115</v>
      </c>
      <c r="D81" s="11">
        <v>13700</v>
      </c>
      <c r="E81" s="11">
        <v>13705</v>
      </c>
      <c r="F81" s="11">
        <v>13695</v>
      </c>
      <c r="G81" s="11">
        <v>13695</v>
      </c>
      <c r="H81" s="11">
        <v>25076</v>
      </c>
    </row>
    <row r="82" spans="1:8" x14ac:dyDescent="0.3">
      <c r="A82" s="3" t="s">
        <v>123</v>
      </c>
      <c r="B82" s="11">
        <v>13636.469872993535</v>
      </c>
      <c r="C82" s="11">
        <v>13145.283459112683</v>
      </c>
      <c r="D82" s="11">
        <v>13700</v>
      </c>
      <c r="E82" s="11">
        <v>13715</v>
      </c>
      <c r="F82" s="11">
        <v>13700</v>
      </c>
      <c r="G82" s="11">
        <v>13710</v>
      </c>
      <c r="H82" s="11">
        <v>58247</v>
      </c>
    </row>
    <row r="83" spans="1:8" x14ac:dyDescent="0.3">
      <c r="A83" s="3" t="s">
        <v>124</v>
      </c>
      <c r="B83" s="11">
        <v>13635.602788415466</v>
      </c>
      <c r="C83" s="11">
        <v>13146.142166061978</v>
      </c>
      <c r="D83" s="11">
        <v>13710</v>
      </c>
      <c r="E83" s="11">
        <v>13715</v>
      </c>
      <c r="F83" s="11">
        <v>13685</v>
      </c>
      <c r="G83" s="11">
        <v>13700</v>
      </c>
      <c r="H83" s="11">
        <v>83334</v>
      </c>
    </row>
    <row r="84" spans="1:8" x14ac:dyDescent="0.3">
      <c r="A84" s="3" t="s">
        <v>125</v>
      </c>
      <c r="B84" s="11">
        <v>13634.210768449004</v>
      </c>
      <c r="C84" s="11">
        <v>13147.520736560165</v>
      </c>
      <c r="D84" s="11">
        <v>13700</v>
      </c>
      <c r="E84" s="11">
        <v>13720</v>
      </c>
      <c r="F84" s="11">
        <v>13700</v>
      </c>
      <c r="G84" s="11">
        <v>13720</v>
      </c>
      <c r="H84" s="11">
        <v>49486</v>
      </c>
    </row>
    <row r="85" spans="1:8" x14ac:dyDescent="0.3">
      <c r="A85" s="3" t="s">
        <v>126</v>
      </c>
      <c r="B85" s="11">
        <v>13639.910176857424</v>
      </c>
      <c r="C85" s="11">
        <v>13141.876394899651</v>
      </c>
      <c r="D85" s="11">
        <v>13720</v>
      </c>
      <c r="E85" s="11">
        <v>13755</v>
      </c>
      <c r="F85" s="11">
        <v>13720</v>
      </c>
      <c r="G85" s="11">
        <v>13745</v>
      </c>
      <c r="H85" s="11">
        <v>306239</v>
      </c>
    </row>
    <row r="86" spans="1:8" x14ac:dyDescent="0.3">
      <c r="A86" s="3" t="s">
        <v>127</v>
      </c>
      <c r="B86" s="11">
        <v>13636.363082061145</v>
      </c>
      <c r="C86" s="11">
        <v>13145.389218248625</v>
      </c>
      <c r="D86" s="11">
        <v>13745</v>
      </c>
      <c r="E86" s="11">
        <v>13760</v>
      </c>
      <c r="F86" s="11">
        <v>13740</v>
      </c>
      <c r="G86" s="11">
        <v>13750</v>
      </c>
      <c r="H86" s="11">
        <v>57559</v>
      </c>
    </row>
    <row r="87" spans="1:8" x14ac:dyDescent="0.3">
      <c r="A87" s="3" t="s">
        <v>128</v>
      </c>
      <c r="B87" s="11">
        <v>13640.53999581978</v>
      </c>
      <c r="C87" s="11">
        <v>13141.252661144661</v>
      </c>
      <c r="D87" s="11">
        <v>13750</v>
      </c>
      <c r="E87" s="11">
        <v>13785</v>
      </c>
      <c r="F87" s="11">
        <v>13750</v>
      </c>
      <c r="G87" s="11">
        <v>13770</v>
      </c>
      <c r="H87" s="11">
        <v>240056</v>
      </c>
    </row>
    <row r="88" spans="1:8" x14ac:dyDescent="0.3">
      <c r="A88" s="3" t="s">
        <v>129</v>
      </c>
      <c r="B88" s="11">
        <v>13638.560159340686</v>
      </c>
      <c r="C88" s="11">
        <v>13143.213368768886</v>
      </c>
      <c r="D88" s="11">
        <v>13770</v>
      </c>
      <c r="E88" s="11">
        <v>13800</v>
      </c>
      <c r="F88" s="11">
        <v>13770</v>
      </c>
      <c r="G88" s="11">
        <v>13800</v>
      </c>
      <c r="H88" s="11">
        <v>107843</v>
      </c>
    </row>
    <row r="89" spans="1:8" x14ac:dyDescent="0.3">
      <c r="A89" s="3" t="s">
        <v>130</v>
      </c>
      <c r="B89" s="11">
        <v>13632.463825375124</v>
      </c>
      <c r="C89" s="11">
        <v>13149.250800957003</v>
      </c>
      <c r="D89" s="11">
        <v>13795</v>
      </c>
      <c r="E89" s="11">
        <v>13820</v>
      </c>
      <c r="F89" s="11">
        <v>13795</v>
      </c>
      <c r="G89" s="11">
        <v>13805</v>
      </c>
      <c r="H89" s="11">
        <v>272085</v>
      </c>
    </row>
    <row r="90" spans="1:8" x14ac:dyDescent="0.3">
      <c r="A90" s="3" t="s">
        <v>131</v>
      </c>
      <c r="B90" s="11">
        <v>13628.881557294244</v>
      </c>
      <c r="C90" s="11">
        <v>13152.798457752077</v>
      </c>
      <c r="D90" s="11">
        <v>13805</v>
      </c>
      <c r="E90" s="11">
        <v>13810</v>
      </c>
      <c r="F90" s="11">
        <v>13785</v>
      </c>
      <c r="G90" s="11">
        <v>13795</v>
      </c>
      <c r="H90" s="11">
        <v>127794</v>
      </c>
    </row>
    <row r="91" spans="1:8" x14ac:dyDescent="0.3">
      <c r="A91" s="3" t="s">
        <v>132</v>
      </c>
      <c r="B91" s="11">
        <v>13631.876808300773</v>
      </c>
      <c r="C91" s="11">
        <v>13149.832146368799</v>
      </c>
      <c r="D91" s="11">
        <v>13795</v>
      </c>
      <c r="E91" s="11">
        <v>13800</v>
      </c>
      <c r="F91" s="11">
        <v>13785</v>
      </c>
      <c r="G91" s="11">
        <v>13785</v>
      </c>
      <c r="H91" s="11">
        <v>38104</v>
      </c>
    </row>
    <row r="92" spans="1:8" x14ac:dyDescent="0.3">
      <c r="A92" s="3" t="s">
        <v>133</v>
      </c>
      <c r="B92" s="11">
        <v>13642.627131383575</v>
      </c>
      <c r="C92" s="11">
        <v>13139.185691141871</v>
      </c>
      <c r="D92" s="11">
        <v>13780</v>
      </c>
      <c r="E92" s="11">
        <v>13790</v>
      </c>
      <c r="F92" s="11">
        <v>13770</v>
      </c>
      <c r="G92" s="11">
        <v>13780</v>
      </c>
      <c r="H92" s="11">
        <v>104225</v>
      </c>
    </row>
    <row r="93" spans="1:8" x14ac:dyDescent="0.3">
      <c r="A93" s="3" t="s">
        <v>134</v>
      </c>
      <c r="B93" s="11">
        <v>13640.667996193732</v>
      </c>
      <c r="C93" s="11">
        <v>13141.125897489299</v>
      </c>
      <c r="D93" s="11">
        <v>13780</v>
      </c>
      <c r="E93" s="11">
        <v>13785</v>
      </c>
      <c r="F93" s="11">
        <v>13765</v>
      </c>
      <c r="G93" s="11">
        <v>13765</v>
      </c>
      <c r="H93" s="11">
        <v>46682</v>
      </c>
    </row>
    <row r="94" spans="1:8" x14ac:dyDescent="0.3">
      <c r="A94" s="3" t="s">
        <v>135</v>
      </c>
      <c r="B94" s="11">
        <v>13643.217309065596</v>
      </c>
      <c r="C94" s="11">
        <v>13138.601215659673</v>
      </c>
      <c r="D94" s="11">
        <v>13765</v>
      </c>
      <c r="E94" s="11">
        <v>13765</v>
      </c>
      <c r="F94" s="11">
        <v>13745</v>
      </c>
      <c r="G94" s="11">
        <v>13745</v>
      </c>
      <c r="H94" s="11">
        <v>38984</v>
      </c>
    </row>
    <row r="95" spans="1:8" x14ac:dyDescent="0.3">
      <c r="A95" s="3" t="s">
        <v>136</v>
      </c>
      <c r="B95" s="11">
        <v>13645.154773276297</v>
      </c>
      <c r="C95" s="11">
        <v>13136.682470909947</v>
      </c>
      <c r="D95" s="11">
        <v>13750</v>
      </c>
      <c r="E95" s="11">
        <v>13765</v>
      </c>
      <c r="F95" s="11">
        <v>13745</v>
      </c>
      <c r="G95" s="11">
        <v>13760</v>
      </c>
      <c r="H95" s="11">
        <v>49251</v>
      </c>
    </row>
    <row r="96" spans="1:8" x14ac:dyDescent="0.3">
      <c r="A96" s="3" t="s">
        <v>137</v>
      </c>
      <c r="B96" s="11">
        <v>13640.391117089746</v>
      </c>
      <c r="C96" s="11">
        <v>13141.400101432861</v>
      </c>
      <c r="D96" s="11">
        <v>13755</v>
      </c>
      <c r="E96" s="11">
        <v>13755</v>
      </c>
      <c r="F96" s="11">
        <v>13650</v>
      </c>
      <c r="G96" s="11">
        <v>13675</v>
      </c>
      <c r="H96" s="11">
        <v>305658</v>
      </c>
    </row>
    <row r="97" spans="1:8" x14ac:dyDescent="0.3">
      <c r="A97" s="3" t="s">
        <v>138</v>
      </c>
      <c r="B97" s="11">
        <v>13649.931211528532</v>
      </c>
      <c r="C97" s="11">
        <v>13131.952181819572</v>
      </c>
      <c r="D97" s="11">
        <v>13670</v>
      </c>
      <c r="E97" s="11">
        <v>13700</v>
      </c>
      <c r="F97" s="11">
        <v>13660</v>
      </c>
      <c r="G97" s="11">
        <v>13670</v>
      </c>
      <c r="H97" s="11">
        <v>82773</v>
      </c>
    </row>
    <row r="98" spans="1:8" x14ac:dyDescent="0.3">
      <c r="A98" s="3" t="s">
        <v>139</v>
      </c>
      <c r="B98" s="11">
        <v>13650.463516000331</v>
      </c>
      <c r="C98" s="11">
        <v>13131.425020386147</v>
      </c>
      <c r="D98" s="11">
        <v>13680</v>
      </c>
      <c r="E98" s="11">
        <v>13680</v>
      </c>
      <c r="F98" s="11">
        <v>13620</v>
      </c>
      <c r="G98" s="11">
        <v>13645</v>
      </c>
      <c r="H98" s="11">
        <v>165769</v>
      </c>
    </row>
    <row r="99" spans="1:8" x14ac:dyDescent="0.3">
      <c r="A99" s="3" t="s">
        <v>140</v>
      </c>
      <c r="B99" s="11">
        <v>13648.460243809041</v>
      </c>
      <c r="C99" s="11">
        <v>13133.408937290566</v>
      </c>
      <c r="D99" s="11">
        <v>13645</v>
      </c>
      <c r="E99" s="11">
        <v>13675</v>
      </c>
      <c r="F99" s="11">
        <v>13645</v>
      </c>
      <c r="G99" s="11">
        <v>13670</v>
      </c>
      <c r="H99" s="11">
        <v>57872</v>
      </c>
    </row>
    <row r="100" spans="1:8" x14ac:dyDescent="0.3">
      <c r="A100" s="3" t="s">
        <v>141</v>
      </c>
      <c r="B100" s="11">
        <v>13647.483180272433</v>
      </c>
      <c r="C100" s="11">
        <v>13134.376560599763</v>
      </c>
      <c r="D100" s="11">
        <v>13670</v>
      </c>
      <c r="E100" s="11">
        <v>13680</v>
      </c>
      <c r="F100" s="11">
        <v>13660</v>
      </c>
      <c r="G100" s="11">
        <v>13675</v>
      </c>
      <c r="H100" s="11">
        <v>31429</v>
      </c>
    </row>
    <row r="101" spans="1:8" x14ac:dyDescent="0.3">
      <c r="A101" s="3" t="s">
        <v>142</v>
      </c>
      <c r="B101" s="11">
        <v>13652.014535945227</v>
      </c>
      <c r="C101" s="11">
        <v>13129.888986141201</v>
      </c>
      <c r="D101" s="11">
        <v>13680</v>
      </c>
      <c r="E101" s="11">
        <v>13685</v>
      </c>
      <c r="F101" s="11">
        <v>13665</v>
      </c>
      <c r="G101" s="11">
        <v>13680</v>
      </c>
      <c r="H101" s="11">
        <v>20534</v>
      </c>
    </row>
    <row r="102" spans="1:8" x14ac:dyDescent="0.3">
      <c r="A102" s="3" t="s">
        <v>143</v>
      </c>
      <c r="B102" s="11">
        <v>13652.384975011169</v>
      </c>
      <c r="C102" s="11">
        <v>13129.522126196669</v>
      </c>
      <c r="D102" s="11">
        <v>13680</v>
      </c>
      <c r="E102" s="11">
        <v>13680</v>
      </c>
      <c r="F102" s="11">
        <v>13665</v>
      </c>
      <c r="G102" s="11">
        <v>13670</v>
      </c>
      <c r="H102" s="11">
        <v>16776</v>
      </c>
    </row>
    <row r="103" spans="1:8" x14ac:dyDescent="0.3">
      <c r="A103" s="3" t="s">
        <v>144</v>
      </c>
      <c r="B103" s="11">
        <v>13654.699338067234</v>
      </c>
      <c r="C103" s="11">
        <v>13127.230124136315</v>
      </c>
      <c r="D103" s="11">
        <v>13675</v>
      </c>
      <c r="E103" s="11">
        <v>13690</v>
      </c>
      <c r="F103" s="11">
        <v>13670</v>
      </c>
      <c r="G103" s="11">
        <v>13680</v>
      </c>
      <c r="H103" s="11">
        <v>29788</v>
      </c>
    </row>
    <row r="104" spans="1:8" x14ac:dyDescent="0.3">
      <c r="A104" s="3" t="s">
        <v>145</v>
      </c>
      <c r="B104" s="11">
        <v>13653.499701214261</v>
      </c>
      <c r="C104" s="11">
        <v>13128.418170295057</v>
      </c>
      <c r="D104" s="11">
        <v>13685</v>
      </c>
      <c r="E104" s="11">
        <v>13690</v>
      </c>
      <c r="F104" s="11">
        <v>13660</v>
      </c>
      <c r="G104" s="11">
        <v>13670</v>
      </c>
      <c r="H104" s="11">
        <v>12448</v>
      </c>
    </row>
    <row r="105" spans="1:8" x14ac:dyDescent="0.3">
      <c r="A105" s="3" t="s">
        <v>146</v>
      </c>
      <c r="B105" s="11">
        <v>13650.273139601117</v>
      </c>
      <c r="C105" s="11">
        <v>13131.613557399858</v>
      </c>
      <c r="D105" s="11">
        <v>13675</v>
      </c>
      <c r="E105" s="11">
        <v>13680</v>
      </c>
      <c r="F105" s="11">
        <v>13650</v>
      </c>
      <c r="G105" s="11">
        <v>13650</v>
      </c>
      <c r="H105" s="11">
        <v>23560</v>
      </c>
    </row>
    <row r="106" spans="1:8" x14ac:dyDescent="0.3">
      <c r="A106" s="3" t="s">
        <v>147</v>
      </c>
      <c r="B106" s="11">
        <v>13650.02427018317</v>
      </c>
      <c r="C106" s="11">
        <v>13131.860022282368</v>
      </c>
      <c r="D106" s="11">
        <v>13645</v>
      </c>
      <c r="E106" s="11">
        <v>13650</v>
      </c>
      <c r="F106" s="11">
        <v>13620</v>
      </c>
      <c r="G106" s="11">
        <v>13630</v>
      </c>
      <c r="H106" s="11">
        <v>69678</v>
      </c>
    </row>
    <row r="107" spans="1:8" x14ac:dyDescent="0.3">
      <c r="A107" s="3" t="s">
        <v>148</v>
      </c>
      <c r="B107" s="11">
        <v>13656.541227777123</v>
      </c>
      <c r="C107" s="11">
        <v>13125.406030462269</v>
      </c>
      <c r="D107" s="11">
        <v>13625</v>
      </c>
      <c r="E107" s="11">
        <v>13645</v>
      </c>
      <c r="F107" s="11">
        <v>13625</v>
      </c>
      <c r="G107" s="11">
        <v>13630</v>
      </c>
      <c r="H107" s="11">
        <v>19620</v>
      </c>
    </row>
    <row r="108" spans="1:8" x14ac:dyDescent="0.3">
      <c r="A108" s="3" t="s">
        <v>149</v>
      </c>
      <c r="B108" s="11">
        <v>13661.396252994122</v>
      </c>
      <c r="C108" s="11">
        <v>13120.597913701471</v>
      </c>
      <c r="D108" s="11">
        <v>13640</v>
      </c>
      <c r="E108" s="11">
        <v>13640</v>
      </c>
      <c r="F108" s="11">
        <v>13620</v>
      </c>
      <c r="G108" s="11">
        <v>13620</v>
      </c>
      <c r="H108" s="11">
        <v>22708</v>
      </c>
    </row>
    <row r="109" spans="1:8" x14ac:dyDescent="0.3">
      <c r="A109" s="3" t="s">
        <v>150</v>
      </c>
      <c r="B109" s="11">
        <v>13658.542799892457</v>
      </c>
      <c r="C109" s="11">
        <v>13123.423797207954</v>
      </c>
      <c r="D109" s="11">
        <v>13620</v>
      </c>
      <c r="E109" s="11">
        <v>13645</v>
      </c>
      <c r="F109" s="11">
        <v>13620</v>
      </c>
      <c r="G109" s="11">
        <v>13640</v>
      </c>
      <c r="H109" s="11">
        <v>22952</v>
      </c>
    </row>
    <row r="110" spans="1:8" x14ac:dyDescent="0.3">
      <c r="A110" s="3" t="s">
        <v>151</v>
      </c>
      <c r="B110" s="11">
        <v>13660.386889236328</v>
      </c>
      <c r="C110" s="11">
        <v>13121.597525152429</v>
      </c>
      <c r="D110" s="11">
        <v>13640</v>
      </c>
      <c r="E110" s="11">
        <v>13655</v>
      </c>
      <c r="F110" s="11">
        <v>13635</v>
      </c>
      <c r="G110" s="11">
        <v>13655</v>
      </c>
      <c r="H110" s="11">
        <v>24296</v>
      </c>
    </row>
    <row r="111" spans="1:8" x14ac:dyDescent="0.3">
      <c r="A111" s="3" t="s">
        <v>152</v>
      </c>
      <c r="B111" s="11">
        <v>13663.637136470601</v>
      </c>
      <c r="C111" s="11">
        <v>13118.378681273078</v>
      </c>
      <c r="D111" s="11">
        <v>13655</v>
      </c>
      <c r="E111" s="11">
        <v>13660</v>
      </c>
      <c r="F111" s="11">
        <v>13640</v>
      </c>
      <c r="G111" s="11">
        <v>13645</v>
      </c>
      <c r="H111" s="11">
        <v>36071</v>
      </c>
    </row>
    <row r="112" spans="1:8" x14ac:dyDescent="0.3">
      <c r="A112" s="3" t="s">
        <v>153</v>
      </c>
      <c r="B112" s="11">
        <v>13666.342011365879</v>
      </c>
      <c r="C112" s="11">
        <v>13115.699940434757</v>
      </c>
      <c r="D112" s="11">
        <v>13640</v>
      </c>
      <c r="E112" s="11">
        <v>13640</v>
      </c>
      <c r="F112" s="11">
        <v>13605</v>
      </c>
      <c r="G112" s="11">
        <v>13625</v>
      </c>
      <c r="H112" s="11">
        <v>94111</v>
      </c>
    </row>
    <row r="113" spans="1:8" x14ac:dyDescent="0.3">
      <c r="A113" s="3" t="s">
        <v>154</v>
      </c>
      <c r="B113" s="11">
        <v>13668.266729680003</v>
      </c>
      <c r="C113" s="11">
        <v>13113.793818432847</v>
      </c>
      <c r="D113" s="11">
        <v>13625</v>
      </c>
      <c r="E113" s="11">
        <v>13625</v>
      </c>
      <c r="F113" s="11">
        <v>13615</v>
      </c>
      <c r="G113" s="11">
        <v>13620</v>
      </c>
      <c r="H113" s="11">
        <v>9436</v>
      </c>
    </row>
    <row r="114" spans="1:8" x14ac:dyDescent="0.3">
      <c r="A114" s="3" t="s">
        <v>155</v>
      </c>
      <c r="B114" s="11">
        <v>13674.908344345835</v>
      </c>
      <c r="C114" s="11">
        <v>13107.216373957022</v>
      </c>
      <c r="D114" s="11">
        <v>13620</v>
      </c>
      <c r="E114" s="11">
        <v>13625</v>
      </c>
      <c r="F114" s="11">
        <v>13605</v>
      </c>
      <c r="G114" s="11">
        <v>13620</v>
      </c>
      <c r="H114" s="11">
        <v>35829</v>
      </c>
    </row>
    <row r="115" spans="1:8" x14ac:dyDescent="0.3">
      <c r="A115" s="3" t="s">
        <v>156</v>
      </c>
      <c r="B115" s="11">
        <v>13673.260682383525</v>
      </c>
      <c r="C115" s="11">
        <v>13108.848116480083</v>
      </c>
      <c r="D115" s="11">
        <v>13620</v>
      </c>
      <c r="E115" s="11">
        <v>13625</v>
      </c>
      <c r="F115" s="11">
        <v>13605</v>
      </c>
      <c r="G115" s="11">
        <v>13615</v>
      </c>
      <c r="H115" s="11">
        <v>10051</v>
      </c>
    </row>
    <row r="116" spans="1:8" x14ac:dyDescent="0.3">
      <c r="A116" s="3" t="s">
        <v>157</v>
      </c>
      <c r="B116" s="11">
        <v>13677.356347797353</v>
      </c>
      <c r="C116" s="11">
        <v>13104.792022712767</v>
      </c>
      <c r="D116" s="11">
        <v>13615</v>
      </c>
      <c r="E116" s="11">
        <v>13620</v>
      </c>
      <c r="F116" s="11">
        <v>13610</v>
      </c>
      <c r="G116" s="11">
        <v>13615</v>
      </c>
      <c r="H116" s="11">
        <v>17242</v>
      </c>
    </row>
    <row r="117" spans="1:8" x14ac:dyDescent="0.3">
      <c r="A117" s="3" t="s">
        <v>158</v>
      </c>
      <c r="B117" s="11">
        <v>13681.507050219103</v>
      </c>
      <c r="C117" s="11">
        <v>13100.681423696056</v>
      </c>
      <c r="D117" s="11">
        <v>13610</v>
      </c>
      <c r="E117" s="11">
        <v>13610</v>
      </c>
      <c r="F117" s="11">
        <v>13575</v>
      </c>
      <c r="G117" s="11">
        <v>13600</v>
      </c>
      <c r="H117" s="11">
        <v>209605</v>
      </c>
    </row>
    <row r="118" spans="1:8" x14ac:dyDescent="0.3">
      <c r="A118" s="3" t="s">
        <v>159</v>
      </c>
      <c r="B118" s="11">
        <v>13679.06715693638</v>
      </c>
      <c r="C118" s="11">
        <v>13103.097743130638</v>
      </c>
      <c r="D118" s="11">
        <v>13595</v>
      </c>
      <c r="E118" s="11">
        <v>13605</v>
      </c>
      <c r="F118" s="11">
        <v>13590</v>
      </c>
      <c r="G118" s="11">
        <v>13605</v>
      </c>
      <c r="H118" s="11">
        <v>48456</v>
      </c>
    </row>
    <row r="119" spans="1:8" x14ac:dyDescent="0.3">
      <c r="A119" s="3" t="s">
        <v>160</v>
      </c>
      <c r="B119" s="11">
        <v>13672.69801711758</v>
      </c>
      <c r="C119" s="11">
        <v>13109.405345366647</v>
      </c>
      <c r="D119" s="11">
        <v>13605</v>
      </c>
      <c r="E119" s="11">
        <v>13605</v>
      </c>
      <c r="F119" s="11">
        <v>13575</v>
      </c>
      <c r="G119" s="11">
        <v>13580</v>
      </c>
      <c r="H119" s="11">
        <v>45136</v>
      </c>
    </row>
    <row r="120" spans="1:8" x14ac:dyDescent="0.3">
      <c r="A120" s="3" t="s">
        <v>161</v>
      </c>
      <c r="B120" s="11">
        <v>13674.5421327558</v>
      </c>
      <c r="C120" s="11">
        <v>13107.579047270827</v>
      </c>
      <c r="D120" s="11">
        <v>13580</v>
      </c>
      <c r="E120" s="11">
        <v>13590</v>
      </c>
      <c r="F120" s="11">
        <v>13565</v>
      </c>
      <c r="G120" s="11">
        <v>13585</v>
      </c>
      <c r="H120" s="11">
        <v>49644</v>
      </c>
    </row>
    <row r="121" spans="1:8" x14ac:dyDescent="0.3">
      <c r="A121" s="3" t="s">
        <v>162</v>
      </c>
      <c r="B121" s="11">
        <v>13678.613669950329</v>
      </c>
      <c r="C121" s="11">
        <v>13103.546848599917</v>
      </c>
      <c r="D121" s="11">
        <v>13585</v>
      </c>
      <c r="E121" s="11">
        <v>13585</v>
      </c>
      <c r="F121" s="11">
        <v>13570</v>
      </c>
      <c r="G121" s="11">
        <v>13570</v>
      </c>
      <c r="H121" s="11">
        <v>21142</v>
      </c>
    </row>
    <row r="122" spans="1:8" x14ac:dyDescent="0.3">
      <c r="A122" s="3" t="s">
        <v>163</v>
      </c>
      <c r="B122" s="11">
        <v>13679.376528419338</v>
      </c>
      <c r="C122" s="11">
        <v>13102.791360744133</v>
      </c>
      <c r="D122" s="11">
        <v>13565</v>
      </c>
      <c r="E122" s="11">
        <v>13565</v>
      </c>
      <c r="F122" s="11">
        <v>13450</v>
      </c>
      <c r="G122" s="11">
        <v>13485</v>
      </c>
      <c r="H122" s="11">
        <v>531693</v>
      </c>
    </row>
    <row r="123" spans="1:8" x14ac:dyDescent="0.3">
      <c r="A123" s="3" t="s">
        <v>164</v>
      </c>
      <c r="B123" s="11">
        <v>13682.509320635416</v>
      </c>
      <c r="C123" s="11">
        <v>13099.688837051883</v>
      </c>
      <c r="D123" s="11">
        <v>13485</v>
      </c>
      <c r="E123" s="11">
        <v>13495</v>
      </c>
      <c r="F123" s="11">
        <v>13475</v>
      </c>
      <c r="G123" s="11">
        <v>13490</v>
      </c>
      <c r="H123" s="11">
        <v>82150</v>
      </c>
    </row>
    <row r="124" spans="1:8" x14ac:dyDescent="0.3">
      <c r="A124" s="3" t="s">
        <v>165</v>
      </c>
      <c r="B124" s="11">
        <v>13682.160398344891</v>
      </c>
      <c r="C124" s="11">
        <v>13100.034388112545</v>
      </c>
      <c r="D124" s="11">
        <v>13490</v>
      </c>
      <c r="E124" s="11">
        <v>13505</v>
      </c>
      <c r="F124" s="11">
        <v>13470</v>
      </c>
      <c r="G124" s="11">
        <v>13470</v>
      </c>
      <c r="H124" s="11">
        <v>78708</v>
      </c>
    </row>
    <row r="125" spans="1:8" x14ac:dyDescent="0.3">
      <c r="A125" s="3" t="s">
        <v>166</v>
      </c>
      <c r="B125" s="11">
        <v>13678.929084147348</v>
      </c>
      <c r="C125" s="11">
        <v>13103.234481883061</v>
      </c>
      <c r="D125" s="11">
        <v>13470</v>
      </c>
      <c r="E125" s="11">
        <v>13490</v>
      </c>
      <c r="F125" s="11">
        <v>13465</v>
      </c>
      <c r="G125" s="11">
        <v>13490</v>
      </c>
      <c r="H125" s="11">
        <v>75478</v>
      </c>
    </row>
    <row r="126" spans="1:8" x14ac:dyDescent="0.3">
      <c r="A126" s="3" t="s">
        <v>167</v>
      </c>
      <c r="B126" s="11">
        <v>13672.755760633965</v>
      </c>
      <c r="C126" s="11">
        <v>13109.348159758632</v>
      </c>
      <c r="D126" s="11">
        <v>13485</v>
      </c>
      <c r="E126" s="11">
        <v>13505</v>
      </c>
      <c r="F126" s="11">
        <v>13480</v>
      </c>
      <c r="G126" s="11">
        <v>13490</v>
      </c>
      <c r="H126" s="11">
        <v>52092</v>
      </c>
    </row>
    <row r="127" spans="1:8" x14ac:dyDescent="0.3">
      <c r="A127" s="3" t="s">
        <v>168</v>
      </c>
      <c r="B127" s="11">
        <v>13677.117687210348</v>
      </c>
      <c r="C127" s="11">
        <v>13105.02837740038</v>
      </c>
      <c r="D127" s="11">
        <v>13490</v>
      </c>
      <c r="E127" s="11">
        <v>13505</v>
      </c>
      <c r="F127" s="11">
        <v>13485</v>
      </c>
      <c r="G127" s="11">
        <v>13505</v>
      </c>
      <c r="H127" s="11">
        <v>53136</v>
      </c>
    </row>
    <row r="128" spans="1:8" x14ac:dyDescent="0.3">
      <c r="A128" s="3" t="s">
        <v>169</v>
      </c>
      <c r="B128" s="11">
        <v>13680.340304478397</v>
      </c>
      <c r="C128" s="11">
        <v>13101.836896531056</v>
      </c>
      <c r="D128" s="11">
        <v>13505</v>
      </c>
      <c r="E128" s="11">
        <v>13515</v>
      </c>
      <c r="F128" s="11">
        <v>13495</v>
      </c>
      <c r="G128" s="11">
        <v>13500</v>
      </c>
      <c r="H128" s="11">
        <v>60184</v>
      </c>
    </row>
    <row r="129" spans="1:8" x14ac:dyDescent="0.3">
      <c r="A129" s="3" t="s">
        <v>170</v>
      </c>
      <c r="B129" s="11">
        <v>13675.113478228743</v>
      </c>
      <c r="C129" s="11">
        <v>13107.013222043997</v>
      </c>
      <c r="D129" s="11">
        <v>13500</v>
      </c>
      <c r="E129" s="11">
        <v>13510</v>
      </c>
      <c r="F129" s="11">
        <v>13490</v>
      </c>
      <c r="G129" s="11">
        <v>13505</v>
      </c>
      <c r="H129" s="11">
        <v>12847</v>
      </c>
    </row>
    <row r="130" spans="1:8" x14ac:dyDescent="0.3">
      <c r="A130" s="3" t="s">
        <v>171</v>
      </c>
      <c r="B130" s="11">
        <v>13678.98917317702</v>
      </c>
      <c r="C130" s="11">
        <v>13103.174973423726</v>
      </c>
      <c r="D130" s="11">
        <v>13505</v>
      </c>
      <c r="E130" s="11">
        <v>13515</v>
      </c>
      <c r="F130" s="11">
        <v>13505</v>
      </c>
      <c r="G130" s="11">
        <v>13505</v>
      </c>
      <c r="H130" s="11">
        <v>13479</v>
      </c>
    </row>
    <row r="131" spans="1:8" x14ac:dyDescent="0.3">
      <c r="A131" s="3" t="s">
        <v>172</v>
      </c>
      <c r="B131" s="11">
        <v>13685.435253669737</v>
      </c>
      <c r="C131" s="11">
        <v>13096.791173901953</v>
      </c>
      <c r="D131" s="11">
        <v>13510</v>
      </c>
      <c r="E131" s="11">
        <v>13510</v>
      </c>
      <c r="F131" s="11">
        <v>13490</v>
      </c>
      <c r="G131" s="11">
        <v>13495</v>
      </c>
      <c r="H131" s="11">
        <v>47407</v>
      </c>
    </row>
    <row r="132" spans="1:8" x14ac:dyDescent="0.3">
      <c r="A132" s="3" t="s">
        <v>173</v>
      </c>
      <c r="B132" s="11">
        <v>13690.527035339717</v>
      </c>
      <c r="C132" s="11">
        <v>13091.748588190134</v>
      </c>
      <c r="D132" s="11">
        <v>13495</v>
      </c>
      <c r="E132" s="11">
        <v>13495</v>
      </c>
      <c r="F132" s="11">
        <v>13480</v>
      </c>
      <c r="G132" s="11">
        <v>13480</v>
      </c>
      <c r="H132" s="11">
        <v>56311</v>
      </c>
    </row>
    <row r="133" spans="1:8" x14ac:dyDescent="0.3">
      <c r="A133" s="3" t="s">
        <v>174</v>
      </c>
      <c r="B133" s="11">
        <v>13689.751595454398</v>
      </c>
      <c r="C133" s="11">
        <v>13092.516535902651</v>
      </c>
      <c r="D133" s="11">
        <v>13480</v>
      </c>
      <c r="E133" s="11">
        <v>13480</v>
      </c>
      <c r="F133" s="11">
        <v>13470</v>
      </c>
      <c r="G133" s="11">
        <v>13475</v>
      </c>
      <c r="H133" s="11">
        <v>29072</v>
      </c>
    </row>
    <row r="134" spans="1:8" x14ac:dyDescent="0.3">
      <c r="A134" s="3" t="s">
        <v>175</v>
      </c>
      <c r="B134" s="11">
        <v>13684.489769301266</v>
      </c>
      <c r="C134" s="11">
        <v>13097.727523155749</v>
      </c>
      <c r="D134" s="11">
        <v>13480</v>
      </c>
      <c r="E134" s="11">
        <v>13490</v>
      </c>
      <c r="F134" s="11">
        <v>13475</v>
      </c>
      <c r="G134" s="11">
        <v>13485</v>
      </c>
      <c r="H134" s="11">
        <v>21239</v>
      </c>
    </row>
    <row r="135" spans="1:8" x14ac:dyDescent="0.3">
      <c r="A135" s="3" t="s">
        <v>176</v>
      </c>
      <c r="B135" s="11">
        <v>13690.085361062993</v>
      </c>
      <c r="C135" s="11">
        <v>13092.185995082546</v>
      </c>
      <c r="D135" s="11">
        <v>13485</v>
      </c>
      <c r="E135" s="11">
        <v>13490</v>
      </c>
      <c r="F135" s="11">
        <v>13485</v>
      </c>
      <c r="G135" s="11">
        <v>13485</v>
      </c>
      <c r="H135" s="11">
        <v>24432</v>
      </c>
    </row>
    <row r="136" spans="1:8" x14ac:dyDescent="0.3">
      <c r="A136" s="3" t="s">
        <v>177</v>
      </c>
      <c r="B136" s="11">
        <v>13688.934563982235</v>
      </c>
      <c r="C136" s="11">
        <v>13093.325673350926</v>
      </c>
      <c r="D136" s="11">
        <v>13485</v>
      </c>
      <c r="E136" s="11">
        <v>13495</v>
      </c>
      <c r="F136" s="11">
        <v>13485</v>
      </c>
      <c r="G136" s="11">
        <v>13485</v>
      </c>
      <c r="H136" s="11">
        <v>29668</v>
      </c>
    </row>
    <row r="137" spans="1:8" x14ac:dyDescent="0.3">
      <c r="A137" s="3" t="s">
        <v>178</v>
      </c>
      <c r="B137" s="11">
        <v>13689.703879613016</v>
      </c>
      <c r="C137" s="11">
        <v>13092.563790721408</v>
      </c>
      <c r="D137" s="11">
        <v>13485</v>
      </c>
      <c r="E137" s="11">
        <v>13485</v>
      </c>
      <c r="F137" s="11">
        <v>13470</v>
      </c>
      <c r="G137" s="11">
        <v>13475</v>
      </c>
      <c r="H137" s="11">
        <v>37771</v>
      </c>
    </row>
    <row r="138" spans="1:8" x14ac:dyDescent="0.3">
      <c r="A138" s="3" t="s">
        <v>179</v>
      </c>
      <c r="B138" s="11">
        <v>13686.054053931392</v>
      </c>
      <c r="C138" s="11">
        <v>13096.178352386785</v>
      </c>
      <c r="D138" s="11">
        <v>13475</v>
      </c>
      <c r="E138" s="11">
        <v>13480</v>
      </c>
      <c r="F138" s="11">
        <v>13470</v>
      </c>
      <c r="G138" s="11">
        <v>13475</v>
      </c>
      <c r="H138" s="11">
        <v>18907</v>
      </c>
    </row>
    <row r="139" spans="1:8" x14ac:dyDescent="0.3">
      <c r="A139" s="3" t="s">
        <v>180</v>
      </c>
      <c r="B139" s="11">
        <v>13683.090621033853</v>
      </c>
      <c r="C139" s="11">
        <v>13099.113153082415</v>
      </c>
      <c r="D139" s="11">
        <v>13470</v>
      </c>
      <c r="E139" s="11">
        <v>13485</v>
      </c>
      <c r="F139" s="11">
        <v>13470</v>
      </c>
      <c r="G139" s="11">
        <v>13485</v>
      </c>
      <c r="H139" s="11">
        <v>27243</v>
      </c>
    </row>
    <row r="140" spans="1:8" x14ac:dyDescent="0.3">
      <c r="A140" s="3" t="s">
        <v>181</v>
      </c>
      <c r="B140" s="11">
        <v>13682.730450214243</v>
      </c>
      <c r="C140" s="11">
        <v>13099.469843990726</v>
      </c>
      <c r="D140" s="11">
        <v>13485</v>
      </c>
      <c r="E140" s="11">
        <v>13510</v>
      </c>
      <c r="F140" s="11">
        <v>13480</v>
      </c>
      <c r="G140" s="11">
        <v>13510</v>
      </c>
      <c r="H140" s="11">
        <v>19230</v>
      </c>
    </row>
    <row r="141" spans="1:8" x14ac:dyDescent="0.3">
      <c r="A141" s="3" t="s">
        <v>182</v>
      </c>
      <c r="B141" s="11">
        <v>13686.397192614437</v>
      </c>
      <c r="C141" s="11">
        <v>13095.838529053337</v>
      </c>
      <c r="D141" s="11">
        <v>13510</v>
      </c>
      <c r="E141" s="11">
        <v>13530</v>
      </c>
      <c r="F141" s="11">
        <v>13500</v>
      </c>
      <c r="G141" s="11">
        <v>13525</v>
      </c>
      <c r="H141" s="11">
        <v>43094</v>
      </c>
    </row>
    <row r="142" spans="1:8" x14ac:dyDescent="0.3">
      <c r="A142" s="3" t="s">
        <v>183</v>
      </c>
      <c r="B142" s="11">
        <v>13690.350469755782</v>
      </c>
      <c r="C142" s="11">
        <v>13091.923447826399</v>
      </c>
      <c r="D142" s="11">
        <v>13530</v>
      </c>
      <c r="E142" s="11">
        <v>13530</v>
      </c>
      <c r="F142" s="11">
        <v>13505</v>
      </c>
      <c r="G142" s="11">
        <v>13520</v>
      </c>
      <c r="H142" s="11">
        <v>29742</v>
      </c>
    </row>
    <row r="143" spans="1:8" x14ac:dyDescent="0.3">
      <c r="A143" s="3" t="s">
        <v>184</v>
      </c>
      <c r="B143" s="11">
        <v>13694.870590010811</v>
      </c>
      <c r="C143" s="11">
        <v>13087.447000230841</v>
      </c>
      <c r="D143" s="11">
        <v>13520</v>
      </c>
      <c r="E143" s="11">
        <v>13535</v>
      </c>
      <c r="F143" s="11">
        <v>13515</v>
      </c>
      <c r="G143" s="11">
        <v>13530</v>
      </c>
      <c r="H143" s="11">
        <v>34273</v>
      </c>
    </row>
    <row r="144" spans="1:8" x14ac:dyDescent="0.3">
      <c r="A144" s="3" t="s">
        <v>185</v>
      </c>
      <c r="B144" s="11">
        <v>13689.784611052133</v>
      </c>
      <c r="C144" s="11">
        <v>13092.483839296197</v>
      </c>
      <c r="D144" s="11">
        <v>13535</v>
      </c>
      <c r="E144" s="11">
        <v>13535</v>
      </c>
      <c r="F144" s="11">
        <v>13520</v>
      </c>
      <c r="G144" s="11">
        <v>13525</v>
      </c>
      <c r="H144" s="11">
        <v>12995</v>
      </c>
    </row>
    <row r="145" spans="1:8" x14ac:dyDescent="0.3">
      <c r="A145" s="3" t="s">
        <v>186</v>
      </c>
      <c r="B145" s="11">
        <v>13689.957002827783</v>
      </c>
      <c r="C145" s="11">
        <v>13092.313113141567</v>
      </c>
      <c r="D145" s="11">
        <v>13525</v>
      </c>
      <c r="E145" s="11">
        <v>13525</v>
      </c>
      <c r="F145" s="11">
        <v>13520</v>
      </c>
      <c r="G145" s="11">
        <v>13525</v>
      </c>
      <c r="H145" s="11">
        <v>10823</v>
      </c>
    </row>
    <row r="146" spans="1:8" x14ac:dyDescent="0.3">
      <c r="A146" s="3" t="s">
        <v>187</v>
      </c>
      <c r="B146" s="11">
        <v>13691.402111378708</v>
      </c>
      <c r="C146" s="11">
        <v>13090.881966992101</v>
      </c>
      <c r="D146" s="11">
        <v>13520</v>
      </c>
      <c r="E146" s="11">
        <v>13525</v>
      </c>
      <c r="F146" s="11">
        <v>13510</v>
      </c>
      <c r="G146" s="11">
        <v>13510</v>
      </c>
      <c r="H146" s="11">
        <v>22571</v>
      </c>
    </row>
    <row r="147" spans="1:8" x14ac:dyDescent="0.3">
      <c r="A147" s="3" t="s">
        <v>188</v>
      </c>
      <c r="B147" s="11">
        <v>13692.680673971285</v>
      </c>
      <c r="C147" s="11">
        <v>13089.615757661288</v>
      </c>
      <c r="D147" s="11">
        <v>13510</v>
      </c>
      <c r="E147" s="11">
        <v>13525</v>
      </c>
      <c r="F147" s="11">
        <v>13510</v>
      </c>
      <c r="G147" s="11">
        <v>13520</v>
      </c>
      <c r="H147" s="11">
        <v>26155</v>
      </c>
    </row>
    <row r="148" spans="1:8" x14ac:dyDescent="0.3">
      <c r="A148" s="3" t="s">
        <v>189</v>
      </c>
      <c r="B148" s="11">
        <v>13686.019127494099</v>
      </c>
      <c r="C148" s="11">
        <v>13096.212941370577</v>
      </c>
      <c r="D148" s="11">
        <v>13520</v>
      </c>
      <c r="E148" s="11">
        <v>13525</v>
      </c>
      <c r="F148" s="11">
        <v>13515</v>
      </c>
      <c r="G148" s="11">
        <v>13525</v>
      </c>
      <c r="H148" s="11">
        <v>16773</v>
      </c>
    </row>
    <row r="149" spans="1:8" x14ac:dyDescent="0.3">
      <c r="A149" s="3" t="s">
        <v>190</v>
      </c>
      <c r="B149" s="11">
        <v>13688.233335340414</v>
      </c>
      <c r="C149" s="11">
        <v>13094.020126836787</v>
      </c>
      <c r="D149" s="11">
        <v>13525</v>
      </c>
      <c r="E149" s="11">
        <v>13540</v>
      </c>
      <c r="F149" s="11">
        <v>13525</v>
      </c>
      <c r="G149" s="11">
        <v>13530</v>
      </c>
      <c r="H149" s="11">
        <v>28054</v>
      </c>
    </row>
    <row r="150" spans="1:8" x14ac:dyDescent="0.3">
      <c r="A150" s="3" t="s">
        <v>191</v>
      </c>
      <c r="B150" s="11">
        <v>13690.148601716714</v>
      </c>
      <c r="C150" s="11">
        <v>13092.123365449632</v>
      </c>
      <c r="D150" s="11">
        <v>13530</v>
      </c>
      <c r="E150" s="11">
        <v>13530</v>
      </c>
      <c r="F150" s="11">
        <v>13525</v>
      </c>
      <c r="G150" s="11">
        <v>13525</v>
      </c>
      <c r="H150" s="11">
        <v>6345</v>
      </c>
    </row>
    <row r="151" spans="1:8" x14ac:dyDescent="0.3">
      <c r="A151" s="3" t="s">
        <v>192</v>
      </c>
      <c r="B151" s="11">
        <v>13688.811291361993</v>
      </c>
      <c r="C151" s="11">
        <v>13093.447754931358</v>
      </c>
      <c r="D151" s="11">
        <v>13525</v>
      </c>
      <c r="E151" s="11">
        <v>13530</v>
      </c>
      <c r="F151" s="11">
        <v>13520</v>
      </c>
      <c r="G151" s="11">
        <v>13530</v>
      </c>
      <c r="H151" s="11">
        <v>9248</v>
      </c>
    </row>
    <row r="152" spans="1:8" x14ac:dyDescent="0.3">
      <c r="A152" s="3" t="s">
        <v>193</v>
      </c>
      <c r="B152" s="11">
        <v>13683.748165316958</v>
      </c>
      <c r="C152" s="11">
        <v>13098.461961884172</v>
      </c>
      <c r="D152" s="11">
        <v>13525</v>
      </c>
      <c r="E152" s="11">
        <v>13530</v>
      </c>
      <c r="F152" s="11">
        <v>13520</v>
      </c>
      <c r="G152" s="11">
        <v>13530</v>
      </c>
      <c r="H152" s="11">
        <v>4133</v>
      </c>
    </row>
    <row r="153" spans="1:8" x14ac:dyDescent="0.3">
      <c r="A153" s="3" t="s">
        <v>194</v>
      </c>
      <c r="B153" s="11">
        <v>13681.318961396459</v>
      </c>
      <c r="C153" s="11">
        <v>13100.867695235389</v>
      </c>
      <c r="D153" s="11">
        <v>13530</v>
      </c>
      <c r="E153" s="11">
        <v>13535</v>
      </c>
      <c r="F153" s="11">
        <v>13525</v>
      </c>
      <c r="G153" s="11">
        <v>13530</v>
      </c>
      <c r="H153" s="11">
        <v>12971</v>
      </c>
    </row>
    <row r="154" spans="1:8" x14ac:dyDescent="0.3">
      <c r="A154" s="3" t="s">
        <v>195</v>
      </c>
      <c r="B154" s="11">
        <v>13682.873283806572</v>
      </c>
      <c r="C154" s="11">
        <v>13099.328390433106</v>
      </c>
      <c r="D154" s="11">
        <v>13525</v>
      </c>
      <c r="E154" s="11">
        <v>13535</v>
      </c>
      <c r="F154" s="11">
        <v>13520</v>
      </c>
      <c r="G154" s="11">
        <v>13530</v>
      </c>
      <c r="H154" s="11">
        <v>17000</v>
      </c>
    </row>
    <row r="155" spans="1:8" x14ac:dyDescent="0.3">
      <c r="A155" s="3" t="s">
        <v>196</v>
      </c>
      <c r="B155" s="11">
        <v>13681.667412726238</v>
      </c>
      <c r="C155" s="11">
        <v>13100.522610585127</v>
      </c>
      <c r="D155" s="11">
        <v>13530</v>
      </c>
      <c r="E155" s="11">
        <v>13530</v>
      </c>
      <c r="F155" s="11">
        <v>13515</v>
      </c>
      <c r="G155" s="11">
        <v>13525</v>
      </c>
      <c r="H155" s="11">
        <v>6026</v>
      </c>
    </row>
    <row r="156" spans="1:8" x14ac:dyDescent="0.3">
      <c r="A156" s="3" t="s">
        <v>197</v>
      </c>
      <c r="B156" s="11">
        <v>13676.765335267395</v>
      </c>
      <c r="C156" s="11">
        <v>13105.377324976733</v>
      </c>
      <c r="D156" s="11">
        <v>13525</v>
      </c>
      <c r="E156" s="11">
        <v>13530</v>
      </c>
      <c r="F156" s="11">
        <v>13520</v>
      </c>
      <c r="G156" s="11">
        <v>13525</v>
      </c>
      <c r="H156" s="11">
        <v>3734</v>
      </c>
    </row>
    <row r="157" spans="1:8" x14ac:dyDescent="0.3">
      <c r="A157" s="3" t="s">
        <v>198</v>
      </c>
      <c r="B157" s="11">
        <v>13674.286747795231</v>
      </c>
      <c r="C157" s="11">
        <v>13107.831964743853</v>
      </c>
      <c r="D157" s="11">
        <v>13525</v>
      </c>
      <c r="E157" s="11">
        <v>13525</v>
      </c>
      <c r="F157" s="11">
        <v>13525</v>
      </c>
      <c r="G157" s="11">
        <v>13525</v>
      </c>
      <c r="H157" s="11">
        <v>7335</v>
      </c>
    </row>
    <row r="158" spans="1:8" x14ac:dyDescent="0.3">
      <c r="A158" s="3" t="s">
        <v>199</v>
      </c>
      <c r="B158" s="11">
        <v>13673.66584248379</v>
      </c>
      <c r="C158" s="11">
        <v>13108.446870970161</v>
      </c>
      <c r="D158" s="11">
        <v>13525</v>
      </c>
      <c r="E158" s="11">
        <v>13525</v>
      </c>
      <c r="F158" s="11">
        <v>13520</v>
      </c>
      <c r="G158" s="11">
        <v>13520</v>
      </c>
      <c r="H158" s="11">
        <v>5838</v>
      </c>
    </row>
    <row r="159" spans="1:8" x14ac:dyDescent="0.3">
      <c r="A159" s="3" t="s">
        <v>200</v>
      </c>
      <c r="B159" s="11">
        <v>13675.718637953722</v>
      </c>
      <c r="C159" s="11">
        <v>13106.413909272884</v>
      </c>
      <c r="D159" s="11">
        <v>13520</v>
      </c>
      <c r="E159" s="11">
        <v>13525</v>
      </c>
      <c r="F159" s="11">
        <v>13510</v>
      </c>
      <c r="G159" s="11">
        <v>13515</v>
      </c>
      <c r="H159" s="11">
        <v>33249</v>
      </c>
    </row>
    <row r="160" spans="1:8" x14ac:dyDescent="0.3">
      <c r="A160" s="3" t="s">
        <v>201</v>
      </c>
      <c r="B160" s="11">
        <v>13679.288472178792</v>
      </c>
      <c r="C160" s="11">
        <v>13102.878566199746</v>
      </c>
      <c r="D160" s="11">
        <v>13515</v>
      </c>
      <c r="E160" s="11">
        <v>13530</v>
      </c>
      <c r="F160" s="11">
        <v>13515</v>
      </c>
      <c r="G160" s="11">
        <v>13530</v>
      </c>
      <c r="H160" s="11">
        <v>7769</v>
      </c>
    </row>
    <row r="161" spans="1:8" x14ac:dyDescent="0.3">
      <c r="A161" s="3" t="s">
        <v>202</v>
      </c>
      <c r="B161" s="11">
        <v>13680.516458381777</v>
      </c>
      <c r="C161" s="11">
        <v>13101.662444597756</v>
      </c>
      <c r="D161" s="11">
        <v>13525</v>
      </c>
      <c r="E161" s="11">
        <v>13530</v>
      </c>
      <c r="F161" s="11">
        <v>13520</v>
      </c>
      <c r="G161" s="11">
        <v>13525</v>
      </c>
      <c r="H161" s="11">
        <v>30246</v>
      </c>
    </row>
    <row r="162" spans="1:8" x14ac:dyDescent="0.3">
      <c r="A162" s="3" t="s">
        <v>203</v>
      </c>
      <c r="B162" s="11">
        <v>13676.529742070306</v>
      </c>
      <c r="C162" s="11">
        <v>13105.610641911047</v>
      </c>
      <c r="D162" s="11">
        <v>13520</v>
      </c>
      <c r="E162" s="11">
        <v>13530</v>
      </c>
      <c r="F162" s="11">
        <v>13520</v>
      </c>
      <c r="G162" s="11">
        <v>13530</v>
      </c>
      <c r="H162" s="11">
        <v>9658</v>
      </c>
    </row>
    <row r="163" spans="1:8" x14ac:dyDescent="0.3">
      <c r="A163" s="3" t="s">
        <v>204</v>
      </c>
      <c r="B163" s="11">
        <v>13676.799420914498</v>
      </c>
      <c r="C163" s="11">
        <v>13105.343568659557</v>
      </c>
      <c r="D163" s="11">
        <v>13530</v>
      </c>
      <c r="E163" s="11">
        <v>13530</v>
      </c>
      <c r="F163" s="11">
        <v>13515</v>
      </c>
      <c r="G163" s="11">
        <v>13515</v>
      </c>
      <c r="H163" s="11">
        <v>9041</v>
      </c>
    </row>
    <row r="164" spans="1:8" x14ac:dyDescent="0.3">
      <c r="A164" s="3" t="s">
        <v>205</v>
      </c>
      <c r="B164" s="11">
        <v>13678.679787714276</v>
      </c>
      <c r="C164" s="11">
        <v>13103.481369654945</v>
      </c>
      <c r="D164" s="11">
        <v>13515</v>
      </c>
      <c r="E164" s="11">
        <v>13515</v>
      </c>
      <c r="F164" s="11">
        <v>13510</v>
      </c>
      <c r="G164" s="11">
        <v>13510</v>
      </c>
      <c r="H164" s="11">
        <v>8200</v>
      </c>
    </row>
    <row r="165" spans="1:8" x14ac:dyDescent="0.3">
      <c r="A165" s="3" t="s">
        <v>206</v>
      </c>
      <c r="B165" s="11">
        <v>13676.42904758095</v>
      </c>
      <c r="C165" s="11">
        <v>13105.710363506789</v>
      </c>
      <c r="D165" s="11">
        <v>13510</v>
      </c>
      <c r="E165" s="11">
        <v>13515</v>
      </c>
      <c r="F165" s="11">
        <v>13510</v>
      </c>
      <c r="G165" s="11">
        <v>13510</v>
      </c>
      <c r="H165" s="11">
        <v>5201</v>
      </c>
    </row>
    <row r="166" spans="1:8" x14ac:dyDescent="0.3">
      <c r="A166" s="3" t="s">
        <v>207</v>
      </c>
      <c r="B166" s="11">
        <v>13677.395493053937</v>
      </c>
      <c r="C166" s="11">
        <v>13104.753255671221</v>
      </c>
      <c r="D166" s="11">
        <v>13510</v>
      </c>
      <c r="E166" s="11">
        <v>13510</v>
      </c>
      <c r="F166" s="11">
        <v>13490</v>
      </c>
      <c r="G166" s="11">
        <v>13510</v>
      </c>
      <c r="H166" s="11">
        <v>51555</v>
      </c>
    </row>
    <row r="167" spans="1:8" x14ac:dyDescent="0.3">
      <c r="A167" s="3" t="s">
        <v>208</v>
      </c>
      <c r="B167" s="11">
        <v>13673.591338253556</v>
      </c>
      <c r="C167" s="11">
        <v>13108.520655352757</v>
      </c>
      <c r="D167" s="11">
        <v>13505</v>
      </c>
      <c r="E167" s="11">
        <v>13505</v>
      </c>
      <c r="F167" s="11">
        <v>13495</v>
      </c>
      <c r="G167" s="11">
        <v>13495</v>
      </c>
      <c r="H167" s="11">
        <v>2422</v>
      </c>
    </row>
    <row r="168" spans="1:8" x14ac:dyDescent="0.3">
      <c r="A168" s="3" t="s">
        <v>209</v>
      </c>
      <c r="B168" s="11">
        <v>13666.86066297972</v>
      </c>
      <c r="C168" s="11">
        <v>13115.186299947622</v>
      </c>
      <c r="D168" s="11">
        <v>13495</v>
      </c>
      <c r="E168" s="11">
        <v>13495</v>
      </c>
      <c r="F168" s="11">
        <v>13470</v>
      </c>
      <c r="G168" s="11">
        <v>13480</v>
      </c>
      <c r="H168" s="11">
        <v>26797</v>
      </c>
    </row>
    <row r="169" spans="1:8" x14ac:dyDescent="0.3">
      <c r="A169" s="3" t="s">
        <v>210</v>
      </c>
      <c r="B169" s="11">
        <v>13672.079172707437</v>
      </c>
      <c r="C169" s="11">
        <v>13110.018210603748</v>
      </c>
      <c r="D169" s="11">
        <v>13475</v>
      </c>
      <c r="E169" s="11">
        <v>13480</v>
      </c>
      <c r="F169" s="11">
        <v>13470</v>
      </c>
      <c r="G169" s="11">
        <v>13475</v>
      </c>
      <c r="H169" s="11">
        <v>24429</v>
      </c>
    </row>
    <row r="170" spans="1:8" x14ac:dyDescent="0.3">
      <c r="A170" s="3" t="s">
        <v>211</v>
      </c>
      <c r="B170" s="11">
        <v>13673.181860552226</v>
      </c>
      <c r="C170" s="11">
        <v>13108.926176747796</v>
      </c>
      <c r="D170" s="11">
        <v>13480</v>
      </c>
      <c r="E170" s="11">
        <v>13480</v>
      </c>
      <c r="F170" s="11">
        <v>13475</v>
      </c>
      <c r="G170" s="11">
        <v>13480</v>
      </c>
      <c r="H170" s="11">
        <v>16816</v>
      </c>
    </row>
    <row r="171" spans="1:8" x14ac:dyDescent="0.3">
      <c r="A171" s="3" t="s">
        <v>212</v>
      </c>
      <c r="B171" s="11">
        <v>13674.712108808848</v>
      </c>
      <c r="C171" s="11">
        <v>13107.410713498486</v>
      </c>
      <c r="D171" s="11">
        <v>13485</v>
      </c>
      <c r="E171" s="11">
        <v>13495</v>
      </c>
      <c r="F171" s="11">
        <v>13480</v>
      </c>
      <c r="G171" s="11">
        <v>13495</v>
      </c>
      <c r="H171" s="11">
        <v>15674</v>
      </c>
    </row>
    <row r="172" spans="1:8" x14ac:dyDescent="0.3">
      <c r="A172" s="3" t="s">
        <v>213</v>
      </c>
      <c r="B172" s="11">
        <v>13675.103929950696</v>
      </c>
      <c r="C172" s="11">
        <v>13107.02267806815</v>
      </c>
      <c r="D172" s="11">
        <v>13500</v>
      </c>
      <c r="E172" s="11">
        <v>13510</v>
      </c>
      <c r="F172" s="11">
        <v>13495</v>
      </c>
      <c r="G172" s="11">
        <v>13505</v>
      </c>
      <c r="H172" s="11">
        <v>24112</v>
      </c>
    </row>
    <row r="173" spans="1:8" x14ac:dyDescent="0.3">
      <c r="A173" s="3" t="s">
        <v>214</v>
      </c>
      <c r="B173" s="11">
        <v>13676.123908892527</v>
      </c>
      <c r="C173" s="11">
        <v>13106.012553995322</v>
      </c>
      <c r="D173" s="11">
        <v>13505</v>
      </c>
      <c r="E173" s="11">
        <v>13510</v>
      </c>
      <c r="F173" s="11">
        <v>13495</v>
      </c>
      <c r="G173" s="11">
        <v>13495</v>
      </c>
      <c r="H173" s="11">
        <v>24565</v>
      </c>
    </row>
    <row r="174" spans="1:8" x14ac:dyDescent="0.3">
      <c r="A174" s="3" t="s">
        <v>215</v>
      </c>
      <c r="B174" s="11">
        <v>13675.443797936714</v>
      </c>
      <c r="C174" s="11">
        <v>13106.686093830791</v>
      </c>
      <c r="D174" s="11">
        <v>13495</v>
      </c>
      <c r="E174" s="11">
        <v>13495</v>
      </c>
      <c r="F174" s="11">
        <v>13475</v>
      </c>
      <c r="G174" s="11">
        <v>13475</v>
      </c>
      <c r="H174" s="11">
        <v>26368</v>
      </c>
    </row>
    <row r="175" spans="1:8" x14ac:dyDescent="0.3">
      <c r="A175" s="3" t="s">
        <v>216</v>
      </c>
      <c r="B175" s="11">
        <v>13676.834459471878</v>
      </c>
      <c r="C175" s="11">
        <v>13105.30886863896</v>
      </c>
      <c r="D175" s="11">
        <v>13475</v>
      </c>
      <c r="E175" s="11">
        <v>13475</v>
      </c>
      <c r="F175" s="11">
        <v>13460</v>
      </c>
      <c r="G175" s="11">
        <v>13475</v>
      </c>
      <c r="H175" s="11">
        <v>38587</v>
      </c>
    </row>
    <row r="176" spans="1:8" x14ac:dyDescent="0.3">
      <c r="A176" s="3" t="s">
        <v>217</v>
      </c>
      <c r="B176" s="11">
        <v>13674.195531811094</v>
      </c>
      <c r="C176" s="11">
        <v>13107.922299414133</v>
      </c>
      <c r="D176" s="11">
        <v>13480</v>
      </c>
      <c r="E176" s="11">
        <v>13485</v>
      </c>
      <c r="F176" s="11">
        <v>13465</v>
      </c>
      <c r="G176" s="11">
        <v>13470</v>
      </c>
      <c r="H176" s="11">
        <v>82880</v>
      </c>
    </row>
    <row r="177" spans="1:8" x14ac:dyDescent="0.3">
      <c r="A177" s="3" t="s">
        <v>218</v>
      </c>
      <c r="B177" s="11">
        <v>13676.100072358473</v>
      </c>
      <c r="C177" s="11">
        <v>13106.036160224699</v>
      </c>
      <c r="D177" s="11">
        <v>13465</v>
      </c>
      <c r="E177" s="11">
        <v>13475</v>
      </c>
      <c r="F177" s="11">
        <v>13460</v>
      </c>
      <c r="G177" s="11">
        <v>13475</v>
      </c>
      <c r="H177" s="11">
        <v>43865</v>
      </c>
    </row>
    <row r="178" spans="1:8" x14ac:dyDescent="0.3">
      <c r="A178" s="3" t="s">
        <v>219</v>
      </c>
      <c r="B178" s="11">
        <v>13674.275310374502</v>
      </c>
      <c r="C178" s="11">
        <v>13107.843291658104</v>
      </c>
      <c r="D178" s="11">
        <v>13475</v>
      </c>
      <c r="E178" s="11">
        <v>13490</v>
      </c>
      <c r="F178" s="11">
        <v>13470</v>
      </c>
      <c r="G178" s="11">
        <v>13490</v>
      </c>
      <c r="H178" s="11">
        <v>23017</v>
      </c>
    </row>
    <row r="179" spans="1:8" x14ac:dyDescent="0.3">
      <c r="A179" s="3" t="s">
        <v>220</v>
      </c>
      <c r="B179" s="11">
        <v>13681.282225440691</v>
      </c>
      <c r="C179" s="11">
        <v>13100.90407625439</v>
      </c>
      <c r="D179" s="11">
        <v>13485</v>
      </c>
      <c r="E179" s="11">
        <v>13505</v>
      </c>
      <c r="F179" s="11">
        <v>13485</v>
      </c>
      <c r="G179" s="11">
        <v>13490</v>
      </c>
      <c r="H179" s="11">
        <v>46560</v>
      </c>
    </row>
    <row r="180" spans="1:8" x14ac:dyDescent="0.3">
      <c r="A180" s="3" t="s">
        <v>221</v>
      </c>
      <c r="B180" s="11">
        <v>13679.575072693831</v>
      </c>
      <c r="C180" s="11">
        <v>13102.59473477181</v>
      </c>
      <c r="D180" s="11">
        <v>13490</v>
      </c>
      <c r="E180" s="11">
        <v>13505</v>
      </c>
      <c r="F180" s="11">
        <v>13485</v>
      </c>
      <c r="G180" s="11">
        <v>13505</v>
      </c>
      <c r="H180" s="11">
        <v>16558</v>
      </c>
    </row>
    <row r="181" spans="1:8" x14ac:dyDescent="0.3">
      <c r="A181" s="3" t="s">
        <v>222</v>
      </c>
      <c r="B181" s="11">
        <v>13681.090942384728</v>
      </c>
      <c r="C181" s="11">
        <v>13101.093511164883</v>
      </c>
      <c r="D181" s="11">
        <v>13505</v>
      </c>
      <c r="E181" s="11">
        <v>13510</v>
      </c>
      <c r="F181" s="11">
        <v>13500</v>
      </c>
      <c r="G181" s="11">
        <v>13510</v>
      </c>
      <c r="H181" s="11">
        <v>9049</v>
      </c>
    </row>
    <row r="182" spans="1:8" x14ac:dyDescent="0.3">
      <c r="A182" s="3" t="s">
        <v>223</v>
      </c>
      <c r="B182" s="11">
        <v>13680.160287791783</v>
      </c>
      <c r="C182" s="11">
        <v>13102.015173926011</v>
      </c>
      <c r="D182" s="11">
        <v>13510</v>
      </c>
      <c r="E182" s="11">
        <v>13515</v>
      </c>
      <c r="F182" s="11">
        <v>13500</v>
      </c>
      <c r="G182" s="11">
        <v>13505</v>
      </c>
      <c r="H182" s="11">
        <v>23672</v>
      </c>
    </row>
    <row r="183" spans="1:8" x14ac:dyDescent="0.3">
      <c r="A183" s="3" t="s">
        <v>224</v>
      </c>
      <c r="B183" s="11">
        <v>13681.757467879403</v>
      </c>
      <c r="C183" s="11">
        <v>13100.43342553006</v>
      </c>
      <c r="D183" s="11">
        <v>13505</v>
      </c>
      <c r="E183" s="11">
        <v>13505</v>
      </c>
      <c r="F183" s="11">
        <v>13480</v>
      </c>
      <c r="G183" s="11">
        <v>13480</v>
      </c>
      <c r="H183" s="11">
        <v>22871</v>
      </c>
    </row>
    <row r="184" spans="1:8" x14ac:dyDescent="0.3">
      <c r="A184" s="3" t="s">
        <v>225</v>
      </c>
      <c r="B184" s="11">
        <v>13678.012477304213</v>
      </c>
      <c r="C184" s="11">
        <v>13104.142232621432</v>
      </c>
      <c r="D184" s="11">
        <v>13480</v>
      </c>
      <c r="E184" s="11">
        <v>13480</v>
      </c>
      <c r="F184" s="11">
        <v>13465</v>
      </c>
      <c r="G184" s="11">
        <v>13470</v>
      </c>
      <c r="H184" s="11">
        <v>44713</v>
      </c>
    </row>
    <row r="185" spans="1:8" x14ac:dyDescent="0.3">
      <c r="A185" s="3" t="s">
        <v>226</v>
      </c>
      <c r="B185" s="11">
        <v>13676.552869591651</v>
      </c>
      <c r="C185" s="11">
        <v>13105.587737844018</v>
      </c>
      <c r="D185" s="11">
        <v>13475</v>
      </c>
      <c r="E185" s="11">
        <v>13480</v>
      </c>
      <c r="F185" s="11">
        <v>13470</v>
      </c>
      <c r="G185" s="11">
        <v>13470</v>
      </c>
      <c r="H185" s="11">
        <v>2261</v>
      </c>
    </row>
    <row r="186" spans="1:8" x14ac:dyDescent="0.3">
      <c r="A186" s="3" t="s">
        <v>227</v>
      </c>
      <c r="B186" s="11">
        <v>13680.517503659357</v>
      </c>
      <c r="C186" s="11">
        <v>13101.661409419477</v>
      </c>
      <c r="D186" s="11">
        <v>13470</v>
      </c>
      <c r="E186" s="11">
        <v>13475</v>
      </c>
      <c r="F186" s="11">
        <v>13455</v>
      </c>
      <c r="G186" s="11">
        <v>13475</v>
      </c>
      <c r="H186" s="11">
        <v>58289</v>
      </c>
    </row>
    <row r="187" spans="1:8" x14ac:dyDescent="0.3">
      <c r="A187" s="3" t="s">
        <v>228</v>
      </c>
      <c r="B187" s="11">
        <v>13683.970176011828</v>
      </c>
      <c r="C187" s="11">
        <v>13098.242096220169</v>
      </c>
      <c r="D187" s="11">
        <v>13475</v>
      </c>
      <c r="E187" s="11">
        <v>13485</v>
      </c>
      <c r="F187" s="11">
        <v>13465</v>
      </c>
      <c r="G187" s="11">
        <v>13485</v>
      </c>
      <c r="H187" s="11">
        <v>18039</v>
      </c>
    </row>
    <row r="188" spans="1:8" x14ac:dyDescent="0.3">
      <c r="A188" s="3" t="s">
        <v>229</v>
      </c>
      <c r="B188" s="11">
        <v>13683.68192171989</v>
      </c>
      <c r="C188" s="11">
        <v>13098.527565446486</v>
      </c>
      <c r="D188" s="11">
        <v>13485</v>
      </c>
      <c r="E188" s="11">
        <v>13490</v>
      </c>
      <c r="F188" s="11">
        <v>13475</v>
      </c>
      <c r="G188" s="11">
        <v>13480</v>
      </c>
      <c r="H188" s="11">
        <v>9729</v>
      </c>
    </row>
    <row r="189" spans="1:8" x14ac:dyDescent="0.3">
      <c r="A189" s="3" t="s">
        <v>230</v>
      </c>
      <c r="B189" s="11">
        <v>13683.845948559767</v>
      </c>
      <c r="C189" s="11">
        <v>13098.365123406997</v>
      </c>
      <c r="D189" s="11">
        <v>13480</v>
      </c>
      <c r="E189" s="11">
        <v>13480</v>
      </c>
      <c r="F189" s="11">
        <v>13465</v>
      </c>
      <c r="G189" s="11">
        <v>13470</v>
      </c>
      <c r="H189" s="11">
        <v>9684</v>
      </c>
    </row>
    <row r="190" spans="1:8" x14ac:dyDescent="0.3">
      <c r="A190" s="3" t="s">
        <v>231</v>
      </c>
      <c r="B190" s="11">
        <v>13681.518459684477</v>
      </c>
      <c r="C190" s="11">
        <v>13100.670124467062</v>
      </c>
      <c r="D190" s="11">
        <v>13465</v>
      </c>
      <c r="E190" s="11">
        <v>13470</v>
      </c>
      <c r="F190" s="11">
        <v>13460</v>
      </c>
      <c r="G190" s="11">
        <v>13465</v>
      </c>
      <c r="H190" s="11">
        <v>24454</v>
      </c>
    </row>
    <row r="191" spans="1:8" x14ac:dyDescent="0.3">
      <c r="A191" s="3" t="s">
        <v>232</v>
      </c>
      <c r="B191" s="11">
        <v>13684.154490141418</v>
      </c>
      <c r="C191" s="11">
        <v>13098.059562903427</v>
      </c>
      <c r="D191" s="11">
        <v>13470</v>
      </c>
      <c r="E191" s="11">
        <v>13485</v>
      </c>
      <c r="F191" s="11">
        <v>13465</v>
      </c>
      <c r="G191" s="11">
        <v>13475</v>
      </c>
      <c r="H191" s="11">
        <v>6762</v>
      </c>
    </row>
    <row r="192" spans="1:8" x14ac:dyDescent="0.3">
      <c r="A192" s="3" t="s">
        <v>233</v>
      </c>
      <c r="B192" s="11">
        <v>13679.353084527736</v>
      </c>
      <c r="C192" s="11">
        <v>13102.814578124706</v>
      </c>
      <c r="D192" s="11">
        <v>13475</v>
      </c>
      <c r="E192" s="11">
        <v>13490</v>
      </c>
      <c r="F192" s="11">
        <v>13475</v>
      </c>
      <c r="G192" s="11">
        <v>13480</v>
      </c>
      <c r="H192" s="11">
        <v>27325</v>
      </c>
    </row>
    <row r="193" spans="1:8" x14ac:dyDescent="0.3">
      <c r="A193" s="3" t="s">
        <v>234</v>
      </c>
      <c r="B193" s="11">
        <v>13678.530383341704</v>
      </c>
      <c r="C193" s="11">
        <v>13103.629330507008</v>
      </c>
      <c r="D193" s="11">
        <v>13485</v>
      </c>
      <c r="E193" s="11">
        <v>13485</v>
      </c>
      <c r="F193" s="11">
        <v>13470</v>
      </c>
      <c r="G193" s="11">
        <v>13470</v>
      </c>
      <c r="H193" s="11">
        <v>8275</v>
      </c>
    </row>
    <row r="194" spans="1:8" x14ac:dyDescent="0.3">
      <c r="A194" s="3" t="s">
        <v>235</v>
      </c>
      <c r="B194" s="11">
        <v>13682.041922230539</v>
      </c>
      <c r="C194" s="11">
        <v>13100.151719530144</v>
      </c>
      <c r="D194" s="11">
        <v>13470</v>
      </c>
      <c r="E194" s="11">
        <v>13480</v>
      </c>
      <c r="F194" s="11">
        <v>13465</v>
      </c>
      <c r="G194" s="11">
        <v>13480</v>
      </c>
      <c r="H194" s="11">
        <v>22193</v>
      </c>
    </row>
    <row r="195" spans="1:8" x14ac:dyDescent="0.3">
      <c r="A195" s="3" t="s">
        <v>236</v>
      </c>
      <c r="B195" s="11">
        <v>13684.007630809874</v>
      </c>
      <c r="C195" s="11">
        <v>13098.205003304231</v>
      </c>
      <c r="D195" s="11">
        <v>13480</v>
      </c>
      <c r="E195" s="11">
        <v>13485</v>
      </c>
      <c r="F195" s="11">
        <v>13475</v>
      </c>
      <c r="G195" s="11">
        <v>13475</v>
      </c>
      <c r="H195" s="11">
        <v>9907</v>
      </c>
    </row>
    <row r="196" spans="1:8" x14ac:dyDescent="0.3">
      <c r="A196" s="3" t="s">
        <v>237</v>
      </c>
      <c r="B196" s="11">
        <v>13683.496549286901</v>
      </c>
      <c r="C196" s="11">
        <v>13098.711146841475</v>
      </c>
      <c r="D196" s="11">
        <v>13475</v>
      </c>
      <c r="E196" s="11">
        <v>13475</v>
      </c>
      <c r="F196" s="11">
        <v>13470</v>
      </c>
      <c r="G196" s="11">
        <v>13475</v>
      </c>
      <c r="H196" s="11">
        <v>7238</v>
      </c>
    </row>
    <row r="197" spans="1:8" x14ac:dyDescent="0.3">
      <c r="A197" s="3" t="s">
        <v>238</v>
      </c>
      <c r="B197" s="11">
        <v>13686.557230947665</v>
      </c>
      <c r="C197" s="11">
        <v>13095.680036984197</v>
      </c>
      <c r="D197" s="11">
        <v>13470</v>
      </c>
      <c r="E197" s="11">
        <v>13470</v>
      </c>
      <c r="F197" s="11">
        <v>13455</v>
      </c>
      <c r="G197" s="11">
        <v>13465</v>
      </c>
      <c r="H197" s="11">
        <v>21334</v>
      </c>
    </row>
    <row r="198" spans="1:8" x14ac:dyDescent="0.3">
      <c r="A198" s="3" t="s">
        <v>239</v>
      </c>
      <c r="B198" s="11">
        <v>13688.218775297391</v>
      </c>
      <c r="C198" s="11">
        <v>13094.034546203067</v>
      </c>
      <c r="D198" s="11">
        <v>13465</v>
      </c>
      <c r="E198" s="11">
        <v>13485</v>
      </c>
      <c r="F198" s="11">
        <v>13465</v>
      </c>
      <c r="G198" s="11">
        <v>13485</v>
      </c>
      <c r="H198" s="11">
        <v>28436</v>
      </c>
    </row>
    <row r="199" spans="1:8" x14ac:dyDescent="0.3">
      <c r="A199" s="3" t="s">
        <v>240</v>
      </c>
      <c r="B199" s="11">
        <v>13689.217531907461</v>
      </c>
      <c r="C199" s="11">
        <v>13093.045439415315</v>
      </c>
      <c r="D199" s="11">
        <v>13485</v>
      </c>
      <c r="E199" s="11">
        <v>13495</v>
      </c>
      <c r="F199" s="11">
        <v>13485</v>
      </c>
      <c r="G199" s="11">
        <v>13490</v>
      </c>
      <c r="H199" s="11">
        <v>9835</v>
      </c>
    </row>
    <row r="200" spans="1:8" x14ac:dyDescent="0.3">
      <c r="A200" s="3" t="s">
        <v>241</v>
      </c>
      <c r="B200" s="11">
        <v>13690.325725603539</v>
      </c>
      <c r="C200" s="11">
        <v>13091.947952904708</v>
      </c>
      <c r="D200" s="11">
        <v>13490</v>
      </c>
      <c r="E200" s="11">
        <v>13510</v>
      </c>
      <c r="F200" s="11">
        <v>13490</v>
      </c>
      <c r="G200" s="11">
        <v>13505</v>
      </c>
      <c r="H200" s="11">
        <v>56004</v>
      </c>
    </row>
    <row r="201" spans="1:8" x14ac:dyDescent="0.3">
      <c r="A201" s="3" t="s">
        <v>242</v>
      </c>
      <c r="B201" s="11">
        <v>13689.887382466695</v>
      </c>
      <c r="C201" s="11">
        <v>13092.382060842163</v>
      </c>
      <c r="D201" s="11">
        <v>13505</v>
      </c>
      <c r="E201" s="11">
        <v>13510</v>
      </c>
      <c r="F201" s="11">
        <v>13495</v>
      </c>
      <c r="G201" s="11">
        <v>13500</v>
      </c>
      <c r="H201" s="11">
        <v>8070</v>
      </c>
    </row>
    <row r="202" spans="1:8" x14ac:dyDescent="0.3">
      <c r="A202" s="3" t="s">
        <v>243</v>
      </c>
      <c r="B202" s="11">
        <v>13686.50878746657</v>
      </c>
      <c r="C202" s="11">
        <v>13095.728012412335</v>
      </c>
      <c r="D202" s="11">
        <v>13500</v>
      </c>
      <c r="E202" s="11">
        <v>13515</v>
      </c>
      <c r="F202" s="11">
        <v>13500</v>
      </c>
      <c r="G202" s="11">
        <v>13505</v>
      </c>
      <c r="H202" s="11">
        <v>18350</v>
      </c>
    </row>
    <row r="203" spans="1:8" x14ac:dyDescent="0.3">
      <c r="A203" s="3" t="s">
        <v>244</v>
      </c>
      <c r="B203" s="11">
        <v>13683.187673938064</v>
      </c>
      <c r="C203" s="11">
        <v>13099.017037887425</v>
      </c>
      <c r="D203" s="11">
        <v>13505</v>
      </c>
      <c r="E203" s="11">
        <v>13510</v>
      </c>
      <c r="F203" s="11">
        <v>13495</v>
      </c>
      <c r="G203" s="11">
        <v>13495</v>
      </c>
      <c r="H203" s="11">
        <v>2407</v>
      </c>
    </row>
    <row r="204" spans="1:8" x14ac:dyDescent="0.3">
      <c r="A204" s="3" t="s">
        <v>245</v>
      </c>
      <c r="B204" s="11">
        <v>13683.574352559077</v>
      </c>
      <c r="C204" s="11">
        <v>13098.634095291734</v>
      </c>
      <c r="D204" s="11">
        <v>13490</v>
      </c>
      <c r="E204" s="11">
        <v>13490</v>
      </c>
      <c r="F204" s="11">
        <v>13480</v>
      </c>
      <c r="G204" s="11">
        <v>13490</v>
      </c>
      <c r="H204" s="11">
        <v>8921</v>
      </c>
    </row>
    <row r="205" spans="1:8" x14ac:dyDescent="0.3">
      <c r="A205" s="3" t="s">
        <v>246</v>
      </c>
      <c r="B205" s="11">
        <v>13685.600424916916</v>
      </c>
      <c r="C205" s="11">
        <v>13096.627598512234</v>
      </c>
      <c r="D205" s="11">
        <v>13490</v>
      </c>
      <c r="E205" s="11">
        <v>13510</v>
      </c>
      <c r="F205" s="11">
        <v>13490</v>
      </c>
      <c r="G205" s="11">
        <v>13495</v>
      </c>
      <c r="H205" s="11">
        <v>8624</v>
      </c>
    </row>
    <row r="206" spans="1:8" x14ac:dyDescent="0.3">
      <c r="A206" s="3" t="s">
        <v>247</v>
      </c>
      <c r="B206" s="11">
        <v>13685.886949272988</v>
      </c>
      <c r="C206" s="11">
        <v>13096.343842507427</v>
      </c>
      <c r="D206" s="11">
        <v>13495</v>
      </c>
      <c r="E206" s="11">
        <v>13495</v>
      </c>
      <c r="F206" s="11">
        <v>13490</v>
      </c>
      <c r="G206" s="11">
        <v>13490</v>
      </c>
      <c r="H206" s="11">
        <v>967</v>
      </c>
    </row>
    <row r="207" spans="1:8" x14ac:dyDescent="0.3">
      <c r="A207" s="3" t="s">
        <v>248</v>
      </c>
      <c r="B207" s="11">
        <v>13686.579492057132</v>
      </c>
      <c r="C207" s="11">
        <v>13095.657990957912</v>
      </c>
      <c r="D207" s="11">
        <v>13490</v>
      </c>
      <c r="E207" s="11">
        <v>13495</v>
      </c>
      <c r="F207" s="11">
        <v>13480</v>
      </c>
      <c r="G207" s="11">
        <v>13490</v>
      </c>
      <c r="H207" s="11">
        <v>9697</v>
      </c>
    </row>
    <row r="208" spans="1:8" x14ac:dyDescent="0.3">
      <c r="A208" s="3" t="s">
        <v>249</v>
      </c>
      <c r="B208" s="11">
        <v>13684.615062770752</v>
      </c>
      <c r="C208" s="11">
        <v>13097.603440251187</v>
      </c>
      <c r="D208" s="11">
        <v>13490</v>
      </c>
      <c r="E208" s="11">
        <v>13490</v>
      </c>
      <c r="F208" s="11">
        <v>13475</v>
      </c>
      <c r="G208" s="11">
        <v>13475</v>
      </c>
      <c r="H208" s="11">
        <v>6543</v>
      </c>
    </row>
    <row r="209" spans="1:8" x14ac:dyDescent="0.3">
      <c r="A209" s="3" t="s">
        <v>250</v>
      </c>
      <c r="B209" s="11">
        <v>13686.043690718543</v>
      </c>
      <c r="C209" s="11">
        <v>13096.188615471974</v>
      </c>
      <c r="D209" s="11">
        <v>13470</v>
      </c>
      <c r="E209" s="11">
        <v>13475</v>
      </c>
      <c r="F209" s="11">
        <v>13470</v>
      </c>
      <c r="G209" s="11">
        <v>13475</v>
      </c>
      <c r="H209" s="11">
        <v>6392</v>
      </c>
    </row>
    <row r="210" spans="1:8" x14ac:dyDescent="0.3">
      <c r="A210" s="3" t="s">
        <v>251</v>
      </c>
      <c r="B210" s="11">
        <v>13688.830123965172</v>
      </c>
      <c r="C210" s="11">
        <v>13093.429104285698</v>
      </c>
      <c r="D210" s="11">
        <v>13475</v>
      </c>
      <c r="E210" s="11">
        <v>13485</v>
      </c>
      <c r="F210" s="11">
        <v>13460</v>
      </c>
      <c r="G210" s="11">
        <v>13485</v>
      </c>
      <c r="H210" s="11">
        <v>24401</v>
      </c>
    </row>
    <row r="211" spans="1:8" x14ac:dyDescent="0.3">
      <c r="A211" s="3" t="s">
        <v>252</v>
      </c>
      <c r="B211" s="11">
        <v>13688.487076784018</v>
      </c>
      <c r="C211" s="11">
        <v>13093.768837001335</v>
      </c>
      <c r="D211" s="11">
        <v>13480</v>
      </c>
      <c r="E211" s="11">
        <v>13490</v>
      </c>
      <c r="F211" s="11">
        <v>13480</v>
      </c>
      <c r="G211" s="11">
        <v>13485</v>
      </c>
      <c r="H211" s="11">
        <v>7411</v>
      </c>
    </row>
    <row r="212" spans="1:8" x14ac:dyDescent="0.3">
      <c r="A212" s="3" t="s">
        <v>253</v>
      </c>
      <c r="B212" s="11">
        <v>13688.193228733977</v>
      </c>
      <c r="C212" s="11">
        <v>13094.059845939781</v>
      </c>
      <c r="D212" s="11">
        <v>13485</v>
      </c>
      <c r="E212" s="11">
        <v>13485</v>
      </c>
      <c r="F212" s="11">
        <v>13470</v>
      </c>
      <c r="G212" s="11">
        <v>13475</v>
      </c>
      <c r="H212" s="11">
        <v>6525</v>
      </c>
    </row>
    <row r="213" spans="1:8" x14ac:dyDescent="0.3">
      <c r="A213" s="3" t="s">
        <v>254</v>
      </c>
      <c r="B213" s="11">
        <v>13685.725178536937</v>
      </c>
      <c r="C213" s="11">
        <v>13096.504050241198</v>
      </c>
      <c r="D213" s="11">
        <v>13480</v>
      </c>
      <c r="E213" s="11">
        <v>13480</v>
      </c>
      <c r="F213" s="11">
        <v>13475</v>
      </c>
      <c r="G213" s="11">
        <v>13480</v>
      </c>
      <c r="H213" s="11">
        <v>247</v>
      </c>
    </row>
    <row r="214" spans="1:8" x14ac:dyDescent="0.3">
      <c r="A214" s="3" t="s">
        <v>255</v>
      </c>
      <c r="B214" s="11">
        <v>13688.347256091378</v>
      </c>
      <c r="C214" s="11">
        <v>13093.907306769406</v>
      </c>
      <c r="D214" s="11">
        <v>13475</v>
      </c>
      <c r="E214" s="11">
        <v>13485</v>
      </c>
      <c r="F214" s="11">
        <v>13475</v>
      </c>
      <c r="G214" s="11">
        <v>13485</v>
      </c>
      <c r="H214" s="11">
        <v>3064</v>
      </c>
    </row>
    <row r="215" spans="1:8" x14ac:dyDescent="0.3">
      <c r="A215" s="3" t="s">
        <v>256</v>
      </c>
      <c r="B215" s="11">
        <v>13686.62444858108</v>
      </c>
      <c r="C215" s="11">
        <v>13095.613468796515</v>
      </c>
      <c r="D215" s="11">
        <v>13485</v>
      </c>
      <c r="E215" s="11">
        <v>13505</v>
      </c>
      <c r="F215" s="11">
        <v>13480</v>
      </c>
      <c r="G215" s="11">
        <v>13500</v>
      </c>
      <c r="H215" s="11">
        <v>14209</v>
      </c>
    </row>
    <row r="216" spans="1:8" x14ac:dyDescent="0.3">
      <c r="A216" s="3" t="s">
        <v>257</v>
      </c>
      <c r="B216" s="11">
        <v>13684.526161685981</v>
      </c>
      <c r="C216" s="11">
        <v>13097.69148238828</v>
      </c>
      <c r="D216" s="11">
        <v>13500</v>
      </c>
      <c r="E216" s="11">
        <v>13510</v>
      </c>
      <c r="F216" s="11">
        <v>13500</v>
      </c>
      <c r="G216" s="11">
        <v>13505</v>
      </c>
      <c r="H216" s="11">
        <v>12150</v>
      </c>
    </row>
    <row r="217" spans="1:8" x14ac:dyDescent="0.3">
      <c r="A217" s="3" t="s">
        <v>258</v>
      </c>
      <c r="B217" s="11">
        <v>13687.088019953846</v>
      </c>
      <c r="C217" s="11">
        <v>13095.154376374212</v>
      </c>
      <c r="D217" s="11">
        <v>13505</v>
      </c>
      <c r="E217" s="11">
        <v>13510</v>
      </c>
      <c r="F217" s="11">
        <v>13490</v>
      </c>
      <c r="G217" s="11">
        <v>13495</v>
      </c>
      <c r="H217" s="11">
        <v>9711</v>
      </c>
    </row>
    <row r="218" spans="1:8" x14ac:dyDescent="0.3">
      <c r="A218" s="3" t="s">
        <v>259</v>
      </c>
      <c r="B218" s="11">
        <v>13690.166044817419</v>
      </c>
      <c r="C218" s="11">
        <v>13092.1060908813</v>
      </c>
      <c r="D218" s="11">
        <v>13490</v>
      </c>
      <c r="E218" s="11">
        <v>13500</v>
      </c>
      <c r="F218" s="11">
        <v>13490</v>
      </c>
      <c r="G218" s="11">
        <v>13500</v>
      </c>
      <c r="H218" s="11">
        <v>7267</v>
      </c>
    </row>
    <row r="219" spans="1:8" x14ac:dyDescent="0.3">
      <c r="A219" s="3" t="s">
        <v>260</v>
      </c>
      <c r="B219" s="11">
        <v>13692.733534678044</v>
      </c>
      <c r="C219" s="11">
        <v>13089.563407685995</v>
      </c>
      <c r="D219" s="11">
        <v>13505</v>
      </c>
      <c r="E219" s="11">
        <v>13505</v>
      </c>
      <c r="F219" s="11">
        <v>13490</v>
      </c>
      <c r="G219" s="11">
        <v>13495</v>
      </c>
      <c r="H219" s="11">
        <v>35389</v>
      </c>
    </row>
    <row r="220" spans="1:8" x14ac:dyDescent="0.3">
      <c r="A220" s="3" t="s">
        <v>261</v>
      </c>
      <c r="B220" s="11">
        <v>13696.966521851413</v>
      </c>
      <c r="C220" s="11">
        <v>13085.371318939422</v>
      </c>
      <c r="D220" s="11">
        <v>13495</v>
      </c>
      <c r="E220" s="11">
        <v>13495</v>
      </c>
      <c r="F220" s="11">
        <v>13485</v>
      </c>
      <c r="G220" s="11">
        <v>13495</v>
      </c>
      <c r="H220" s="11">
        <v>7759</v>
      </c>
    </row>
    <row r="221" spans="1:8" x14ac:dyDescent="0.3">
      <c r="A221" s="3" t="s">
        <v>262</v>
      </c>
      <c r="B221" s="11">
        <v>13697.522452937232</v>
      </c>
      <c r="C221" s="11">
        <v>13084.82075916844</v>
      </c>
      <c r="D221" s="11">
        <v>13495</v>
      </c>
      <c r="E221" s="11">
        <v>13495</v>
      </c>
      <c r="F221" s="11">
        <v>13485</v>
      </c>
      <c r="G221" s="11">
        <v>13485</v>
      </c>
      <c r="H221" s="11">
        <v>4594</v>
      </c>
    </row>
    <row r="222" spans="1:8" x14ac:dyDescent="0.3">
      <c r="A222" s="3" t="s">
        <v>263</v>
      </c>
      <c r="B222" s="11">
        <v>13699.221822349671</v>
      </c>
      <c r="C222" s="11">
        <v>13083.137808784144</v>
      </c>
      <c r="D222" s="11">
        <v>13490</v>
      </c>
      <c r="E222" s="11">
        <v>13495</v>
      </c>
      <c r="F222" s="11">
        <v>13490</v>
      </c>
      <c r="G222" s="11">
        <v>13490</v>
      </c>
      <c r="H222" s="11">
        <v>1214</v>
      </c>
    </row>
    <row r="223" spans="1:8" x14ac:dyDescent="0.3">
      <c r="A223" s="3" t="s">
        <v>264</v>
      </c>
      <c r="B223" s="11">
        <v>13692.959671569944</v>
      </c>
      <c r="C223" s="11">
        <v>13089.339455691601</v>
      </c>
      <c r="D223" s="11">
        <v>13490</v>
      </c>
      <c r="E223" s="11">
        <v>13505</v>
      </c>
      <c r="F223" s="11">
        <v>13490</v>
      </c>
      <c r="G223" s="11">
        <v>13505</v>
      </c>
      <c r="H223" s="11">
        <v>4043</v>
      </c>
    </row>
    <row r="224" spans="1:8" x14ac:dyDescent="0.3">
      <c r="A224" s="3" t="s">
        <v>265</v>
      </c>
      <c r="B224" s="11">
        <v>13693.476603559542</v>
      </c>
      <c r="C224" s="11">
        <v>13088.827518213979</v>
      </c>
      <c r="D224" s="11">
        <v>13500</v>
      </c>
      <c r="E224" s="11">
        <v>13505</v>
      </c>
      <c r="F224" s="11">
        <v>13495</v>
      </c>
      <c r="G224" s="11">
        <v>13505</v>
      </c>
      <c r="H224" s="11">
        <v>3610</v>
      </c>
    </row>
    <row r="225" spans="1:8" x14ac:dyDescent="0.3">
      <c r="A225" s="3" t="s">
        <v>266</v>
      </c>
      <c r="B225" s="11">
        <v>13691.941650880941</v>
      </c>
      <c r="C225" s="11">
        <v>13090.347640431919</v>
      </c>
      <c r="D225" s="11">
        <v>13505</v>
      </c>
      <c r="E225" s="11">
        <v>13510</v>
      </c>
      <c r="F225" s="11">
        <v>13495</v>
      </c>
      <c r="G225" s="11">
        <v>13505</v>
      </c>
      <c r="H225" s="11">
        <v>23026</v>
      </c>
    </row>
    <row r="226" spans="1:8" x14ac:dyDescent="0.3">
      <c r="A226" s="3" t="s">
        <v>267</v>
      </c>
      <c r="B226" s="11">
        <v>13691.639307981201</v>
      </c>
      <c r="C226" s="11">
        <v>13090.64706214422</v>
      </c>
      <c r="D226" s="11">
        <v>13510</v>
      </c>
      <c r="E226" s="11">
        <v>13515</v>
      </c>
      <c r="F226" s="11">
        <v>13500</v>
      </c>
      <c r="G226" s="11">
        <v>13510</v>
      </c>
      <c r="H226" s="11">
        <v>34600</v>
      </c>
    </row>
    <row r="227" spans="1:8" x14ac:dyDescent="0.3">
      <c r="A227" s="3" t="s">
        <v>268</v>
      </c>
      <c r="B227" s="11">
        <v>13694.199153986085</v>
      </c>
      <c r="C227" s="11">
        <v>13088.111948950978</v>
      </c>
      <c r="D227" s="11">
        <v>13505</v>
      </c>
      <c r="E227" s="11">
        <v>13510</v>
      </c>
      <c r="F227" s="11">
        <v>13500</v>
      </c>
      <c r="G227" s="11">
        <v>13505</v>
      </c>
      <c r="H227" s="11">
        <v>7489</v>
      </c>
    </row>
    <row r="228" spans="1:8" x14ac:dyDescent="0.3">
      <c r="A228" s="3" t="s">
        <v>269</v>
      </c>
      <c r="B228" s="11">
        <v>13690.775390639465</v>
      </c>
      <c r="C228" s="11">
        <v>13091.502632458503</v>
      </c>
      <c r="D228" s="11">
        <v>13505</v>
      </c>
      <c r="E228" s="11">
        <v>13505</v>
      </c>
      <c r="F228" s="11">
        <v>13495</v>
      </c>
      <c r="G228" s="11">
        <v>13495</v>
      </c>
      <c r="H228" s="11">
        <v>7684</v>
      </c>
    </row>
    <row r="229" spans="1:8" x14ac:dyDescent="0.3">
      <c r="A229" s="3" t="s">
        <v>270</v>
      </c>
      <c r="B229" s="11">
        <v>13686.786483030699</v>
      </c>
      <c r="C229" s="11">
        <v>13095.452999897132</v>
      </c>
      <c r="D229" s="11">
        <v>13495</v>
      </c>
      <c r="E229" s="11">
        <v>13505</v>
      </c>
      <c r="F229" s="11">
        <v>13495</v>
      </c>
      <c r="G229" s="11">
        <v>13505</v>
      </c>
      <c r="H229" s="11">
        <v>5474</v>
      </c>
    </row>
    <row r="230" spans="1:8" x14ac:dyDescent="0.3">
      <c r="A230" s="3" t="s">
        <v>271</v>
      </c>
      <c r="B230" s="11">
        <v>13681.994273295308</v>
      </c>
      <c r="C230" s="11">
        <v>13100.198908089187</v>
      </c>
      <c r="D230" s="11">
        <v>13505</v>
      </c>
      <c r="E230" s="11">
        <v>13505</v>
      </c>
      <c r="F230" s="11">
        <v>13495</v>
      </c>
      <c r="G230" s="11">
        <v>13500</v>
      </c>
      <c r="H230" s="11">
        <v>6533</v>
      </c>
    </row>
    <row r="231" spans="1:8" x14ac:dyDescent="0.3">
      <c r="A231" s="3" t="s">
        <v>272</v>
      </c>
      <c r="B231" s="11">
        <v>13682.051516039761</v>
      </c>
      <c r="C231" s="11">
        <v>13100.14221841473</v>
      </c>
      <c r="D231" s="11">
        <v>13500</v>
      </c>
      <c r="E231" s="11">
        <v>13510</v>
      </c>
      <c r="F231" s="11">
        <v>13500</v>
      </c>
      <c r="G231" s="11">
        <v>13505</v>
      </c>
      <c r="H231" s="11">
        <v>5048</v>
      </c>
    </row>
    <row r="232" spans="1:8" x14ac:dyDescent="0.3">
      <c r="A232" s="3" t="s">
        <v>273</v>
      </c>
      <c r="B232" s="11">
        <v>13679.751254415629</v>
      </c>
      <c r="C232" s="11">
        <v>13102.420255288871</v>
      </c>
      <c r="D232" s="11">
        <v>13505</v>
      </c>
      <c r="E232" s="11">
        <v>13510</v>
      </c>
      <c r="F232" s="11">
        <v>13500</v>
      </c>
      <c r="G232" s="11">
        <v>13505</v>
      </c>
      <c r="H232" s="11">
        <v>2410</v>
      </c>
    </row>
    <row r="233" spans="1:8" x14ac:dyDescent="0.3">
      <c r="A233" s="3" t="s">
        <v>274</v>
      </c>
      <c r="B233" s="11">
        <v>13672.863120929553</v>
      </c>
      <c r="C233" s="11">
        <v>13109.24183676059</v>
      </c>
      <c r="D233" s="11">
        <v>13505</v>
      </c>
      <c r="E233" s="11">
        <v>13505</v>
      </c>
      <c r="F233" s="11">
        <v>13495</v>
      </c>
      <c r="G233" s="11">
        <v>13495</v>
      </c>
      <c r="H233" s="11">
        <v>3776</v>
      </c>
    </row>
    <row r="234" spans="1:8" x14ac:dyDescent="0.3">
      <c r="A234" s="3" t="s">
        <v>275</v>
      </c>
      <c r="B234" s="11">
        <v>13676.670706858611</v>
      </c>
      <c r="C234" s="11">
        <v>13105.471039101376</v>
      </c>
      <c r="D234" s="11">
        <v>13495</v>
      </c>
      <c r="E234" s="11">
        <v>13500</v>
      </c>
      <c r="F234" s="11">
        <v>13490</v>
      </c>
      <c r="G234" s="11">
        <v>13500</v>
      </c>
      <c r="H234" s="11">
        <v>4416</v>
      </c>
    </row>
    <row r="235" spans="1:8" x14ac:dyDescent="0.3">
      <c r="A235" s="3" t="s">
        <v>276</v>
      </c>
      <c r="B235" s="11">
        <v>13672.30304921186</v>
      </c>
      <c r="C235" s="11">
        <v>13109.796497157338</v>
      </c>
      <c r="D235" s="11">
        <v>13500</v>
      </c>
      <c r="E235" s="11">
        <v>13500</v>
      </c>
      <c r="F235" s="11">
        <v>13485</v>
      </c>
      <c r="G235" s="11">
        <v>13485</v>
      </c>
      <c r="H235" s="11">
        <v>15487</v>
      </c>
    </row>
    <row r="236" spans="1:8" x14ac:dyDescent="0.3">
      <c r="A236" s="3" t="s">
        <v>277</v>
      </c>
      <c r="B236" s="11">
        <v>13670.719445263843</v>
      </c>
      <c r="C236" s="11">
        <v>13111.364800584119</v>
      </c>
      <c r="D236" s="11">
        <v>13485</v>
      </c>
      <c r="E236" s="11">
        <v>13485</v>
      </c>
      <c r="F236" s="11">
        <v>13480</v>
      </c>
      <c r="G236" s="11">
        <v>13480</v>
      </c>
      <c r="H236" s="11">
        <v>2631</v>
      </c>
    </row>
    <row r="237" spans="1:8" x14ac:dyDescent="0.3">
      <c r="A237" s="3" t="s">
        <v>278</v>
      </c>
      <c r="B237" s="11">
        <v>13675.163240839958</v>
      </c>
      <c r="C237" s="11">
        <v>13106.96394023096</v>
      </c>
      <c r="D237" s="11">
        <v>13485</v>
      </c>
      <c r="E237" s="11">
        <v>13490</v>
      </c>
      <c r="F237" s="11">
        <v>13475</v>
      </c>
      <c r="G237" s="11">
        <v>13485</v>
      </c>
      <c r="H237" s="11">
        <v>7740</v>
      </c>
    </row>
    <row r="238" spans="1:8" x14ac:dyDescent="0.3">
      <c r="A238" s="3" t="s">
        <v>279</v>
      </c>
      <c r="B238" s="11">
        <v>13670.008123242911</v>
      </c>
      <c r="C238" s="11">
        <v>13112.06924992852</v>
      </c>
      <c r="D238" s="11">
        <v>13485</v>
      </c>
      <c r="E238" s="11">
        <v>13485</v>
      </c>
      <c r="F238" s="11">
        <v>13475</v>
      </c>
      <c r="G238" s="11">
        <v>13475</v>
      </c>
      <c r="H238" s="11">
        <v>8130</v>
      </c>
    </row>
    <row r="239" spans="1:8" x14ac:dyDescent="0.3">
      <c r="A239" s="3" t="s">
        <v>280</v>
      </c>
      <c r="B239" s="11">
        <v>13669.967846499399</v>
      </c>
      <c r="C239" s="11">
        <v>13112.109137524751</v>
      </c>
      <c r="D239" s="11">
        <v>13475</v>
      </c>
      <c r="E239" s="11">
        <v>13475</v>
      </c>
      <c r="F239" s="11">
        <v>13460</v>
      </c>
      <c r="G239" s="11">
        <v>13475</v>
      </c>
      <c r="H239" s="11">
        <v>33014</v>
      </c>
    </row>
    <row r="240" spans="1:8" x14ac:dyDescent="0.3">
      <c r="A240" s="3" t="s">
        <v>281</v>
      </c>
      <c r="B240" s="11">
        <v>13666.108456533015</v>
      </c>
      <c r="C240" s="11">
        <v>13115.93123869919</v>
      </c>
      <c r="D240" s="11">
        <v>13475</v>
      </c>
      <c r="E240" s="11">
        <v>13485</v>
      </c>
      <c r="F240" s="11">
        <v>13475</v>
      </c>
      <c r="G240" s="11">
        <v>13485</v>
      </c>
      <c r="H240" s="11">
        <v>4409</v>
      </c>
    </row>
    <row r="241" spans="1:8" x14ac:dyDescent="0.3">
      <c r="A241" s="3" t="s">
        <v>282</v>
      </c>
      <c r="B241" s="11">
        <v>13670.443876334159</v>
      </c>
      <c r="C241" s="11">
        <v>13111.637707012067</v>
      </c>
      <c r="D241" s="11">
        <v>13480</v>
      </c>
      <c r="E241" s="11">
        <v>13485</v>
      </c>
      <c r="F241" s="11">
        <v>13475</v>
      </c>
      <c r="G241" s="11">
        <v>13475</v>
      </c>
      <c r="H241" s="11">
        <v>9326</v>
      </c>
    </row>
    <row r="242" spans="1:8" x14ac:dyDescent="0.3">
      <c r="A242" s="3" t="s">
        <v>283</v>
      </c>
      <c r="B242" s="11">
        <v>13673.195143506042</v>
      </c>
      <c r="C242" s="11">
        <v>13108.913022131697</v>
      </c>
      <c r="D242" s="11">
        <v>13485</v>
      </c>
      <c r="E242" s="11">
        <v>13495</v>
      </c>
      <c r="F242" s="11">
        <v>13485</v>
      </c>
      <c r="G242" s="11">
        <v>13490</v>
      </c>
      <c r="H242" s="11">
        <v>10517</v>
      </c>
    </row>
    <row r="243" spans="1:8" x14ac:dyDescent="0.3">
      <c r="A243" s="3" t="s">
        <v>284</v>
      </c>
      <c r="B243" s="11">
        <v>13675.283117943762</v>
      </c>
      <c r="C243" s="11">
        <v>13106.845221360043</v>
      </c>
      <c r="D243" s="11">
        <v>13495</v>
      </c>
      <c r="E243" s="11">
        <v>13500</v>
      </c>
      <c r="F243" s="11">
        <v>13490</v>
      </c>
      <c r="G243" s="11">
        <v>13500</v>
      </c>
      <c r="H243" s="11">
        <v>16663</v>
      </c>
    </row>
    <row r="244" spans="1:8" x14ac:dyDescent="0.3">
      <c r="A244" s="3" t="s">
        <v>285</v>
      </c>
      <c r="B244" s="11">
        <v>13671.205951458225</v>
      </c>
      <c r="C244" s="11">
        <v>13110.882994932676</v>
      </c>
      <c r="D244" s="11">
        <v>13505</v>
      </c>
      <c r="E244" s="11">
        <v>13505</v>
      </c>
      <c r="F244" s="11">
        <v>13500</v>
      </c>
      <c r="G244" s="11">
        <v>13500</v>
      </c>
      <c r="H244" s="11">
        <v>12104</v>
      </c>
    </row>
    <row r="245" spans="1:8" x14ac:dyDescent="0.3">
      <c r="A245" s="3" t="s">
        <v>286</v>
      </c>
      <c r="B245" s="11">
        <v>13670.148209112924</v>
      </c>
      <c r="C245" s="11">
        <v>13111.930517545174</v>
      </c>
      <c r="D245" s="11">
        <v>13500</v>
      </c>
      <c r="E245" s="11">
        <v>13505</v>
      </c>
      <c r="F245" s="11">
        <v>13490</v>
      </c>
      <c r="G245" s="11">
        <v>13495</v>
      </c>
      <c r="H245" s="11">
        <v>10325</v>
      </c>
    </row>
    <row r="246" spans="1:8" x14ac:dyDescent="0.3">
      <c r="A246" s="3" t="s">
        <v>287</v>
      </c>
      <c r="B246" s="11">
        <v>13670.088991714347</v>
      </c>
      <c r="C246" s="11">
        <v>13111.989162794971</v>
      </c>
      <c r="D246" s="11">
        <v>13495</v>
      </c>
      <c r="E246" s="11">
        <v>13495</v>
      </c>
      <c r="F246" s="11">
        <v>13485</v>
      </c>
      <c r="G246" s="11">
        <v>13490</v>
      </c>
      <c r="H246" s="11">
        <v>16517</v>
      </c>
    </row>
    <row r="247" spans="1:8" x14ac:dyDescent="0.3">
      <c r="A247" s="3" t="s">
        <v>288</v>
      </c>
      <c r="B247" s="11">
        <v>13673.733833159231</v>
      </c>
      <c r="C247" s="11">
        <v>13108.379537209457</v>
      </c>
      <c r="D247" s="11">
        <v>13495</v>
      </c>
      <c r="E247" s="11">
        <v>13500</v>
      </c>
      <c r="F247" s="11">
        <v>13490</v>
      </c>
      <c r="G247" s="11">
        <v>13490</v>
      </c>
      <c r="H247" s="11">
        <v>15616</v>
      </c>
    </row>
    <row r="248" spans="1:8" x14ac:dyDescent="0.3">
      <c r="A248" s="3" t="s">
        <v>289</v>
      </c>
      <c r="B248" s="11">
        <v>13674.274438420545</v>
      </c>
      <c r="C248" s="11">
        <v>13107.84415518738</v>
      </c>
      <c r="D248" s="11">
        <v>13490</v>
      </c>
      <c r="E248" s="11">
        <v>13490</v>
      </c>
      <c r="F248" s="11">
        <v>13480</v>
      </c>
      <c r="G248" s="11">
        <v>13480</v>
      </c>
      <c r="H248" s="11">
        <v>4627</v>
      </c>
    </row>
    <row r="249" spans="1:8" x14ac:dyDescent="0.3">
      <c r="A249" s="3" t="s">
        <v>290</v>
      </c>
      <c r="B249" s="11">
        <v>13681.211571338757</v>
      </c>
      <c r="C249" s="11">
        <v>13100.974047707992</v>
      </c>
      <c r="D249" s="11">
        <v>13480</v>
      </c>
      <c r="E249" s="11">
        <v>13480</v>
      </c>
      <c r="F249" s="11">
        <v>13475</v>
      </c>
      <c r="G249" s="11">
        <v>13480</v>
      </c>
      <c r="H249" s="11">
        <v>5727</v>
      </c>
    </row>
    <row r="250" spans="1:8" x14ac:dyDescent="0.3">
      <c r="A250" s="3" t="s">
        <v>291</v>
      </c>
      <c r="B250" s="11">
        <v>13675.499636660728</v>
      </c>
      <c r="C250" s="11">
        <v>13106.630794611354</v>
      </c>
      <c r="D250" s="11">
        <v>13475</v>
      </c>
      <c r="E250" s="11">
        <v>13475</v>
      </c>
      <c r="F250" s="11">
        <v>13455</v>
      </c>
      <c r="G250" s="11">
        <v>13470</v>
      </c>
      <c r="H250" s="11">
        <v>79546</v>
      </c>
    </row>
    <row r="251" spans="1:8" x14ac:dyDescent="0.3">
      <c r="A251" s="3" t="s">
        <v>292</v>
      </c>
      <c r="B251" s="11">
        <v>13669.804412922966</v>
      </c>
      <c r="C251" s="11">
        <v>13112.270992032813</v>
      </c>
      <c r="D251" s="11">
        <v>13470</v>
      </c>
      <c r="E251" s="11">
        <v>13470</v>
      </c>
      <c r="F251" s="11">
        <v>13460</v>
      </c>
      <c r="G251" s="11">
        <v>13470</v>
      </c>
      <c r="H251" s="11">
        <v>16039</v>
      </c>
    </row>
    <row r="252" spans="1:8" x14ac:dyDescent="0.3">
      <c r="A252" s="3" t="s">
        <v>293</v>
      </c>
      <c r="B252" s="11">
        <v>13668.057587528187</v>
      </c>
      <c r="C252" s="11">
        <v>13114.000939887545</v>
      </c>
      <c r="D252" s="11">
        <v>13470</v>
      </c>
      <c r="E252" s="11">
        <v>13475</v>
      </c>
      <c r="F252" s="11">
        <v>13455</v>
      </c>
      <c r="G252" s="11">
        <v>13460</v>
      </c>
      <c r="H252" s="11">
        <v>29030</v>
      </c>
    </row>
    <row r="253" spans="1:8" x14ac:dyDescent="0.3">
      <c r="A253" s="3" t="s">
        <v>294</v>
      </c>
      <c r="B253" s="11">
        <v>13675.691404752635</v>
      </c>
      <c r="C253" s="11">
        <v>13106.440879351256</v>
      </c>
      <c r="D253" s="11">
        <v>13460</v>
      </c>
      <c r="E253" s="11">
        <v>13460</v>
      </c>
      <c r="F253" s="11">
        <v>13450</v>
      </c>
      <c r="G253" s="11">
        <v>13460</v>
      </c>
      <c r="H253" s="11">
        <v>30439</v>
      </c>
    </row>
    <row r="254" spans="1:8" x14ac:dyDescent="0.3">
      <c r="A254" s="3" t="s">
        <v>295</v>
      </c>
      <c r="B254" s="11">
        <v>13679.93157882072</v>
      </c>
      <c r="C254" s="11">
        <v>13102.241673148561</v>
      </c>
      <c r="D254" s="11">
        <v>13460</v>
      </c>
      <c r="E254" s="11">
        <v>13460</v>
      </c>
      <c r="F254" s="11">
        <v>13400</v>
      </c>
      <c r="G254" s="11">
        <v>13410</v>
      </c>
      <c r="H254" s="11">
        <v>198628</v>
      </c>
    </row>
    <row r="255" spans="1:8" x14ac:dyDescent="0.3">
      <c r="A255" s="3" t="s">
        <v>296</v>
      </c>
      <c r="B255" s="11">
        <v>13680.215089448537</v>
      </c>
      <c r="C255" s="11">
        <v>13101.960901753866</v>
      </c>
      <c r="D255" s="11">
        <v>13410</v>
      </c>
      <c r="E255" s="11">
        <v>13420</v>
      </c>
      <c r="F255" s="11">
        <v>13405</v>
      </c>
      <c r="G255" s="11">
        <v>13420</v>
      </c>
      <c r="H255" s="11">
        <v>43374</v>
      </c>
    </row>
    <row r="256" spans="1:8" x14ac:dyDescent="0.3">
      <c r="A256" s="3" t="s">
        <v>297</v>
      </c>
      <c r="B256" s="11">
        <v>13675.855819350958</v>
      </c>
      <c r="C256" s="11">
        <v>13106.278053299773</v>
      </c>
      <c r="D256" s="11">
        <v>13425</v>
      </c>
      <c r="E256" s="11">
        <v>13480</v>
      </c>
      <c r="F256" s="11">
        <v>13380</v>
      </c>
      <c r="G256" s="11">
        <v>13440</v>
      </c>
      <c r="H256" s="11">
        <v>523532</v>
      </c>
    </row>
    <row r="257" spans="1:8" x14ac:dyDescent="0.3">
      <c r="A257" s="3" t="s">
        <v>298</v>
      </c>
      <c r="B257" s="11">
        <v>13686.756928434115</v>
      </c>
      <c r="C257" s="11">
        <v>13095.482268942058</v>
      </c>
      <c r="D257" s="11">
        <v>13440</v>
      </c>
      <c r="E257" s="11">
        <v>13445</v>
      </c>
      <c r="F257" s="11">
        <v>13430</v>
      </c>
      <c r="G257" s="11">
        <v>13430</v>
      </c>
      <c r="H257" s="11">
        <v>25223</v>
      </c>
    </row>
    <row r="258" spans="1:8" x14ac:dyDescent="0.3">
      <c r="A258" s="3" t="s">
        <v>299</v>
      </c>
      <c r="B258" s="11">
        <v>13688.478919741969</v>
      </c>
      <c r="C258" s="11">
        <v>13093.776915231383</v>
      </c>
      <c r="D258" s="11">
        <v>13440</v>
      </c>
      <c r="E258" s="11">
        <v>13455</v>
      </c>
      <c r="F258" s="11">
        <v>13435</v>
      </c>
      <c r="G258" s="11">
        <v>13450</v>
      </c>
      <c r="H258" s="11">
        <v>42448</v>
      </c>
    </row>
    <row r="259" spans="1:8" x14ac:dyDescent="0.3">
      <c r="A259" s="3" t="s">
        <v>300</v>
      </c>
      <c r="B259" s="11">
        <v>13678.70088262543</v>
      </c>
      <c r="C259" s="11">
        <v>13103.460478559358</v>
      </c>
      <c r="D259" s="11">
        <v>13455</v>
      </c>
      <c r="E259" s="11">
        <v>13455</v>
      </c>
      <c r="F259" s="11">
        <v>13440</v>
      </c>
      <c r="G259" s="11">
        <v>13455</v>
      </c>
      <c r="H259" s="11">
        <v>22747</v>
      </c>
    </row>
    <row r="260" spans="1:8" x14ac:dyDescent="0.3">
      <c r="A260" s="3" t="s">
        <v>301</v>
      </c>
      <c r="B260" s="11">
        <v>13678.531131277372</v>
      </c>
      <c r="C260" s="11">
        <v>13103.628589797772</v>
      </c>
      <c r="D260" s="11">
        <v>13450</v>
      </c>
      <c r="E260" s="11">
        <v>13455</v>
      </c>
      <c r="F260" s="11">
        <v>13445</v>
      </c>
      <c r="G260" s="11">
        <v>13445</v>
      </c>
      <c r="H260" s="11">
        <v>13880</v>
      </c>
    </row>
    <row r="261" spans="1:8" x14ac:dyDescent="0.3">
      <c r="A261" s="3" t="s">
        <v>302</v>
      </c>
      <c r="B261" s="11">
        <v>13676.579553712172</v>
      </c>
      <c r="C261" s="11">
        <v>13105.561311541085</v>
      </c>
      <c r="D261" s="11">
        <v>13450</v>
      </c>
      <c r="E261" s="11">
        <v>13450</v>
      </c>
      <c r="F261" s="11">
        <v>13425</v>
      </c>
      <c r="G261" s="11">
        <v>13425</v>
      </c>
      <c r="H261" s="11">
        <v>18288</v>
      </c>
    </row>
    <row r="262" spans="1:8" x14ac:dyDescent="0.3">
      <c r="A262" s="3" t="s">
        <v>303</v>
      </c>
      <c r="B262" s="11">
        <v>13674.133241730358</v>
      </c>
      <c r="C262" s="11">
        <v>13107.983987658343</v>
      </c>
      <c r="D262" s="11">
        <v>13420</v>
      </c>
      <c r="E262" s="11">
        <v>13430</v>
      </c>
      <c r="F262" s="11">
        <v>13410</v>
      </c>
      <c r="G262" s="11">
        <v>13415</v>
      </c>
      <c r="H262" s="11">
        <v>42655</v>
      </c>
    </row>
    <row r="263" spans="1:8" x14ac:dyDescent="0.3">
      <c r="A263" s="3" t="s">
        <v>304</v>
      </c>
      <c r="B263" s="11">
        <v>13679.579003368392</v>
      </c>
      <c r="C263" s="11">
        <v>13102.590842074782</v>
      </c>
      <c r="D263" s="11">
        <v>13415</v>
      </c>
      <c r="E263" s="11">
        <v>13420</v>
      </c>
      <c r="F263" s="11">
        <v>13395</v>
      </c>
      <c r="G263" s="11">
        <v>13420</v>
      </c>
      <c r="H263" s="11">
        <v>62765</v>
      </c>
    </row>
    <row r="264" spans="1:8" x14ac:dyDescent="0.3">
      <c r="A264" s="3" t="s">
        <v>305</v>
      </c>
      <c r="B264" s="11">
        <v>13678.040179382479</v>
      </c>
      <c r="C264" s="11">
        <v>13104.114798196095</v>
      </c>
      <c r="D264" s="11">
        <v>13420</v>
      </c>
      <c r="E264" s="11">
        <v>13420</v>
      </c>
      <c r="F264" s="11">
        <v>13385</v>
      </c>
      <c r="G264" s="11">
        <v>13400</v>
      </c>
      <c r="H264" s="11">
        <v>76401</v>
      </c>
    </row>
    <row r="265" spans="1:8" x14ac:dyDescent="0.3">
      <c r="A265" s="3" t="s">
        <v>306</v>
      </c>
      <c r="B265" s="11">
        <v>13683.622624098549</v>
      </c>
      <c r="C265" s="11">
        <v>13098.586290143947</v>
      </c>
      <c r="D265" s="11">
        <v>13400</v>
      </c>
      <c r="E265" s="11">
        <v>13425</v>
      </c>
      <c r="F265" s="11">
        <v>13400</v>
      </c>
      <c r="G265" s="11">
        <v>13420</v>
      </c>
      <c r="H265" s="11">
        <v>15750</v>
      </c>
    </row>
    <row r="266" spans="1:8" x14ac:dyDescent="0.3">
      <c r="A266" s="3" t="s">
        <v>307</v>
      </c>
      <c r="B266" s="11">
        <v>13681.512982411597</v>
      </c>
      <c r="C266" s="11">
        <v>13100.675548819432</v>
      </c>
      <c r="D266" s="11">
        <v>13415</v>
      </c>
      <c r="E266" s="11">
        <v>13420</v>
      </c>
      <c r="F266" s="11">
        <v>13410</v>
      </c>
      <c r="G266" s="11">
        <v>13415</v>
      </c>
      <c r="H266" s="11">
        <v>15338</v>
      </c>
    </row>
    <row r="267" spans="1:8" x14ac:dyDescent="0.3">
      <c r="A267" s="3" t="s">
        <v>308</v>
      </c>
      <c r="B267" s="11">
        <v>13678.394932209187</v>
      </c>
      <c r="C267" s="11">
        <v>13103.763472932931</v>
      </c>
      <c r="D267" s="11">
        <v>13415</v>
      </c>
      <c r="E267" s="11">
        <v>13415</v>
      </c>
      <c r="F267" s="11">
        <v>13400</v>
      </c>
      <c r="G267" s="11">
        <v>13405</v>
      </c>
      <c r="H267" s="11">
        <v>18228</v>
      </c>
    </row>
    <row r="268" spans="1:8" x14ac:dyDescent="0.3">
      <c r="A268" s="3" t="s">
        <v>309</v>
      </c>
      <c r="B268" s="11">
        <v>13682.13343037057</v>
      </c>
      <c r="C268" s="11">
        <v>13100.061095526731</v>
      </c>
      <c r="D268" s="11">
        <v>13405</v>
      </c>
      <c r="E268" s="11">
        <v>13415</v>
      </c>
      <c r="F268" s="11">
        <v>13400</v>
      </c>
      <c r="G268" s="11">
        <v>13405</v>
      </c>
      <c r="H268" s="11">
        <v>9581</v>
      </c>
    </row>
    <row r="269" spans="1:8" x14ac:dyDescent="0.3">
      <c r="A269" s="3" t="s">
        <v>310</v>
      </c>
      <c r="B269" s="11">
        <v>13687.270699876099</v>
      </c>
      <c r="C269" s="11">
        <v>13094.973461475362</v>
      </c>
      <c r="D269" s="11">
        <v>13405</v>
      </c>
      <c r="E269" s="11">
        <v>13410</v>
      </c>
      <c r="F269" s="11">
        <v>13390</v>
      </c>
      <c r="G269" s="11">
        <v>13395</v>
      </c>
      <c r="H269" s="11">
        <v>30115</v>
      </c>
    </row>
    <row r="270" spans="1:8" x14ac:dyDescent="0.3">
      <c r="A270" s="3" t="s">
        <v>311</v>
      </c>
      <c r="B270" s="11">
        <v>13691.299151711861</v>
      </c>
      <c r="C270" s="11">
        <v>13090.98393187956</v>
      </c>
      <c r="D270" s="11">
        <v>13395</v>
      </c>
      <c r="E270" s="11">
        <v>13400</v>
      </c>
      <c r="F270" s="11">
        <v>13395</v>
      </c>
      <c r="G270" s="11">
        <v>13400</v>
      </c>
      <c r="H270" s="11">
        <v>22201</v>
      </c>
    </row>
    <row r="271" spans="1:8" x14ac:dyDescent="0.3">
      <c r="A271" s="3" t="s">
        <v>312</v>
      </c>
      <c r="B271" s="11">
        <v>13688.420418679414</v>
      </c>
      <c r="C271" s="11">
        <v>13093.83485106628</v>
      </c>
      <c r="D271" s="11">
        <v>13400</v>
      </c>
      <c r="E271" s="11">
        <v>13400</v>
      </c>
      <c r="F271" s="11">
        <v>13395</v>
      </c>
      <c r="G271" s="11">
        <v>13400</v>
      </c>
      <c r="H271" s="11">
        <v>4106</v>
      </c>
    </row>
    <row r="272" spans="1:8" x14ac:dyDescent="0.3">
      <c r="A272" s="3" t="s">
        <v>313</v>
      </c>
      <c r="B272" s="11">
        <v>13688.227185853428</v>
      </c>
      <c r="C272" s="11">
        <v>13094.02621690844</v>
      </c>
      <c r="D272" s="11">
        <v>13400</v>
      </c>
      <c r="E272" s="11">
        <v>13400</v>
      </c>
      <c r="F272" s="11">
        <v>13370</v>
      </c>
      <c r="G272" s="11">
        <v>13370</v>
      </c>
      <c r="H272" s="11">
        <v>80280</v>
      </c>
    </row>
    <row r="273" spans="1:8" x14ac:dyDescent="0.3">
      <c r="A273" s="3" t="s">
        <v>314</v>
      </c>
      <c r="B273" s="11">
        <v>13688.296328844845</v>
      </c>
      <c r="C273" s="11">
        <v>13093.957741965251</v>
      </c>
      <c r="D273" s="11">
        <v>13370</v>
      </c>
      <c r="E273" s="11">
        <v>13380</v>
      </c>
      <c r="F273" s="11">
        <v>13360</v>
      </c>
      <c r="G273" s="11">
        <v>13365</v>
      </c>
      <c r="H273" s="11">
        <v>37927</v>
      </c>
    </row>
    <row r="274" spans="1:8" x14ac:dyDescent="0.3">
      <c r="A274" s="3" t="s">
        <v>315</v>
      </c>
      <c r="B274" s="11">
        <v>13686.40729655</v>
      </c>
      <c r="C274" s="11">
        <v>13095.828522740338</v>
      </c>
      <c r="D274" s="11">
        <v>13365</v>
      </c>
      <c r="E274" s="11">
        <v>13375</v>
      </c>
      <c r="F274" s="11">
        <v>13355</v>
      </c>
      <c r="G274" s="11">
        <v>13370</v>
      </c>
      <c r="H274" s="11">
        <v>52560</v>
      </c>
    </row>
    <row r="275" spans="1:8" x14ac:dyDescent="0.3">
      <c r="A275" s="3" t="s">
        <v>316</v>
      </c>
      <c r="B275" s="11">
        <v>13688.475271912726</v>
      </c>
      <c r="C275" s="11">
        <v>13093.780527815898</v>
      </c>
      <c r="D275" s="11">
        <v>13365</v>
      </c>
      <c r="E275" s="11">
        <v>13375</v>
      </c>
      <c r="F275" s="11">
        <v>13360</v>
      </c>
      <c r="G275" s="11">
        <v>13375</v>
      </c>
      <c r="H275" s="11">
        <v>21239</v>
      </c>
    </row>
    <row r="276" spans="1:8" x14ac:dyDescent="0.3">
      <c r="A276" s="3" t="s">
        <v>317</v>
      </c>
      <c r="B276" s="11">
        <v>13684.495568638702</v>
      </c>
      <c r="C276" s="11">
        <v>13097.721779850561</v>
      </c>
      <c r="D276" s="11">
        <v>13375</v>
      </c>
      <c r="E276" s="11">
        <v>13385</v>
      </c>
      <c r="F276" s="11">
        <v>13370</v>
      </c>
      <c r="G276" s="11">
        <v>13385</v>
      </c>
      <c r="H276" s="11">
        <v>36034</v>
      </c>
    </row>
    <row r="277" spans="1:8" x14ac:dyDescent="0.3">
      <c r="A277" s="3" t="s">
        <v>318</v>
      </c>
      <c r="B277" s="11">
        <v>13690.286415464681</v>
      </c>
      <c r="C277" s="11">
        <v>13091.98688323546</v>
      </c>
      <c r="D277" s="11">
        <v>13385</v>
      </c>
      <c r="E277" s="11">
        <v>13385</v>
      </c>
      <c r="F277" s="11">
        <v>13375</v>
      </c>
      <c r="G277" s="11">
        <v>13385</v>
      </c>
      <c r="H277" s="11">
        <v>27288</v>
      </c>
    </row>
    <row r="278" spans="1:8" x14ac:dyDescent="0.3">
      <c r="A278" s="3" t="s">
        <v>319</v>
      </c>
      <c r="B278" s="11">
        <v>13692.508229527473</v>
      </c>
      <c r="C278" s="11">
        <v>13089.786535975207</v>
      </c>
      <c r="D278" s="11">
        <v>13380</v>
      </c>
      <c r="E278" s="11">
        <v>13385</v>
      </c>
      <c r="F278" s="11">
        <v>13375</v>
      </c>
      <c r="G278" s="11">
        <v>13380</v>
      </c>
      <c r="H278" s="11">
        <v>25235</v>
      </c>
    </row>
    <row r="279" spans="1:8" x14ac:dyDescent="0.3">
      <c r="A279" s="3" t="s">
        <v>320</v>
      </c>
      <c r="B279" s="11">
        <v>13687.546674040161</v>
      </c>
      <c r="C279" s="11">
        <v>13094.700153728343</v>
      </c>
      <c r="D279" s="11">
        <v>13380</v>
      </c>
      <c r="E279" s="11">
        <v>13390</v>
      </c>
      <c r="F279" s="11">
        <v>13380</v>
      </c>
      <c r="G279" s="11">
        <v>13380</v>
      </c>
      <c r="H279" s="11">
        <v>4833</v>
      </c>
    </row>
    <row r="280" spans="1:8" x14ac:dyDescent="0.3">
      <c r="A280" s="3" t="s">
        <v>321</v>
      </c>
      <c r="B280" s="11">
        <v>13687.48873344901</v>
      </c>
      <c r="C280" s="11">
        <v>13094.757534507018</v>
      </c>
      <c r="D280" s="11">
        <v>13375</v>
      </c>
      <c r="E280" s="11">
        <v>13385</v>
      </c>
      <c r="F280" s="11">
        <v>13370</v>
      </c>
      <c r="G280" s="11">
        <v>13385</v>
      </c>
      <c r="H280" s="11">
        <v>15250</v>
      </c>
    </row>
    <row r="281" spans="1:8" x14ac:dyDescent="0.3">
      <c r="A281" s="3" t="s">
        <v>322</v>
      </c>
      <c r="B281" s="11">
        <v>13692.11817148706</v>
      </c>
      <c r="C281" s="11">
        <v>13090.172825338903</v>
      </c>
      <c r="D281" s="11">
        <v>13380</v>
      </c>
      <c r="E281" s="11">
        <v>13385</v>
      </c>
      <c r="F281" s="11">
        <v>13370</v>
      </c>
      <c r="G281" s="11">
        <v>13385</v>
      </c>
      <c r="H281" s="11">
        <v>18838</v>
      </c>
    </row>
    <row r="282" spans="1:8" x14ac:dyDescent="0.3">
      <c r="A282" s="3" t="s">
        <v>323</v>
      </c>
      <c r="B282" s="11">
        <v>13686.464392780565</v>
      </c>
      <c r="C282" s="11">
        <v>13095.771978164175</v>
      </c>
      <c r="D282" s="11">
        <v>13385</v>
      </c>
      <c r="E282" s="11">
        <v>13400</v>
      </c>
      <c r="F282" s="11">
        <v>13385</v>
      </c>
      <c r="G282" s="11">
        <v>13395</v>
      </c>
      <c r="H282" s="11">
        <v>20208</v>
      </c>
    </row>
    <row r="283" spans="1:8" x14ac:dyDescent="0.3">
      <c r="A283" s="3" t="s">
        <v>324</v>
      </c>
      <c r="B283" s="11">
        <v>13684.32960737824</v>
      </c>
      <c r="C283" s="11">
        <v>13097.886137620582</v>
      </c>
      <c r="D283" s="11">
        <v>13400</v>
      </c>
      <c r="E283" s="11">
        <v>13415</v>
      </c>
      <c r="F283" s="11">
        <v>13395</v>
      </c>
      <c r="G283" s="11">
        <v>13410</v>
      </c>
      <c r="H283" s="11">
        <v>35869</v>
      </c>
    </row>
    <row r="284" spans="1:8" x14ac:dyDescent="0.3">
      <c r="A284" s="3" t="s">
        <v>325</v>
      </c>
      <c r="B284" s="11">
        <v>13684.601990779774</v>
      </c>
      <c r="C284" s="11">
        <v>13097.616385942734</v>
      </c>
      <c r="D284" s="11">
        <v>13410</v>
      </c>
      <c r="E284" s="11">
        <v>13410</v>
      </c>
      <c r="F284" s="11">
        <v>13400</v>
      </c>
      <c r="G284" s="11">
        <v>13410</v>
      </c>
      <c r="H284" s="11">
        <v>22335</v>
      </c>
    </row>
    <row r="285" spans="1:8" x14ac:dyDescent="0.3">
      <c r="A285" s="3" t="s">
        <v>326</v>
      </c>
      <c r="B285" s="11">
        <v>13684.97985156695</v>
      </c>
      <c r="C285" s="11">
        <v>13097.24217598442</v>
      </c>
      <c r="D285" s="11">
        <v>13405</v>
      </c>
      <c r="E285" s="11">
        <v>13410</v>
      </c>
      <c r="F285" s="11">
        <v>13400</v>
      </c>
      <c r="G285" s="11">
        <v>13400</v>
      </c>
      <c r="H285" s="11">
        <v>10437</v>
      </c>
    </row>
    <row r="286" spans="1:8" x14ac:dyDescent="0.3">
      <c r="A286" s="3" t="s">
        <v>327</v>
      </c>
      <c r="B286" s="11">
        <v>13683.530837863773</v>
      </c>
      <c r="C286" s="11">
        <v>13098.677189555201</v>
      </c>
      <c r="D286" s="11">
        <v>13400</v>
      </c>
      <c r="E286" s="11">
        <v>13405</v>
      </c>
      <c r="F286" s="11">
        <v>13400</v>
      </c>
      <c r="G286" s="11">
        <v>13405</v>
      </c>
      <c r="H286" s="11">
        <v>1995</v>
      </c>
    </row>
    <row r="287" spans="1:8" x14ac:dyDescent="0.3">
      <c r="A287" s="3" t="s">
        <v>328</v>
      </c>
      <c r="B287" s="11">
        <v>13672.33634880621</v>
      </c>
      <c r="C287" s="11">
        <v>13109.7635192982</v>
      </c>
      <c r="D287" s="11">
        <v>13405</v>
      </c>
      <c r="E287" s="11">
        <v>13435</v>
      </c>
      <c r="F287" s="11">
        <v>13405</v>
      </c>
      <c r="G287" s="11">
        <v>13420</v>
      </c>
      <c r="H287" s="11">
        <v>43378</v>
      </c>
    </row>
    <row r="288" spans="1:8" x14ac:dyDescent="0.3">
      <c r="A288" s="3" t="s">
        <v>329</v>
      </c>
      <c r="B288" s="11">
        <v>13683.379821171855</v>
      </c>
      <c r="C288" s="11">
        <v>13098.826747148647</v>
      </c>
      <c r="D288" s="11">
        <v>13420</v>
      </c>
      <c r="E288" s="11">
        <v>13420</v>
      </c>
      <c r="F288" s="11">
        <v>13410</v>
      </c>
      <c r="G288" s="11">
        <v>13420</v>
      </c>
      <c r="H288" s="11">
        <v>10736</v>
      </c>
    </row>
    <row r="289" spans="1:8" x14ac:dyDescent="0.3">
      <c r="A289" s="3" t="s">
        <v>330</v>
      </c>
      <c r="B289" s="11">
        <v>13681.405311568027</v>
      </c>
      <c r="C289" s="11">
        <v>13100.782179364996</v>
      </c>
      <c r="D289" s="11">
        <v>13420</v>
      </c>
      <c r="E289" s="11">
        <v>13430</v>
      </c>
      <c r="F289" s="11">
        <v>13415</v>
      </c>
      <c r="G289" s="11">
        <v>13425</v>
      </c>
      <c r="H289" s="11">
        <v>52583</v>
      </c>
    </row>
    <row r="290" spans="1:8" x14ac:dyDescent="0.3">
      <c r="A290" s="3" t="s">
        <v>331</v>
      </c>
      <c r="B290" s="11">
        <v>13682.106100877952</v>
      </c>
      <c r="C290" s="11">
        <v>13100.088160966279</v>
      </c>
      <c r="D290" s="11">
        <v>13425</v>
      </c>
      <c r="E290" s="11">
        <v>13440</v>
      </c>
      <c r="F290" s="11">
        <v>13425</v>
      </c>
      <c r="G290" s="11">
        <v>13440</v>
      </c>
      <c r="H290" s="11">
        <v>60880</v>
      </c>
    </row>
    <row r="291" spans="1:8" x14ac:dyDescent="0.3">
      <c r="A291" s="3" t="s">
        <v>332</v>
      </c>
      <c r="B291" s="11">
        <v>13685.332004271864</v>
      </c>
      <c r="C291" s="11">
        <v>13096.893425721099</v>
      </c>
      <c r="D291" s="11">
        <v>13435</v>
      </c>
      <c r="E291" s="11">
        <v>13440</v>
      </c>
      <c r="F291" s="11">
        <v>13430</v>
      </c>
      <c r="G291" s="11">
        <v>13435</v>
      </c>
      <c r="H291" s="11">
        <v>25650</v>
      </c>
    </row>
    <row r="292" spans="1:8" x14ac:dyDescent="0.3">
      <c r="A292" s="3" t="s">
        <v>333</v>
      </c>
      <c r="B292" s="11">
        <v>13680.469333859812</v>
      </c>
      <c r="C292" s="11">
        <v>13101.709113810331</v>
      </c>
      <c r="D292" s="11">
        <v>13440</v>
      </c>
      <c r="E292" s="11">
        <v>13445</v>
      </c>
      <c r="F292" s="11">
        <v>13430</v>
      </c>
      <c r="G292" s="11">
        <v>13435</v>
      </c>
      <c r="H292" s="11">
        <v>57807</v>
      </c>
    </row>
    <row r="293" spans="1:8" x14ac:dyDescent="0.3">
      <c r="A293" s="3" t="s">
        <v>334</v>
      </c>
      <c r="B293" s="11">
        <v>13684.143619056433</v>
      </c>
      <c r="C293" s="11">
        <v>13098.070328953774</v>
      </c>
      <c r="D293" s="11">
        <v>13435</v>
      </c>
      <c r="E293" s="11">
        <v>13460</v>
      </c>
      <c r="F293" s="11">
        <v>13435</v>
      </c>
      <c r="G293" s="11">
        <v>13460</v>
      </c>
      <c r="H293" s="11">
        <v>38789</v>
      </c>
    </row>
    <row r="294" spans="1:8" x14ac:dyDescent="0.3">
      <c r="A294" s="3" t="s">
        <v>335</v>
      </c>
      <c r="B294" s="11">
        <v>13683.632223208477</v>
      </c>
      <c r="C294" s="11">
        <v>13098.576783779044</v>
      </c>
      <c r="D294" s="11">
        <v>13460</v>
      </c>
      <c r="E294" s="11">
        <v>13475</v>
      </c>
      <c r="F294" s="11">
        <v>13455</v>
      </c>
      <c r="G294" s="11">
        <v>13465</v>
      </c>
      <c r="H294" s="11">
        <v>35730</v>
      </c>
    </row>
    <row r="295" spans="1:8" x14ac:dyDescent="0.3">
      <c r="A295" s="3" t="s">
        <v>336</v>
      </c>
      <c r="B295" s="11">
        <v>13684.662120626563</v>
      </c>
      <c r="C295" s="11">
        <v>13097.556837060651</v>
      </c>
      <c r="D295" s="11">
        <v>13465</v>
      </c>
      <c r="E295" s="11">
        <v>13465</v>
      </c>
      <c r="F295" s="11">
        <v>13445</v>
      </c>
      <c r="G295" s="11">
        <v>13445</v>
      </c>
      <c r="H295" s="11">
        <v>57155</v>
      </c>
    </row>
    <row r="296" spans="1:8" x14ac:dyDescent="0.3">
      <c r="A296" s="3" t="s">
        <v>337</v>
      </c>
      <c r="B296" s="11">
        <v>13685.993567799966</v>
      </c>
      <c r="C296" s="11">
        <v>13096.238254111144</v>
      </c>
      <c r="D296" s="11">
        <v>13450</v>
      </c>
      <c r="E296" s="11">
        <v>13455</v>
      </c>
      <c r="F296" s="11">
        <v>13450</v>
      </c>
      <c r="G296" s="11">
        <v>13455</v>
      </c>
      <c r="H296" s="11">
        <v>9159</v>
      </c>
    </row>
    <row r="297" spans="1:8" x14ac:dyDescent="0.3">
      <c r="A297" s="3" t="s">
        <v>338</v>
      </c>
      <c r="B297" s="11">
        <v>13686.241801351011</v>
      </c>
      <c r="C297" s="11">
        <v>13095.992418951895</v>
      </c>
      <c r="D297" s="11">
        <v>13460</v>
      </c>
      <c r="E297" s="11">
        <v>13465</v>
      </c>
      <c r="F297" s="11">
        <v>13450</v>
      </c>
      <c r="G297" s="11">
        <v>13450</v>
      </c>
      <c r="H297" s="11">
        <v>13481</v>
      </c>
    </row>
    <row r="298" spans="1:8" x14ac:dyDescent="0.3">
      <c r="A298" s="3" t="s">
        <v>339</v>
      </c>
      <c r="B298" s="11">
        <v>13685.762150482429</v>
      </c>
      <c r="C298" s="11">
        <v>13096.467435512568</v>
      </c>
      <c r="D298" s="11">
        <v>13455</v>
      </c>
      <c r="E298" s="11">
        <v>13460</v>
      </c>
      <c r="F298" s="11">
        <v>13455</v>
      </c>
      <c r="G298" s="11">
        <v>13460</v>
      </c>
      <c r="H298" s="11">
        <v>3105</v>
      </c>
    </row>
    <row r="299" spans="1:8" x14ac:dyDescent="0.3">
      <c r="A299" s="3" t="s">
        <v>340</v>
      </c>
      <c r="B299" s="11">
        <v>13686.123680810217</v>
      </c>
      <c r="C299" s="11">
        <v>13096.109398231431</v>
      </c>
      <c r="D299" s="11">
        <v>13455</v>
      </c>
      <c r="E299" s="11">
        <v>13460</v>
      </c>
      <c r="F299" s="11">
        <v>13445</v>
      </c>
      <c r="G299" s="11">
        <v>13450</v>
      </c>
      <c r="H299" s="11">
        <v>22943</v>
      </c>
    </row>
    <row r="300" spans="1:8" x14ac:dyDescent="0.3">
      <c r="A300" s="3" t="s">
        <v>341</v>
      </c>
      <c r="B300" s="11">
        <v>13688.154647658617</v>
      </c>
      <c r="C300" s="11">
        <v>13094.098054251128</v>
      </c>
      <c r="D300" s="11">
        <v>13450</v>
      </c>
      <c r="E300" s="11">
        <v>13460</v>
      </c>
      <c r="F300" s="11">
        <v>13450</v>
      </c>
      <c r="G300" s="11">
        <v>13460</v>
      </c>
      <c r="H300" s="11">
        <v>21189</v>
      </c>
    </row>
    <row r="301" spans="1:8" x14ac:dyDescent="0.3">
      <c r="A301" s="3" t="s">
        <v>342</v>
      </c>
      <c r="B301" s="11">
        <v>13687.517531992893</v>
      </c>
      <c r="C301" s="11">
        <v>13094.729014209935</v>
      </c>
      <c r="D301" s="11">
        <v>13460</v>
      </c>
      <c r="E301" s="11">
        <v>13460</v>
      </c>
      <c r="F301" s="11">
        <v>13450</v>
      </c>
      <c r="G301" s="11">
        <v>13455</v>
      </c>
      <c r="H301" s="11">
        <v>6303</v>
      </c>
    </row>
    <row r="302" spans="1:8" x14ac:dyDescent="0.3">
      <c r="A302" s="3" t="s">
        <v>343</v>
      </c>
      <c r="B302" s="11">
        <v>13685.715758251012</v>
      </c>
      <c r="C302" s="11">
        <v>13096.513379509866</v>
      </c>
      <c r="D302" s="11">
        <v>13450</v>
      </c>
      <c r="E302" s="11">
        <v>13455</v>
      </c>
      <c r="F302" s="11">
        <v>13440</v>
      </c>
      <c r="G302" s="11">
        <v>13440</v>
      </c>
      <c r="H302" s="11">
        <v>17148</v>
      </c>
    </row>
    <row r="303" spans="1:8" x14ac:dyDescent="0.3">
      <c r="A303" s="3" t="s">
        <v>344</v>
      </c>
      <c r="B303" s="11">
        <v>13684.901122690999</v>
      </c>
      <c r="C303" s="11">
        <v>13097.320144194906</v>
      </c>
      <c r="D303" s="11">
        <v>13440</v>
      </c>
      <c r="E303" s="11">
        <v>13450</v>
      </c>
      <c r="F303" s="11">
        <v>13440</v>
      </c>
      <c r="G303" s="11">
        <v>13450</v>
      </c>
      <c r="H303" s="11">
        <v>12539</v>
      </c>
    </row>
    <row r="304" spans="1:8" x14ac:dyDescent="0.3">
      <c r="A304" s="3" t="s">
        <v>345</v>
      </c>
      <c r="B304" s="11">
        <v>13680.49251841204</v>
      </c>
      <c r="C304" s="11">
        <v>13101.686153263439</v>
      </c>
      <c r="D304" s="11">
        <v>13450</v>
      </c>
      <c r="E304" s="11">
        <v>13460</v>
      </c>
      <c r="F304" s="11">
        <v>13450</v>
      </c>
      <c r="G304" s="11">
        <v>13460</v>
      </c>
      <c r="H304" s="11">
        <v>22317</v>
      </c>
    </row>
    <row r="305" spans="1:8" x14ac:dyDescent="0.3">
      <c r="A305" s="3" t="s">
        <v>346</v>
      </c>
      <c r="B305" s="11">
        <v>13683.41812934695</v>
      </c>
      <c r="C305" s="11">
        <v>13098.788809100848</v>
      </c>
      <c r="D305" s="11">
        <v>13460</v>
      </c>
      <c r="E305" s="11">
        <v>13460</v>
      </c>
      <c r="F305" s="11">
        <v>13445</v>
      </c>
      <c r="G305" s="11">
        <v>13450</v>
      </c>
      <c r="H305" s="11">
        <v>9973</v>
      </c>
    </row>
    <row r="306" spans="1:8" x14ac:dyDescent="0.3">
      <c r="A306" s="3" t="s">
        <v>347</v>
      </c>
      <c r="B306" s="11">
        <v>13691.686879779418</v>
      </c>
      <c r="C306" s="11">
        <v>13090.599949976904</v>
      </c>
      <c r="D306" s="11">
        <v>13445</v>
      </c>
      <c r="E306" s="11">
        <v>13455</v>
      </c>
      <c r="F306" s="11">
        <v>13445</v>
      </c>
      <c r="G306" s="11">
        <v>13445</v>
      </c>
      <c r="H306" s="11">
        <v>17262</v>
      </c>
    </row>
    <row r="307" spans="1:8" x14ac:dyDescent="0.3">
      <c r="A307" s="3" t="s">
        <v>348</v>
      </c>
      <c r="B307" s="11">
        <v>13692.34128913419</v>
      </c>
      <c r="C307" s="11">
        <v>13089.951863417831</v>
      </c>
      <c r="D307" s="11">
        <v>13445</v>
      </c>
      <c r="E307" s="11">
        <v>13450</v>
      </c>
      <c r="F307" s="11">
        <v>13445</v>
      </c>
      <c r="G307" s="11">
        <v>13450</v>
      </c>
      <c r="H307" s="11">
        <v>7102</v>
      </c>
    </row>
    <row r="308" spans="1:8" x14ac:dyDescent="0.3">
      <c r="A308" s="3" t="s">
        <v>349</v>
      </c>
      <c r="B308" s="11">
        <v>13692.842115200672</v>
      </c>
      <c r="C308" s="11">
        <v>13089.455876250542</v>
      </c>
      <c r="D308" s="11">
        <v>13450</v>
      </c>
      <c r="E308" s="11">
        <v>13450</v>
      </c>
      <c r="F308" s="11">
        <v>13435</v>
      </c>
      <c r="G308" s="11">
        <v>13445</v>
      </c>
      <c r="H308" s="11">
        <v>7875</v>
      </c>
    </row>
    <row r="309" spans="1:8" x14ac:dyDescent="0.3">
      <c r="A309" s="3" t="s">
        <v>350</v>
      </c>
      <c r="B309" s="11">
        <v>13694.813527417635</v>
      </c>
      <c r="C309" s="11">
        <v>13087.503511494613</v>
      </c>
      <c r="D309" s="11">
        <v>13445</v>
      </c>
      <c r="E309" s="11">
        <v>13450</v>
      </c>
      <c r="F309" s="11">
        <v>13445</v>
      </c>
      <c r="G309" s="11">
        <v>13450</v>
      </c>
      <c r="H309" s="11">
        <v>15155</v>
      </c>
    </row>
    <row r="310" spans="1:8" x14ac:dyDescent="0.3">
      <c r="A310" s="3" t="s">
        <v>351</v>
      </c>
      <c r="B310" s="11">
        <v>13692.655453218984</v>
      </c>
      <c r="C310" s="11">
        <v>13089.640734734823</v>
      </c>
      <c r="D310" s="11">
        <v>13450</v>
      </c>
      <c r="E310" s="11">
        <v>13455</v>
      </c>
      <c r="F310" s="11">
        <v>13450</v>
      </c>
      <c r="G310" s="11">
        <v>13455</v>
      </c>
      <c r="H310" s="11">
        <v>2692</v>
      </c>
    </row>
    <row r="311" spans="1:8" x14ac:dyDescent="0.3">
      <c r="A311" s="3" t="s">
        <v>352</v>
      </c>
      <c r="B311" s="11">
        <v>13693.656477716006</v>
      </c>
      <c r="C311" s="11">
        <v>13088.649381972071</v>
      </c>
      <c r="D311" s="11">
        <v>13455</v>
      </c>
      <c r="E311" s="11">
        <v>13460</v>
      </c>
      <c r="F311" s="11">
        <v>13455</v>
      </c>
      <c r="G311" s="11">
        <v>13460</v>
      </c>
      <c r="H311" s="11">
        <v>6302</v>
      </c>
    </row>
    <row r="312" spans="1:8" x14ac:dyDescent="0.3">
      <c r="A312" s="3" t="s">
        <v>353</v>
      </c>
      <c r="B312" s="11">
        <v>13690.349489610162</v>
      </c>
      <c r="C312" s="11">
        <v>13091.924418502012</v>
      </c>
      <c r="D312" s="11">
        <v>13460</v>
      </c>
      <c r="E312" s="11">
        <v>13480</v>
      </c>
      <c r="F312" s="11">
        <v>13460</v>
      </c>
      <c r="G312" s="11">
        <v>13475</v>
      </c>
      <c r="H312" s="11">
        <v>43754</v>
      </c>
    </row>
    <row r="313" spans="1:8" x14ac:dyDescent="0.3">
      <c r="A313" s="3" t="s">
        <v>354</v>
      </c>
      <c r="B313" s="11">
        <v>13695.459432802296</v>
      </c>
      <c r="C313" s="11">
        <v>13086.863846741688</v>
      </c>
      <c r="D313" s="11">
        <v>13475</v>
      </c>
      <c r="E313" s="11">
        <v>13475</v>
      </c>
      <c r="F313" s="11">
        <v>13465</v>
      </c>
      <c r="G313" s="11">
        <v>13470</v>
      </c>
      <c r="H313" s="11">
        <v>18168</v>
      </c>
    </row>
    <row r="314" spans="1:8" x14ac:dyDescent="0.3">
      <c r="A314" s="3" t="s">
        <v>355</v>
      </c>
      <c r="B314" s="11">
        <v>13695.501208437719</v>
      </c>
      <c r="C314" s="11">
        <v>13086.822474735591</v>
      </c>
      <c r="D314" s="11">
        <v>13470</v>
      </c>
      <c r="E314" s="11">
        <v>13490</v>
      </c>
      <c r="F314" s="11">
        <v>13470</v>
      </c>
      <c r="G314" s="11">
        <v>13485</v>
      </c>
      <c r="H314" s="11">
        <v>44087</v>
      </c>
    </row>
    <row r="315" spans="1:8" x14ac:dyDescent="0.3">
      <c r="A315" s="3" t="s">
        <v>356</v>
      </c>
      <c r="B315" s="11">
        <v>13695.704646291062</v>
      </c>
      <c r="C315" s="11">
        <v>13086.621002465376</v>
      </c>
      <c r="D315" s="11">
        <v>13490</v>
      </c>
      <c r="E315" s="11">
        <v>13490</v>
      </c>
      <c r="F315" s="11">
        <v>13470</v>
      </c>
      <c r="G315" s="11">
        <v>13470</v>
      </c>
      <c r="H315" s="11">
        <v>12645</v>
      </c>
    </row>
    <row r="316" spans="1:8" x14ac:dyDescent="0.3">
      <c r="A316" s="3" t="s">
        <v>357</v>
      </c>
      <c r="B316" s="11">
        <v>13696.312215465488</v>
      </c>
      <c r="C316" s="11">
        <v>13086.019303524516</v>
      </c>
      <c r="D316" s="11">
        <v>13475</v>
      </c>
      <c r="E316" s="11">
        <v>13480</v>
      </c>
      <c r="F316" s="11">
        <v>13470</v>
      </c>
      <c r="G316" s="11">
        <v>13470</v>
      </c>
      <c r="H316" s="11">
        <v>11037</v>
      </c>
    </row>
    <row r="317" spans="1:8" x14ac:dyDescent="0.3">
      <c r="A317" s="3" t="s">
        <v>358</v>
      </c>
      <c r="B317" s="11">
        <v>13700.062796837021</v>
      </c>
      <c r="C317" s="11">
        <v>13082.30495965416</v>
      </c>
      <c r="D317" s="11">
        <v>13470</v>
      </c>
      <c r="E317" s="11">
        <v>13485</v>
      </c>
      <c r="F317" s="11">
        <v>13470</v>
      </c>
      <c r="G317" s="11">
        <v>13480</v>
      </c>
      <c r="H317" s="11">
        <v>30021</v>
      </c>
    </row>
    <row r="318" spans="1:8" x14ac:dyDescent="0.3">
      <c r="A318" s="3" t="s">
        <v>359</v>
      </c>
      <c r="B318" s="11">
        <v>13697.999658416866</v>
      </c>
      <c r="C318" s="11">
        <v>13084.348164369772</v>
      </c>
      <c r="D318" s="11">
        <v>13480</v>
      </c>
      <c r="E318" s="11">
        <v>13480</v>
      </c>
      <c r="F318" s="11">
        <v>13460</v>
      </c>
      <c r="G318" s="11">
        <v>13465</v>
      </c>
      <c r="H318" s="11">
        <v>24194</v>
      </c>
    </row>
    <row r="319" spans="1:8" x14ac:dyDescent="0.3">
      <c r="A319" s="3" t="s">
        <v>360</v>
      </c>
      <c r="B319" s="11">
        <v>13702.377544563158</v>
      </c>
      <c r="C319" s="11">
        <v>13080.012576640353</v>
      </c>
      <c r="D319" s="11">
        <v>13465</v>
      </c>
      <c r="E319" s="11">
        <v>13465</v>
      </c>
      <c r="F319" s="11">
        <v>13455</v>
      </c>
      <c r="G319" s="11">
        <v>13455</v>
      </c>
      <c r="H319" s="11">
        <v>19791</v>
      </c>
    </row>
    <row r="320" spans="1:8" x14ac:dyDescent="0.3">
      <c r="A320" s="3" t="s">
        <v>361</v>
      </c>
      <c r="B320" s="11">
        <v>13696.17892578612</v>
      </c>
      <c r="C320" s="11">
        <v>13086.151305380894</v>
      </c>
      <c r="D320" s="11">
        <v>13455</v>
      </c>
      <c r="E320" s="11">
        <v>13470</v>
      </c>
      <c r="F320" s="11">
        <v>13450</v>
      </c>
      <c r="G320" s="11">
        <v>13470</v>
      </c>
      <c r="H320" s="11">
        <v>5744</v>
      </c>
    </row>
    <row r="321" spans="1:8" x14ac:dyDescent="0.3">
      <c r="A321" s="3" t="s">
        <v>362</v>
      </c>
      <c r="B321" s="11">
        <v>13691.644093106697</v>
      </c>
      <c r="C321" s="11">
        <v>13090.642323251821</v>
      </c>
      <c r="D321" s="11">
        <v>13470</v>
      </c>
      <c r="E321" s="11">
        <v>13475</v>
      </c>
      <c r="F321" s="11">
        <v>13465</v>
      </c>
      <c r="G321" s="11">
        <v>13465</v>
      </c>
      <c r="H321" s="11">
        <v>15912</v>
      </c>
    </row>
    <row r="322" spans="1:8" x14ac:dyDescent="0.3">
      <c r="A322" s="3" t="s">
        <v>363</v>
      </c>
      <c r="B322" s="11">
        <v>13692.035111558393</v>
      </c>
      <c r="C322" s="11">
        <v>13090.255082756183</v>
      </c>
      <c r="D322" s="11">
        <v>13465</v>
      </c>
      <c r="E322" s="11">
        <v>13465</v>
      </c>
      <c r="F322" s="11">
        <v>13460</v>
      </c>
      <c r="G322" s="11">
        <v>13460</v>
      </c>
      <c r="H322" s="11">
        <v>13183</v>
      </c>
    </row>
    <row r="323" spans="1:8" x14ac:dyDescent="0.3">
      <c r="A323" s="3" t="s">
        <v>364</v>
      </c>
      <c r="B323" s="11">
        <v>13689.681554617257</v>
      </c>
      <c r="C323" s="11">
        <v>13092.585900016727</v>
      </c>
      <c r="D323" s="11">
        <v>13460</v>
      </c>
      <c r="E323" s="11">
        <v>13460</v>
      </c>
      <c r="F323" s="11">
        <v>13450</v>
      </c>
      <c r="G323" s="11">
        <v>13460</v>
      </c>
      <c r="H323" s="11">
        <v>7294</v>
      </c>
    </row>
    <row r="324" spans="1:8" x14ac:dyDescent="0.3">
      <c r="A324" s="3" t="s">
        <v>365</v>
      </c>
      <c r="B324" s="11">
        <v>13685.95212964683</v>
      </c>
      <c r="C324" s="11">
        <v>13096.279291895653</v>
      </c>
      <c r="D324" s="11">
        <v>13455</v>
      </c>
      <c r="E324" s="11">
        <v>13460</v>
      </c>
      <c r="F324" s="11">
        <v>13455</v>
      </c>
      <c r="G324" s="11">
        <v>13460</v>
      </c>
      <c r="H324" s="11">
        <v>19379</v>
      </c>
    </row>
    <row r="325" spans="1:8" x14ac:dyDescent="0.3">
      <c r="A325" s="3" t="s">
        <v>366</v>
      </c>
      <c r="B325" s="11">
        <v>13690.836270850941</v>
      </c>
      <c r="C325" s="11">
        <v>13091.442340461626</v>
      </c>
      <c r="D325" s="11">
        <v>13455</v>
      </c>
      <c r="E325" s="11">
        <v>13485</v>
      </c>
      <c r="F325" s="11">
        <v>13455</v>
      </c>
      <c r="G325" s="11">
        <v>13480</v>
      </c>
      <c r="H325" s="11">
        <v>75105</v>
      </c>
    </row>
    <row r="326" spans="1:8" x14ac:dyDescent="0.3">
      <c r="A326" s="3" t="s">
        <v>367</v>
      </c>
      <c r="B326" s="11">
        <v>13690.147730941595</v>
      </c>
      <c r="C326" s="11">
        <v>13092.124227811462</v>
      </c>
      <c r="D326" s="11">
        <v>13480</v>
      </c>
      <c r="E326" s="11">
        <v>13485</v>
      </c>
      <c r="F326" s="11">
        <v>13475</v>
      </c>
      <c r="G326" s="11">
        <v>13480</v>
      </c>
      <c r="H326" s="11">
        <v>2959</v>
      </c>
    </row>
    <row r="327" spans="1:8" x14ac:dyDescent="0.3">
      <c r="A327" s="3" t="s">
        <v>368</v>
      </c>
      <c r="B327" s="11">
        <v>13695.09587014028</v>
      </c>
      <c r="C327" s="11">
        <v>13087.223896720981</v>
      </c>
      <c r="D327" s="11">
        <v>13480</v>
      </c>
      <c r="E327" s="11">
        <v>13490</v>
      </c>
      <c r="F327" s="11">
        <v>13480</v>
      </c>
      <c r="G327" s="11">
        <v>13485</v>
      </c>
      <c r="H327" s="11">
        <v>33134</v>
      </c>
    </row>
    <row r="328" spans="1:8" x14ac:dyDescent="0.3">
      <c r="A328" s="3" t="s">
        <v>369</v>
      </c>
      <c r="B328" s="11">
        <v>13688.49419552261</v>
      </c>
      <c r="C328" s="11">
        <v>13093.761787042828</v>
      </c>
      <c r="D328" s="11">
        <v>13475</v>
      </c>
      <c r="E328" s="11">
        <v>13480</v>
      </c>
      <c r="F328" s="11">
        <v>13470</v>
      </c>
      <c r="G328" s="11">
        <v>13480</v>
      </c>
      <c r="H328" s="11">
        <v>8213</v>
      </c>
    </row>
    <row r="329" spans="1:8" x14ac:dyDescent="0.3">
      <c r="A329" s="3" t="s">
        <v>370</v>
      </c>
      <c r="B329" s="11">
        <v>13691.449944273696</v>
      </c>
      <c r="C329" s="11">
        <v>13090.83459625069</v>
      </c>
      <c r="D329" s="11">
        <v>13480</v>
      </c>
      <c r="E329" s="11">
        <v>13490</v>
      </c>
      <c r="F329" s="11">
        <v>13475</v>
      </c>
      <c r="G329" s="11">
        <v>13480</v>
      </c>
      <c r="H329" s="11">
        <v>37204</v>
      </c>
    </row>
    <row r="330" spans="1:8" x14ac:dyDescent="0.3">
      <c r="A330" s="3" t="s">
        <v>371</v>
      </c>
      <c r="B330" s="11">
        <v>13692.308755119482</v>
      </c>
      <c r="C330" s="11">
        <v>13089.98408309423</v>
      </c>
      <c r="D330" s="11">
        <v>13485</v>
      </c>
      <c r="E330" s="11">
        <v>13500</v>
      </c>
      <c r="F330" s="11">
        <v>13485</v>
      </c>
      <c r="G330" s="11">
        <v>13495</v>
      </c>
      <c r="H330" s="11">
        <v>42612</v>
      </c>
    </row>
    <row r="331" spans="1:8" x14ac:dyDescent="0.3">
      <c r="A331" s="3" t="s">
        <v>372</v>
      </c>
      <c r="B331" s="11">
        <v>13691.259672945172</v>
      </c>
      <c r="C331" s="11">
        <v>13091.023029208887</v>
      </c>
      <c r="D331" s="11">
        <v>13495</v>
      </c>
      <c r="E331" s="11">
        <v>13495</v>
      </c>
      <c r="F331" s="11">
        <v>13490</v>
      </c>
      <c r="G331" s="11">
        <v>13495</v>
      </c>
      <c r="H331" s="11">
        <v>11415</v>
      </c>
    </row>
    <row r="332" spans="1:8" x14ac:dyDescent="0.3">
      <c r="A332" s="3" t="s">
        <v>373</v>
      </c>
      <c r="B332" s="11">
        <v>13686.749499963014</v>
      </c>
      <c r="C332" s="11">
        <v>13095.489625640492</v>
      </c>
      <c r="D332" s="11">
        <v>13490</v>
      </c>
      <c r="E332" s="11">
        <v>13495</v>
      </c>
      <c r="F332" s="11">
        <v>13475</v>
      </c>
      <c r="G332" s="11">
        <v>13480</v>
      </c>
      <c r="H332" s="11">
        <v>46429</v>
      </c>
    </row>
    <row r="333" spans="1:8" x14ac:dyDescent="0.3">
      <c r="A333" s="3" t="s">
        <v>374</v>
      </c>
      <c r="B333" s="11">
        <v>13690.043591932848</v>
      </c>
      <c r="C333" s="11">
        <v>13092.227360646215</v>
      </c>
      <c r="D333" s="11">
        <v>13480</v>
      </c>
      <c r="E333" s="11">
        <v>13485</v>
      </c>
      <c r="F333" s="11">
        <v>13465</v>
      </c>
      <c r="G333" s="11">
        <v>13470</v>
      </c>
      <c r="H333" s="11">
        <v>27008</v>
      </c>
    </row>
    <row r="334" spans="1:8" x14ac:dyDescent="0.3">
      <c r="A334" s="3" t="s">
        <v>375</v>
      </c>
      <c r="B334" s="11">
        <v>13689.692747257101</v>
      </c>
      <c r="C334" s="11">
        <v>13092.574815518328</v>
      </c>
      <c r="D334" s="11">
        <v>13470</v>
      </c>
      <c r="E334" s="11">
        <v>13470</v>
      </c>
      <c r="F334" s="11">
        <v>13460</v>
      </c>
      <c r="G334" s="11">
        <v>13460</v>
      </c>
      <c r="H334" s="11">
        <v>9366</v>
      </c>
    </row>
    <row r="335" spans="1:8" x14ac:dyDescent="0.3">
      <c r="A335" s="3" t="s">
        <v>376</v>
      </c>
      <c r="B335" s="11">
        <v>13692.646303187083</v>
      </c>
      <c r="C335" s="11">
        <v>13089.649796360618</v>
      </c>
      <c r="D335" s="11">
        <v>13460</v>
      </c>
      <c r="E335" s="11">
        <v>13460</v>
      </c>
      <c r="F335" s="11">
        <v>13450</v>
      </c>
      <c r="G335" s="11">
        <v>13450</v>
      </c>
      <c r="H335" s="11">
        <v>10462</v>
      </c>
    </row>
    <row r="336" spans="1:8" x14ac:dyDescent="0.3">
      <c r="A336" s="3" t="s">
        <v>377</v>
      </c>
      <c r="B336" s="11">
        <v>13694.734289518934</v>
      </c>
      <c r="C336" s="11">
        <v>13087.58198380975</v>
      </c>
      <c r="D336" s="11">
        <v>13460</v>
      </c>
      <c r="E336" s="11">
        <v>13470</v>
      </c>
      <c r="F336" s="11">
        <v>13460</v>
      </c>
      <c r="G336" s="11">
        <v>13465</v>
      </c>
      <c r="H336" s="11">
        <v>13601</v>
      </c>
    </row>
    <row r="337" spans="1:8" x14ac:dyDescent="0.3">
      <c r="A337" s="3" t="s">
        <v>378</v>
      </c>
      <c r="B337" s="11">
        <v>13695.484552537226</v>
      </c>
      <c r="C337" s="11">
        <v>13086.83896970951</v>
      </c>
      <c r="D337" s="11">
        <v>13460</v>
      </c>
      <c r="E337" s="11">
        <v>13460</v>
      </c>
      <c r="F337" s="11">
        <v>13450</v>
      </c>
      <c r="G337" s="11">
        <v>13455</v>
      </c>
      <c r="H337" s="11">
        <v>5256</v>
      </c>
    </row>
    <row r="338" spans="1:8" x14ac:dyDescent="0.3">
      <c r="A338" s="3" t="s">
        <v>379</v>
      </c>
      <c r="B338" s="11">
        <v>13694.303070203998</v>
      </c>
      <c r="C338" s="11">
        <v>13088.009036754496</v>
      </c>
      <c r="D338" s="11">
        <v>13455</v>
      </c>
      <c r="E338" s="11">
        <v>13460</v>
      </c>
      <c r="F338" s="11">
        <v>13455</v>
      </c>
      <c r="G338" s="11">
        <v>13455</v>
      </c>
      <c r="H338" s="11">
        <v>3327</v>
      </c>
    </row>
    <row r="339" spans="1:8" x14ac:dyDescent="0.3">
      <c r="A339" s="3" t="s">
        <v>380</v>
      </c>
      <c r="B339" s="11">
        <v>13694.669132120058</v>
      </c>
      <c r="C339" s="11">
        <v>13087.646511668541</v>
      </c>
      <c r="D339" s="11">
        <v>13455</v>
      </c>
      <c r="E339" s="11">
        <v>13460</v>
      </c>
      <c r="F339" s="11">
        <v>13455</v>
      </c>
      <c r="G339" s="11">
        <v>13455</v>
      </c>
      <c r="H339" s="11">
        <v>5112</v>
      </c>
    </row>
    <row r="340" spans="1:8" x14ac:dyDescent="0.3">
      <c r="A340" s="3" t="s">
        <v>381</v>
      </c>
      <c r="B340" s="11">
        <v>13694.710474828538</v>
      </c>
      <c r="C340" s="11">
        <v>13087.605568406521</v>
      </c>
      <c r="D340" s="11">
        <v>13455</v>
      </c>
      <c r="E340" s="11">
        <v>13465</v>
      </c>
      <c r="F340" s="11">
        <v>13455</v>
      </c>
      <c r="G340" s="11">
        <v>13455</v>
      </c>
      <c r="H340" s="11">
        <v>4488</v>
      </c>
    </row>
    <row r="341" spans="1:8" x14ac:dyDescent="0.3">
      <c r="A341" s="3" t="s">
        <v>382</v>
      </c>
      <c r="B341" s="11">
        <v>13691.043443566201</v>
      </c>
      <c r="C341" s="11">
        <v>13091.237169415113</v>
      </c>
      <c r="D341" s="11">
        <v>13460</v>
      </c>
      <c r="E341" s="11">
        <v>13460</v>
      </c>
      <c r="F341" s="11">
        <v>13440</v>
      </c>
      <c r="G341" s="11">
        <v>13445</v>
      </c>
      <c r="H341" s="11">
        <v>20406</v>
      </c>
    </row>
    <row r="342" spans="1:8" x14ac:dyDescent="0.3">
      <c r="A342" s="3" t="s">
        <v>383</v>
      </c>
      <c r="B342" s="11">
        <v>13693.440884966736</v>
      </c>
      <c r="C342" s="11">
        <v>13088.862891699609</v>
      </c>
      <c r="D342" s="11">
        <v>13445</v>
      </c>
      <c r="E342" s="11">
        <v>13445</v>
      </c>
      <c r="F342" s="11">
        <v>13420</v>
      </c>
      <c r="G342" s="11">
        <v>13420</v>
      </c>
      <c r="H342" s="11">
        <v>48022</v>
      </c>
    </row>
    <row r="343" spans="1:8" x14ac:dyDescent="0.3">
      <c r="A343" s="3" t="s">
        <v>384</v>
      </c>
      <c r="B343" s="11">
        <v>13694.877727208548</v>
      </c>
      <c r="C343" s="11">
        <v>13087.439931991537</v>
      </c>
      <c r="D343" s="11">
        <v>13425</v>
      </c>
      <c r="E343" s="11">
        <v>13425</v>
      </c>
      <c r="F343" s="11">
        <v>13415</v>
      </c>
      <c r="G343" s="11">
        <v>13425</v>
      </c>
      <c r="H343" s="11">
        <v>13951</v>
      </c>
    </row>
    <row r="344" spans="1:8" x14ac:dyDescent="0.3">
      <c r="A344" s="3" t="s">
        <v>385</v>
      </c>
      <c r="B344" s="11">
        <v>13695.748648157125</v>
      </c>
      <c r="C344" s="11">
        <v>13086.577425738114</v>
      </c>
      <c r="D344" s="11">
        <v>13425</v>
      </c>
      <c r="E344" s="11">
        <v>13430</v>
      </c>
      <c r="F344" s="11">
        <v>13415</v>
      </c>
      <c r="G344" s="11">
        <v>13430</v>
      </c>
      <c r="H344" s="11">
        <v>15950</v>
      </c>
    </row>
    <row r="345" spans="1:8" x14ac:dyDescent="0.3">
      <c r="A345" s="3" t="s">
        <v>386</v>
      </c>
      <c r="B345" s="11">
        <v>13701.284248427228</v>
      </c>
      <c r="C345" s="11">
        <v>13081.095309528589</v>
      </c>
      <c r="D345" s="11">
        <v>13430</v>
      </c>
      <c r="E345" s="11">
        <v>13440</v>
      </c>
      <c r="F345" s="11">
        <v>13430</v>
      </c>
      <c r="G345" s="11">
        <v>13435</v>
      </c>
      <c r="H345" s="11">
        <v>11241</v>
      </c>
    </row>
    <row r="346" spans="1:8" x14ac:dyDescent="0.3">
      <c r="A346" s="3" t="s">
        <v>387</v>
      </c>
      <c r="B346" s="11">
        <v>13701.592981359052</v>
      </c>
      <c r="C346" s="11">
        <v>13080.789559523646</v>
      </c>
      <c r="D346" s="11">
        <v>13435</v>
      </c>
      <c r="E346" s="11">
        <v>13435</v>
      </c>
      <c r="F346" s="11">
        <v>13425</v>
      </c>
      <c r="G346" s="11">
        <v>13430</v>
      </c>
      <c r="H346" s="11">
        <v>16052</v>
      </c>
    </row>
    <row r="347" spans="1:8" x14ac:dyDescent="0.3">
      <c r="A347" s="3" t="s">
        <v>388</v>
      </c>
      <c r="B347" s="11">
        <v>13696.089451669752</v>
      </c>
      <c r="C347" s="11">
        <v>13086.23991501305</v>
      </c>
      <c r="D347" s="11">
        <v>13420</v>
      </c>
      <c r="E347" s="11">
        <v>13430</v>
      </c>
      <c r="F347" s="11">
        <v>13415</v>
      </c>
      <c r="G347" s="11">
        <v>13430</v>
      </c>
      <c r="H347" s="11">
        <v>12371</v>
      </c>
    </row>
    <row r="348" spans="1:8" x14ac:dyDescent="0.3">
      <c r="A348" s="3" t="s">
        <v>389</v>
      </c>
      <c r="B348" s="11">
        <v>13694.96495856004</v>
      </c>
      <c r="C348" s="11">
        <v>13087.35354345503</v>
      </c>
      <c r="D348" s="11">
        <v>13430</v>
      </c>
      <c r="E348" s="11">
        <v>13435</v>
      </c>
      <c r="F348" s="11">
        <v>13425</v>
      </c>
      <c r="G348" s="11">
        <v>13435</v>
      </c>
      <c r="H348" s="11">
        <v>23223</v>
      </c>
    </row>
    <row r="349" spans="1:8" x14ac:dyDescent="0.3">
      <c r="A349" s="3" t="s">
        <v>390</v>
      </c>
      <c r="B349" s="11">
        <v>13698.422940889213</v>
      </c>
      <c r="C349" s="11">
        <v>13083.928971583147</v>
      </c>
      <c r="D349" s="11">
        <v>13435</v>
      </c>
      <c r="E349" s="11">
        <v>13435</v>
      </c>
      <c r="F349" s="11">
        <v>13430</v>
      </c>
      <c r="G349" s="11">
        <v>13430</v>
      </c>
      <c r="H349" s="11">
        <v>8438</v>
      </c>
    </row>
    <row r="350" spans="1:8" x14ac:dyDescent="0.3">
      <c r="A350" s="3" t="s">
        <v>391</v>
      </c>
      <c r="B350" s="11">
        <v>13696.431615696571</v>
      </c>
      <c r="C350" s="11">
        <v>13085.901056918856</v>
      </c>
      <c r="D350" s="11">
        <v>13430</v>
      </c>
      <c r="E350" s="11">
        <v>13430</v>
      </c>
      <c r="F350" s="11">
        <v>13415</v>
      </c>
      <c r="G350" s="11">
        <v>13420</v>
      </c>
      <c r="H350" s="11">
        <v>78401</v>
      </c>
    </row>
    <row r="351" spans="1:8" x14ac:dyDescent="0.3">
      <c r="A351" s="3" t="s">
        <v>392</v>
      </c>
      <c r="B351" s="11">
        <v>13699.427168363953</v>
      </c>
      <c r="C351" s="11">
        <v>13082.934446789322</v>
      </c>
      <c r="D351" s="11">
        <v>13420</v>
      </c>
      <c r="E351" s="11">
        <v>13420</v>
      </c>
      <c r="F351" s="11">
        <v>13410</v>
      </c>
      <c r="G351" s="11">
        <v>13410</v>
      </c>
      <c r="H351" s="11">
        <v>19366</v>
      </c>
    </row>
    <row r="352" spans="1:8" x14ac:dyDescent="0.3">
      <c r="A352" s="3" t="s">
        <v>393</v>
      </c>
      <c r="B352" s="11">
        <v>13697.270016816154</v>
      </c>
      <c r="C352" s="11">
        <v>13085.070756293182</v>
      </c>
      <c r="D352" s="11">
        <v>13410</v>
      </c>
      <c r="E352" s="11">
        <v>13410</v>
      </c>
      <c r="F352" s="11">
        <v>13400</v>
      </c>
      <c r="G352" s="11">
        <v>13405</v>
      </c>
      <c r="H352" s="11">
        <v>25194</v>
      </c>
    </row>
    <row r="353" spans="1:8" x14ac:dyDescent="0.3">
      <c r="A353" s="3" t="s">
        <v>394</v>
      </c>
      <c r="B353" s="11">
        <v>13698.336774988033</v>
      </c>
      <c r="C353" s="11">
        <v>13084.014304963543</v>
      </c>
      <c r="D353" s="11">
        <v>13405</v>
      </c>
      <c r="E353" s="11">
        <v>13410</v>
      </c>
      <c r="F353" s="11">
        <v>13385</v>
      </c>
      <c r="G353" s="11">
        <v>13390</v>
      </c>
      <c r="H353" s="11">
        <v>39477</v>
      </c>
    </row>
    <row r="354" spans="1:8" x14ac:dyDescent="0.3">
      <c r="A354" s="3" t="s">
        <v>395</v>
      </c>
      <c r="B354" s="11">
        <v>13701.997169352571</v>
      </c>
      <c r="C354" s="11">
        <v>13080.38927672813</v>
      </c>
      <c r="D354" s="11">
        <v>13400</v>
      </c>
      <c r="E354" s="11">
        <v>13410</v>
      </c>
      <c r="F354" s="11">
        <v>13390</v>
      </c>
      <c r="G354" s="11">
        <v>13395</v>
      </c>
      <c r="H354" s="11">
        <v>357573</v>
      </c>
    </row>
    <row r="355" spans="1:8" x14ac:dyDescent="0.3">
      <c r="A355" s="3" t="s">
        <v>396</v>
      </c>
      <c r="B355" s="11">
        <v>13699.464198290028</v>
      </c>
      <c r="C355" s="11">
        <v>13082.897774640312</v>
      </c>
      <c r="D355" s="11">
        <v>13395</v>
      </c>
      <c r="E355" s="11">
        <v>13405</v>
      </c>
      <c r="F355" s="11">
        <v>13375</v>
      </c>
      <c r="G355" s="11">
        <v>13375</v>
      </c>
      <c r="H355" s="11">
        <v>152336</v>
      </c>
    </row>
    <row r="356" spans="1:8" x14ac:dyDescent="0.3">
      <c r="A356" s="3" t="s">
        <v>397</v>
      </c>
      <c r="B356" s="11">
        <v>13699.859841214931</v>
      </c>
      <c r="C356" s="11">
        <v>13082.505954352364</v>
      </c>
      <c r="D356" s="11">
        <v>13380</v>
      </c>
      <c r="E356" s="11">
        <v>13390</v>
      </c>
      <c r="F356" s="11">
        <v>13375</v>
      </c>
      <c r="G356" s="11">
        <v>13390</v>
      </c>
      <c r="H356" s="11">
        <v>39642</v>
      </c>
    </row>
    <row r="357" spans="1:8" x14ac:dyDescent="0.3">
      <c r="A357" s="3" t="s">
        <v>398</v>
      </c>
      <c r="B357" s="11">
        <v>13697.278754030009</v>
      </c>
      <c r="C357" s="11">
        <v>13085.062103496854</v>
      </c>
      <c r="D357" s="11">
        <v>13390</v>
      </c>
      <c r="E357" s="11">
        <v>13395</v>
      </c>
      <c r="F357" s="11">
        <v>13375</v>
      </c>
      <c r="G357" s="11">
        <v>13395</v>
      </c>
      <c r="H357" s="11">
        <v>44236</v>
      </c>
    </row>
    <row r="358" spans="1:8" x14ac:dyDescent="0.3">
      <c r="A358" s="3" t="s">
        <v>399</v>
      </c>
      <c r="B358" s="11">
        <v>13696.4153942639</v>
      </c>
      <c r="C358" s="11">
        <v>13085.917121622708</v>
      </c>
      <c r="D358" s="11">
        <v>13390</v>
      </c>
      <c r="E358" s="11">
        <v>13395</v>
      </c>
      <c r="F358" s="11">
        <v>13385</v>
      </c>
      <c r="G358" s="11">
        <v>13395</v>
      </c>
      <c r="H358" s="11">
        <v>19346</v>
      </c>
    </row>
    <row r="359" spans="1:8" x14ac:dyDescent="0.3">
      <c r="A359" s="3" t="s">
        <v>400</v>
      </c>
      <c r="B359" s="11">
        <v>13696.832432888035</v>
      </c>
      <c r="C359" s="11">
        <v>13085.504112357259</v>
      </c>
      <c r="D359" s="11">
        <v>13395</v>
      </c>
      <c r="E359" s="11">
        <v>13400</v>
      </c>
      <c r="F359" s="11">
        <v>13390</v>
      </c>
      <c r="G359" s="11">
        <v>13395</v>
      </c>
      <c r="H359" s="11">
        <v>27424</v>
      </c>
    </row>
    <row r="360" spans="1:8" x14ac:dyDescent="0.3">
      <c r="A360" s="3" t="s">
        <v>401</v>
      </c>
      <c r="B360" s="11">
        <v>13700.309864828343</v>
      </c>
      <c r="C360" s="11">
        <v>13082.060278793186</v>
      </c>
      <c r="D360" s="11">
        <v>13390</v>
      </c>
      <c r="E360" s="11">
        <v>13410</v>
      </c>
      <c r="F360" s="11">
        <v>13385</v>
      </c>
      <c r="G360" s="11">
        <v>13405</v>
      </c>
      <c r="H360" s="11">
        <v>48406</v>
      </c>
    </row>
    <row r="361" spans="1:8" x14ac:dyDescent="0.3">
      <c r="A361" s="3" t="s">
        <v>402</v>
      </c>
      <c r="B361" s="11">
        <v>13697.340810156607</v>
      </c>
      <c r="C361" s="11">
        <v>13085.000646946355</v>
      </c>
      <c r="D361" s="11">
        <v>13410</v>
      </c>
      <c r="E361" s="11">
        <v>13410</v>
      </c>
      <c r="F361" s="11">
        <v>13400</v>
      </c>
      <c r="G361" s="11">
        <v>13400</v>
      </c>
      <c r="H361" s="11">
        <v>28515</v>
      </c>
    </row>
    <row r="362" spans="1:8" x14ac:dyDescent="0.3">
      <c r="A362" s="3" t="s">
        <v>403</v>
      </c>
      <c r="B362" s="11">
        <v>13691.541552276773</v>
      </c>
      <c r="C362" s="11">
        <v>13090.743873349089</v>
      </c>
      <c r="D362" s="11">
        <v>13395</v>
      </c>
      <c r="E362" s="11">
        <v>13405</v>
      </c>
      <c r="F362" s="11">
        <v>13390</v>
      </c>
      <c r="G362" s="11">
        <v>13405</v>
      </c>
      <c r="H362" s="11">
        <v>11400</v>
      </c>
    </row>
    <row r="363" spans="1:8" x14ac:dyDescent="0.3">
      <c r="A363" s="3" t="s">
        <v>404</v>
      </c>
      <c r="B363" s="11">
        <v>13686.52952152314</v>
      </c>
      <c r="C363" s="11">
        <v>13095.707478684812</v>
      </c>
      <c r="D363" s="11">
        <v>13405</v>
      </c>
      <c r="E363" s="11">
        <v>13405</v>
      </c>
      <c r="F363" s="11">
        <v>13395</v>
      </c>
      <c r="G363" s="11">
        <v>13395</v>
      </c>
      <c r="H363" s="11">
        <v>43073</v>
      </c>
    </row>
    <row r="364" spans="1:8" x14ac:dyDescent="0.3">
      <c r="A364" s="3" t="s">
        <v>405</v>
      </c>
      <c r="B364" s="11">
        <v>13688.358108497099</v>
      </c>
      <c r="C364" s="11">
        <v>13093.896559217847</v>
      </c>
      <c r="D364" s="11">
        <v>13395</v>
      </c>
      <c r="E364" s="11">
        <v>13400</v>
      </c>
      <c r="F364" s="11">
        <v>13395</v>
      </c>
      <c r="G364" s="11">
        <v>13400</v>
      </c>
      <c r="H364" s="11">
        <v>14444</v>
      </c>
    </row>
    <row r="365" spans="1:8" x14ac:dyDescent="0.3">
      <c r="A365" s="3" t="s">
        <v>406</v>
      </c>
      <c r="B365" s="11">
        <v>13685.660088333687</v>
      </c>
      <c r="C365" s="11">
        <v>13096.568511553594</v>
      </c>
      <c r="D365" s="11">
        <v>13400</v>
      </c>
      <c r="E365" s="11">
        <v>13400</v>
      </c>
      <c r="F365" s="11">
        <v>13390</v>
      </c>
      <c r="G365" s="11">
        <v>13395</v>
      </c>
      <c r="H365" s="11">
        <v>14741</v>
      </c>
    </row>
    <row r="366" spans="1:8" x14ac:dyDescent="0.3">
      <c r="A366" s="3" t="s">
        <v>407</v>
      </c>
      <c r="B366" s="11">
        <v>13687.479152899066</v>
      </c>
      <c r="C366" s="11">
        <v>13094.767022491262</v>
      </c>
      <c r="D366" s="11">
        <v>13395</v>
      </c>
      <c r="E366" s="11">
        <v>13395</v>
      </c>
      <c r="F366" s="11">
        <v>13390</v>
      </c>
      <c r="G366" s="11">
        <v>13395</v>
      </c>
      <c r="H366" s="11">
        <v>19501</v>
      </c>
    </row>
    <row r="367" spans="1:8" x14ac:dyDescent="0.3">
      <c r="A367" s="3" t="s">
        <v>408</v>
      </c>
      <c r="B367" s="11">
        <v>13686.748377264861</v>
      </c>
      <c r="C367" s="11">
        <v>13095.490737491322</v>
      </c>
      <c r="D367" s="11">
        <v>13395</v>
      </c>
      <c r="E367" s="11">
        <v>13400</v>
      </c>
      <c r="F367" s="11">
        <v>13390</v>
      </c>
      <c r="G367" s="11">
        <v>13395</v>
      </c>
      <c r="H367" s="11">
        <v>58529</v>
      </c>
    </row>
    <row r="368" spans="1:8" x14ac:dyDescent="0.3">
      <c r="A368" s="3" t="s">
        <v>409</v>
      </c>
      <c r="B368" s="11">
        <v>13687.407105195984</v>
      </c>
      <c r="C368" s="11">
        <v>13094.838374081271</v>
      </c>
      <c r="D368" s="11">
        <v>13395</v>
      </c>
      <c r="E368" s="11">
        <v>13395</v>
      </c>
      <c r="F368" s="11">
        <v>13380</v>
      </c>
      <c r="G368" s="11">
        <v>13385</v>
      </c>
      <c r="H368" s="11">
        <v>45288</v>
      </c>
    </row>
    <row r="369" spans="1:8" x14ac:dyDescent="0.3">
      <c r="A369" s="3" t="s">
        <v>410</v>
      </c>
      <c r="B369" s="11">
        <v>13687.30119392774</v>
      </c>
      <c r="C369" s="11">
        <v>13094.943262052237</v>
      </c>
      <c r="D369" s="11">
        <v>13385</v>
      </c>
      <c r="E369" s="11">
        <v>13390</v>
      </c>
      <c r="F369" s="11">
        <v>13380</v>
      </c>
      <c r="G369" s="11">
        <v>13385</v>
      </c>
      <c r="H369" s="11">
        <v>10367</v>
      </c>
    </row>
    <row r="370" spans="1:8" x14ac:dyDescent="0.3">
      <c r="A370" s="3" t="s">
        <v>411</v>
      </c>
      <c r="B370" s="11">
        <v>13689.137471399701</v>
      </c>
      <c r="C370" s="11">
        <v>13093.124726391599</v>
      </c>
      <c r="D370" s="11">
        <v>13385</v>
      </c>
      <c r="E370" s="11">
        <v>13390</v>
      </c>
      <c r="F370" s="11">
        <v>13370</v>
      </c>
      <c r="G370" s="11">
        <v>13375</v>
      </c>
      <c r="H370" s="11">
        <v>32143</v>
      </c>
    </row>
    <row r="371" spans="1:8" x14ac:dyDescent="0.3">
      <c r="A371" s="3" t="s">
        <v>412</v>
      </c>
      <c r="B371" s="11">
        <v>13690.801543356645</v>
      </c>
      <c r="C371" s="11">
        <v>13091.476732424579</v>
      </c>
      <c r="D371" s="11">
        <v>13375</v>
      </c>
      <c r="E371" s="11">
        <v>13395</v>
      </c>
      <c r="F371" s="11">
        <v>13370</v>
      </c>
      <c r="G371" s="11">
        <v>13395</v>
      </c>
      <c r="H371" s="11">
        <v>57990</v>
      </c>
    </row>
    <row r="372" spans="1:8" x14ac:dyDescent="0.3">
      <c r="A372" s="3" t="s">
        <v>413</v>
      </c>
      <c r="B372" s="11">
        <v>13687.88527764195</v>
      </c>
      <c r="C372" s="11">
        <v>13094.364821658937</v>
      </c>
      <c r="D372" s="11">
        <v>13390</v>
      </c>
      <c r="E372" s="11">
        <v>13390</v>
      </c>
      <c r="F372" s="11">
        <v>13380</v>
      </c>
      <c r="G372" s="11">
        <v>13385</v>
      </c>
      <c r="H372" s="11">
        <v>27098</v>
      </c>
    </row>
    <row r="373" spans="1:8" x14ac:dyDescent="0.3">
      <c r="A373" s="3" t="s">
        <v>414</v>
      </c>
      <c r="B373" s="11">
        <v>13687.21402470793</v>
      </c>
      <c r="C373" s="11">
        <v>13095.029589057365</v>
      </c>
      <c r="D373" s="11">
        <v>13385</v>
      </c>
      <c r="E373" s="11">
        <v>13395</v>
      </c>
      <c r="F373" s="11">
        <v>13375</v>
      </c>
      <c r="G373" s="11">
        <v>13395</v>
      </c>
      <c r="H373" s="11">
        <v>27638</v>
      </c>
    </row>
    <row r="374" spans="1:8" x14ac:dyDescent="0.3">
      <c r="A374" s="3" t="s">
        <v>415</v>
      </c>
      <c r="B374" s="11">
        <v>13691.937187851318</v>
      </c>
      <c r="C374" s="11">
        <v>13090.352060340483</v>
      </c>
      <c r="D374" s="11">
        <v>13395</v>
      </c>
      <c r="E374" s="11">
        <v>13395</v>
      </c>
      <c r="F374" s="11">
        <v>13390</v>
      </c>
      <c r="G374" s="11">
        <v>13390</v>
      </c>
      <c r="H374" s="11">
        <v>10600</v>
      </c>
    </row>
    <row r="375" spans="1:8" x14ac:dyDescent="0.3">
      <c r="A375" s="3" t="s">
        <v>416</v>
      </c>
      <c r="B375" s="11">
        <v>13692.496088911821</v>
      </c>
      <c r="C375" s="11">
        <v>13089.798559290226</v>
      </c>
      <c r="D375" s="11">
        <v>13390</v>
      </c>
      <c r="E375" s="11">
        <v>13395</v>
      </c>
      <c r="F375" s="11">
        <v>13385</v>
      </c>
      <c r="G375" s="11">
        <v>13390</v>
      </c>
      <c r="H375" s="11">
        <v>15840</v>
      </c>
    </row>
    <row r="376" spans="1:8" x14ac:dyDescent="0.3">
      <c r="A376" s="3" t="s">
        <v>417</v>
      </c>
      <c r="B376" s="11">
        <v>13693.304339178772</v>
      </c>
      <c r="C376" s="11">
        <v>13088.998118204596</v>
      </c>
      <c r="D376" s="11">
        <v>13390</v>
      </c>
      <c r="E376" s="11">
        <v>13395</v>
      </c>
      <c r="F376" s="11">
        <v>13390</v>
      </c>
      <c r="G376" s="11">
        <v>13390</v>
      </c>
      <c r="H376" s="11">
        <v>21958</v>
      </c>
    </row>
    <row r="377" spans="1:8" x14ac:dyDescent="0.3">
      <c r="A377" s="3" t="s">
        <v>418</v>
      </c>
      <c r="B377" s="11">
        <v>13692.765841069995</v>
      </c>
      <c r="C377" s="11">
        <v>13089.531413433097</v>
      </c>
      <c r="D377" s="11">
        <v>13390</v>
      </c>
      <c r="E377" s="11">
        <v>13395</v>
      </c>
      <c r="F377" s="11">
        <v>13390</v>
      </c>
      <c r="G377" s="11">
        <v>13395</v>
      </c>
      <c r="H377" s="11">
        <v>14113</v>
      </c>
    </row>
    <row r="378" spans="1:8" x14ac:dyDescent="0.3">
      <c r="A378" s="3" t="s">
        <v>419</v>
      </c>
      <c r="B378" s="11">
        <v>13689.866927619225</v>
      </c>
      <c r="C378" s="11">
        <v>13092.402318058255</v>
      </c>
      <c r="D378" s="11">
        <v>13390</v>
      </c>
      <c r="E378" s="11">
        <v>13395</v>
      </c>
      <c r="F378" s="11">
        <v>13390</v>
      </c>
      <c r="G378" s="11">
        <v>13395</v>
      </c>
      <c r="H378" s="11">
        <v>19772</v>
      </c>
    </row>
    <row r="379" spans="1:8" x14ac:dyDescent="0.3">
      <c r="A379" s="3" t="s">
        <v>420</v>
      </c>
      <c r="B379" s="11">
        <v>13687.569795847385</v>
      </c>
      <c r="C379" s="11">
        <v>13094.677255320221</v>
      </c>
      <c r="D379" s="11">
        <v>13395</v>
      </c>
      <c r="E379" s="11">
        <v>13400</v>
      </c>
      <c r="F379" s="11">
        <v>13390</v>
      </c>
      <c r="G379" s="11">
        <v>13395</v>
      </c>
      <c r="H379" s="11">
        <v>44600</v>
      </c>
    </row>
    <row r="380" spans="1:8" x14ac:dyDescent="0.3">
      <c r="A380" s="3" t="s">
        <v>421</v>
      </c>
      <c r="B380" s="11">
        <v>13688.584002845322</v>
      </c>
      <c r="C380" s="11">
        <v>13093.672847423715</v>
      </c>
      <c r="D380" s="11">
        <v>13400</v>
      </c>
      <c r="E380" s="11">
        <v>13405</v>
      </c>
      <c r="F380" s="11">
        <v>13395</v>
      </c>
      <c r="G380" s="11">
        <v>13400</v>
      </c>
      <c r="H380" s="11">
        <v>35948</v>
      </c>
    </row>
    <row r="381" spans="1:8" x14ac:dyDescent="0.3">
      <c r="A381" s="3" t="s">
        <v>422</v>
      </c>
      <c r="B381" s="11">
        <v>13687.459337722692</v>
      </c>
      <c r="C381" s="11">
        <v>13094.78664621666</v>
      </c>
      <c r="D381" s="11">
        <v>13400</v>
      </c>
      <c r="E381" s="11">
        <v>13410</v>
      </c>
      <c r="F381" s="11">
        <v>13400</v>
      </c>
      <c r="G381" s="11">
        <v>13410</v>
      </c>
      <c r="H381" s="11">
        <v>50899</v>
      </c>
    </row>
    <row r="382" spans="1:8" x14ac:dyDescent="0.3">
      <c r="A382" s="3" t="s">
        <v>423</v>
      </c>
      <c r="B382" s="11">
        <v>13689.379627986038</v>
      </c>
      <c r="C382" s="11">
        <v>13092.884909482429</v>
      </c>
      <c r="D382" s="11">
        <v>13410</v>
      </c>
      <c r="E382" s="11">
        <v>13410</v>
      </c>
      <c r="F382" s="11">
        <v>13410</v>
      </c>
      <c r="G382" s="11">
        <v>13410</v>
      </c>
      <c r="H382" s="11">
        <v>130009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2"/>
  <sheetViews>
    <sheetView workbookViewId="0">
      <selection activeCell="F1" sqref="F1"/>
    </sheetView>
  </sheetViews>
  <sheetFormatPr defaultRowHeight="16.5" x14ac:dyDescent="0.3"/>
  <sheetData>
    <row r="1" spans="1:8" x14ac:dyDescent="0.3">
      <c r="A1" t="s">
        <v>463</v>
      </c>
      <c r="B1" t="s">
        <v>441</v>
      </c>
      <c r="C1" t="s">
        <v>444</v>
      </c>
      <c r="D1" t="s">
        <v>455</v>
      </c>
      <c r="E1" t="s">
        <v>457</v>
      </c>
      <c r="F1" t="s">
        <v>459</v>
      </c>
      <c r="G1" t="s">
        <v>446</v>
      </c>
      <c r="H1" t="s">
        <v>461</v>
      </c>
    </row>
    <row r="2" spans="1:8" x14ac:dyDescent="0.3">
      <c r="A2" s="3" t="s">
        <v>43</v>
      </c>
      <c r="B2">
        <v>13455</v>
      </c>
      <c r="C2">
        <v>13325</v>
      </c>
      <c r="D2">
        <v>13335</v>
      </c>
      <c r="E2">
        <v>13345</v>
      </c>
      <c r="F2">
        <v>13290</v>
      </c>
      <c r="G2">
        <v>13320</v>
      </c>
      <c r="H2">
        <v>472496</v>
      </c>
    </row>
    <row r="3" spans="1:8" x14ac:dyDescent="0.3">
      <c r="A3" s="3" t="s">
        <v>44</v>
      </c>
      <c r="B3">
        <v>13501.615200937356</v>
      </c>
      <c r="C3">
        <v>13278.835187477498</v>
      </c>
      <c r="D3">
        <v>13320</v>
      </c>
      <c r="E3">
        <v>13330</v>
      </c>
      <c r="F3">
        <v>13300</v>
      </c>
      <c r="G3">
        <v>13325</v>
      </c>
      <c r="H3">
        <v>160071</v>
      </c>
    </row>
    <row r="4" spans="1:8" x14ac:dyDescent="0.3">
      <c r="A4" s="3" t="s">
        <v>45</v>
      </c>
      <c r="B4">
        <v>13518.568097895684</v>
      </c>
      <c r="C4">
        <v>13262.046086625047</v>
      </c>
      <c r="D4">
        <v>13325</v>
      </c>
      <c r="E4">
        <v>13355</v>
      </c>
      <c r="F4">
        <v>13305</v>
      </c>
      <c r="G4">
        <v>13355</v>
      </c>
      <c r="H4">
        <v>187984</v>
      </c>
    </row>
    <row r="5" spans="1:8" x14ac:dyDescent="0.3">
      <c r="A5" s="3" t="s">
        <v>46</v>
      </c>
      <c r="B5">
        <v>13509.798506041709</v>
      </c>
      <c r="C5">
        <v>13270.730948122948</v>
      </c>
      <c r="D5">
        <v>13350</v>
      </c>
      <c r="E5">
        <v>13375</v>
      </c>
      <c r="F5">
        <v>13340</v>
      </c>
      <c r="G5">
        <v>13365</v>
      </c>
      <c r="H5">
        <v>237759</v>
      </c>
    </row>
    <row r="6" spans="1:8" x14ac:dyDescent="0.3">
      <c r="A6" s="3" t="s">
        <v>47</v>
      </c>
      <c r="B6">
        <v>13522.057997055381</v>
      </c>
      <c r="C6">
        <v>13258.58990629781</v>
      </c>
      <c r="D6">
        <v>13360</v>
      </c>
      <c r="E6">
        <v>13475</v>
      </c>
      <c r="F6">
        <v>13355</v>
      </c>
      <c r="G6">
        <v>13465</v>
      </c>
      <c r="H6">
        <v>706476</v>
      </c>
    </row>
    <row r="7" spans="1:8" x14ac:dyDescent="0.3">
      <c r="A7" s="3" t="s">
        <v>48</v>
      </c>
      <c r="B7">
        <v>13536.894446260821</v>
      </c>
      <c r="C7">
        <v>13243.896804427688</v>
      </c>
      <c r="D7">
        <v>13455</v>
      </c>
      <c r="E7">
        <v>13540</v>
      </c>
      <c r="F7">
        <v>13445</v>
      </c>
      <c r="G7">
        <v>13515</v>
      </c>
      <c r="H7">
        <v>727939</v>
      </c>
    </row>
    <row r="8" spans="1:8" x14ac:dyDescent="0.3">
      <c r="A8" s="3" t="s">
        <v>49</v>
      </c>
      <c r="B8">
        <v>13554.897431131454</v>
      </c>
      <c r="C8">
        <v>13226.067761439866</v>
      </c>
      <c r="D8">
        <v>13515</v>
      </c>
      <c r="E8">
        <v>13530</v>
      </c>
      <c r="F8">
        <v>13475</v>
      </c>
      <c r="G8">
        <v>13490</v>
      </c>
      <c r="H8">
        <v>288952</v>
      </c>
    </row>
    <row r="9" spans="1:8" x14ac:dyDescent="0.3">
      <c r="A9" s="3" t="s">
        <v>50</v>
      </c>
      <c r="B9">
        <v>13548.491544906541</v>
      </c>
      <c r="C9">
        <v>13232.411755044248</v>
      </c>
      <c r="D9">
        <v>13490</v>
      </c>
      <c r="E9">
        <v>13550</v>
      </c>
      <c r="F9">
        <v>13490</v>
      </c>
      <c r="G9">
        <v>13535</v>
      </c>
      <c r="H9">
        <v>230557</v>
      </c>
    </row>
    <row r="10" spans="1:8" x14ac:dyDescent="0.3">
      <c r="A10" s="3" t="s">
        <v>51</v>
      </c>
      <c r="B10">
        <v>13561.784348752641</v>
      </c>
      <c r="C10">
        <v>13219.247384085549</v>
      </c>
      <c r="D10">
        <v>13535</v>
      </c>
      <c r="E10">
        <v>13600</v>
      </c>
      <c r="F10">
        <v>13530</v>
      </c>
      <c r="G10">
        <v>13570</v>
      </c>
      <c r="H10">
        <v>352814</v>
      </c>
    </row>
    <row r="11" spans="1:8" x14ac:dyDescent="0.3">
      <c r="A11" s="3" t="s">
        <v>52</v>
      </c>
      <c r="B11">
        <v>13559.939584125817</v>
      </c>
      <c r="C11">
        <v>13221.074324899551</v>
      </c>
      <c r="D11">
        <v>13570</v>
      </c>
      <c r="E11">
        <v>13590</v>
      </c>
      <c r="F11">
        <v>13510</v>
      </c>
      <c r="G11">
        <v>13515</v>
      </c>
      <c r="H11">
        <v>236970</v>
      </c>
    </row>
    <row r="12" spans="1:8" x14ac:dyDescent="0.3">
      <c r="A12" s="3" t="s">
        <v>53</v>
      </c>
      <c r="B12">
        <v>13572.591644090013</v>
      </c>
      <c r="C12">
        <v>13208.544507060615</v>
      </c>
      <c r="D12">
        <v>13515</v>
      </c>
      <c r="E12">
        <v>13560</v>
      </c>
      <c r="F12">
        <v>13510</v>
      </c>
      <c r="G12">
        <v>13545</v>
      </c>
      <c r="H12">
        <v>142802</v>
      </c>
    </row>
    <row r="13" spans="1:8" x14ac:dyDescent="0.3">
      <c r="A13" s="3" t="s">
        <v>54</v>
      </c>
      <c r="B13">
        <v>13574.438693938784</v>
      </c>
      <c r="C13">
        <v>13206.715303104102</v>
      </c>
      <c r="D13">
        <v>13545</v>
      </c>
      <c r="E13">
        <v>13630</v>
      </c>
      <c r="F13">
        <v>13545</v>
      </c>
      <c r="G13">
        <v>13630</v>
      </c>
      <c r="H13">
        <v>334045</v>
      </c>
    </row>
    <row r="14" spans="1:8" x14ac:dyDescent="0.3">
      <c r="A14" s="3" t="s">
        <v>55</v>
      </c>
      <c r="B14">
        <v>13573.757631325889</v>
      </c>
      <c r="C14">
        <v>13207.3897854019</v>
      </c>
      <c r="D14">
        <v>13630</v>
      </c>
      <c r="E14">
        <v>13655</v>
      </c>
      <c r="F14">
        <v>13610</v>
      </c>
      <c r="G14">
        <v>13640</v>
      </c>
      <c r="H14">
        <v>272692</v>
      </c>
    </row>
    <row r="15" spans="1:8" x14ac:dyDescent="0.3">
      <c r="A15" s="3" t="s">
        <v>56</v>
      </c>
      <c r="B15">
        <v>13573.564187004222</v>
      </c>
      <c r="C15">
        <v>13207.581360696302</v>
      </c>
      <c r="D15">
        <v>13640</v>
      </c>
      <c r="E15">
        <v>13670</v>
      </c>
      <c r="F15">
        <v>13635</v>
      </c>
      <c r="G15">
        <v>13670</v>
      </c>
      <c r="H15">
        <v>164306</v>
      </c>
    </row>
    <row r="16" spans="1:8" x14ac:dyDescent="0.3">
      <c r="A16" s="3" t="s">
        <v>57</v>
      </c>
      <c r="B16">
        <v>13580.902498788237</v>
      </c>
      <c r="C16">
        <v>13200.313950475418</v>
      </c>
      <c r="D16">
        <v>13670</v>
      </c>
      <c r="E16">
        <v>13690</v>
      </c>
      <c r="F16">
        <v>13655</v>
      </c>
      <c r="G16">
        <v>13660</v>
      </c>
      <c r="H16">
        <v>137671</v>
      </c>
    </row>
    <row r="17" spans="1:8" x14ac:dyDescent="0.3">
      <c r="A17" s="3" t="s">
        <v>58</v>
      </c>
      <c r="B17">
        <v>13585.938159000652</v>
      </c>
      <c r="C17">
        <v>13195.326943984863</v>
      </c>
      <c r="D17">
        <v>13655</v>
      </c>
      <c r="E17">
        <v>13695</v>
      </c>
      <c r="F17">
        <v>13655</v>
      </c>
      <c r="G17">
        <v>13675</v>
      </c>
      <c r="H17">
        <v>162883</v>
      </c>
    </row>
    <row r="18" spans="1:8" x14ac:dyDescent="0.3">
      <c r="A18" s="3" t="s">
        <v>59</v>
      </c>
      <c r="B18">
        <v>13586.284698372619</v>
      </c>
      <c r="C18">
        <v>13194.983752819386</v>
      </c>
      <c r="D18">
        <v>13675</v>
      </c>
      <c r="E18">
        <v>13710</v>
      </c>
      <c r="F18">
        <v>13675</v>
      </c>
      <c r="G18">
        <v>13705</v>
      </c>
      <c r="H18">
        <v>262874</v>
      </c>
    </row>
    <row r="19" spans="1:8" x14ac:dyDescent="0.3">
      <c r="A19" s="3" t="s">
        <v>60</v>
      </c>
      <c r="B19">
        <v>13587.568725052965</v>
      </c>
      <c r="C19">
        <v>13193.712132193923</v>
      </c>
      <c r="D19">
        <v>13705</v>
      </c>
      <c r="E19">
        <v>13705</v>
      </c>
      <c r="F19">
        <v>13630</v>
      </c>
      <c r="G19">
        <v>13635</v>
      </c>
      <c r="H19">
        <v>156482</v>
      </c>
    </row>
    <row r="20" spans="1:8" x14ac:dyDescent="0.3">
      <c r="A20" s="3" t="s">
        <v>61</v>
      </c>
      <c r="B20">
        <v>13581.580417216459</v>
      </c>
      <c r="C20">
        <v>13199.642581983699</v>
      </c>
      <c r="D20">
        <v>13635</v>
      </c>
      <c r="E20">
        <v>13670</v>
      </c>
      <c r="F20">
        <v>13635</v>
      </c>
      <c r="G20">
        <v>13655</v>
      </c>
      <c r="H20">
        <v>103127</v>
      </c>
    </row>
    <row r="21" spans="1:8" x14ac:dyDescent="0.3">
      <c r="A21" s="3" t="s">
        <v>62</v>
      </c>
      <c r="B21">
        <v>13589.906789030612</v>
      </c>
      <c r="C21">
        <v>13191.396658206399</v>
      </c>
      <c r="D21">
        <v>13655</v>
      </c>
      <c r="E21">
        <v>13665</v>
      </c>
      <c r="F21">
        <v>13640</v>
      </c>
      <c r="G21">
        <v>13650</v>
      </c>
      <c r="H21">
        <v>184627</v>
      </c>
    </row>
    <row r="22" spans="1:8" x14ac:dyDescent="0.3">
      <c r="A22" s="3" t="s">
        <v>63</v>
      </c>
      <c r="B22">
        <v>13605.288266472458</v>
      </c>
      <c r="C22">
        <v>13176.163794073169</v>
      </c>
      <c r="D22">
        <v>13650</v>
      </c>
      <c r="E22">
        <v>13715</v>
      </c>
      <c r="F22">
        <v>13650</v>
      </c>
      <c r="G22">
        <v>13710</v>
      </c>
      <c r="H22">
        <v>226143</v>
      </c>
    </row>
    <row r="23" spans="1:8" x14ac:dyDescent="0.3">
      <c r="A23" s="3" t="s">
        <v>64</v>
      </c>
      <c r="B23">
        <v>13605.135435682298</v>
      </c>
      <c r="C23">
        <v>13176.315148237338</v>
      </c>
      <c r="D23">
        <v>13715</v>
      </c>
      <c r="E23">
        <v>13745</v>
      </c>
      <c r="F23">
        <v>13715</v>
      </c>
      <c r="G23">
        <v>13735</v>
      </c>
      <c r="H23">
        <v>205693</v>
      </c>
    </row>
    <row r="24" spans="1:8" x14ac:dyDescent="0.3">
      <c r="A24" s="3" t="s">
        <v>65</v>
      </c>
      <c r="B24">
        <v>13613.938455205043</v>
      </c>
      <c r="C24">
        <v>13167.597182043315</v>
      </c>
      <c r="D24">
        <v>13730</v>
      </c>
      <c r="E24">
        <v>13750</v>
      </c>
      <c r="F24">
        <v>13710</v>
      </c>
      <c r="G24">
        <v>13725</v>
      </c>
      <c r="H24">
        <v>223803</v>
      </c>
    </row>
    <row r="25" spans="1:8" x14ac:dyDescent="0.3">
      <c r="A25" s="3" t="s">
        <v>66</v>
      </c>
      <c r="B25">
        <v>13613.248544214648</v>
      </c>
      <c r="C25">
        <v>13168.280427227039</v>
      </c>
      <c r="D25">
        <v>13725</v>
      </c>
      <c r="E25">
        <v>13735</v>
      </c>
      <c r="F25">
        <v>13675</v>
      </c>
      <c r="G25">
        <v>13680</v>
      </c>
      <c r="H25">
        <v>88470</v>
      </c>
    </row>
    <row r="26" spans="1:8" x14ac:dyDescent="0.3">
      <c r="A26" s="3" t="s">
        <v>67</v>
      </c>
      <c r="B26">
        <v>13619.016257812065</v>
      </c>
      <c r="C26">
        <v>13162.568440331044</v>
      </c>
      <c r="D26">
        <v>13680</v>
      </c>
      <c r="E26">
        <v>13720</v>
      </c>
      <c r="F26">
        <v>13665</v>
      </c>
      <c r="G26">
        <v>13715</v>
      </c>
      <c r="H26">
        <v>103702</v>
      </c>
    </row>
    <row r="27" spans="1:8" x14ac:dyDescent="0.3">
      <c r="A27" s="3" t="s">
        <v>68</v>
      </c>
      <c r="B27">
        <v>13615.192678614603</v>
      </c>
      <c r="C27">
        <v>13166.355076734331</v>
      </c>
      <c r="D27">
        <v>13720</v>
      </c>
      <c r="E27">
        <v>13750</v>
      </c>
      <c r="F27">
        <v>13720</v>
      </c>
      <c r="G27">
        <v>13750</v>
      </c>
      <c r="H27">
        <v>130217</v>
      </c>
    </row>
    <row r="28" spans="1:8" x14ac:dyDescent="0.3">
      <c r="A28" s="3" t="s">
        <v>69</v>
      </c>
      <c r="B28">
        <v>13613.157682169709</v>
      </c>
      <c r="C28">
        <v>13168.370411377826</v>
      </c>
      <c r="D28">
        <v>13745</v>
      </c>
      <c r="E28">
        <v>13775</v>
      </c>
      <c r="F28">
        <v>13725</v>
      </c>
      <c r="G28">
        <v>13740</v>
      </c>
      <c r="H28">
        <v>283276</v>
      </c>
    </row>
    <row r="29" spans="1:8" x14ac:dyDescent="0.3">
      <c r="A29" s="3" t="s">
        <v>70</v>
      </c>
      <c r="B29">
        <v>13627.899857284408</v>
      </c>
      <c r="C29">
        <v>13153.770672737663</v>
      </c>
      <c r="D29">
        <v>13745</v>
      </c>
      <c r="E29">
        <v>13750</v>
      </c>
      <c r="F29">
        <v>13705</v>
      </c>
      <c r="G29">
        <v>13715</v>
      </c>
      <c r="H29">
        <v>58159</v>
      </c>
    </row>
    <row r="30" spans="1:8" x14ac:dyDescent="0.3">
      <c r="A30" s="3" t="s">
        <v>71</v>
      </c>
      <c r="B30">
        <v>13628.916020176577</v>
      </c>
      <c r="C30">
        <v>13152.764327844452</v>
      </c>
      <c r="D30">
        <v>13715</v>
      </c>
      <c r="E30">
        <v>13740</v>
      </c>
      <c r="F30">
        <v>13710</v>
      </c>
      <c r="G30">
        <v>13740</v>
      </c>
      <c r="H30">
        <v>36093</v>
      </c>
    </row>
    <row r="31" spans="1:8" x14ac:dyDescent="0.3">
      <c r="A31" s="3" t="s">
        <v>72</v>
      </c>
      <c r="B31">
        <v>13634.24591660915</v>
      </c>
      <c r="C31">
        <v>13147.485927995769</v>
      </c>
      <c r="D31">
        <v>13740</v>
      </c>
      <c r="E31">
        <v>13745</v>
      </c>
      <c r="F31">
        <v>13720</v>
      </c>
      <c r="G31">
        <v>13720</v>
      </c>
      <c r="H31">
        <v>49547</v>
      </c>
    </row>
    <row r="32" spans="1:8" x14ac:dyDescent="0.3">
      <c r="A32" s="3" t="s">
        <v>73</v>
      </c>
      <c r="B32">
        <v>13637.789002019372</v>
      </c>
      <c r="C32">
        <v>13143.977075294826</v>
      </c>
      <c r="D32">
        <v>13725</v>
      </c>
      <c r="E32">
        <v>13780</v>
      </c>
      <c r="F32">
        <v>13725</v>
      </c>
      <c r="G32">
        <v>13775</v>
      </c>
      <c r="H32">
        <v>150588</v>
      </c>
    </row>
    <row r="33" spans="1:8" x14ac:dyDescent="0.3">
      <c r="A33" s="3" t="s">
        <v>74</v>
      </c>
      <c r="B33">
        <v>13634.689757095763</v>
      </c>
      <c r="C33">
        <v>13147.046375823036</v>
      </c>
      <c r="D33">
        <v>13775</v>
      </c>
      <c r="E33">
        <v>13810</v>
      </c>
      <c r="F33">
        <v>13765</v>
      </c>
      <c r="G33">
        <v>13805</v>
      </c>
      <c r="H33">
        <v>518036</v>
      </c>
    </row>
    <row r="34" spans="1:8" x14ac:dyDescent="0.3">
      <c r="A34" s="3" t="s">
        <v>75</v>
      </c>
      <c r="B34">
        <v>13635.173403874251</v>
      </c>
      <c r="C34">
        <v>13146.567401960285</v>
      </c>
      <c r="D34">
        <v>13805</v>
      </c>
      <c r="E34">
        <v>13830</v>
      </c>
      <c r="F34">
        <v>13805</v>
      </c>
      <c r="G34">
        <v>13825</v>
      </c>
      <c r="H34">
        <v>108876</v>
      </c>
    </row>
    <row r="35" spans="1:8" x14ac:dyDescent="0.3">
      <c r="A35" s="3" t="s">
        <v>76</v>
      </c>
      <c r="B35">
        <v>13632.352509323771</v>
      </c>
      <c r="C35">
        <v>13149.361041490949</v>
      </c>
      <c r="D35">
        <v>13830</v>
      </c>
      <c r="E35">
        <v>13840</v>
      </c>
      <c r="F35">
        <v>13815</v>
      </c>
      <c r="G35">
        <v>13830</v>
      </c>
      <c r="H35">
        <v>144069</v>
      </c>
    </row>
    <row r="36" spans="1:8" x14ac:dyDescent="0.3">
      <c r="A36" s="3" t="s">
        <v>77</v>
      </c>
      <c r="B36">
        <v>13630.347029526787</v>
      </c>
      <c r="C36">
        <v>13151.347144671539</v>
      </c>
      <c r="D36">
        <v>13830</v>
      </c>
      <c r="E36">
        <v>13845</v>
      </c>
      <c r="F36">
        <v>13820</v>
      </c>
      <c r="G36">
        <v>13830</v>
      </c>
      <c r="H36">
        <v>76923</v>
      </c>
    </row>
    <row r="37" spans="1:8" x14ac:dyDescent="0.3">
      <c r="A37" s="3" t="s">
        <v>78</v>
      </c>
      <c r="B37">
        <v>13626.911718233547</v>
      </c>
      <c r="C37">
        <v>13154.749264551319</v>
      </c>
      <c r="D37">
        <v>13825</v>
      </c>
      <c r="E37">
        <v>13845</v>
      </c>
      <c r="F37">
        <v>13815</v>
      </c>
      <c r="G37">
        <v>13815</v>
      </c>
      <c r="H37">
        <v>123184</v>
      </c>
    </row>
    <row r="38" spans="1:8" x14ac:dyDescent="0.3">
      <c r="A38" s="3" t="s">
        <v>79</v>
      </c>
      <c r="B38">
        <v>13617.50114263507</v>
      </c>
      <c r="C38">
        <v>13164.068916714061</v>
      </c>
      <c r="D38">
        <v>13820</v>
      </c>
      <c r="E38">
        <v>13830</v>
      </c>
      <c r="F38">
        <v>13810</v>
      </c>
      <c r="G38">
        <v>13820</v>
      </c>
      <c r="H38">
        <v>61971</v>
      </c>
    </row>
    <row r="39" spans="1:8" x14ac:dyDescent="0.3">
      <c r="A39" s="3" t="s">
        <v>80</v>
      </c>
      <c r="B39">
        <v>13614.709555503827</v>
      </c>
      <c r="C39">
        <v>13166.833531988965</v>
      </c>
      <c r="D39">
        <v>13825</v>
      </c>
      <c r="E39">
        <v>13850</v>
      </c>
      <c r="F39">
        <v>13815</v>
      </c>
      <c r="G39">
        <v>13850</v>
      </c>
      <c r="H39">
        <v>123740</v>
      </c>
    </row>
    <row r="40" spans="1:8" x14ac:dyDescent="0.3">
      <c r="A40" s="3" t="s">
        <v>81</v>
      </c>
      <c r="B40">
        <v>13611.923258212013</v>
      </c>
      <c r="C40">
        <v>13169.592908533998</v>
      </c>
      <c r="D40">
        <v>13850</v>
      </c>
      <c r="E40">
        <v>13860</v>
      </c>
      <c r="F40">
        <v>13825</v>
      </c>
      <c r="G40">
        <v>13830</v>
      </c>
      <c r="H40">
        <v>121680</v>
      </c>
    </row>
    <row r="41" spans="1:8" x14ac:dyDescent="0.3">
      <c r="A41" s="3" t="s">
        <v>82</v>
      </c>
      <c r="B41">
        <v>13622.612495553962</v>
      </c>
      <c r="C41">
        <v>13159.006948847527</v>
      </c>
      <c r="D41">
        <v>13825</v>
      </c>
      <c r="E41">
        <v>13830</v>
      </c>
      <c r="F41">
        <v>13800</v>
      </c>
      <c r="G41">
        <v>13825</v>
      </c>
      <c r="H41">
        <v>133896</v>
      </c>
    </row>
    <row r="42" spans="1:8" x14ac:dyDescent="0.3">
      <c r="A42" s="3" t="s">
        <v>83</v>
      </c>
      <c r="B42">
        <v>13623.949041834376</v>
      </c>
      <c r="C42">
        <v>13157.683316057744</v>
      </c>
      <c r="D42">
        <v>13830</v>
      </c>
      <c r="E42">
        <v>13830</v>
      </c>
      <c r="F42">
        <v>13805</v>
      </c>
      <c r="G42">
        <v>13830</v>
      </c>
      <c r="H42">
        <v>37410</v>
      </c>
    </row>
    <row r="43" spans="1:8" x14ac:dyDescent="0.3">
      <c r="A43" s="3" t="s">
        <v>84</v>
      </c>
      <c r="B43">
        <v>13630.218507556305</v>
      </c>
      <c r="C43">
        <v>13151.474424883852</v>
      </c>
      <c r="D43">
        <v>13830</v>
      </c>
      <c r="E43">
        <v>13845</v>
      </c>
      <c r="F43">
        <v>13825</v>
      </c>
      <c r="G43">
        <v>13845</v>
      </c>
      <c r="H43">
        <v>44638</v>
      </c>
    </row>
    <row r="44" spans="1:8" x14ac:dyDescent="0.3">
      <c r="A44" s="3" t="s">
        <v>85</v>
      </c>
      <c r="B44">
        <v>13634.111415660176</v>
      </c>
      <c r="C44">
        <v>13147.619129418668</v>
      </c>
      <c r="D44">
        <v>13845</v>
      </c>
      <c r="E44">
        <v>13850</v>
      </c>
      <c r="F44">
        <v>13840</v>
      </c>
      <c r="G44">
        <v>13840</v>
      </c>
      <c r="H44">
        <v>48155</v>
      </c>
    </row>
    <row r="45" spans="1:8" x14ac:dyDescent="0.3">
      <c r="A45" s="3" t="s">
        <v>86</v>
      </c>
      <c r="B45">
        <v>13630.179600076477</v>
      </c>
      <c r="C45">
        <v>13151.512956446002</v>
      </c>
      <c r="D45">
        <v>13845</v>
      </c>
      <c r="E45">
        <v>13855</v>
      </c>
      <c r="F45">
        <v>13835</v>
      </c>
      <c r="G45">
        <v>13845</v>
      </c>
      <c r="H45">
        <v>32389</v>
      </c>
    </row>
    <row r="46" spans="1:8" x14ac:dyDescent="0.3">
      <c r="A46" s="3" t="s">
        <v>87</v>
      </c>
      <c r="B46">
        <v>13630.717362469746</v>
      </c>
      <c r="C46">
        <v>13150.980389824646</v>
      </c>
      <c r="D46">
        <v>13845</v>
      </c>
      <c r="E46">
        <v>13855</v>
      </c>
      <c r="F46">
        <v>13830</v>
      </c>
      <c r="G46">
        <v>13830</v>
      </c>
      <c r="H46">
        <v>93853</v>
      </c>
    </row>
    <row r="47" spans="1:8" x14ac:dyDescent="0.3">
      <c r="A47" s="3" t="s">
        <v>88</v>
      </c>
      <c r="B47">
        <v>13632.433951354948</v>
      </c>
      <c r="C47">
        <v>13149.280386339302</v>
      </c>
      <c r="D47">
        <v>13830</v>
      </c>
      <c r="E47">
        <v>13850</v>
      </c>
      <c r="F47">
        <v>13805</v>
      </c>
      <c r="G47">
        <v>13820</v>
      </c>
      <c r="H47">
        <v>95879</v>
      </c>
    </row>
    <row r="48" spans="1:8" x14ac:dyDescent="0.3">
      <c r="A48" s="3" t="s">
        <v>89</v>
      </c>
      <c r="B48">
        <v>13636.020058440312</v>
      </c>
      <c r="C48">
        <v>13145.728927631577</v>
      </c>
      <c r="D48">
        <v>13820</v>
      </c>
      <c r="E48">
        <v>13840</v>
      </c>
      <c r="F48">
        <v>13815</v>
      </c>
      <c r="G48">
        <v>13815</v>
      </c>
      <c r="H48">
        <v>68652</v>
      </c>
    </row>
    <row r="49" spans="1:8" x14ac:dyDescent="0.3">
      <c r="A49" s="3" t="s">
        <v>90</v>
      </c>
      <c r="B49">
        <v>13636.296088550049</v>
      </c>
      <c r="C49">
        <v>13145.45556447942</v>
      </c>
      <c r="D49">
        <v>13815</v>
      </c>
      <c r="E49">
        <v>13825</v>
      </c>
      <c r="F49">
        <v>13790</v>
      </c>
      <c r="G49">
        <v>13795</v>
      </c>
      <c r="H49">
        <v>69611</v>
      </c>
    </row>
    <row r="50" spans="1:8" x14ac:dyDescent="0.3">
      <c r="A50" s="3" t="s">
        <v>91</v>
      </c>
      <c r="B50">
        <v>13641.937637254023</v>
      </c>
      <c r="C50">
        <v>13139.868523492391</v>
      </c>
      <c r="D50">
        <v>13795</v>
      </c>
      <c r="E50">
        <v>13805</v>
      </c>
      <c r="F50">
        <v>13795</v>
      </c>
      <c r="G50">
        <v>13795</v>
      </c>
      <c r="H50">
        <v>50212</v>
      </c>
    </row>
    <row r="51" spans="1:8" x14ac:dyDescent="0.3">
      <c r="A51" s="3" t="s">
        <v>92</v>
      </c>
      <c r="B51">
        <v>13651.695138932117</v>
      </c>
      <c r="C51">
        <v>13130.20529719283</v>
      </c>
      <c r="D51">
        <v>13795</v>
      </c>
      <c r="E51">
        <v>13795</v>
      </c>
      <c r="F51">
        <v>13760</v>
      </c>
      <c r="G51">
        <v>13765</v>
      </c>
      <c r="H51">
        <v>51999</v>
      </c>
    </row>
    <row r="52" spans="1:8" x14ac:dyDescent="0.3">
      <c r="A52" s="3" t="s">
        <v>93</v>
      </c>
      <c r="B52">
        <v>13652.097712812032</v>
      </c>
      <c r="C52">
        <v>13129.806612915621</v>
      </c>
      <c r="D52">
        <v>13765</v>
      </c>
      <c r="E52">
        <v>13775</v>
      </c>
      <c r="F52">
        <v>13740</v>
      </c>
      <c r="G52">
        <v>13745</v>
      </c>
      <c r="H52">
        <v>74012</v>
      </c>
    </row>
    <row r="53" spans="1:8" x14ac:dyDescent="0.3">
      <c r="A53" s="3" t="s">
        <v>94</v>
      </c>
      <c r="B53">
        <v>13647.071434910573</v>
      </c>
      <c r="C53">
        <v>13134.784327745567</v>
      </c>
      <c r="D53">
        <v>13750</v>
      </c>
      <c r="E53">
        <v>13760</v>
      </c>
      <c r="F53">
        <v>13730</v>
      </c>
      <c r="G53">
        <v>13750</v>
      </c>
      <c r="H53">
        <v>67199</v>
      </c>
    </row>
    <row r="54" spans="1:8" x14ac:dyDescent="0.3">
      <c r="A54" s="3" t="s">
        <v>95</v>
      </c>
      <c r="B54">
        <v>13648.579939597774</v>
      </c>
      <c r="C54">
        <v>13133.290397982879</v>
      </c>
      <c r="D54">
        <v>13750</v>
      </c>
      <c r="E54">
        <v>13795</v>
      </c>
      <c r="F54">
        <v>13750</v>
      </c>
      <c r="G54">
        <v>13775</v>
      </c>
      <c r="H54">
        <v>70740</v>
      </c>
    </row>
    <row r="55" spans="1:8" x14ac:dyDescent="0.3">
      <c r="A55" s="3" t="s">
        <v>96</v>
      </c>
      <c r="B55">
        <v>13644.580753405529</v>
      </c>
      <c r="C55">
        <v>13137.250944695006</v>
      </c>
      <c r="D55">
        <v>13775</v>
      </c>
      <c r="E55">
        <v>13795</v>
      </c>
      <c r="F55">
        <v>13775</v>
      </c>
      <c r="G55">
        <v>13795</v>
      </c>
      <c r="H55">
        <v>49143</v>
      </c>
    </row>
    <row r="56" spans="1:8" x14ac:dyDescent="0.3">
      <c r="A56" s="3" t="s">
        <v>97</v>
      </c>
      <c r="B56">
        <v>13643.275324819257</v>
      </c>
      <c r="C56">
        <v>13138.543760444698</v>
      </c>
      <c r="D56">
        <v>13795</v>
      </c>
      <c r="E56">
        <v>13805</v>
      </c>
      <c r="F56">
        <v>13785</v>
      </c>
      <c r="G56">
        <v>13790</v>
      </c>
      <c r="H56">
        <v>74767</v>
      </c>
    </row>
    <row r="57" spans="1:8" x14ac:dyDescent="0.3">
      <c r="A57" s="3" t="s">
        <v>98</v>
      </c>
      <c r="B57">
        <v>13647.102346772317</v>
      </c>
      <c r="C57">
        <v>13134.753714549153</v>
      </c>
      <c r="D57">
        <v>13795</v>
      </c>
      <c r="E57">
        <v>13815</v>
      </c>
      <c r="F57">
        <v>13795</v>
      </c>
      <c r="G57">
        <v>13810</v>
      </c>
      <c r="H57">
        <v>75242</v>
      </c>
    </row>
    <row r="58" spans="1:8" x14ac:dyDescent="0.3">
      <c r="A58" s="3" t="s">
        <v>99</v>
      </c>
      <c r="B58">
        <v>13647.883029945968</v>
      </c>
      <c r="C58">
        <v>13133.980574208099</v>
      </c>
      <c r="D58">
        <v>13810</v>
      </c>
      <c r="E58">
        <v>13815</v>
      </c>
      <c r="F58">
        <v>13805</v>
      </c>
      <c r="G58">
        <v>13810</v>
      </c>
      <c r="H58">
        <v>13291</v>
      </c>
    </row>
    <row r="59" spans="1:8" x14ac:dyDescent="0.3">
      <c r="A59" s="3" t="s">
        <v>100</v>
      </c>
      <c r="B59">
        <v>13648.855930633054</v>
      </c>
      <c r="C59">
        <v>13133.017073527653</v>
      </c>
      <c r="D59">
        <v>13810</v>
      </c>
      <c r="E59">
        <v>13820</v>
      </c>
      <c r="F59">
        <v>13785</v>
      </c>
      <c r="G59">
        <v>13800</v>
      </c>
      <c r="H59">
        <v>74217</v>
      </c>
    </row>
    <row r="60" spans="1:8" x14ac:dyDescent="0.3">
      <c r="A60" s="3" t="s">
        <v>101</v>
      </c>
      <c r="B60">
        <v>13642.340091868669</v>
      </c>
      <c r="C60">
        <v>13139.46995732813</v>
      </c>
      <c r="D60">
        <v>13795</v>
      </c>
      <c r="E60">
        <v>13800</v>
      </c>
      <c r="F60">
        <v>13785</v>
      </c>
      <c r="G60">
        <v>13800</v>
      </c>
      <c r="H60">
        <v>7824</v>
      </c>
    </row>
    <row r="61" spans="1:8" x14ac:dyDescent="0.3">
      <c r="A61" s="3" t="s">
        <v>102</v>
      </c>
      <c r="B61">
        <v>13644.410952369521</v>
      </c>
      <c r="C61">
        <v>13137.419105141298</v>
      </c>
      <c r="D61">
        <v>13800</v>
      </c>
      <c r="E61">
        <v>13815</v>
      </c>
      <c r="F61">
        <v>13790</v>
      </c>
      <c r="G61">
        <v>13795</v>
      </c>
      <c r="H61">
        <v>32127</v>
      </c>
    </row>
    <row r="62" spans="1:8" x14ac:dyDescent="0.3">
      <c r="A62" s="3" t="s">
        <v>103</v>
      </c>
      <c r="B62">
        <v>13648.661449828187</v>
      </c>
      <c r="C62">
        <v>13133.209675290927</v>
      </c>
      <c r="D62">
        <v>13795</v>
      </c>
      <c r="E62">
        <v>13830</v>
      </c>
      <c r="F62">
        <v>13795</v>
      </c>
      <c r="G62">
        <v>13825</v>
      </c>
      <c r="H62">
        <v>68765</v>
      </c>
    </row>
    <row r="63" spans="1:8" x14ac:dyDescent="0.3">
      <c r="A63" s="3" t="s">
        <v>104</v>
      </c>
      <c r="B63">
        <v>13650.922675571208</v>
      </c>
      <c r="C63">
        <v>13130.970297139624</v>
      </c>
      <c r="D63">
        <v>13825</v>
      </c>
      <c r="E63">
        <v>13875</v>
      </c>
      <c r="F63">
        <v>13820</v>
      </c>
      <c r="G63">
        <v>13875</v>
      </c>
      <c r="H63">
        <v>269336</v>
      </c>
    </row>
    <row r="64" spans="1:8" x14ac:dyDescent="0.3">
      <c r="A64" s="3" t="s">
        <v>105</v>
      </c>
      <c r="B64">
        <v>13650.938119702716</v>
      </c>
      <c r="C64">
        <v>13130.955002226779</v>
      </c>
      <c r="D64">
        <v>13875</v>
      </c>
      <c r="E64">
        <v>13890</v>
      </c>
      <c r="F64">
        <v>13870</v>
      </c>
      <c r="G64">
        <v>13875</v>
      </c>
      <c r="H64">
        <v>119815</v>
      </c>
    </row>
    <row r="65" spans="1:8" x14ac:dyDescent="0.3">
      <c r="A65" s="3" t="s">
        <v>106</v>
      </c>
      <c r="B65">
        <v>13650.309880071905</v>
      </c>
      <c r="C65">
        <v>13131.577171909465</v>
      </c>
      <c r="D65">
        <v>13875</v>
      </c>
      <c r="E65">
        <v>13875</v>
      </c>
      <c r="F65">
        <v>13840</v>
      </c>
      <c r="G65">
        <v>13840</v>
      </c>
      <c r="H65">
        <v>135427</v>
      </c>
    </row>
    <row r="66" spans="1:8" x14ac:dyDescent="0.3">
      <c r="A66" s="3" t="s">
        <v>107</v>
      </c>
      <c r="B66">
        <v>13648.870342443894</v>
      </c>
      <c r="C66">
        <v>13133.002800961362</v>
      </c>
      <c r="D66">
        <v>13840</v>
      </c>
      <c r="E66">
        <v>13865</v>
      </c>
      <c r="F66">
        <v>13815</v>
      </c>
      <c r="G66">
        <v>13855</v>
      </c>
      <c r="H66">
        <v>74656</v>
      </c>
    </row>
    <row r="67" spans="1:8" x14ac:dyDescent="0.3">
      <c r="A67" s="3" t="s">
        <v>108</v>
      </c>
      <c r="B67">
        <v>13657.668091004318</v>
      </c>
      <c r="C67">
        <v>13124.290054802488</v>
      </c>
      <c r="D67">
        <v>13855</v>
      </c>
      <c r="E67">
        <v>13865</v>
      </c>
      <c r="F67">
        <v>13845</v>
      </c>
      <c r="G67">
        <v>13850</v>
      </c>
      <c r="H67">
        <v>44539</v>
      </c>
    </row>
    <row r="68" spans="1:8" x14ac:dyDescent="0.3">
      <c r="A68" s="3" t="s">
        <v>109</v>
      </c>
      <c r="B68">
        <v>13655.662603132369</v>
      </c>
      <c r="C68">
        <v>13126.276165980022</v>
      </c>
      <c r="D68">
        <v>13850</v>
      </c>
      <c r="E68">
        <v>13880</v>
      </c>
      <c r="F68">
        <v>13850</v>
      </c>
      <c r="G68">
        <v>13880</v>
      </c>
      <c r="H68">
        <v>63994</v>
      </c>
    </row>
    <row r="69" spans="1:8" x14ac:dyDescent="0.3">
      <c r="A69" s="3" t="s">
        <v>110</v>
      </c>
      <c r="B69">
        <v>13644.7567555267</v>
      </c>
      <c r="C69">
        <v>13137.076643077424</v>
      </c>
      <c r="D69">
        <v>13875</v>
      </c>
      <c r="E69">
        <v>13890</v>
      </c>
      <c r="F69">
        <v>13855</v>
      </c>
      <c r="G69">
        <v>13870</v>
      </c>
      <c r="H69">
        <v>50432</v>
      </c>
    </row>
    <row r="70" spans="1:8" x14ac:dyDescent="0.3">
      <c r="A70" s="3" t="s">
        <v>111</v>
      </c>
      <c r="B70">
        <v>13640.545793046789</v>
      </c>
      <c r="C70">
        <v>13141.246919929508</v>
      </c>
      <c r="D70">
        <v>13865</v>
      </c>
      <c r="E70">
        <v>13865</v>
      </c>
      <c r="F70">
        <v>13845</v>
      </c>
      <c r="G70">
        <v>13865</v>
      </c>
      <c r="H70">
        <v>29905</v>
      </c>
    </row>
    <row r="71" spans="1:8" x14ac:dyDescent="0.3">
      <c r="A71" s="3" t="s">
        <v>112</v>
      </c>
      <c r="B71">
        <v>13638.029313786183</v>
      </c>
      <c r="C71">
        <v>13143.739085380832</v>
      </c>
      <c r="D71">
        <v>13865</v>
      </c>
      <c r="E71">
        <v>13870</v>
      </c>
      <c r="F71">
        <v>13860</v>
      </c>
      <c r="G71">
        <v>13865</v>
      </c>
      <c r="H71">
        <v>28032</v>
      </c>
    </row>
    <row r="72" spans="1:8" x14ac:dyDescent="0.3">
      <c r="A72" s="3" t="s">
        <v>113</v>
      </c>
      <c r="B72">
        <v>13638.898025715973</v>
      </c>
      <c r="C72">
        <v>13142.878766803022</v>
      </c>
      <c r="D72">
        <v>13865</v>
      </c>
      <c r="E72">
        <v>13870</v>
      </c>
      <c r="F72">
        <v>13850</v>
      </c>
      <c r="G72">
        <v>13870</v>
      </c>
      <c r="H72">
        <v>23980</v>
      </c>
    </row>
    <row r="73" spans="1:8" x14ac:dyDescent="0.3">
      <c r="A73" s="3" t="s">
        <v>114</v>
      </c>
      <c r="B73">
        <v>13639.999422573792</v>
      </c>
      <c r="C73">
        <v>13141.788011460736</v>
      </c>
      <c r="D73">
        <v>13870</v>
      </c>
      <c r="E73">
        <v>13880</v>
      </c>
      <c r="F73">
        <v>13855</v>
      </c>
      <c r="G73">
        <v>13865</v>
      </c>
      <c r="H73">
        <v>13452</v>
      </c>
    </row>
    <row r="74" spans="1:8" x14ac:dyDescent="0.3">
      <c r="A74" s="3" t="s">
        <v>115</v>
      </c>
      <c r="B74">
        <v>13642.592713802514</v>
      </c>
      <c r="C74">
        <v>13139.219776185917</v>
      </c>
      <c r="D74">
        <v>13865</v>
      </c>
      <c r="E74">
        <v>13865</v>
      </c>
      <c r="F74">
        <v>13845</v>
      </c>
      <c r="G74">
        <v>13845</v>
      </c>
      <c r="H74">
        <v>19560</v>
      </c>
    </row>
    <row r="75" spans="1:8" x14ac:dyDescent="0.3">
      <c r="A75" s="3" t="s">
        <v>116</v>
      </c>
      <c r="B75">
        <v>13639.255950892231</v>
      </c>
      <c r="C75">
        <v>13142.524299841027</v>
      </c>
      <c r="D75">
        <v>13850</v>
      </c>
      <c r="E75">
        <v>13855</v>
      </c>
      <c r="F75">
        <v>13835</v>
      </c>
      <c r="G75">
        <v>13835</v>
      </c>
      <c r="H75">
        <v>56643</v>
      </c>
    </row>
    <row r="76" spans="1:8" x14ac:dyDescent="0.3">
      <c r="A76" s="3" t="s">
        <v>117</v>
      </c>
      <c r="B76">
        <v>13638.35579580613</v>
      </c>
      <c r="C76">
        <v>13143.41575777654</v>
      </c>
      <c r="D76">
        <v>13845</v>
      </c>
      <c r="E76">
        <v>13860</v>
      </c>
      <c r="F76">
        <v>13840</v>
      </c>
      <c r="G76">
        <v>13845</v>
      </c>
      <c r="H76">
        <v>25441</v>
      </c>
    </row>
    <row r="77" spans="1:8" x14ac:dyDescent="0.3">
      <c r="A77" s="3" t="s">
        <v>118</v>
      </c>
      <c r="B77">
        <v>13645.3518127767</v>
      </c>
      <c r="C77">
        <v>13136.487335172833</v>
      </c>
      <c r="D77">
        <v>13850</v>
      </c>
      <c r="E77">
        <v>13860</v>
      </c>
      <c r="F77">
        <v>13845</v>
      </c>
      <c r="G77">
        <v>13860</v>
      </c>
      <c r="H77">
        <v>16086</v>
      </c>
    </row>
    <row r="78" spans="1:8" x14ac:dyDescent="0.3">
      <c r="A78" s="3" t="s">
        <v>119</v>
      </c>
      <c r="B78">
        <v>13645.298234667798</v>
      </c>
      <c r="C78">
        <v>13136.540395618846</v>
      </c>
      <c r="D78">
        <v>13855</v>
      </c>
      <c r="E78">
        <v>13865</v>
      </c>
      <c r="F78">
        <v>13845</v>
      </c>
      <c r="G78">
        <v>13855</v>
      </c>
      <c r="H78">
        <v>17524</v>
      </c>
    </row>
    <row r="79" spans="1:8" x14ac:dyDescent="0.3">
      <c r="A79" s="3" t="s">
        <v>120</v>
      </c>
      <c r="B79">
        <v>13641.847788498624</v>
      </c>
      <c r="C79">
        <v>13139.957504143875</v>
      </c>
      <c r="D79">
        <v>13850</v>
      </c>
      <c r="E79">
        <v>13855</v>
      </c>
      <c r="F79">
        <v>13835</v>
      </c>
      <c r="G79">
        <v>13845</v>
      </c>
      <c r="H79">
        <v>12288</v>
      </c>
    </row>
    <row r="80" spans="1:8" x14ac:dyDescent="0.3">
      <c r="A80" s="3" t="s">
        <v>121</v>
      </c>
      <c r="B80">
        <v>13644.06668781906</v>
      </c>
      <c r="C80">
        <v>13137.760043464215</v>
      </c>
      <c r="D80">
        <v>13850</v>
      </c>
      <c r="E80">
        <v>13850</v>
      </c>
      <c r="F80">
        <v>13825</v>
      </c>
      <c r="G80">
        <v>13840</v>
      </c>
      <c r="H80">
        <v>30392</v>
      </c>
    </row>
    <row r="81" spans="1:8" x14ac:dyDescent="0.3">
      <c r="A81" s="3" t="s">
        <v>122</v>
      </c>
      <c r="B81">
        <v>13647.765456941637</v>
      </c>
      <c r="C81">
        <v>13134.097011241374</v>
      </c>
      <c r="D81">
        <v>13840</v>
      </c>
      <c r="E81">
        <v>13860</v>
      </c>
      <c r="F81">
        <v>13830</v>
      </c>
      <c r="G81">
        <v>13850</v>
      </c>
      <c r="H81">
        <v>34614</v>
      </c>
    </row>
    <row r="82" spans="1:8" x14ac:dyDescent="0.3">
      <c r="A82" s="3" t="s">
        <v>123</v>
      </c>
      <c r="B82">
        <v>13652.010245453519</v>
      </c>
      <c r="C82">
        <v>13129.893235178881</v>
      </c>
      <c r="D82">
        <v>13850</v>
      </c>
      <c r="E82">
        <v>13855</v>
      </c>
      <c r="F82">
        <v>13830</v>
      </c>
      <c r="G82">
        <v>13830</v>
      </c>
      <c r="H82">
        <v>43804</v>
      </c>
    </row>
    <row r="83" spans="1:8" x14ac:dyDescent="0.3">
      <c r="A83" s="3" t="s">
        <v>124</v>
      </c>
      <c r="B83">
        <v>13652.693398214526</v>
      </c>
      <c r="C83">
        <v>13129.216682927641</v>
      </c>
      <c r="D83">
        <v>13830</v>
      </c>
      <c r="E83">
        <v>13830</v>
      </c>
      <c r="F83">
        <v>13815</v>
      </c>
      <c r="G83">
        <v>13830</v>
      </c>
      <c r="H83">
        <v>39173</v>
      </c>
    </row>
    <row r="84" spans="1:8" x14ac:dyDescent="0.3">
      <c r="A84" s="3" t="s">
        <v>125</v>
      </c>
      <c r="B84">
        <v>13645.740944837093</v>
      </c>
      <c r="C84">
        <v>13136.101962842493</v>
      </c>
      <c r="D84">
        <v>13830</v>
      </c>
      <c r="E84">
        <v>13830</v>
      </c>
      <c r="F84">
        <v>13780</v>
      </c>
      <c r="G84">
        <v>13785</v>
      </c>
      <c r="H84">
        <v>91342</v>
      </c>
    </row>
    <row r="85" spans="1:8" x14ac:dyDescent="0.3">
      <c r="A85" s="3" t="s">
        <v>126</v>
      </c>
      <c r="B85">
        <v>13651.608730647888</v>
      </c>
      <c r="C85">
        <v>13130.29087061441</v>
      </c>
      <c r="D85">
        <v>13780</v>
      </c>
      <c r="E85">
        <v>13805</v>
      </c>
      <c r="F85">
        <v>13775</v>
      </c>
      <c r="G85">
        <v>13805</v>
      </c>
      <c r="H85">
        <v>50106</v>
      </c>
    </row>
    <row r="86" spans="1:8" x14ac:dyDescent="0.3">
      <c r="A86" s="3" t="s">
        <v>127</v>
      </c>
      <c r="B86">
        <v>13651.588892401736</v>
      </c>
      <c r="C86">
        <v>13130.310517186685</v>
      </c>
      <c r="D86">
        <v>13805</v>
      </c>
      <c r="E86">
        <v>13810</v>
      </c>
      <c r="F86">
        <v>13795</v>
      </c>
      <c r="G86">
        <v>13795</v>
      </c>
      <c r="H86">
        <v>22358</v>
      </c>
    </row>
    <row r="87" spans="1:8" x14ac:dyDescent="0.3">
      <c r="A87" s="3" t="s">
        <v>128</v>
      </c>
      <c r="B87">
        <v>13655.089508168989</v>
      </c>
      <c r="C87">
        <v>13126.843723793998</v>
      </c>
      <c r="D87">
        <v>13790</v>
      </c>
      <c r="E87">
        <v>13810</v>
      </c>
      <c r="F87">
        <v>13780</v>
      </c>
      <c r="G87">
        <v>13805</v>
      </c>
      <c r="H87">
        <v>27111</v>
      </c>
    </row>
    <row r="88" spans="1:8" x14ac:dyDescent="0.3">
      <c r="A88" s="3" t="s">
        <v>129</v>
      </c>
      <c r="B88">
        <v>13650.003144405146</v>
      </c>
      <c r="C88">
        <v>13131.880943946595</v>
      </c>
      <c r="D88">
        <v>13805</v>
      </c>
      <c r="E88">
        <v>13820</v>
      </c>
      <c r="F88">
        <v>13795</v>
      </c>
      <c r="G88">
        <v>13805</v>
      </c>
      <c r="H88">
        <v>32746</v>
      </c>
    </row>
    <row r="89" spans="1:8" x14ac:dyDescent="0.3">
      <c r="A89" s="3" t="s">
        <v>130</v>
      </c>
      <c r="B89">
        <v>13643.110766797899</v>
      </c>
      <c r="C89">
        <v>13138.706728533482</v>
      </c>
      <c r="D89">
        <v>13805</v>
      </c>
      <c r="E89">
        <v>13810</v>
      </c>
      <c r="F89">
        <v>13790</v>
      </c>
      <c r="G89">
        <v>13810</v>
      </c>
      <c r="H89">
        <v>19030</v>
      </c>
    </row>
    <row r="90" spans="1:8" x14ac:dyDescent="0.3">
      <c r="A90" s="3" t="s">
        <v>131</v>
      </c>
      <c r="B90">
        <v>13641.177230331679</v>
      </c>
      <c r="C90">
        <v>13140.621583487949</v>
      </c>
      <c r="D90">
        <v>13810</v>
      </c>
      <c r="E90">
        <v>13815</v>
      </c>
      <c r="F90">
        <v>13790</v>
      </c>
      <c r="G90">
        <v>13800</v>
      </c>
      <c r="H90">
        <v>19754</v>
      </c>
    </row>
    <row r="91" spans="1:8" x14ac:dyDescent="0.3">
      <c r="A91" s="3" t="s">
        <v>132</v>
      </c>
      <c r="B91">
        <v>13639.696447871356</v>
      </c>
      <c r="C91">
        <v>13142.088058871361</v>
      </c>
      <c r="D91">
        <v>13800</v>
      </c>
      <c r="E91">
        <v>13805</v>
      </c>
      <c r="F91">
        <v>13790</v>
      </c>
      <c r="G91">
        <v>13800</v>
      </c>
      <c r="H91">
        <v>4789</v>
      </c>
    </row>
    <row r="92" spans="1:8" x14ac:dyDescent="0.3">
      <c r="A92" s="3" t="s">
        <v>133</v>
      </c>
      <c r="B92">
        <v>13648.001988334106</v>
      </c>
      <c r="C92">
        <v>13133.862765176365</v>
      </c>
      <c r="D92">
        <v>13800</v>
      </c>
      <c r="E92">
        <v>13805</v>
      </c>
      <c r="F92">
        <v>13790</v>
      </c>
      <c r="G92">
        <v>13800</v>
      </c>
      <c r="H92">
        <v>19543</v>
      </c>
    </row>
    <row r="93" spans="1:8" x14ac:dyDescent="0.3">
      <c r="A93" s="3" t="s">
        <v>134</v>
      </c>
      <c r="B93">
        <v>13647.562112599313</v>
      </c>
      <c r="C93">
        <v>13134.298390904063</v>
      </c>
      <c r="D93">
        <v>13795</v>
      </c>
      <c r="E93">
        <v>13800</v>
      </c>
      <c r="F93">
        <v>13770</v>
      </c>
      <c r="G93">
        <v>13780</v>
      </c>
      <c r="H93">
        <v>27105</v>
      </c>
    </row>
    <row r="94" spans="1:8" x14ac:dyDescent="0.3">
      <c r="A94" s="3" t="s">
        <v>135</v>
      </c>
      <c r="B94">
        <v>13648.128544286223</v>
      </c>
      <c r="C94">
        <v>13133.737431987072</v>
      </c>
      <c r="D94">
        <v>13780</v>
      </c>
      <c r="E94">
        <v>13780</v>
      </c>
      <c r="F94">
        <v>13760</v>
      </c>
      <c r="G94">
        <v>13760</v>
      </c>
      <c r="H94">
        <v>37705</v>
      </c>
    </row>
    <row r="95" spans="1:8" x14ac:dyDescent="0.3">
      <c r="A95" s="3" t="s">
        <v>136</v>
      </c>
      <c r="B95">
        <v>13648.517158839442</v>
      </c>
      <c r="C95">
        <v>13133.352572163838</v>
      </c>
      <c r="D95">
        <v>13755</v>
      </c>
      <c r="E95">
        <v>13770</v>
      </c>
      <c r="F95">
        <v>13755</v>
      </c>
      <c r="G95">
        <v>13760</v>
      </c>
      <c r="H95">
        <v>24830</v>
      </c>
    </row>
    <row r="96" spans="1:8" x14ac:dyDescent="0.3">
      <c r="A96" s="3" t="s">
        <v>137</v>
      </c>
      <c r="B96">
        <v>13647.42953272613</v>
      </c>
      <c r="C96">
        <v>13134.429689812287</v>
      </c>
      <c r="D96">
        <v>13760</v>
      </c>
      <c r="E96">
        <v>13780</v>
      </c>
      <c r="F96">
        <v>13760</v>
      </c>
      <c r="G96">
        <v>13775</v>
      </c>
      <c r="H96">
        <v>36403</v>
      </c>
    </row>
    <row r="97" spans="1:8" x14ac:dyDescent="0.3">
      <c r="A97" s="3" t="s">
        <v>138</v>
      </c>
      <c r="B97">
        <v>13654.475765820358</v>
      </c>
      <c r="C97">
        <v>13127.451536264864</v>
      </c>
      <c r="D97">
        <v>13775</v>
      </c>
      <c r="E97">
        <v>13800</v>
      </c>
      <c r="F97">
        <v>13765</v>
      </c>
      <c r="G97">
        <v>13800</v>
      </c>
      <c r="H97">
        <v>35363</v>
      </c>
    </row>
    <row r="98" spans="1:8" x14ac:dyDescent="0.3">
      <c r="A98" s="3" t="s">
        <v>139</v>
      </c>
      <c r="B98">
        <v>13658.136214241213</v>
      </c>
      <c r="C98">
        <v>13123.826454495416</v>
      </c>
      <c r="D98">
        <v>13800</v>
      </c>
      <c r="E98">
        <v>13815</v>
      </c>
      <c r="F98">
        <v>13795</v>
      </c>
      <c r="G98">
        <v>13815</v>
      </c>
      <c r="H98">
        <v>31013</v>
      </c>
    </row>
    <row r="99" spans="1:8" x14ac:dyDescent="0.3">
      <c r="A99" s="3" t="s">
        <v>140</v>
      </c>
      <c r="B99">
        <v>13651.90085722949</v>
      </c>
      <c r="C99">
        <v>13130.001566511859</v>
      </c>
      <c r="D99">
        <v>13815</v>
      </c>
      <c r="E99">
        <v>13820</v>
      </c>
      <c r="F99">
        <v>13805</v>
      </c>
      <c r="G99">
        <v>13815</v>
      </c>
      <c r="H99">
        <v>49237</v>
      </c>
    </row>
    <row r="100" spans="1:8" x14ac:dyDescent="0.3">
      <c r="A100" s="3" t="s">
        <v>141</v>
      </c>
      <c r="B100">
        <v>13658.393394290424</v>
      </c>
      <c r="C100">
        <v>13123.571759277598</v>
      </c>
      <c r="D100">
        <v>13810</v>
      </c>
      <c r="E100">
        <v>13815</v>
      </c>
      <c r="F100">
        <v>13800</v>
      </c>
      <c r="G100">
        <v>13810</v>
      </c>
      <c r="H100">
        <v>20290</v>
      </c>
    </row>
    <row r="101" spans="1:8" x14ac:dyDescent="0.3">
      <c r="A101" s="3" t="s">
        <v>142</v>
      </c>
      <c r="B101">
        <v>13661.654930796445</v>
      </c>
      <c r="C101">
        <v>13120.341735201589</v>
      </c>
      <c r="D101">
        <v>13815</v>
      </c>
      <c r="E101">
        <v>13815</v>
      </c>
      <c r="F101">
        <v>13805</v>
      </c>
      <c r="G101">
        <v>13815</v>
      </c>
      <c r="H101">
        <v>12840</v>
      </c>
    </row>
    <row r="102" spans="1:8" x14ac:dyDescent="0.3">
      <c r="A102" s="3" t="s">
        <v>143</v>
      </c>
      <c r="B102">
        <v>13662.759853288764</v>
      </c>
      <c r="C102">
        <v>13119.247488288906</v>
      </c>
      <c r="D102">
        <v>13810</v>
      </c>
      <c r="E102">
        <v>13815</v>
      </c>
      <c r="F102">
        <v>13785</v>
      </c>
      <c r="G102">
        <v>13785</v>
      </c>
      <c r="H102">
        <v>30595</v>
      </c>
    </row>
    <row r="103" spans="1:8" x14ac:dyDescent="0.3">
      <c r="A103" s="3" t="s">
        <v>144</v>
      </c>
      <c r="B103">
        <v>13664.051161787673</v>
      </c>
      <c r="C103">
        <v>13117.968656200614</v>
      </c>
      <c r="D103">
        <v>13790</v>
      </c>
      <c r="E103">
        <v>13810</v>
      </c>
      <c r="F103">
        <v>13785</v>
      </c>
      <c r="G103">
        <v>13805</v>
      </c>
      <c r="H103">
        <v>14078</v>
      </c>
    </row>
    <row r="104" spans="1:8" x14ac:dyDescent="0.3">
      <c r="A104" s="3" t="s">
        <v>145</v>
      </c>
      <c r="B104">
        <v>13670.319243442784</v>
      </c>
      <c r="C104">
        <v>13111.761135720915</v>
      </c>
      <c r="D104">
        <v>13805</v>
      </c>
      <c r="E104">
        <v>13810</v>
      </c>
      <c r="F104">
        <v>13790</v>
      </c>
      <c r="G104">
        <v>13805</v>
      </c>
      <c r="H104">
        <v>13909</v>
      </c>
    </row>
    <row r="105" spans="1:8" x14ac:dyDescent="0.3">
      <c r="A105" s="3" t="s">
        <v>146</v>
      </c>
      <c r="B105">
        <v>13670.329445091376</v>
      </c>
      <c r="C105">
        <v>13111.751032638975</v>
      </c>
      <c r="D105">
        <v>13800</v>
      </c>
      <c r="E105">
        <v>13800</v>
      </c>
      <c r="F105">
        <v>13760</v>
      </c>
      <c r="G105">
        <v>13785</v>
      </c>
      <c r="H105">
        <v>288135</v>
      </c>
    </row>
    <row r="106" spans="1:8" x14ac:dyDescent="0.3">
      <c r="A106" s="3" t="s">
        <v>147</v>
      </c>
      <c r="B106">
        <v>13662.438536938293</v>
      </c>
      <c r="C106">
        <v>13119.565700133575</v>
      </c>
      <c r="D106">
        <v>13790</v>
      </c>
      <c r="E106">
        <v>13805</v>
      </c>
      <c r="F106">
        <v>13785</v>
      </c>
      <c r="G106">
        <v>13790</v>
      </c>
      <c r="H106">
        <v>53128</v>
      </c>
    </row>
    <row r="107" spans="1:8" x14ac:dyDescent="0.3">
      <c r="A107" s="3" t="s">
        <v>148</v>
      </c>
      <c r="B107">
        <v>13667.96568542862</v>
      </c>
      <c r="C107">
        <v>13114.091954044121</v>
      </c>
      <c r="D107">
        <v>13785</v>
      </c>
      <c r="E107">
        <v>13800</v>
      </c>
      <c r="F107">
        <v>13780</v>
      </c>
      <c r="G107">
        <v>13795</v>
      </c>
      <c r="H107">
        <v>16495</v>
      </c>
    </row>
    <row r="108" spans="1:8" x14ac:dyDescent="0.3">
      <c r="A108" s="3" t="s">
        <v>149</v>
      </c>
      <c r="B108">
        <v>13669.861489249068</v>
      </c>
      <c r="C108">
        <v>13112.214467168797</v>
      </c>
      <c r="D108">
        <v>13785</v>
      </c>
      <c r="E108">
        <v>13810</v>
      </c>
      <c r="F108">
        <v>13785</v>
      </c>
      <c r="G108">
        <v>13800</v>
      </c>
      <c r="H108">
        <v>48293</v>
      </c>
    </row>
    <row r="109" spans="1:8" x14ac:dyDescent="0.3">
      <c r="A109" s="3" t="s">
        <v>150</v>
      </c>
      <c r="B109">
        <v>13667.141793719224</v>
      </c>
      <c r="C109">
        <v>13114.907885447145</v>
      </c>
      <c r="D109">
        <v>13800</v>
      </c>
      <c r="E109">
        <v>13800</v>
      </c>
      <c r="F109">
        <v>13775</v>
      </c>
      <c r="G109">
        <v>13780</v>
      </c>
      <c r="H109">
        <v>44806</v>
      </c>
    </row>
    <row r="110" spans="1:8" x14ac:dyDescent="0.3">
      <c r="A110" s="3" t="s">
        <v>151</v>
      </c>
      <c r="B110">
        <v>13668.748880000718</v>
      </c>
      <c r="C110">
        <v>13113.316326569338</v>
      </c>
      <c r="D110">
        <v>13775</v>
      </c>
      <c r="E110">
        <v>13795</v>
      </c>
      <c r="F110">
        <v>13770</v>
      </c>
      <c r="G110">
        <v>13785</v>
      </c>
      <c r="H110">
        <v>33732</v>
      </c>
    </row>
    <row r="111" spans="1:8" x14ac:dyDescent="0.3">
      <c r="A111" s="3" t="s">
        <v>152</v>
      </c>
      <c r="B111">
        <v>13671.835130175117</v>
      </c>
      <c r="C111">
        <v>13110.259895237201</v>
      </c>
      <c r="D111">
        <v>13790</v>
      </c>
      <c r="E111">
        <v>13795</v>
      </c>
      <c r="F111">
        <v>13775</v>
      </c>
      <c r="G111">
        <v>13790</v>
      </c>
      <c r="H111">
        <v>10714</v>
      </c>
    </row>
    <row r="112" spans="1:8" x14ac:dyDescent="0.3">
      <c r="A112" s="3" t="s">
        <v>153</v>
      </c>
      <c r="B112">
        <v>13663.278895989171</v>
      </c>
      <c r="C112">
        <v>13118.733460493815</v>
      </c>
      <c r="D112">
        <v>13790</v>
      </c>
      <c r="E112">
        <v>13800</v>
      </c>
      <c r="F112">
        <v>13785</v>
      </c>
      <c r="G112">
        <v>13800</v>
      </c>
      <c r="H112">
        <v>37466</v>
      </c>
    </row>
    <row r="113" spans="1:8" x14ac:dyDescent="0.3">
      <c r="A113" s="3" t="s">
        <v>154</v>
      </c>
      <c r="B113">
        <v>13664.901162856533</v>
      </c>
      <c r="C113">
        <v>13117.126867702465</v>
      </c>
      <c r="D113">
        <v>13800</v>
      </c>
      <c r="E113">
        <v>13800</v>
      </c>
      <c r="F113">
        <v>13770</v>
      </c>
      <c r="G113">
        <v>13770</v>
      </c>
      <c r="H113">
        <v>22919</v>
      </c>
    </row>
    <row r="114" spans="1:8" x14ac:dyDescent="0.3">
      <c r="A114" s="3" t="s">
        <v>155</v>
      </c>
      <c r="B114">
        <v>13670.701869263901</v>
      </c>
      <c r="C114">
        <v>13111.382206767634</v>
      </c>
      <c r="D114">
        <v>13780</v>
      </c>
      <c r="E114">
        <v>13795</v>
      </c>
      <c r="F114">
        <v>13775</v>
      </c>
      <c r="G114">
        <v>13795</v>
      </c>
      <c r="H114">
        <v>15770</v>
      </c>
    </row>
    <row r="115" spans="1:8" x14ac:dyDescent="0.3">
      <c r="A115" s="3" t="s">
        <v>156</v>
      </c>
      <c r="B115">
        <v>13672.182728933789</v>
      </c>
      <c r="C115">
        <v>13109.915654920642</v>
      </c>
      <c r="D115">
        <v>13790</v>
      </c>
      <c r="E115">
        <v>13795</v>
      </c>
      <c r="F115">
        <v>13785</v>
      </c>
      <c r="G115">
        <v>13785</v>
      </c>
      <c r="H115">
        <v>48380</v>
      </c>
    </row>
    <row r="116" spans="1:8" x14ac:dyDescent="0.3">
      <c r="A116" s="3" t="s">
        <v>157</v>
      </c>
      <c r="B116">
        <v>13672.795460192745</v>
      </c>
      <c r="C116">
        <v>13109.30884377047</v>
      </c>
      <c r="D116">
        <v>13785</v>
      </c>
      <c r="E116">
        <v>13795</v>
      </c>
      <c r="F116">
        <v>13780</v>
      </c>
      <c r="G116">
        <v>13785</v>
      </c>
      <c r="H116">
        <v>7599</v>
      </c>
    </row>
    <row r="117" spans="1:8" x14ac:dyDescent="0.3">
      <c r="A117" s="3" t="s">
        <v>158</v>
      </c>
      <c r="B117">
        <v>13674.118820364663</v>
      </c>
      <c r="C117">
        <v>13107.99826968717</v>
      </c>
      <c r="D117">
        <v>13780</v>
      </c>
      <c r="E117">
        <v>13790</v>
      </c>
      <c r="F117">
        <v>13775</v>
      </c>
      <c r="G117">
        <v>13790</v>
      </c>
      <c r="H117">
        <v>20285</v>
      </c>
    </row>
    <row r="118" spans="1:8" x14ac:dyDescent="0.3">
      <c r="A118" s="3" t="s">
        <v>159</v>
      </c>
      <c r="B118">
        <v>13673.738646618131</v>
      </c>
      <c r="C118">
        <v>13108.374770257406</v>
      </c>
      <c r="D118">
        <v>13785</v>
      </c>
      <c r="E118">
        <v>13785</v>
      </c>
      <c r="F118">
        <v>13775</v>
      </c>
      <c r="G118">
        <v>13780</v>
      </c>
      <c r="H118">
        <v>10393</v>
      </c>
    </row>
    <row r="119" spans="1:8" x14ac:dyDescent="0.3">
      <c r="A119" s="3" t="s">
        <v>160</v>
      </c>
      <c r="B119">
        <v>13667.6301205004</v>
      </c>
      <c r="C119">
        <v>13114.424276799118</v>
      </c>
      <c r="D119">
        <v>13775</v>
      </c>
      <c r="E119">
        <v>13780</v>
      </c>
      <c r="F119">
        <v>13770</v>
      </c>
      <c r="G119">
        <v>13770</v>
      </c>
      <c r="H119">
        <v>18244</v>
      </c>
    </row>
    <row r="120" spans="1:8" x14ac:dyDescent="0.3">
      <c r="A120" s="3" t="s">
        <v>161</v>
      </c>
      <c r="B120">
        <v>13667.169374008608</v>
      </c>
      <c r="C120">
        <v>13114.880571633988</v>
      </c>
      <c r="D120">
        <v>13770</v>
      </c>
      <c r="E120">
        <v>13790</v>
      </c>
      <c r="F120">
        <v>13765</v>
      </c>
      <c r="G120">
        <v>13785</v>
      </c>
      <c r="H120">
        <v>42897</v>
      </c>
    </row>
    <row r="121" spans="1:8" x14ac:dyDescent="0.3">
      <c r="A121" s="3" t="s">
        <v>162</v>
      </c>
      <c r="B121">
        <v>13668.112606773655</v>
      </c>
      <c r="C121">
        <v>13113.946452228989</v>
      </c>
      <c r="D121">
        <v>13785</v>
      </c>
      <c r="E121">
        <v>13790</v>
      </c>
      <c r="F121">
        <v>13780</v>
      </c>
      <c r="G121">
        <v>13790</v>
      </c>
      <c r="H121">
        <v>20050</v>
      </c>
    </row>
    <row r="122" spans="1:8" x14ac:dyDescent="0.3">
      <c r="A122" s="3" t="s">
        <v>163</v>
      </c>
      <c r="B122">
        <v>13663.434613764937</v>
      </c>
      <c r="C122">
        <v>13118.57924723762</v>
      </c>
      <c r="D122">
        <v>13790</v>
      </c>
      <c r="E122">
        <v>13795</v>
      </c>
      <c r="F122">
        <v>13775</v>
      </c>
      <c r="G122">
        <v>13785</v>
      </c>
      <c r="H122">
        <v>40071</v>
      </c>
    </row>
    <row r="123" spans="1:8" x14ac:dyDescent="0.3">
      <c r="A123" s="3" t="s">
        <v>164</v>
      </c>
      <c r="B123">
        <v>13661.413906996911</v>
      </c>
      <c r="C123">
        <v>13120.580430268761</v>
      </c>
      <c r="D123">
        <v>13785</v>
      </c>
      <c r="E123">
        <v>13805</v>
      </c>
      <c r="F123">
        <v>13785</v>
      </c>
      <c r="G123">
        <v>13795</v>
      </c>
      <c r="H123">
        <v>23946</v>
      </c>
    </row>
    <row r="124" spans="1:8" x14ac:dyDescent="0.3">
      <c r="A124" s="3" t="s">
        <v>165</v>
      </c>
      <c r="B124">
        <v>13659.93212221574</v>
      </c>
      <c r="C124">
        <v>13122.04789828876</v>
      </c>
      <c r="D124">
        <v>13800</v>
      </c>
      <c r="E124">
        <v>13810</v>
      </c>
      <c r="F124">
        <v>13800</v>
      </c>
      <c r="G124">
        <v>13800</v>
      </c>
      <c r="H124">
        <v>13498</v>
      </c>
    </row>
    <row r="125" spans="1:8" x14ac:dyDescent="0.3">
      <c r="A125" s="3" t="s">
        <v>166</v>
      </c>
      <c r="B125">
        <v>13657.628816170954</v>
      </c>
      <c r="C125">
        <v>13124.328950168861</v>
      </c>
      <c r="D125">
        <v>13805</v>
      </c>
      <c r="E125">
        <v>13810</v>
      </c>
      <c r="F125">
        <v>13800</v>
      </c>
      <c r="G125">
        <v>13805</v>
      </c>
      <c r="H125">
        <v>10242</v>
      </c>
    </row>
    <row r="126" spans="1:8" x14ac:dyDescent="0.3">
      <c r="A126" s="3" t="s">
        <v>167</v>
      </c>
      <c r="B126">
        <v>13651.309614688622</v>
      </c>
      <c r="C126">
        <v>13130.587096564406</v>
      </c>
      <c r="D126">
        <v>13800</v>
      </c>
      <c r="E126">
        <v>13815</v>
      </c>
      <c r="F126">
        <v>13800</v>
      </c>
      <c r="G126">
        <v>13815</v>
      </c>
      <c r="H126">
        <v>12683</v>
      </c>
    </row>
    <row r="127" spans="1:8" x14ac:dyDescent="0.3">
      <c r="A127" s="3" t="s">
        <v>168</v>
      </c>
      <c r="B127">
        <v>13655.639786425752</v>
      </c>
      <c r="C127">
        <v>13126.298762235368</v>
      </c>
      <c r="D127">
        <v>13810</v>
      </c>
      <c r="E127">
        <v>13820</v>
      </c>
      <c r="F127">
        <v>13810</v>
      </c>
      <c r="G127">
        <v>13815</v>
      </c>
      <c r="H127">
        <v>38975</v>
      </c>
    </row>
    <row r="128" spans="1:8" x14ac:dyDescent="0.3">
      <c r="A128" s="3" t="s">
        <v>169</v>
      </c>
      <c r="B128">
        <v>13654.747087862703</v>
      </c>
      <c r="C128">
        <v>13127.182835691527</v>
      </c>
      <c r="D128">
        <v>13820</v>
      </c>
      <c r="E128">
        <v>13850</v>
      </c>
      <c r="F128">
        <v>13815</v>
      </c>
      <c r="G128">
        <v>13845</v>
      </c>
      <c r="H128">
        <v>145321</v>
      </c>
    </row>
    <row r="129" spans="1:8" x14ac:dyDescent="0.3">
      <c r="A129" s="3" t="s">
        <v>170</v>
      </c>
      <c r="B129">
        <v>13648.814544243263</v>
      </c>
      <c r="C129">
        <v>13133.058060048943</v>
      </c>
      <c r="D129">
        <v>13845</v>
      </c>
      <c r="E129">
        <v>13855</v>
      </c>
      <c r="F129">
        <v>13835</v>
      </c>
      <c r="G129">
        <v>13850</v>
      </c>
      <c r="H129">
        <v>54380</v>
      </c>
    </row>
    <row r="130" spans="1:8" x14ac:dyDescent="0.3">
      <c r="A130" s="3" t="s">
        <v>171</v>
      </c>
      <c r="B130">
        <v>13649.969506900648</v>
      </c>
      <c r="C130">
        <v>13131.914256451049</v>
      </c>
      <c r="D130">
        <v>13850</v>
      </c>
      <c r="E130">
        <v>13855</v>
      </c>
      <c r="F130">
        <v>13845</v>
      </c>
      <c r="G130">
        <v>13850</v>
      </c>
      <c r="H130">
        <v>26915</v>
      </c>
    </row>
    <row r="131" spans="1:8" x14ac:dyDescent="0.3">
      <c r="A131" s="3" t="s">
        <v>172</v>
      </c>
      <c r="B131">
        <v>13650.901997178691</v>
      </c>
      <c r="C131">
        <v>13130.990775740909</v>
      </c>
      <c r="D131">
        <v>13850</v>
      </c>
      <c r="E131">
        <v>13865</v>
      </c>
      <c r="F131">
        <v>13845</v>
      </c>
      <c r="G131">
        <v>13860</v>
      </c>
      <c r="H131">
        <v>96907</v>
      </c>
    </row>
    <row r="132" spans="1:8" x14ac:dyDescent="0.3">
      <c r="A132" s="3" t="s">
        <v>173</v>
      </c>
      <c r="B132">
        <v>13655.253222134141</v>
      </c>
      <c r="C132">
        <v>13126.681591606286</v>
      </c>
      <c r="D132">
        <v>13865</v>
      </c>
      <c r="E132">
        <v>13865</v>
      </c>
      <c r="F132">
        <v>13855</v>
      </c>
      <c r="G132">
        <v>13855</v>
      </c>
      <c r="H132">
        <v>28693</v>
      </c>
    </row>
    <row r="133" spans="1:8" x14ac:dyDescent="0.3">
      <c r="A133" s="3" t="s">
        <v>174</v>
      </c>
      <c r="B133">
        <v>13653.813275224958</v>
      </c>
      <c r="C133">
        <v>13128.107625984947</v>
      </c>
      <c r="D133">
        <v>13855</v>
      </c>
      <c r="E133">
        <v>13865</v>
      </c>
      <c r="F133">
        <v>13855</v>
      </c>
      <c r="G133">
        <v>13860</v>
      </c>
      <c r="H133">
        <v>21726</v>
      </c>
    </row>
    <row r="134" spans="1:8" x14ac:dyDescent="0.3">
      <c r="A134" s="3" t="s">
        <v>175</v>
      </c>
      <c r="B134">
        <v>13648.160498005438</v>
      </c>
      <c r="C134">
        <v>13133.705786999446</v>
      </c>
      <c r="D134">
        <v>13855</v>
      </c>
      <c r="E134">
        <v>13860</v>
      </c>
      <c r="F134">
        <v>13845</v>
      </c>
      <c r="G134">
        <v>13850</v>
      </c>
      <c r="H134">
        <v>30134</v>
      </c>
    </row>
    <row r="135" spans="1:8" x14ac:dyDescent="0.3">
      <c r="A135" s="3" t="s">
        <v>176</v>
      </c>
      <c r="B135">
        <v>13650.774520160194</v>
      </c>
      <c r="C135">
        <v>13131.117021097394</v>
      </c>
      <c r="D135">
        <v>13850</v>
      </c>
      <c r="E135">
        <v>13860</v>
      </c>
      <c r="F135">
        <v>13850</v>
      </c>
      <c r="G135">
        <v>13855</v>
      </c>
      <c r="H135">
        <v>18056</v>
      </c>
    </row>
    <row r="136" spans="1:8" x14ac:dyDescent="0.3">
      <c r="A136" s="3" t="s">
        <v>177</v>
      </c>
      <c r="B136">
        <v>13648.374608168238</v>
      </c>
      <c r="C136">
        <v>13133.493745533871</v>
      </c>
      <c r="D136">
        <v>13855</v>
      </c>
      <c r="E136">
        <v>13855</v>
      </c>
      <c r="F136">
        <v>13840</v>
      </c>
      <c r="G136">
        <v>13845</v>
      </c>
      <c r="H136">
        <v>11433</v>
      </c>
    </row>
    <row r="137" spans="1:8" x14ac:dyDescent="0.3">
      <c r="A137" s="3" t="s">
        <v>178</v>
      </c>
      <c r="B137">
        <v>13648.162753005525</v>
      </c>
      <c r="C137">
        <v>13133.7035537868</v>
      </c>
      <c r="D137">
        <v>13850</v>
      </c>
      <c r="E137">
        <v>13855</v>
      </c>
      <c r="F137">
        <v>13850</v>
      </c>
      <c r="G137">
        <v>13855</v>
      </c>
      <c r="H137">
        <v>15190</v>
      </c>
    </row>
    <row r="138" spans="1:8" x14ac:dyDescent="0.3">
      <c r="A138" s="3" t="s">
        <v>179</v>
      </c>
      <c r="B138">
        <v>13649.335568763785</v>
      </c>
      <c r="C138">
        <v>13132.542069581757</v>
      </c>
      <c r="D138">
        <v>13855</v>
      </c>
      <c r="E138">
        <v>13860</v>
      </c>
      <c r="F138">
        <v>13850</v>
      </c>
      <c r="G138">
        <v>13855</v>
      </c>
      <c r="H138">
        <v>11478</v>
      </c>
    </row>
    <row r="139" spans="1:8" x14ac:dyDescent="0.3">
      <c r="A139" s="3" t="s">
        <v>180</v>
      </c>
      <c r="B139">
        <v>13652.191828700392</v>
      </c>
      <c r="C139">
        <v>13129.713406359515</v>
      </c>
      <c r="D139">
        <v>13855</v>
      </c>
      <c r="E139">
        <v>13855</v>
      </c>
      <c r="F139">
        <v>13835</v>
      </c>
      <c r="G139">
        <v>13835</v>
      </c>
      <c r="H139">
        <v>15400</v>
      </c>
    </row>
    <row r="140" spans="1:8" x14ac:dyDescent="0.3">
      <c r="A140" s="3" t="s">
        <v>181</v>
      </c>
      <c r="B140">
        <v>13648.490430478932</v>
      </c>
      <c r="C140">
        <v>13133.379042279319</v>
      </c>
      <c r="D140">
        <v>13835</v>
      </c>
      <c r="E140">
        <v>13835</v>
      </c>
      <c r="F140">
        <v>13830</v>
      </c>
      <c r="G140">
        <v>13830</v>
      </c>
      <c r="H140">
        <v>11178</v>
      </c>
    </row>
    <row r="141" spans="1:8" x14ac:dyDescent="0.3">
      <c r="A141" s="3" t="s">
        <v>182</v>
      </c>
      <c r="B141">
        <v>13644.846860789012</v>
      </c>
      <c r="C141">
        <v>13136.987408397354</v>
      </c>
      <c r="D141">
        <v>13830</v>
      </c>
      <c r="E141">
        <v>13845</v>
      </c>
      <c r="F141">
        <v>13830</v>
      </c>
      <c r="G141">
        <v>13845</v>
      </c>
      <c r="H141">
        <v>12101</v>
      </c>
    </row>
    <row r="142" spans="1:8" x14ac:dyDescent="0.3">
      <c r="A142" s="3" t="s">
        <v>183</v>
      </c>
      <c r="B142">
        <v>13648.28775044887</v>
      </c>
      <c r="C142">
        <v>13133.57976404822</v>
      </c>
      <c r="D142">
        <v>13840</v>
      </c>
      <c r="E142">
        <v>13850</v>
      </c>
      <c r="F142">
        <v>13840</v>
      </c>
      <c r="G142">
        <v>13845</v>
      </c>
      <c r="H142">
        <v>22919</v>
      </c>
    </row>
    <row r="143" spans="1:8" x14ac:dyDescent="0.3">
      <c r="A143" s="3" t="s">
        <v>184</v>
      </c>
      <c r="B143">
        <v>13652.133359239471</v>
      </c>
      <c r="C143">
        <v>13129.77131089811</v>
      </c>
      <c r="D143">
        <v>13850</v>
      </c>
      <c r="E143">
        <v>13855</v>
      </c>
      <c r="F143">
        <v>13840</v>
      </c>
      <c r="G143">
        <v>13855</v>
      </c>
      <c r="H143">
        <v>23565</v>
      </c>
    </row>
    <row r="144" spans="1:8" x14ac:dyDescent="0.3">
      <c r="A144" s="3" t="s">
        <v>185</v>
      </c>
      <c r="B144">
        <v>13650.633510522572</v>
      </c>
      <c r="C144">
        <v>13131.256668323058</v>
      </c>
      <c r="D144">
        <v>13855</v>
      </c>
      <c r="E144">
        <v>13870</v>
      </c>
      <c r="F144">
        <v>13855</v>
      </c>
      <c r="G144">
        <v>13860</v>
      </c>
      <c r="H144">
        <v>49962</v>
      </c>
    </row>
    <row r="145" spans="1:8" x14ac:dyDescent="0.3">
      <c r="A145" s="3" t="s">
        <v>186</v>
      </c>
      <c r="B145">
        <v>13645.36874261001</v>
      </c>
      <c r="C145">
        <v>13136.470568912795</v>
      </c>
      <c r="D145">
        <v>13865</v>
      </c>
      <c r="E145">
        <v>13875</v>
      </c>
      <c r="F145">
        <v>13865</v>
      </c>
      <c r="G145">
        <v>13875</v>
      </c>
      <c r="H145">
        <v>27543</v>
      </c>
    </row>
    <row r="146" spans="1:8" x14ac:dyDescent="0.3">
      <c r="A146" s="3" t="s">
        <v>187</v>
      </c>
      <c r="B146">
        <v>13647.858754347824</v>
      </c>
      <c r="C146">
        <v>13134.004615259402</v>
      </c>
      <c r="D146">
        <v>13875</v>
      </c>
      <c r="E146">
        <v>13880</v>
      </c>
      <c r="F146">
        <v>13875</v>
      </c>
      <c r="G146">
        <v>13880</v>
      </c>
      <c r="H146">
        <v>82010</v>
      </c>
    </row>
    <row r="147" spans="1:8" x14ac:dyDescent="0.3">
      <c r="A147" s="3" t="s">
        <v>188</v>
      </c>
      <c r="B147">
        <v>13652.176267963208</v>
      </c>
      <c r="C147">
        <v>13129.728816751411</v>
      </c>
      <c r="D147">
        <v>13875</v>
      </c>
      <c r="E147">
        <v>13885</v>
      </c>
      <c r="F147">
        <v>13875</v>
      </c>
      <c r="G147">
        <v>13880</v>
      </c>
      <c r="H147">
        <v>35657</v>
      </c>
    </row>
    <row r="148" spans="1:8" x14ac:dyDescent="0.3">
      <c r="A148" s="3" t="s">
        <v>189</v>
      </c>
      <c r="B148">
        <v>13650.330088153105</v>
      </c>
      <c r="C148">
        <v>13131.557159075426</v>
      </c>
      <c r="D148">
        <v>13880</v>
      </c>
      <c r="E148">
        <v>13880</v>
      </c>
      <c r="F148">
        <v>13865</v>
      </c>
      <c r="G148">
        <v>13865</v>
      </c>
      <c r="H148">
        <v>15365</v>
      </c>
    </row>
    <row r="149" spans="1:8" x14ac:dyDescent="0.3">
      <c r="A149" s="3" t="s">
        <v>190</v>
      </c>
      <c r="B149">
        <v>13653.132757067182</v>
      </c>
      <c r="C149">
        <v>13128.781569088054</v>
      </c>
      <c r="D149">
        <v>13865</v>
      </c>
      <c r="E149">
        <v>13880</v>
      </c>
      <c r="F149">
        <v>13860</v>
      </c>
      <c r="G149">
        <v>13875</v>
      </c>
      <c r="H149">
        <v>15960</v>
      </c>
    </row>
    <row r="150" spans="1:8" x14ac:dyDescent="0.3">
      <c r="A150" s="3" t="s">
        <v>191</v>
      </c>
      <c r="B150">
        <v>13654.75712918291</v>
      </c>
      <c r="C150">
        <v>13127.172891388906</v>
      </c>
      <c r="D150">
        <v>13875</v>
      </c>
      <c r="E150">
        <v>13875</v>
      </c>
      <c r="F150">
        <v>13860</v>
      </c>
      <c r="G150">
        <v>13870</v>
      </c>
      <c r="H150">
        <v>3374</v>
      </c>
    </row>
    <row r="151" spans="1:8" x14ac:dyDescent="0.3">
      <c r="A151" s="3" t="s">
        <v>192</v>
      </c>
      <c r="B151">
        <v>13655.049416193195</v>
      </c>
      <c r="C151">
        <v>13126.883428407706</v>
      </c>
      <c r="D151">
        <v>13865</v>
      </c>
      <c r="E151">
        <v>13870</v>
      </c>
      <c r="F151">
        <v>13865</v>
      </c>
      <c r="G151">
        <v>13865</v>
      </c>
      <c r="H151">
        <v>1692</v>
      </c>
    </row>
    <row r="152" spans="1:8" x14ac:dyDescent="0.3">
      <c r="A152" s="3" t="s">
        <v>193</v>
      </c>
      <c r="B152">
        <v>13651.63510973582</v>
      </c>
      <c r="C152">
        <v>13130.264746396891</v>
      </c>
      <c r="D152">
        <v>13870</v>
      </c>
      <c r="E152">
        <v>13870</v>
      </c>
      <c r="F152">
        <v>13855</v>
      </c>
      <c r="G152">
        <v>13865</v>
      </c>
      <c r="H152">
        <v>23509</v>
      </c>
    </row>
    <row r="153" spans="1:8" x14ac:dyDescent="0.3">
      <c r="A153" s="3" t="s">
        <v>194</v>
      </c>
      <c r="B153">
        <v>13649.728378971993</v>
      </c>
      <c r="C153">
        <v>13132.153054641263</v>
      </c>
      <c r="D153">
        <v>13865</v>
      </c>
      <c r="E153">
        <v>13870</v>
      </c>
      <c r="F153">
        <v>13860</v>
      </c>
      <c r="G153">
        <v>13865</v>
      </c>
      <c r="H153">
        <v>2868</v>
      </c>
    </row>
    <row r="154" spans="1:8" x14ac:dyDescent="0.3">
      <c r="A154" s="3" t="s">
        <v>195</v>
      </c>
      <c r="B154">
        <v>13652.495235855446</v>
      </c>
      <c r="C154">
        <v>13129.41293067456</v>
      </c>
      <c r="D154">
        <v>13860</v>
      </c>
      <c r="E154">
        <v>13870</v>
      </c>
      <c r="F154">
        <v>13860</v>
      </c>
      <c r="G154">
        <v>13865</v>
      </c>
      <c r="H154">
        <v>14551</v>
      </c>
    </row>
    <row r="155" spans="1:8" x14ac:dyDescent="0.3">
      <c r="A155" s="3" t="s">
        <v>196</v>
      </c>
      <c r="B155">
        <v>13651.079213956375</v>
      </c>
      <c r="C155">
        <v>13130.815271202626</v>
      </c>
      <c r="D155">
        <v>13865</v>
      </c>
      <c r="E155">
        <v>13865</v>
      </c>
      <c r="F155">
        <v>13860</v>
      </c>
      <c r="G155">
        <v>13860</v>
      </c>
      <c r="H155">
        <v>4184</v>
      </c>
    </row>
    <row r="156" spans="1:8" x14ac:dyDescent="0.3">
      <c r="A156" s="3" t="s">
        <v>197</v>
      </c>
      <c r="B156">
        <v>13649.212355114802</v>
      </c>
      <c r="C156">
        <v>13132.664092760702</v>
      </c>
      <c r="D156">
        <v>13860</v>
      </c>
      <c r="E156">
        <v>13865</v>
      </c>
      <c r="F156">
        <v>13850</v>
      </c>
      <c r="G156">
        <v>13855</v>
      </c>
      <c r="H156">
        <v>19849</v>
      </c>
    </row>
    <row r="157" spans="1:8" x14ac:dyDescent="0.3">
      <c r="A157" s="3" t="s">
        <v>198</v>
      </c>
      <c r="B157">
        <v>13643.834598387482</v>
      </c>
      <c r="C157">
        <v>13137.989890485827</v>
      </c>
      <c r="D157">
        <v>13855</v>
      </c>
      <c r="E157">
        <v>13865</v>
      </c>
      <c r="F157">
        <v>13855</v>
      </c>
      <c r="G157">
        <v>13860</v>
      </c>
      <c r="H157">
        <v>10630</v>
      </c>
    </row>
    <row r="158" spans="1:8" x14ac:dyDescent="0.3">
      <c r="A158" s="3" t="s">
        <v>199</v>
      </c>
      <c r="B158">
        <v>13645.96530920716</v>
      </c>
      <c r="C158">
        <v>13135.879766244117</v>
      </c>
      <c r="D158">
        <v>13855</v>
      </c>
      <c r="E158">
        <v>13860</v>
      </c>
      <c r="F158">
        <v>13850</v>
      </c>
      <c r="G158">
        <v>13855</v>
      </c>
      <c r="H158">
        <v>14918</v>
      </c>
    </row>
    <row r="159" spans="1:8" x14ac:dyDescent="0.3">
      <c r="A159" s="3" t="s">
        <v>200</v>
      </c>
      <c r="B159">
        <v>13649.18660359079</v>
      </c>
      <c r="C159">
        <v>13132.689595477721</v>
      </c>
      <c r="D159">
        <v>13855</v>
      </c>
      <c r="E159">
        <v>13860</v>
      </c>
      <c r="F159">
        <v>13855</v>
      </c>
      <c r="G159">
        <v>13860</v>
      </c>
      <c r="H159">
        <v>1598</v>
      </c>
    </row>
    <row r="160" spans="1:8" x14ac:dyDescent="0.3">
      <c r="A160" s="3" t="s">
        <v>201</v>
      </c>
      <c r="B160">
        <v>13652.304072511524</v>
      </c>
      <c r="C160">
        <v>13129.602247029652</v>
      </c>
      <c r="D160">
        <v>13860</v>
      </c>
      <c r="E160">
        <v>13865</v>
      </c>
      <c r="F160">
        <v>13855</v>
      </c>
      <c r="G160">
        <v>13855</v>
      </c>
      <c r="H160">
        <v>11994</v>
      </c>
    </row>
    <row r="161" spans="1:8" x14ac:dyDescent="0.3">
      <c r="A161" s="3" t="s">
        <v>202</v>
      </c>
      <c r="B161">
        <v>13654.232572428224</v>
      </c>
      <c r="C161">
        <v>13127.692379962389</v>
      </c>
      <c r="D161">
        <v>13855</v>
      </c>
      <c r="E161">
        <v>13855</v>
      </c>
      <c r="F161">
        <v>13850</v>
      </c>
      <c r="G161">
        <v>13855</v>
      </c>
      <c r="H161">
        <v>12541</v>
      </c>
    </row>
    <row r="162" spans="1:8" x14ac:dyDescent="0.3">
      <c r="A162" s="3" t="s">
        <v>203</v>
      </c>
      <c r="B162">
        <v>13649.526534583232</v>
      </c>
      <c r="C162">
        <v>13132.352948842694</v>
      </c>
      <c r="D162">
        <v>13850</v>
      </c>
      <c r="E162">
        <v>13850</v>
      </c>
      <c r="F162">
        <v>13840</v>
      </c>
      <c r="G162">
        <v>13845</v>
      </c>
      <c r="H162">
        <v>18109</v>
      </c>
    </row>
    <row r="163" spans="1:8" x14ac:dyDescent="0.3">
      <c r="A163" s="3" t="s">
        <v>204</v>
      </c>
      <c r="B163">
        <v>13648.746478581026</v>
      </c>
      <c r="C163">
        <v>13133.125468071928</v>
      </c>
      <c r="D163">
        <v>13850</v>
      </c>
      <c r="E163">
        <v>13850</v>
      </c>
      <c r="F163">
        <v>13840</v>
      </c>
      <c r="G163">
        <v>13845</v>
      </c>
      <c r="H163">
        <v>10583</v>
      </c>
    </row>
    <row r="164" spans="1:8" x14ac:dyDescent="0.3">
      <c r="A164" s="3" t="s">
        <v>205</v>
      </c>
      <c r="B164">
        <v>13654.250916811923</v>
      </c>
      <c r="C164">
        <v>13127.674212819109</v>
      </c>
      <c r="D164">
        <v>13845</v>
      </c>
      <c r="E164">
        <v>13845</v>
      </c>
      <c r="F164">
        <v>13835</v>
      </c>
      <c r="G164">
        <v>13835</v>
      </c>
      <c r="H164">
        <v>11164</v>
      </c>
    </row>
    <row r="165" spans="1:8" x14ac:dyDescent="0.3">
      <c r="A165" s="3" t="s">
        <v>206</v>
      </c>
      <c r="B165">
        <v>13649.119963749865</v>
      </c>
      <c r="C165">
        <v>13132.755591455447</v>
      </c>
      <c r="D165">
        <v>13835</v>
      </c>
      <c r="E165">
        <v>13835</v>
      </c>
      <c r="F165">
        <v>13820</v>
      </c>
      <c r="G165">
        <v>13835</v>
      </c>
      <c r="H165">
        <v>38754</v>
      </c>
    </row>
    <row r="166" spans="1:8" x14ac:dyDescent="0.3">
      <c r="A166" s="3" t="s">
        <v>207</v>
      </c>
      <c r="B166">
        <v>13650.94604282024</v>
      </c>
      <c r="C166">
        <v>13130.947155661113</v>
      </c>
      <c r="D166">
        <v>13835</v>
      </c>
      <c r="E166">
        <v>13835</v>
      </c>
      <c r="F166">
        <v>13825</v>
      </c>
      <c r="G166">
        <v>13835</v>
      </c>
      <c r="H166">
        <v>7448</v>
      </c>
    </row>
    <row r="167" spans="1:8" x14ac:dyDescent="0.3">
      <c r="A167" s="3" t="s">
        <v>208</v>
      </c>
      <c r="B167">
        <v>13646.631884051678</v>
      </c>
      <c r="C167">
        <v>13135.219631736261</v>
      </c>
      <c r="D167">
        <v>13830</v>
      </c>
      <c r="E167">
        <v>13835</v>
      </c>
      <c r="F167">
        <v>13825</v>
      </c>
      <c r="G167">
        <v>13830</v>
      </c>
      <c r="H167">
        <v>7665</v>
      </c>
    </row>
    <row r="168" spans="1:8" x14ac:dyDescent="0.3">
      <c r="A168" s="3" t="s">
        <v>209</v>
      </c>
      <c r="B168">
        <v>13646.229313163891</v>
      </c>
      <c r="C168">
        <v>13135.618313050256</v>
      </c>
      <c r="D168">
        <v>13830</v>
      </c>
      <c r="E168">
        <v>13835</v>
      </c>
      <c r="F168">
        <v>13815</v>
      </c>
      <c r="G168">
        <v>13815</v>
      </c>
      <c r="H168">
        <v>35745</v>
      </c>
    </row>
    <row r="169" spans="1:8" x14ac:dyDescent="0.3">
      <c r="A169" s="3" t="s">
        <v>210</v>
      </c>
      <c r="B169">
        <v>13647.886075319217</v>
      </c>
      <c r="C169">
        <v>13133.977558258748</v>
      </c>
      <c r="D169">
        <v>13815</v>
      </c>
      <c r="E169">
        <v>13845</v>
      </c>
      <c r="F169">
        <v>13810</v>
      </c>
      <c r="G169">
        <v>13845</v>
      </c>
      <c r="H169">
        <v>19055</v>
      </c>
    </row>
    <row r="170" spans="1:8" x14ac:dyDescent="0.3">
      <c r="A170" s="3" t="s">
        <v>211</v>
      </c>
      <c r="B170">
        <v>13645.455598316881</v>
      </c>
      <c r="C170">
        <v>13136.384552391495</v>
      </c>
      <c r="D170">
        <v>13845</v>
      </c>
      <c r="E170">
        <v>13860</v>
      </c>
      <c r="F170">
        <v>13840</v>
      </c>
      <c r="G170">
        <v>13860</v>
      </c>
      <c r="H170">
        <v>72453</v>
      </c>
    </row>
    <row r="171" spans="1:8" x14ac:dyDescent="0.3">
      <c r="A171" s="3" t="s">
        <v>212</v>
      </c>
      <c r="B171">
        <v>13647.414490925048</v>
      </c>
      <c r="C171">
        <v>13134.444586281958</v>
      </c>
      <c r="D171">
        <v>13860</v>
      </c>
      <c r="E171">
        <v>13865</v>
      </c>
      <c r="F171">
        <v>13855</v>
      </c>
      <c r="G171">
        <v>13855</v>
      </c>
      <c r="H171">
        <v>17746</v>
      </c>
    </row>
    <row r="172" spans="1:8" x14ac:dyDescent="0.3">
      <c r="A172" s="3" t="s">
        <v>213</v>
      </c>
      <c r="B172">
        <v>13643.472629583492</v>
      </c>
      <c r="C172">
        <v>13138.348362006689</v>
      </c>
      <c r="D172">
        <v>13855</v>
      </c>
      <c r="E172">
        <v>13865</v>
      </c>
      <c r="F172">
        <v>13855</v>
      </c>
      <c r="G172">
        <v>13865</v>
      </c>
      <c r="H172">
        <v>3257</v>
      </c>
    </row>
    <row r="173" spans="1:8" x14ac:dyDescent="0.3">
      <c r="A173" s="3" t="s">
        <v>214</v>
      </c>
      <c r="B173">
        <v>13644.727614785143</v>
      </c>
      <c r="C173">
        <v>13137.105502265922</v>
      </c>
      <c r="D173">
        <v>13860</v>
      </c>
      <c r="E173">
        <v>13865</v>
      </c>
      <c r="F173">
        <v>13855</v>
      </c>
      <c r="G173">
        <v>13865</v>
      </c>
      <c r="H173">
        <v>3830</v>
      </c>
    </row>
    <row r="174" spans="1:8" x14ac:dyDescent="0.3">
      <c r="A174" s="3" t="s">
        <v>215</v>
      </c>
      <c r="B174">
        <v>13645.052951397818</v>
      </c>
      <c r="C174">
        <v>13136.783309002161</v>
      </c>
      <c r="D174">
        <v>13865</v>
      </c>
      <c r="E174">
        <v>13870</v>
      </c>
      <c r="F174">
        <v>13860</v>
      </c>
      <c r="G174">
        <v>13865</v>
      </c>
      <c r="H174">
        <v>11738</v>
      </c>
    </row>
    <row r="175" spans="1:8" x14ac:dyDescent="0.3">
      <c r="A175" s="3" t="s">
        <v>216</v>
      </c>
      <c r="B175">
        <v>13644.577084770352</v>
      </c>
      <c r="C175">
        <v>13137.254577884436</v>
      </c>
      <c r="D175">
        <v>13865</v>
      </c>
      <c r="E175">
        <v>13865</v>
      </c>
      <c r="F175">
        <v>13860</v>
      </c>
      <c r="G175">
        <v>13865</v>
      </c>
      <c r="H175">
        <v>15917</v>
      </c>
    </row>
    <row r="176" spans="1:8" x14ac:dyDescent="0.3">
      <c r="A176" s="3" t="s">
        <v>217</v>
      </c>
      <c r="B176">
        <v>13651.552140613165</v>
      </c>
      <c r="C176">
        <v>13130.346913885514</v>
      </c>
      <c r="D176">
        <v>13860</v>
      </c>
      <c r="E176">
        <v>13865</v>
      </c>
      <c r="F176">
        <v>13860</v>
      </c>
      <c r="G176">
        <v>13865</v>
      </c>
      <c r="H176">
        <v>26702</v>
      </c>
    </row>
    <row r="177" spans="1:8" x14ac:dyDescent="0.3">
      <c r="A177" s="3" t="s">
        <v>218</v>
      </c>
      <c r="B177">
        <v>13652.564477497363</v>
      </c>
      <c r="C177">
        <v>13129.344358034012</v>
      </c>
      <c r="D177">
        <v>13865</v>
      </c>
      <c r="E177">
        <v>13865</v>
      </c>
      <c r="F177">
        <v>13855</v>
      </c>
      <c r="G177">
        <v>13860</v>
      </c>
      <c r="H177">
        <v>6459</v>
      </c>
    </row>
    <row r="178" spans="1:8" x14ac:dyDescent="0.3">
      <c r="A178" s="3" t="s">
        <v>219</v>
      </c>
      <c r="B178">
        <v>13651.776834776165</v>
      </c>
      <c r="C178">
        <v>13130.12439068061</v>
      </c>
      <c r="D178">
        <v>13865</v>
      </c>
      <c r="E178">
        <v>13870</v>
      </c>
      <c r="F178">
        <v>13860</v>
      </c>
      <c r="G178">
        <v>13865</v>
      </c>
      <c r="H178">
        <v>20217</v>
      </c>
    </row>
    <row r="179" spans="1:8" x14ac:dyDescent="0.3">
      <c r="A179" s="3" t="s">
        <v>220</v>
      </c>
      <c r="B179">
        <v>13655.039888413774</v>
      </c>
      <c r="C179">
        <v>13126.892864131289</v>
      </c>
      <c r="D179">
        <v>13865</v>
      </c>
      <c r="E179">
        <v>13870</v>
      </c>
      <c r="F179">
        <v>13860</v>
      </c>
      <c r="G179">
        <v>13865</v>
      </c>
      <c r="H179">
        <v>6607</v>
      </c>
    </row>
    <row r="180" spans="1:8" x14ac:dyDescent="0.3">
      <c r="A180" s="3" t="s">
        <v>221</v>
      </c>
      <c r="B180">
        <v>13656.199352434322</v>
      </c>
      <c r="C180">
        <v>13125.744602661662</v>
      </c>
      <c r="D180">
        <v>13860</v>
      </c>
      <c r="E180">
        <v>13865</v>
      </c>
      <c r="F180">
        <v>13855</v>
      </c>
      <c r="G180">
        <v>13865</v>
      </c>
      <c r="H180">
        <v>18915</v>
      </c>
    </row>
    <row r="181" spans="1:8" x14ac:dyDescent="0.3">
      <c r="A181" s="3" t="s">
        <v>222</v>
      </c>
      <c r="B181">
        <v>13657.007739222303</v>
      </c>
      <c r="C181">
        <v>13124.944026374047</v>
      </c>
      <c r="D181">
        <v>13865</v>
      </c>
      <c r="E181">
        <v>13865</v>
      </c>
      <c r="F181">
        <v>13855</v>
      </c>
      <c r="G181">
        <v>13860</v>
      </c>
      <c r="H181">
        <v>2323</v>
      </c>
    </row>
    <row r="182" spans="1:8" x14ac:dyDescent="0.3">
      <c r="A182" s="3" t="s">
        <v>223</v>
      </c>
      <c r="B182">
        <v>13656.181727895539</v>
      </c>
      <c r="C182">
        <v>13125.762056915048</v>
      </c>
      <c r="D182">
        <v>13860</v>
      </c>
      <c r="E182">
        <v>13865</v>
      </c>
      <c r="F182">
        <v>13845</v>
      </c>
      <c r="G182">
        <v>13850</v>
      </c>
      <c r="H182">
        <v>18677</v>
      </c>
    </row>
    <row r="183" spans="1:8" x14ac:dyDescent="0.3">
      <c r="A183" s="3" t="s">
        <v>224</v>
      </c>
      <c r="B183">
        <v>13658.823375628175</v>
      </c>
      <c r="C183">
        <v>13123.145932348911</v>
      </c>
      <c r="D183">
        <v>13845</v>
      </c>
      <c r="E183">
        <v>13845</v>
      </c>
      <c r="F183">
        <v>13835</v>
      </c>
      <c r="G183">
        <v>13835</v>
      </c>
      <c r="H183">
        <v>9213</v>
      </c>
    </row>
    <row r="184" spans="1:8" x14ac:dyDescent="0.3">
      <c r="A184" s="3" t="s">
        <v>225</v>
      </c>
      <c r="B184">
        <v>13658.835449235128</v>
      </c>
      <c r="C184">
        <v>13123.133975395162</v>
      </c>
      <c r="D184">
        <v>13835</v>
      </c>
      <c r="E184">
        <v>13845</v>
      </c>
      <c r="F184">
        <v>13835</v>
      </c>
      <c r="G184">
        <v>13840</v>
      </c>
      <c r="H184">
        <v>7224</v>
      </c>
    </row>
    <row r="185" spans="1:8" x14ac:dyDescent="0.3">
      <c r="A185" s="3" t="s">
        <v>226</v>
      </c>
      <c r="B185">
        <v>13655.152433018498</v>
      </c>
      <c r="C185">
        <v>13126.781406914048</v>
      </c>
      <c r="D185">
        <v>13845</v>
      </c>
      <c r="E185">
        <v>13845</v>
      </c>
      <c r="F185">
        <v>13840</v>
      </c>
      <c r="G185">
        <v>13845</v>
      </c>
      <c r="H185">
        <v>21141</v>
      </c>
    </row>
    <row r="186" spans="1:8" x14ac:dyDescent="0.3">
      <c r="A186" s="3" t="s">
        <v>227</v>
      </c>
      <c r="B186">
        <v>13657.088848815707</v>
      </c>
      <c r="C186">
        <v>13124.863700448212</v>
      </c>
      <c r="D186">
        <v>13845</v>
      </c>
      <c r="E186">
        <v>13850</v>
      </c>
      <c r="F186">
        <v>13840</v>
      </c>
      <c r="G186">
        <v>13850</v>
      </c>
      <c r="H186">
        <v>2162</v>
      </c>
    </row>
    <row r="187" spans="1:8" x14ac:dyDescent="0.3">
      <c r="A187" s="3" t="s">
        <v>228</v>
      </c>
      <c r="B187">
        <v>13658.936513896793</v>
      </c>
      <c r="C187">
        <v>13123.033887203659</v>
      </c>
      <c r="D187">
        <v>13855</v>
      </c>
      <c r="E187">
        <v>13855</v>
      </c>
      <c r="F187">
        <v>13845</v>
      </c>
      <c r="G187">
        <v>13855</v>
      </c>
      <c r="H187">
        <v>8784</v>
      </c>
    </row>
    <row r="188" spans="1:8" x14ac:dyDescent="0.3">
      <c r="A188" s="3" t="s">
        <v>229</v>
      </c>
      <c r="B188">
        <v>13659.433651771718</v>
      </c>
      <c r="C188">
        <v>13122.541552593226</v>
      </c>
      <c r="D188">
        <v>13855</v>
      </c>
      <c r="E188">
        <v>13860</v>
      </c>
      <c r="F188">
        <v>13850</v>
      </c>
      <c r="G188">
        <v>13855</v>
      </c>
      <c r="H188">
        <v>11545</v>
      </c>
    </row>
    <row r="189" spans="1:8" x14ac:dyDescent="0.3">
      <c r="A189" s="3" t="s">
        <v>230</v>
      </c>
      <c r="B189">
        <v>13660.045242078661</v>
      </c>
      <c r="C189">
        <v>13121.935871371375</v>
      </c>
      <c r="D189">
        <v>13855</v>
      </c>
      <c r="E189">
        <v>13855</v>
      </c>
      <c r="F189">
        <v>13850</v>
      </c>
      <c r="G189">
        <v>13855</v>
      </c>
      <c r="H189">
        <v>2031</v>
      </c>
    </row>
    <row r="190" spans="1:8" x14ac:dyDescent="0.3">
      <c r="A190" s="3" t="s">
        <v>231</v>
      </c>
      <c r="B190">
        <v>13658.179009384012</v>
      </c>
      <c r="C190">
        <v>13123.784072832257</v>
      </c>
      <c r="D190">
        <v>13855</v>
      </c>
      <c r="E190">
        <v>13860</v>
      </c>
      <c r="F190">
        <v>13850</v>
      </c>
      <c r="G190">
        <v>13860</v>
      </c>
      <c r="H190">
        <v>34068</v>
      </c>
    </row>
    <row r="191" spans="1:8" x14ac:dyDescent="0.3">
      <c r="A191" s="3" t="s">
        <v>232</v>
      </c>
      <c r="B191">
        <v>13657.541889008024</v>
      </c>
      <c r="C191">
        <v>13124.415037455823</v>
      </c>
      <c r="D191">
        <v>13860</v>
      </c>
      <c r="E191">
        <v>13860</v>
      </c>
      <c r="F191">
        <v>13845</v>
      </c>
      <c r="G191">
        <v>13855</v>
      </c>
      <c r="H191">
        <v>5277</v>
      </c>
    </row>
    <row r="192" spans="1:8" x14ac:dyDescent="0.3">
      <c r="A192" s="3" t="s">
        <v>233</v>
      </c>
      <c r="B192">
        <v>13656.494626157017</v>
      </c>
      <c r="C192">
        <v>13125.452181825176</v>
      </c>
      <c r="D192">
        <v>13850</v>
      </c>
      <c r="E192">
        <v>13850</v>
      </c>
      <c r="F192">
        <v>13835</v>
      </c>
      <c r="G192">
        <v>13840</v>
      </c>
      <c r="H192">
        <v>16715</v>
      </c>
    </row>
    <row r="193" spans="1:8" x14ac:dyDescent="0.3">
      <c r="A193" s="3" t="s">
        <v>234</v>
      </c>
      <c r="B193">
        <v>13654.50577550478</v>
      </c>
      <c r="C193">
        <v>13127.421816529082</v>
      </c>
      <c r="D193">
        <v>13840</v>
      </c>
      <c r="E193">
        <v>13840</v>
      </c>
      <c r="F193">
        <v>13825</v>
      </c>
      <c r="G193">
        <v>13830</v>
      </c>
      <c r="H193">
        <v>13368</v>
      </c>
    </row>
    <row r="194" spans="1:8" x14ac:dyDescent="0.3">
      <c r="A194" s="3" t="s">
        <v>235</v>
      </c>
      <c r="B194">
        <v>13657.612810703873</v>
      </c>
      <c r="C194">
        <v>13124.344800993749</v>
      </c>
      <c r="D194">
        <v>13830</v>
      </c>
      <c r="E194">
        <v>13850</v>
      </c>
      <c r="F194">
        <v>13830</v>
      </c>
      <c r="G194">
        <v>13850</v>
      </c>
      <c r="H194">
        <v>15470</v>
      </c>
    </row>
    <row r="195" spans="1:8" x14ac:dyDescent="0.3">
      <c r="A195" s="3" t="s">
        <v>236</v>
      </c>
      <c r="B195">
        <v>13661.105025672379</v>
      </c>
      <c r="C195">
        <v>13120.886327232667</v>
      </c>
      <c r="D195">
        <v>13845</v>
      </c>
      <c r="E195">
        <v>13850</v>
      </c>
      <c r="F195">
        <v>13830</v>
      </c>
      <c r="G195">
        <v>13830</v>
      </c>
      <c r="H195">
        <v>54421</v>
      </c>
    </row>
    <row r="196" spans="1:8" x14ac:dyDescent="0.3">
      <c r="A196" s="3" t="s">
        <v>237</v>
      </c>
      <c r="B196">
        <v>13664.741598527373</v>
      </c>
      <c r="C196">
        <v>13117.284890347288</v>
      </c>
      <c r="D196">
        <v>13835</v>
      </c>
      <c r="E196">
        <v>13840</v>
      </c>
      <c r="F196">
        <v>13830</v>
      </c>
      <c r="G196">
        <v>13830</v>
      </c>
      <c r="H196">
        <v>1380</v>
      </c>
    </row>
    <row r="197" spans="1:8" x14ac:dyDescent="0.3">
      <c r="A197" s="3" t="s">
        <v>238</v>
      </c>
      <c r="B197">
        <v>13668.751262005859</v>
      </c>
      <c r="C197">
        <v>13113.313967578741</v>
      </c>
      <c r="D197">
        <v>13835</v>
      </c>
      <c r="E197">
        <v>13835</v>
      </c>
      <c r="F197">
        <v>13815</v>
      </c>
      <c r="G197">
        <v>13815</v>
      </c>
      <c r="H197">
        <v>27141</v>
      </c>
    </row>
    <row r="198" spans="1:8" x14ac:dyDescent="0.3">
      <c r="A198" s="3" t="s">
        <v>239</v>
      </c>
      <c r="B198">
        <v>13667.201410735592</v>
      </c>
      <c r="C198">
        <v>13114.848844440598</v>
      </c>
      <c r="D198">
        <v>13820</v>
      </c>
      <c r="E198">
        <v>13835</v>
      </c>
      <c r="F198">
        <v>13815</v>
      </c>
      <c r="G198">
        <v>13830</v>
      </c>
      <c r="H198">
        <v>18151</v>
      </c>
    </row>
    <row r="199" spans="1:8" x14ac:dyDescent="0.3">
      <c r="A199" s="3" t="s">
        <v>240</v>
      </c>
      <c r="B199">
        <v>13665.548383977935</v>
      </c>
      <c r="C199">
        <v>13116.485899925232</v>
      </c>
      <c r="D199">
        <v>13830</v>
      </c>
      <c r="E199">
        <v>13835</v>
      </c>
      <c r="F199">
        <v>13825</v>
      </c>
      <c r="G199">
        <v>13825</v>
      </c>
      <c r="H199">
        <v>18887</v>
      </c>
    </row>
    <row r="200" spans="1:8" x14ac:dyDescent="0.3">
      <c r="A200" s="3" t="s">
        <v>241</v>
      </c>
      <c r="B200">
        <v>13667.145234684402</v>
      </c>
      <c r="C200">
        <v>13114.904477728007</v>
      </c>
      <c r="D200">
        <v>13820</v>
      </c>
      <c r="E200">
        <v>13825</v>
      </c>
      <c r="F200">
        <v>13815</v>
      </c>
      <c r="G200">
        <v>13820</v>
      </c>
      <c r="H200">
        <v>12619</v>
      </c>
    </row>
    <row r="201" spans="1:8" x14ac:dyDescent="0.3">
      <c r="A201" s="3" t="s">
        <v>242</v>
      </c>
      <c r="B201">
        <v>13666.725666846194</v>
      </c>
      <c r="C201">
        <v>13115.319991770675</v>
      </c>
      <c r="D201">
        <v>13820</v>
      </c>
      <c r="E201">
        <v>13825</v>
      </c>
      <c r="F201">
        <v>13815</v>
      </c>
      <c r="G201">
        <v>13815</v>
      </c>
      <c r="H201">
        <v>10294</v>
      </c>
    </row>
    <row r="202" spans="1:8" x14ac:dyDescent="0.3">
      <c r="A202" s="3" t="s">
        <v>243</v>
      </c>
      <c r="B202">
        <v>13664.901884673118</v>
      </c>
      <c r="C202">
        <v>13117.126152859955</v>
      </c>
      <c r="D202">
        <v>13815</v>
      </c>
      <c r="E202">
        <v>13820</v>
      </c>
      <c r="F202">
        <v>13800</v>
      </c>
      <c r="G202">
        <v>13805</v>
      </c>
      <c r="H202">
        <v>56054</v>
      </c>
    </row>
    <row r="203" spans="1:8" x14ac:dyDescent="0.3">
      <c r="A203" s="3" t="s">
        <v>244</v>
      </c>
      <c r="B203">
        <v>13658.965558981858</v>
      </c>
      <c r="C203">
        <v>13123.005122747436</v>
      </c>
      <c r="D203">
        <v>13805</v>
      </c>
      <c r="E203">
        <v>13820</v>
      </c>
      <c r="F203">
        <v>13805</v>
      </c>
      <c r="G203">
        <v>13815</v>
      </c>
      <c r="H203">
        <v>14331</v>
      </c>
    </row>
    <row r="204" spans="1:8" x14ac:dyDescent="0.3">
      <c r="A204" s="3" t="s">
        <v>245</v>
      </c>
      <c r="B204">
        <v>13660.167450192388</v>
      </c>
      <c r="C204">
        <v>13121.814844012368</v>
      </c>
      <c r="D204">
        <v>13820</v>
      </c>
      <c r="E204">
        <v>13825</v>
      </c>
      <c r="F204">
        <v>13815</v>
      </c>
      <c r="G204">
        <v>13825</v>
      </c>
      <c r="H204">
        <v>15050</v>
      </c>
    </row>
    <row r="205" spans="1:8" x14ac:dyDescent="0.3">
      <c r="A205" s="3" t="s">
        <v>246</v>
      </c>
      <c r="B205">
        <v>13663.58013684957</v>
      </c>
      <c r="C205">
        <v>13118.435130173131</v>
      </c>
      <c r="D205">
        <v>13815</v>
      </c>
      <c r="E205">
        <v>13830</v>
      </c>
      <c r="F205">
        <v>13815</v>
      </c>
      <c r="G205">
        <v>13830</v>
      </c>
      <c r="H205">
        <v>13086</v>
      </c>
    </row>
    <row r="206" spans="1:8" x14ac:dyDescent="0.3">
      <c r="A206" s="3" t="s">
        <v>247</v>
      </c>
      <c r="B206">
        <v>13662.736440896588</v>
      </c>
      <c r="C206">
        <v>13119.270674474392</v>
      </c>
      <c r="D206">
        <v>13825</v>
      </c>
      <c r="E206">
        <v>13835</v>
      </c>
      <c r="F206">
        <v>13825</v>
      </c>
      <c r="G206">
        <v>13830</v>
      </c>
      <c r="H206">
        <v>3655</v>
      </c>
    </row>
    <row r="207" spans="1:8" x14ac:dyDescent="0.3">
      <c r="A207" s="3" t="s">
        <v>248</v>
      </c>
      <c r="B207">
        <v>13665.88312342314</v>
      </c>
      <c r="C207">
        <v>13116.154394677566</v>
      </c>
      <c r="D207">
        <v>13830</v>
      </c>
      <c r="E207">
        <v>13835</v>
      </c>
      <c r="F207">
        <v>13830</v>
      </c>
      <c r="G207">
        <v>13830</v>
      </c>
      <c r="H207">
        <v>5606</v>
      </c>
    </row>
    <row r="208" spans="1:8" x14ac:dyDescent="0.3">
      <c r="A208" s="3" t="s">
        <v>249</v>
      </c>
      <c r="B208">
        <v>13665.803178414695</v>
      </c>
      <c r="C208">
        <v>13116.23356727047</v>
      </c>
      <c r="D208">
        <v>13825</v>
      </c>
      <c r="E208">
        <v>13830</v>
      </c>
      <c r="F208">
        <v>13820</v>
      </c>
      <c r="G208">
        <v>13825</v>
      </c>
      <c r="H208">
        <v>435</v>
      </c>
    </row>
    <row r="209" spans="1:8" x14ac:dyDescent="0.3">
      <c r="A209" s="3" t="s">
        <v>250</v>
      </c>
      <c r="B209">
        <v>13670.003237085277</v>
      </c>
      <c r="C209">
        <v>13112.074088876901</v>
      </c>
      <c r="D209">
        <v>13825</v>
      </c>
      <c r="E209">
        <v>13830</v>
      </c>
      <c r="F209">
        <v>13825</v>
      </c>
      <c r="G209">
        <v>13825</v>
      </c>
      <c r="H209">
        <v>5635</v>
      </c>
    </row>
    <row r="210" spans="1:8" x14ac:dyDescent="0.3">
      <c r="A210" s="3" t="s">
        <v>251</v>
      </c>
      <c r="B210">
        <v>13673.784148871302</v>
      </c>
      <c r="C210">
        <v>13108.32970763953</v>
      </c>
      <c r="D210">
        <v>13830</v>
      </c>
      <c r="E210">
        <v>13830</v>
      </c>
      <c r="F210">
        <v>13810</v>
      </c>
      <c r="G210">
        <v>13815</v>
      </c>
      <c r="H210">
        <v>19001</v>
      </c>
    </row>
    <row r="211" spans="1:8" x14ac:dyDescent="0.3">
      <c r="A211" s="3" t="s">
        <v>252</v>
      </c>
      <c r="B211">
        <v>13673.424786160229</v>
      </c>
      <c r="C211">
        <v>13108.685598247115</v>
      </c>
      <c r="D211">
        <v>13815</v>
      </c>
      <c r="E211">
        <v>13815</v>
      </c>
      <c r="F211">
        <v>13815</v>
      </c>
      <c r="G211">
        <v>13815</v>
      </c>
      <c r="H211">
        <v>7257</v>
      </c>
    </row>
    <row r="212" spans="1:8" x14ac:dyDescent="0.3">
      <c r="A212" s="3" t="s">
        <v>253</v>
      </c>
      <c r="B212">
        <v>13672.309945862105</v>
      </c>
      <c r="C212">
        <v>13109.789667141395</v>
      </c>
      <c r="D212">
        <v>13815</v>
      </c>
      <c r="E212">
        <v>13815</v>
      </c>
      <c r="F212">
        <v>13800</v>
      </c>
      <c r="G212">
        <v>13805</v>
      </c>
      <c r="H212">
        <v>7574</v>
      </c>
    </row>
    <row r="213" spans="1:8" x14ac:dyDescent="0.3">
      <c r="A213" s="3" t="s">
        <v>254</v>
      </c>
      <c r="B213">
        <v>13674.416172327357</v>
      </c>
      <c r="C213">
        <v>13107.703790690299</v>
      </c>
      <c r="D213">
        <v>13805</v>
      </c>
      <c r="E213">
        <v>13805</v>
      </c>
      <c r="F213">
        <v>13770</v>
      </c>
      <c r="G213">
        <v>13785</v>
      </c>
      <c r="H213">
        <v>91257</v>
      </c>
    </row>
    <row r="214" spans="1:8" x14ac:dyDescent="0.3">
      <c r="A214" s="3" t="s">
        <v>255</v>
      </c>
      <c r="B214">
        <v>13675.916277655977</v>
      </c>
      <c r="C214">
        <v>13106.218179132969</v>
      </c>
      <c r="D214">
        <v>13790</v>
      </c>
      <c r="E214">
        <v>13805</v>
      </c>
      <c r="F214">
        <v>13790</v>
      </c>
      <c r="G214">
        <v>13805</v>
      </c>
      <c r="H214">
        <v>17529</v>
      </c>
    </row>
    <row r="215" spans="1:8" x14ac:dyDescent="0.3">
      <c r="A215" s="3" t="s">
        <v>256</v>
      </c>
      <c r="B215">
        <v>13674.812376485812</v>
      </c>
      <c r="C215">
        <v>13107.311414591346</v>
      </c>
      <c r="D215">
        <v>13805</v>
      </c>
      <c r="E215">
        <v>13805</v>
      </c>
      <c r="F215">
        <v>13790</v>
      </c>
      <c r="G215">
        <v>13790</v>
      </c>
      <c r="H215">
        <v>14267</v>
      </c>
    </row>
    <row r="216" spans="1:8" x14ac:dyDescent="0.3">
      <c r="A216" s="3" t="s">
        <v>257</v>
      </c>
      <c r="B216">
        <v>13675.30538534018</v>
      </c>
      <c r="C216">
        <v>13106.823169107553</v>
      </c>
      <c r="D216">
        <v>13790</v>
      </c>
      <c r="E216">
        <v>13790</v>
      </c>
      <c r="F216">
        <v>13780</v>
      </c>
      <c r="G216">
        <v>13785</v>
      </c>
      <c r="H216">
        <v>6010</v>
      </c>
    </row>
    <row r="217" spans="1:8" x14ac:dyDescent="0.3">
      <c r="A217" s="3" t="s">
        <v>258</v>
      </c>
      <c r="B217">
        <v>13677.908356996795</v>
      </c>
      <c r="C217">
        <v>13104.245346935541</v>
      </c>
      <c r="D217">
        <v>13780</v>
      </c>
      <c r="E217">
        <v>13790</v>
      </c>
      <c r="F217">
        <v>13780</v>
      </c>
      <c r="G217">
        <v>13785</v>
      </c>
      <c r="H217">
        <v>10779</v>
      </c>
    </row>
    <row r="218" spans="1:8" x14ac:dyDescent="0.3">
      <c r="A218" s="3" t="s">
        <v>259</v>
      </c>
      <c r="B218">
        <v>13679.274655587589</v>
      </c>
      <c r="C218">
        <v>13102.892249297314</v>
      </c>
      <c r="D218">
        <v>13785</v>
      </c>
      <c r="E218">
        <v>13800</v>
      </c>
      <c r="F218">
        <v>13785</v>
      </c>
      <c r="G218">
        <v>13800</v>
      </c>
      <c r="H218">
        <v>11384</v>
      </c>
    </row>
    <row r="219" spans="1:8" x14ac:dyDescent="0.3">
      <c r="A219" s="3" t="s">
        <v>260</v>
      </c>
      <c r="B219">
        <v>13683.511625211851</v>
      </c>
      <c r="C219">
        <v>13098.696216577633</v>
      </c>
      <c r="D219">
        <v>13800</v>
      </c>
      <c r="E219">
        <v>13815</v>
      </c>
      <c r="F219">
        <v>13800</v>
      </c>
      <c r="G219">
        <v>13805</v>
      </c>
      <c r="H219">
        <v>11585</v>
      </c>
    </row>
    <row r="220" spans="1:8" x14ac:dyDescent="0.3">
      <c r="A220" s="3" t="s">
        <v>261</v>
      </c>
      <c r="B220">
        <v>13688.958826783137</v>
      </c>
      <c r="C220">
        <v>13093.301644973224</v>
      </c>
      <c r="D220">
        <v>13800</v>
      </c>
      <c r="E220">
        <v>13800</v>
      </c>
      <c r="F220">
        <v>13795</v>
      </c>
      <c r="G220">
        <v>13795</v>
      </c>
      <c r="H220">
        <v>8083</v>
      </c>
    </row>
    <row r="221" spans="1:8" x14ac:dyDescent="0.3">
      <c r="A221" s="3" t="s">
        <v>262</v>
      </c>
      <c r="B221">
        <v>13691.749491482178</v>
      </c>
      <c r="C221">
        <v>13090.537943218134</v>
      </c>
      <c r="D221">
        <v>13800</v>
      </c>
      <c r="E221">
        <v>13805</v>
      </c>
      <c r="F221">
        <v>13795</v>
      </c>
      <c r="G221">
        <v>13805</v>
      </c>
      <c r="H221">
        <v>11159</v>
      </c>
    </row>
    <row r="222" spans="1:8" x14ac:dyDescent="0.3">
      <c r="A222" s="3" t="s">
        <v>263</v>
      </c>
      <c r="B222">
        <v>13702.939133517766</v>
      </c>
      <c r="C222">
        <v>13079.456413665981</v>
      </c>
      <c r="D222">
        <v>13805</v>
      </c>
      <c r="E222">
        <v>13805</v>
      </c>
      <c r="F222">
        <v>13790</v>
      </c>
      <c r="G222">
        <v>13800</v>
      </c>
      <c r="H222">
        <v>10588</v>
      </c>
    </row>
    <row r="223" spans="1:8" x14ac:dyDescent="0.3">
      <c r="A223" s="3" t="s">
        <v>264</v>
      </c>
      <c r="B223">
        <v>13693.046446174509</v>
      </c>
      <c r="C223">
        <v>13089.253519489012</v>
      </c>
      <c r="D223">
        <v>13805</v>
      </c>
      <c r="E223">
        <v>13805</v>
      </c>
      <c r="F223">
        <v>13795</v>
      </c>
      <c r="G223">
        <v>13800</v>
      </c>
      <c r="H223">
        <v>6400</v>
      </c>
    </row>
    <row r="224" spans="1:8" x14ac:dyDescent="0.3">
      <c r="A224" s="3" t="s">
        <v>265</v>
      </c>
      <c r="B224">
        <v>13692.163584058233</v>
      </c>
      <c r="C224">
        <v>13090.127851536534</v>
      </c>
      <c r="D224">
        <v>13795</v>
      </c>
      <c r="E224">
        <v>13810</v>
      </c>
      <c r="F224">
        <v>13795</v>
      </c>
      <c r="G224">
        <v>13810</v>
      </c>
      <c r="H224">
        <v>14424</v>
      </c>
    </row>
    <row r="225" spans="1:8" x14ac:dyDescent="0.3">
      <c r="A225" s="3" t="s">
        <v>266</v>
      </c>
      <c r="B225">
        <v>13691.880580849502</v>
      </c>
      <c r="C225">
        <v>13090.408120414744</v>
      </c>
      <c r="D225">
        <v>13810</v>
      </c>
      <c r="E225">
        <v>13830</v>
      </c>
      <c r="F225">
        <v>13805</v>
      </c>
      <c r="G225">
        <v>13825</v>
      </c>
      <c r="H225">
        <v>21123</v>
      </c>
    </row>
    <row r="226" spans="1:8" x14ac:dyDescent="0.3">
      <c r="A226" s="3" t="s">
        <v>267</v>
      </c>
      <c r="B226">
        <v>13690.136028988245</v>
      </c>
      <c r="C226">
        <v>13092.135816702463</v>
      </c>
      <c r="D226">
        <v>13825</v>
      </c>
      <c r="E226">
        <v>13830</v>
      </c>
      <c r="F226">
        <v>13815</v>
      </c>
      <c r="G226">
        <v>13815</v>
      </c>
      <c r="H226">
        <v>11362</v>
      </c>
    </row>
    <row r="227" spans="1:8" x14ac:dyDescent="0.3">
      <c r="A227" s="3" t="s">
        <v>268</v>
      </c>
      <c r="B227">
        <v>13692.023877078253</v>
      </c>
      <c r="C227">
        <v>13090.266208690617</v>
      </c>
      <c r="D227">
        <v>13820</v>
      </c>
      <c r="E227">
        <v>13820</v>
      </c>
      <c r="F227">
        <v>13805</v>
      </c>
      <c r="G227">
        <v>13805</v>
      </c>
      <c r="H227">
        <v>833</v>
      </c>
    </row>
    <row r="228" spans="1:8" x14ac:dyDescent="0.3">
      <c r="A228" s="3" t="s">
        <v>269</v>
      </c>
      <c r="B228">
        <v>13688.683079979985</v>
      </c>
      <c r="C228">
        <v>13093.574727556055</v>
      </c>
      <c r="D228">
        <v>13810</v>
      </c>
      <c r="E228">
        <v>13810</v>
      </c>
      <c r="F228">
        <v>13795</v>
      </c>
      <c r="G228">
        <v>13805</v>
      </c>
      <c r="H228">
        <v>4010</v>
      </c>
    </row>
    <row r="229" spans="1:8" x14ac:dyDescent="0.3">
      <c r="A229" s="3" t="s">
        <v>270</v>
      </c>
      <c r="B229">
        <v>13686.710563880588</v>
      </c>
      <c r="C229">
        <v>13095.528185528887</v>
      </c>
      <c r="D229">
        <v>13805</v>
      </c>
      <c r="E229">
        <v>13825</v>
      </c>
      <c r="F229">
        <v>13805</v>
      </c>
      <c r="G229">
        <v>13820</v>
      </c>
      <c r="H229">
        <v>7431</v>
      </c>
    </row>
    <row r="230" spans="1:8" x14ac:dyDescent="0.3">
      <c r="A230" s="3" t="s">
        <v>271</v>
      </c>
      <c r="B230">
        <v>13680.921836554257</v>
      </c>
      <c r="C230">
        <v>13101.260983122596</v>
      </c>
      <c r="D230">
        <v>13815</v>
      </c>
      <c r="E230">
        <v>13840</v>
      </c>
      <c r="F230">
        <v>13815</v>
      </c>
      <c r="G230">
        <v>13840</v>
      </c>
      <c r="H230">
        <v>63569</v>
      </c>
    </row>
    <row r="231" spans="1:8" x14ac:dyDescent="0.3">
      <c r="A231" s="3" t="s">
        <v>272</v>
      </c>
      <c r="B231">
        <v>13677.364028943966</v>
      </c>
      <c r="C231">
        <v>13104.784415780128</v>
      </c>
      <c r="D231">
        <v>13840</v>
      </c>
      <c r="E231">
        <v>13845</v>
      </c>
      <c r="F231">
        <v>13835</v>
      </c>
      <c r="G231">
        <v>13835</v>
      </c>
      <c r="H231">
        <v>5796</v>
      </c>
    </row>
    <row r="232" spans="1:8" x14ac:dyDescent="0.3">
      <c r="A232" s="3" t="s">
        <v>273</v>
      </c>
      <c r="B232">
        <v>13675.361900087135</v>
      </c>
      <c r="C232">
        <v>13106.767200396798</v>
      </c>
      <c r="D232">
        <v>13840</v>
      </c>
      <c r="E232">
        <v>13840</v>
      </c>
      <c r="F232">
        <v>13830</v>
      </c>
      <c r="G232">
        <v>13840</v>
      </c>
      <c r="H232">
        <v>11236</v>
      </c>
    </row>
    <row r="233" spans="1:8" x14ac:dyDescent="0.3">
      <c r="A233" s="3" t="s">
        <v>274</v>
      </c>
      <c r="B233">
        <v>13672.576917356078</v>
      </c>
      <c r="C233">
        <v>13109.525275082146</v>
      </c>
      <c r="D233">
        <v>13840</v>
      </c>
      <c r="E233">
        <v>13840</v>
      </c>
      <c r="F233">
        <v>13830</v>
      </c>
      <c r="G233">
        <v>13840</v>
      </c>
      <c r="H233">
        <v>20799</v>
      </c>
    </row>
    <row r="234" spans="1:8" x14ac:dyDescent="0.3">
      <c r="A234" s="3" t="s">
        <v>275</v>
      </c>
      <c r="B234">
        <v>13676.28068991544</v>
      </c>
      <c r="C234">
        <v>13105.857287764902</v>
      </c>
      <c r="D234">
        <v>13840</v>
      </c>
      <c r="E234">
        <v>13845</v>
      </c>
      <c r="F234">
        <v>13830</v>
      </c>
      <c r="G234">
        <v>13830</v>
      </c>
      <c r="H234">
        <v>4672</v>
      </c>
    </row>
    <row r="235" spans="1:8" x14ac:dyDescent="0.3">
      <c r="A235" s="3" t="s">
        <v>276</v>
      </c>
      <c r="B235">
        <v>13678.233697179732</v>
      </c>
      <c r="C235">
        <v>13103.923150136012</v>
      </c>
      <c r="D235">
        <v>13835</v>
      </c>
      <c r="E235">
        <v>13840</v>
      </c>
      <c r="F235">
        <v>13825</v>
      </c>
      <c r="G235">
        <v>13830</v>
      </c>
      <c r="H235">
        <v>12804</v>
      </c>
    </row>
    <row r="236" spans="1:8" x14ac:dyDescent="0.3">
      <c r="A236" s="3" t="s">
        <v>277</v>
      </c>
      <c r="B236">
        <v>13677.133776201405</v>
      </c>
      <c r="C236">
        <v>13105.012443858512</v>
      </c>
      <c r="D236">
        <v>13830</v>
      </c>
      <c r="E236">
        <v>13830</v>
      </c>
      <c r="F236">
        <v>13820</v>
      </c>
      <c r="G236">
        <v>13820</v>
      </c>
      <c r="H236">
        <v>7142</v>
      </c>
    </row>
    <row r="237" spans="1:8" x14ac:dyDescent="0.3">
      <c r="A237" s="3" t="s">
        <v>278</v>
      </c>
      <c r="B237">
        <v>13676.741222898954</v>
      </c>
      <c r="C237">
        <v>13105.401204375432</v>
      </c>
      <c r="D237">
        <v>13825</v>
      </c>
      <c r="E237">
        <v>13845</v>
      </c>
      <c r="F237">
        <v>13825</v>
      </c>
      <c r="G237">
        <v>13840</v>
      </c>
      <c r="H237">
        <v>25120</v>
      </c>
    </row>
    <row r="238" spans="1:8" x14ac:dyDescent="0.3">
      <c r="A238" s="3" t="s">
        <v>279</v>
      </c>
      <c r="B238">
        <v>13673.721026758185</v>
      </c>
      <c r="C238">
        <v>13108.39221987716</v>
      </c>
      <c r="D238">
        <v>13840</v>
      </c>
      <c r="E238">
        <v>13860</v>
      </c>
      <c r="F238">
        <v>13840</v>
      </c>
      <c r="G238">
        <v>13855</v>
      </c>
      <c r="H238">
        <v>45975</v>
      </c>
    </row>
    <row r="239" spans="1:8" x14ac:dyDescent="0.3">
      <c r="A239" s="3" t="s">
        <v>280</v>
      </c>
      <c r="B239">
        <v>13678.035578515965</v>
      </c>
      <c r="C239">
        <v>13104.119354609791</v>
      </c>
      <c r="D239">
        <v>13855</v>
      </c>
      <c r="E239">
        <v>13865</v>
      </c>
      <c r="F239">
        <v>13850</v>
      </c>
      <c r="G239">
        <v>13855</v>
      </c>
      <c r="H239">
        <v>62693</v>
      </c>
    </row>
    <row r="240" spans="1:8" x14ac:dyDescent="0.3">
      <c r="A240" s="3" t="s">
        <v>281</v>
      </c>
      <c r="B240">
        <v>13673.840542020715</v>
      </c>
      <c r="C240">
        <v>13108.273859351466</v>
      </c>
      <c r="D240">
        <v>13855</v>
      </c>
      <c r="E240">
        <v>13860</v>
      </c>
      <c r="F240">
        <v>13845</v>
      </c>
      <c r="G240">
        <v>13855</v>
      </c>
      <c r="H240">
        <v>7756</v>
      </c>
    </row>
    <row r="241" spans="1:8" x14ac:dyDescent="0.3">
      <c r="A241" s="3" t="s">
        <v>282</v>
      </c>
      <c r="B241">
        <v>13676.16536623992</v>
      </c>
      <c r="C241">
        <v>13105.97149720201</v>
      </c>
      <c r="D241">
        <v>13860</v>
      </c>
      <c r="E241">
        <v>13870</v>
      </c>
      <c r="F241">
        <v>13850</v>
      </c>
      <c r="G241">
        <v>13860</v>
      </c>
      <c r="H241">
        <v>62996</v>
      </c>
    </row>
    <row r="242" spans="1:8" x14ac:dyDescent="0.3">
      <c r="A242" s="3" t="s">
        <v>283</v>
      </c>
      <c r="B242">
        <v>13673.273304285547</v>
      </c>
      <c r="C242">
        <v>13108.835616528806</v>
      </c>
      <c r="D242">
        <v>13860</v>
      </c>
      <c r="E242">
        <v>13890</v>
      </c>
      <c r="F242">
        <v>13860</v>
      </c>
      <c r="G242">
        <v>13885</v>
      </c>
      <c r="H242">
        <v>143781</v>
      </c>
    </row>
    <row r="243" spans="1:8" x14ac:dyDescent="0.3">
      <c r="A243" s="3" t="s">
        <v>284</v>
      </c>
      <c r="B243">
        <v>13673.731331723488</v>
      </c>
      <c r="C243">
        <v>13108.382014476741</v>
      </c>
      <c r="D243">
        <v>13890</v>
      </c>
      <c r="E243">
        <v>13890</v>
      </c>
      <c r="F243">
        <v>13860</v>
      </c>
      <c r="G243">
        <v>13870</v>
      </c>
      <c r="H243">
        <v>35667</v>
      </c>
    </row>
    <row r="244" spans="1:8" x14ac:dyDescent="0.3">
      <c r="A244" s="3" t="s">
        <v>285</v>
      </c>
      <c r="B244">
        <v>13674.148935644294</v>
      </c>
      <c r="C244">
        <v>13107.968445376422</v>
      </c>
      <c r="D244">
        <v>13870</v>
      </c>
      <c r="E244">
        <v>13870</v>
      </c>
      <c r="F244">
        <v>13860</v>
      </c>
      <c r="G244">
        <v>13865</v>
      </c>
      <c r="H244">
        <v>11509</v>
      </c>
    </row>
    <row r="245" spans="1:8" x14ac:dyDescent="0.3">
      <c r="A245" s="3" t="s">
        <v>286</v>
      </c>
      <c r="B245">
        <v>13670.150152258822</v>
      </c>
      <c r="C245">
        <v>13111.92859317363</v>
      </c>
      <c r="D245">
        <v>13865</v>
      </c>
      <c r="E245">
        <v>13875</v>
      </c>
      <c r="F245">
        <v>13865</v>
      </c>
      <c r="G245">
        <v>13865</v>
      </c>
      <c r="H245">
        <v>26360</v>
      </c>
    </row>
    <row r="246" spans="1:8" x14ac:dyDescent="0.3">
      <c r="A246" s="3" t="s">
        <v>287</v>
      </c>
      <c r="B246">
        <v>13668.661931709787</v>
      </c>
      <c r="C246">
        <v>13113.402434780162</v>
      </c>
      <c r="D246">
        <v>13865</v>
      </c>
      <c r="E246">
        <v>13870</v>
      </c>
      <c r="F246">
        <v>13850</v>
      </c>
      <c r="G246">
        <v>13860</v>
      </c>
      <c r="H246">
        <v>8873</v>
      </c>
    </row>
    <row r="247" spans="1:8" x14ac:dyDescent="0.3">
      <c r="A247" s="3" t="s">
        <v>288</v>
      </c>
      <c r="B247">
        <v>13667.294198514339</v>
      </c>
      <c r="C247">
        <v>13114.75695316213</v>
      </c>
      <c r="D247">
        <v>13860</v>
      </c>
      <c r="E247">
        <v>13875</v>
      </c>
      <c r="F247">
        <v>13860</v>
      </c>
      <c r="G247">
        <v>13870</v>
      </c>
      <c r="H247">
        <v>21477</v>
      </c>
    </row>
    <row r="248" spans="1:8" x14ac:dyDescent="0.3">
      <c r="A248" s="3" t="s">
        <v>289</v>
      </c>
      <c r="B248">
        <v>13672.372723910961</v>
      </c>
      <c r="C248">
        <v>13109.727495643736</v>
      </c>
      <c r="D248">
        <v>13870</v>
      </c>
      <c r="E248">
        <v>13870</v>
      </c>
      <c r="F248">
        <v>13865</v>
      </c>
      <c r="G248">
        <v>13870</v>
      </c>
      <c r="H248">
        <v>8501</v>
      </c>
    </row>
    <row r="249" spans="1:8" x14ac:dyDescent="0.3">
      <c r="A249" s="3" t="s">
        <v>290</v>
      </c>
      <c r="B249">
        <v>13672.066012019604</v>
      </c>
      <c r="C249">
        <v>13110.031244135174</v>
      </c>
      <c r="D249">
        <v>13865</v>
      </c>
      <c r="E249">
        <v>13880</v>
      </c>
      <c r="F249">
        <v>13860</v>
      </c>
      <c r="G249">
        <v>13880</v>
      </c>
      <c r="H249">
        <v>17108</v>
      </c>
    </row>
    <row r="250" spans="1:8" x14ac:dyDescent="0.3">
      <c r="A250" s="3" t="s">
        <v>291</v>
      </c>
      <c r="B250">
        <v>13673.015472773428</v>
      </c>
      <c r="C250">
        <v>13109.090956915205</v>
      </c>
      <c r="D250">
        <v>13880</v>
      </c>
      <c r="E250">
        <v>13885</v>
      </c>
      <c r="F250">
        <v>13875</v>
      </c>
      <c r="G250">
        <v>13880</v>
      </c>
      <c r="H250">
        <v>36554</v>
      </c>
    </row>
    <row r="251" spans="1:8" x14ac:dyDescent="0.3">
      <c r="A251" s="3" t="s">
        <v>292</v>
      </c>
      <c r="B251">
        <v>13672.100142307569</v>
      </c>
      <c r="C251">
        <v>13109.997443608447</v>
      </c>
      <c r="D251">
        <v>13880</v>
      </c>
      <c r="E251">
        <v>13885</v>
      </c>
      <c r="F251">
        <v>13860</v>
      </c>
      <c r="G251">
        <v>13860</v>
      </c>
      <c r="H251">
        <v>33885</v>
      </c>
    </row>
    <row r="252" spans="1:8" x14ac:dyDescent="0.3">
      <c r="A252" s="3" t="s">
        <v>293</v>
      </c>
      <c r="B252">
        <v>13671.580028727903</v>
      </c>
      <c r="C252">
        <v>13110.512531936134</v>
      </c>
      <c r="D252">
        <v>13865</v>
      </c>
      <c r="E252">
        <v>13865</v>
      </c>
      <c r="F252">
        <v>13855</v>
      </c>
      <c r="G252">
        <v>13860</v>
      </c>
      <c r="H252">
        <v>5396</v>
      </c>
    </row>
    <row r="253" spans="1:8" x14ac:dyDescent="0.3">
      <c r="A253" s="3" t="s">
        <v>294</v>
      </c>
      <c r="B253">
        <v>13677.211430793353</v>
      </c>
      <c r="C253">
        <v>13104.935539552476</v>
      </c>
      <c r="D253">
        <v>13865</v>
      </c>
      <c r="E253">
        <v>13865</v>
      </c>
      <c r="F253">
        <v>13860</v>
      </c>
      <c r="G253">
        <v>13860</v>
      </c>
      <c r="H253">
        <v>2519</v>
      </c>
    </row>
    <row r="254" spans="1:8" x14ac:dyDescent="0.3">
      <c r="A254" s="3" t="s">
        <v>295</v>
      </c>
      <c r="B254">
        <v>13686.40524609927</v>
      </c>
      <c r="C254">
        <v>13095.830553379952</v>
      </c>
      <c r="D254">
        <v>13860</v>
      </c>
      <c r="E254">
        <v>13885</v>
      </c>
      <c r="F254">
        <v>13860</v>
      </c>
      <c r="G254">
        <v>13875</v>
      </c>
      <c r="H254">
        <v>70803</v>
      </c>
    </row>
    <row r="255" spans="1:8" x14ac:dyDescent="0.3">
      <c r="A255" s="3" t="s">
        <v>296</v>
      </c>
      <c r="B255">
        <v>13684.675670968465</v>
      </c>
      <c r="C255">
        <v>13097.543417639927</v>
      </c>
      <c r="D255">
        <v>13875</v>
      </c>
      <c r="E255">
        <v>13880</v>
      </c>
      <c r="F255">
        <v>13865</v>
      </c>
      <c r="G255">
        <v>13865</v>
      </c>
      <c r="H255">
        <v>5915</v>
      </c>
    </row>
    <row r="256" spans="1:8" x14ac:dyDescent="0.3">
      <c r="A256" s="3" t="s">
        <v>297</v>
      </c>
      <c r="B256">
        <v>13679.479173370528</v>
      </c>
      <c r="C256">
        <v>13102.689707531603</v>
      </c>
      <c r="D256">
        <v>13870</v>
      </c>
      <c r="E256">
        <v>13870</v>
      </c>
      <c r="F256">
        <v>13860</v>
      </c>
      <c r="G256">
        <v>13865</v>
      </c>
      <c r="H256">
        <v>3759</v>
      </c>
    </row>
    <row r="257" spans="1:8" x14ac:dyDescent="0.3">
      <c r="A257" s="3" t="s">
        <v>298</v>
      </c>
      <c r="B257">
        <v>13689.963850247044</v>
      </c>
      <c r="C257">
        <v>13092.306331880947</v>
      </c>
      <c r="D257">
        <v>13865</v>
      </c>
      <c r="E257">
        <v>13865</v>
      </c>
      <c r="F257">
        <v>13855</v>
      </c>
      <c r="G257">
        <v>13860</v>
      </c>
      <c r="H257">
        <v>7256</v>
      </c>
    </row>
    <row r="258" spans="1:8" x14ac:dyDescent="0.3">
      <c r="A258" s="3" t="s">
        <v>299</v>
      </c>
      <c r="B258">
        <v>13691.522500920366</v>
      </c>
      <c r="C258">
        <v>13090.762740634422</v>
      </c>
      <c r="D258">
        <v>13860</v>
      </c>
      <c r="E258">
        <v>13860</v>
      </c>
      <c r="F258">
        <v>13855</v>
      </c>
      <c r="G258">
        <v>13855</v>
      </c>
      <c r="H258">
        <v>5004</v>
      </c>
    </row>
    <row r="259" spans="1:8" x14ac:dyDescent="0.3">
      <c r="A259" s="3" t="s">
        <v>300</v>
      </c>
      <c r="B259">
        <v>13687.386644346647</v>
      </c>
      <c r="C259">
        <v>13094.858637241245</v>
      </c>
      <c r="D259">
        <v>13855</v>
      </c>
      <c r="E259">
        <v>13855</v>
      </c>
      <c r="F259">
        <v>13845</v>
      </c>
      <c r="G259">
        <v>13845</v>
      </c>
      <c r="H259">
        <v>21818</v>
      </c>
    </row>
    <row r="260" spans="1:8" x14ac:dyDescent="0.3">
      <c r="A260" s="3" t="s">
        <v>301</v>
      </c>
      <c r="B260">
        <v>13688.913860623918</v>
      </c>
      <c r="C260">
        <v>13093.346176676796</v>
      </c>
      <c r="D260">
        <v>13845</v>
      </c>
      <c r="E260">
        <v>13850</v>
      </c>
      <c r="F260">
        <v>13845</v>
      </c>
      <c r="G260">
        <v>13850</v>
      </c>
      <c r="H260">
        <v>43671</v>
      </c>
    </row>
    <row r="261" spans="1:8" x14ac:dyDescent="0.3">
      <c r="A261" s="3" t="s">
        <v>302</v>
      </c>
      <c r="B261">
        <v>13690.175637402663</v>
      </c>
      <c r="C261">
        <v>13092.096590978039</v>
      </c>
      <c r="D261">
        <v>13850</v>
      </c>
      <c r="E261">
        <v>13860</v>
      </c>
      <c r="F261">
        <v>13850</v>
      </c>
      <c r="G261">
        <v>13855</v>
      </c>
      <c r="H261">
        <v>12647</v>
      </c>
    </row>
    <row r="262" spans="1:8" x14ac:dyDescent="0.3">
      <c r="A262" s="3" t="s">
        <v>303</v>
      </c>
      <c r="B262">
        <v>13684.750450143991</v>
      </c>
      <c r="C262">
        <v>13097.469360968511</v>
      </c>
      <c r="D262">
        <v>13855</v>
      </c>
      <c r="E262">
        <v>13855</v>
      </c>
      <c r="F262">
        <v>13840</v>
      </c>
      <c r="G262">
        <v>13845</v>
      </c>
      <c r="H262">
        <v>9160</v>
      </c>
    </row>
    <row r="263" spans="1:8" x14ac:dyDescent="0.3">
      <c r="A263" s="3" t="s">
        <v>304</v>
      </c>
      <c r="B263">
        <v>13685.488024160704</v>
      </c>
      <c r="C263">
        <v>13096.738913270799</v>
      </c>
      <c r="D263">
        <v>13845</v>
      </c>
      <c r="E263">
        <v>13850</v>
      </c>
      <c r="F263">
        <v>13840</v>
      </c>
      <c r="G263">
        <v>13850</v>
      </c>
      <c r="H263">
        <v>8760</v>
      </c>
    </row>
    <row r="264" spans="1:8" x14ac:dyDescent="0.3">
      <c r="A264" s="3" t="s">
        <v>305</v>
      </c>
      <c r="B264">
        <v>13684.166737462707</v>
      </c>
      <c r="C264">
        <v>13098.047433913747</v>
      </c>
      <c r="D264">
        <v>13850</v>
      </c>
      <c r="E264">
        <v>13850</v>
      </c>
      <c r="F264">
        <v>13840</v>
      </c>
      <c r="G264">
        <v>13840</v>
      </c>
      <c r="H264">
        <v>12899</v>
      </c>
    </row>
    <row r="265" spans="1:8" x14ac:dyDescent="0.3">
      <c r="A265" s="3" t="s">
        <v>306</v>
      </c>
      <c r="B265">
        <v>13692.596025205024</v>
      </c>
      <c r="C265">
        <v>13089.699588565072</v>
      </c>
      <c r="D265">
        <v>13845</v>
      </c>
      <c r="E265">
        <v>13845</v>
      </c>
      <c r="F265">
        <v>13815</v>
      </c>
      <c r="G265">
        <v>13835</v>
      </c>
      <c r="H265">
        <v>92857</v>
      </c>
    </row>
    <row r="266" spans="1:8" x14ac:dyDescent="0.3">
      <c r="A266" s="3" t="s">
        <v>307</v>
      </c>
      <c r="B266">
        <v>13686.824506710131</v>
      </c>
      <c r="C266">
        <v>13095.415343596247</v>
      </c>
      <c r="D266">
        <v>13835</v>
      </c>
      <c r="E266">
        <v>13840</v>
      </c>
      <c r="F266">
        <v>13825</v>
      </c>
      <c r="G266">
        <v>13825</v>
      </c>
      <c r="H266">
        <v>15576</v>
      </c>
    </row>
    <row r="267" spans="1:8" x14ac:dyDescent="0.3">
      <c r="A267" s="3" t="s">
        <v>308</v>
      </c>
      <c r="B267">
        <v>13684.143645938801</v>
      </c>
      <c r="C267">
        <v>13098.070302331142</v>
      </c>
      <c r="D267">
        <v>13825</v>
      </c>
      <c r="E267">
        <v>13835</v>
      </c>
      <c r="F267">
        <v>13825</v>
      </c>
      <c r="G267">
        <v>13830</v>
      </c>
      <c r="H267">
        <v>827</v>
      </c>
    </row>
    <row r="268" spans="1:8" x14ac:dyDescent="0.3">
      <c r="A268" s="3" t="s">
        <v>309</v>
      </c>
      <c r="B268">
        <v>13686.334355380744</v>
      </c>
      <c r="C268">
        <v>13095.900759163998</v>
      </c>
      <c r="D268">
        <v>13835</v>
      </c>
      <c r="E268">
        <v>13835</v>
      </c>
      <c r="F268">
        <v>13820</v>
      </c>
      <c r="G268">
        <v>13825</v>
      </c>
      <c r="H268">
        <v>20513</v>
      </c>
    </row>
    <row r="269" spans="1:8" x14ac:dyDescent="0.3">
      <c r="A269" s="3" t="s">
        <v>310</v>
      </c>
      <c r="B269">
        <v>13689.325756006112</v>
      </c>
      <c r="C269">
        <v>13092.938260960131</v>
      </c>
      <c r="D269">
        <v>13830</v>
      </c>
      <c r="E269">
        <v>13835</v>
      </c>
      <c r="F269">
        <v>13830</v>
      </c>
      <c r="G269">
        <v>13835</v>
      </c>
      <c r="H269">
        <v>4230</v>
      </c>
    </row>
    <row r="270" spans="1:8" x14ac:dyDescent="0.3">
      <c r="A270" s="3" t="s">
        <v>311</v>
      </c>
      <c r="B270">
        <v>13690.264720957217</v>
      </c>
      <c r="C270">
        <v>13092.008368134157</v>
      </c>
      <c r="D270">
        <v>13835</v>
      </c>
      <c r="E270">
        <v>13840</v>
      </c>
      <c r="F270">
        <v>13830</v>
      </c>
      <c r="G270">
        <v>13840</v>
      </c>
      <c r="H270">
        <v>28499</v>
      </c>
    </row>
    <row r="271" spans="1:8" x14ac:dyDescent="0.3">
      <c r="A271" s="3" t="s">
        <v>312</v>
      </c>
      <c r="B271">
        <v>13685.057829184036</v>
      </c>
      <c r="C271">
        <v>13097.164951774264</v>
      </c>
      <c r="D271">
        <v>13840</v>
      </c>
      <c r="E271">
        <v>13845</v>
      </c>
      <c r="F271">
        <v>13835</v>
      </c>
      <c r="G271">
        <v>13840</v>
      </c>
      <c r="H271">
        <v>17663</v>
      </c>
    </row>
    <row r="272" spans="1:8" x14ac:dyDescent="0.3">
      <c r="A272" s="3" t="s">
        <v>313</v>
      </c>
      <c r="B272">
        <v>13681.24927750526</v>
      </c>
      <c r="C272">
        <v>13100.936705852278</v>
      </c>
      <c r="D272">
        <v>13845</v>
      </c>
      <c r="E272">
        <v>13855</v>
      </c>
      <c r="F272">
        <v>13845</v>
      </c>
      <c r="G272">
        <v>13850</v>
      </c>
      <c r="H272">
        <v>24287</v>
      </c>
    </row>
    <row r="273" spans="1:8" x14ac:dyDescent="0.3">
      <c r="A273" s="3" t="s">
        <v>314</v>
      </c>
      <c r="B273">
        <v>13684.781622509698</v>
      </c>
      <c r="C273">
        <v>13097.438489785083</v>
      </c>
      <c r="D273">
        <v>13850</v>
      </c>
      <c r="E273">
        <v>13855</v>
      </c>
      <c r="F273">
        <v>13845</v>
      </c>
      <c r="G273">
        <v>13845</v>
      </c>
      <c r="H273">
        <v>8852</v>
      </c>
    </row>
    <row r="274" spans="1:8" x14ac:dyDescent="0.3">
      <c r="A274" s="3" t="s">
        <v>315</v>
      </c>
      <c r="B274">
        <v>13685.375355199047</v>
      </c>
      <c r="C274">
        <v>13096.850493643457</v>
      </c>
      <c r="D274">
        <v>13850</v>
      </c>
      <c r="E274">
        <v>13850</v>
      </c>
      <c r="F274">
        <v>13830</v>
      </c>
      <c r="G274">
        <v>13835</v>
      </c>
      <c r="H274">
        <v>15805</v>
      </c>
    </row>
    <row r="275" spans="1:8" x14ac:dyDescent="0.3">
      <c r="A275" s="3" t="s">
        <v>316</v>
      </c>
      <c r="B275">
        <v>13691.731517948465</v>
      </c>
      <c r="C275">
        <v>13090.555743094514</v>
      </c>
      <c r="D275">
        <v>13835</v>
      </c>
      <c r="E275">
        <v>13840</v>
      </c>
      <c r="F275">
        <v>13825</v>
      </c>
      <c r="G275">
        <v>13830</v>
      </c>
      <c r="H275">
        <v>3472</v>
      </c>
    </row>
    <row r="276" spans="1:8" x14ac:dyDescent="0.3">
      <c r="A276" s="3" t="s">
        <v>317</v>
      </c>
      <c r="B276">
        <v>13691.296862703632</v>
      </c>
      <c r="C276">
        <v>13090.986198771765</v>
      </c>
      <c r="D276">
        <v>13830</v>
      </c>
      <c r="E276">
        <v>13840</v>
      </c>
      <c r="F276">
        <v>13830</v>
      </c>
      <c r="G276">
        <v>13835</v>
      </c>
      <c r="H276">
        <v>6863</v>
      </c>
    </row>
    <row r="277" spans="1:8" x14ac:dyDescent="0.3">
      <c r="A277" s="3" t="s">
        <v>318</v>
      </c>
      <c r="B277">
        <v>13693.959433629663</v>
      </c>
      <c r="C277">
        <v>13088.349353168691</v>
      </c>
      <c r="D277">
        <v>13835</v>
      </c>
      <c r="E277">
        <v>13840</v>
      </c>
      <c r="F277">
        <v>13825</v>
      </c>
      <c r="G277">
        <v>13830</v>
      </c>
      <c r="H277">
        <v>4305</v>
      </c>
    </row>
    <row r="278" spans="1:8" x14ac:dyDescent="0.3">
      <c r="A278" s="3" t="s">
        <v>319</v>
      </c>
      <c r="B278">
        <v>13695.209495087376</v>
      </c>
      <c r="C278">
        <v>13087.111369599457</v>
      </c>
      <c r="D278">
        <v>13830</v>
      </c>
      <c r="E278">
        <v>13835</v>
      </c>
      <c r="F278">
        <v>13830</v>
      </c>
      <c r="G278">
        <v>13835</v>
      </c>
      <c r="H278">
        <v>2009</v>
      </c>
    </row>
    <row r="279" spans="1:8" x14ac:dyDescent="0.3">
      <c r="A279" s="3" t="s">
        <v>320</v>
      </c>
      <c r="B279">
        <v>13687.39732275757</v>
      </c>
      <c r="C279">
        <v>13094.848062003375</v>
      </c>
      <c r="D279">
        <v>13835</v>
      </c>
      <c r="E279">
        <v>13845</v>
      </c>
      <c r="F279">
        <v>13830</v>
      </c>
      <c r="G279">
        <v>13845</v>
      </c>
      <c r="H279">
        <v>1489</v>
      </c>
    </row>
    <row r="280" spans="1:8" x14ac:dyDescent="0.3">
      <c r="A280" s="3" t="s">
        <v>321</v>
      </c>
      <c r="B280">
        <v>13685.708756779499</v>
      </c>
      <c r="C280">
        <v>13096.520313334311</v>
      </c>
      <c r="D280">
        <v>13835</v>
      </c>
      <c r="E280">
        <v>13845</v>
      </c>
      <c r="F280">
        <v>13835</v>
      </c>
      <c r="G280">
        <v>13845</v>
      </c>
      <c r="H280">
        <v>944</v>
      </c>
    </row>
    <row r="281" spans="1:8" x14ac:dyDescent="0.3">
      <c r="A281" s="3" t="s">
        <v>322</v>
      </c>
      <c r="B281">
        <v>13690.597100848439</v>
      </c>
      <c r="C281">
        <v>13091.679199642849</v>
      </c>
      <c r="D281">
        <v>13840</v>
      </c>
      <c r="E281">
        <v>13845</v>
      </c>
      <c r="F281">
        <v>13835</v>
      </c>
      <c r="G281">
        <v>13845</v>
      </c>
      <c r="H281">
        <v>7337</v>
      </c>
    </row>
    <row r="282" spans="1:8" x14ac:dyDescent="0.3">
      <c r="A282" s="3" t="s">
        <v>323</v>
      </c>
      <c r="B282">
        <v>13687.385201054078</v>
      </c>
      <c r="C282">
        <v>13094.860066588957</v>
      </c>
      <c r="D282">
        <v>13840</v>
      </c>
      <c r="E282">
        <v>13845</v>
      </c>
      <c r="F282">
        <v>13835</v>
      </c>
      <c r="G282">
        <v>13835</v>
      </c>
      <c r="H282">
        <v>4075</v>
      </c>
    </row>
    <row r="283" spans="1:8" x14ac:dyDescent="0.3">
      <c r="A283" s="3" t="s">
        <v>324</v>
      </c>
      <c r="B283">
        <v>13682.447275078504</v>
      </c>
      <c r="C283">
        <v>13099.750283134814</v>
      </c>
      <c r="D283">
        <v>13835</v>
      </c>
      <c r="E283">
        <v>13840</v>
      </c>
      <c r="F283">
        <v>13825</v>
      </c>
      <c r="G283">
        <v>13830</v>
      </c>
      <c r="H283">
        <v>10576</v>
      </c>
    </row>
    <row r="284" spans="1:8" x14ac:dyDescent="0.3">
      <c r="A284" s="3" t="s">
        <v>325</v>
      </c>
      <c r="B284">
        <v>13682.561071210626</v>
      </c>
      <c r="C284">
        <v>13099.637586482231</v>
      </c>
      <c r="D284">
        <v>13830</v>
      </c>
      <c r="E284">
        <v>13840</v>
      </c>
      <c r="F284">
        <v>13825</v>
      </c>
      <c r="G284">
        <v>13840</v>
      </c>
      <c r="H284">
        <v>5428</v>
      </c>
    </row>
    <row r="285" spans="1:8" x14ac:dyDescent="0.3">
      <c r="A285" s="3" t="s">
        <v>326</v>
      </c>
      <c r="B285">
        <v>13683.388224070677</v>
      </c>
      <c r="C285">
        <v>13098.818425437254</v>
      </c>
      <c r="D285">
        <v>13840</v>
      </c>
      <c r="E285">
        <v>13840</v>
      </c>
      <c r="F285">
        <v>13835</v>
      </c>
      <c r="G285">
        <v>13840</v>
      </c>
      <c r="H285">
        <v>4772</v>
      </c>
    </row>
    <row r="286" spans="1:8" x14ac:dyDescent="0.3">
      <c r="A286" s="3" t="s">
        <v>327</v>
      </c>
      <c r="B286">
        <v>13681.456205993249</v>
      </c>
      <c r="C286">
        <v>13100.731776673352</v>
      </c>
      <c r="D286">
        <v>13840</v>
      </c>
      <c r="E286">
        <v>13840</v>
      </c>
      <c r="F286">
        <v>13835</v>
      </c>
      <c r="G286">
        <v>13840</v>
      </c>
      <c r="H286">
        <v>15274</v>
      </c>
    </row>
    <row r="287" spans="1:8" x14ac:dyDescent="0.3">
      <c r="A287" s="3" t="s">
        <v>328</v>
      </c>
      <c r="B287">
        <v>13671.21712103225</v>
      </c>
      <c r="C287">
        <v>13110.87193327724</v>
      </c>
      <c r="D287">
        <v>13835</v>
      </c>
      <c r="E287">
        <v>13850</v>
      </c>
      <c r="F287">
        <v>13835</v>
      </c>
      <c r="G287">
        <v>13845</v>
      </c>
      <c r="H287">
        <v>9115</v>
      </c>
    </row>
    <row r="288" spans="1:8" x14ac:dyDescent="0.3">
      <c r="A288" s="3" t="s">
        <v>329</v>
      </c>
      <c r="B288">
        <v>13682.794400402796</v>
      </c>
      <c r="C288">
        <v>13099.40651167839</v>
      </c>
      <c r="D288">
        <v>13845</v>
      </c>
      <c r="E288">
        <v>13845</v>
      </c>
      <c r="F288">
        <v>13835</v>
      </c>
      <c r="G288">
        <v>13845</v>
      </c>
      <c r="H288">
        <v>19016</v>
      </c>
    </row>
    <row r="289" spans="1:8" x14ac:dyDescent="0.3">
      <c r="A289" s="3" t="s">
        <v>330</v>
      </c>
      <c r="B289">
        <v>13678.408468197102</v>
      </c>
      <c r="C289">
        <v>13103.750067727507</v>
      </c>
      <c r="D289">
        <v>13840</v>
      </c>
      <c r="E289">
        <v>13850</v>
      </c>
      <c r="F289">
        <v>13835</v>
      </c>
      <c r="G289">
        <v>13835</v>
      </c>
      <c r="H289">
        <v>21899</v>
      </c>
    </row>
    <row r="290" spans="1:8" x14ac:dyDescent="0.3">
      <c r="A290" s="3" t="s">
        <v>331</v>
      </c>
      <c r="B290">
        <v>13679.588679742976</v>
      </c>
      <c r="C290">
        <v>13102.58125919174</v>
      </c>
      <c r="D290">
        <v>13840</v>
      </c>
      <c r="E290">
        <v>13845</v>
      </c>
      <c r="F290">
        <v>13835</v>
      </c>
      <c r="G290">
        <v>13835</v>
      </c>
      <c r="H290">
        <v>5863</v>
      </c>
    </row>
    <row r="291" spans="1:8" x14ac:dyDescent="0.3">
      <c r="A291" s="3" t="s">
        <v>332</v>
      </c>
      <c r="B291">
        <v>13680.340320113064</v>
      </c>
      <c r="C291">
        <v>13101.836881047449</v>
      </c>
      <c r="D291">
        <v>13835</v>
      </c>
      <c r="E291">
        <v>13845</v>
      </c>
      <c r="F291">
        <v>13835</v>
      </c>
      <c r="G291">
        <v>13845</v>
      </c>
      <c r="H291">
        <v>2431</v>
      </c>
    </row>
    <row r="292" spans="1:8" x14ac:dyDescent="0.3">
      <c r="A292" s="3" t="s">
        <v>333</v>
      </c>
      <c r="B292">
        <v>13677.311050981443</v>
      </c>
      <c r="C292">
        <v>13104.83688187828</v>
      </c>
      <c r="D292">
        <v>13850</v>
      </c>
      <c r="E292">
        <v>13865</v>
      </c>
      <c r="F292">
        <v>13850</v>
      </c>
      <c r="G292">
        <v>13850</v>
      </c>
      <c r="H292">
        <v>30155</v>
      </c>
    </row>
    <row r="293" spans="1:8" x14ac:dyDescent="0.3">
      <c r="A293" s="3" t="s">
        <v>334</v>
      </c>
      <c r="B293">
        <v>13682.283788448523</v>
      </c>
      <c r="C293">
        <v>13099.91219018383</v>
      </c>
      <c r="D293">
        <v>13855</v>
      </c>
      <c r="E293">
        <v>13855</v>
      </c>
      <c r="F293">
        <v>13840</v>
      </c>
      <c r="G293">
        <v>13845</v>
      </c>
      <c r="H293">
        <v>5556</v>
      </c>
    </row>
    <row r="294" spans="1:8" x14ac:dyDescent="0.3">
      <c r="A294" s="3" t="s">
        <v>335</v>
      </c>
      <c r="B294">
        <v>13680.448973111814</v>
      </c>
      <c r="C294">
        <v>13101.729277836124</v>
      </c>
      <c r="D294">
        <v>13840</v>
      </c>
      <c r="E294">
        <v>13840</v>
      </c>
      <c r="F294">
        <v>13840</v>
      </c>
      <c r="G294">
        <v>13840</v>
      </c>
      <c r="H294">
        <v>786</v>
      </c>
    </row>
    <row r="295" spans="1:8" x14ac:dyDescent="0.3">
      <c r="A295" s="3" t="s">
        <v>336</v>
      </c>
      <c r="B295">
        <v>13677.759190700564</v>
      </c>
      <c r="C295">
        <v>13104.393072011519</v>
      </c>
      <c r="D295">
        <v>13845</v>
      </c>
      <c r="E295">
        <v>13845</v>
      </c>
      <c r="F295">
        <v>13840</v>
      </c>
      <c r="G295">
        <v>13845</v>
      </c>
      <c r="H295">
        <v>467</v>
      </c>
    </row>
    <row r="296" spans="1:8" x14ac:dyDescent="0.3">
      <c r="A296" s="3" t="s">
        <v>337</v>
      </c>
      <c r="B296">
        <v>13677.666361430423</v>
      </c>
      <c r="C296">
        <v>13104.485004380498</v>
      </c>
      <c r="D296">
        <v>13840</v>
      </c>
      <c r="E296">
        <v>13850</v>
      </c>
      <c r="F296">
        <v>13840</v>
      </c>
      <c r="G296">
        <v>13845</v>
      </c>
      <c r="H296">
        <v>3708</v>
      </c>
    </row>
    <row r="297" spans="1:8" x14ac:dyDescent="0.3">
      <c r="A297" s="3" t="s">
        <v>338</v>
      </c>
      <c r="B297">
        <v>13678.790456630291</v>
      </c>
      <c r="C297">
        <v>13103.371770003816</v>
      </c>
      <c r="D297">
        <v>13845</v>
      </c>
      <c r="E297">
        <v>13850</v>
      </c>
      <c r="F297">
        <v>13845</v>
      </c>
      <c r="G297">
        <v>13845</v>
      </c>
      <c r="H297">
        <v>16865</v>
      </c>
    </row>
    <row r="298" spans="1:8" x14ac:dyDescent="0.3">
      <c r="A298" s="3" t="s">
        <v>339</v>
      </c>
      <c r="B298">
        <v>13677.676637344415</v>
      </c>
      <c r="C298">
        <v>13104.474827750701</v>
      </c>
      <c r="D298">
        <v>13850</v>
      </c>
      <c r="E298">
        <v>13860</v>
      </c>
      <c r="F298">
        <v>13850</v>
      </c>
      <c r="G298">
        <v>13860</v>
      </c>
      <c r="H298">
        <v>8910</v>
      </c>
    </row>
    <row r="299" spans="1:8" x14ac:dyDescent="0.3">
      <c r="A299" s="3" t="s">
        <v>340</v>
      </c>
      <c r="B299">
        <v>13676.951337945233</v>
      </c>
      <c r="C299">
        <v>13105.19311942622</v>
      </c>
      <c r="D299">
        <v>13855</v>
      </c>
      <c r="E299">
        <v>13860</v>
      </c>
      <c r="F299">
        <v>13850</v>
      </c>
      <c r="G299">
        <v>13855</v>
      </c>
      <c r="H299">
        <v>17753</v>
      </c>
    </row>
    <row r="300" spans="1:8" x14ac:dyDescent="0.3">
      <c r="A300" s="3" t="s">
        <v>341</v>
      </c>
      <c r="B300">
        <v>13681.311246071371</v>
      </c>
      <c r="C300">
        <v>13100.875336016275</v>
      </c>
      <c r="D300">
        <v>13855</v>
      </c>
      <c r="E300">
        <v>13860</v>
      </c>
      <c r="F300">
        <v>13850</v>
      </c>
      <c r="G300">
        <v>13860</v>
      </c>
      <c r="H300">
        <v>9674</v>
      </c>
    </row>
    <row r="301" spans="1:8" x14ac:dyDescent="0.3">
      <c r="A301" s="3" t="s">
        <v>342</v>
      </c>
      <c r="B301">
        <v>13682.109556500169</v>
      </c>
      <c r="C301">
        <v>13100.084738731717</v>
      </c>
      <c r="D301">
        <v>13865</v>
      </c>
      <c r="E301">
        <v>13865</v>
      </c>
      <c r="F301">
        <v>13845</v>
      </c>
      <c r="G301">
        <v>13845</v>
      </c>
      <c r="H301">
        <v>26589</v>
      </c>
    </row>
    <row r="302" spans="1:8" x14ac:dyDescent="0.3">
      <c r="A302" s="3" t="s">
        <v>343</v>
      </c>
      <c r="B302">
        <v>13681.773234887081</v>
      </c>
      <c r="C302">
        <v>13100.417810860619</v>
      </c>
      <c r="D302">
        <v>13850</v>
      </c>
      <c r="E302">
        <v>13850</v>
      </c>
      <c r="F302">
        <v>13835</v>
      </c>
      <c r="G302">
        <v>13835</v>
      </c>
      <c r="H302">
        <v>20390</v>
      </c>
    </row>
    <row r="303" spans="1:8" x14ac:dyDescent="0.3">
      <c r="A303" s="3" t="s">
        <v>344</v>
      </c>
      <c r="B303">
        <v>13685.114322981886</v>
      </c>
      <c r="C303">
        <v>13097.109003810208</v>
      </c>
      <c r="D303">
        <v>13840</v>
      </c>
      <c r="E303">
        <v>13840</v>
      </c>
      <c r="F303">
        <v>13800</v>
      </c>
      <c r="G303">
        <v>13805</v>
      </c>
      <c r="H303">
        <v>109081</v>
      </c>
    </row>
    <row r="304" spans="1:8" x14ac:dyDescent="0.3">
      <c r="A304" s="3" t="s">
        <v>345</v>
      </c>
      <c r="B304">
        <v>13680.42838253704</v>
      </c>
      <c r="C304">
        <v>13101.74966946815</v>
      </c>
      <c r="D304">
        <v>13810</v>
      </c>
      <c r="E304">
        <v>13810</v>
      </c>
      <c r="F304">
        <v>13790</v>
      </c>
      <c r="G304">
        <v>13795</v>
      </c>
      <c r="H304">
        <v>171264</v>
      </c>
    </row>
    <row r="305" spans="1:8" x14ac:dyDescent="0.3">
      <c r="A305" s="3" t="s">
        <v>346</v>
      </c>
      <c r="B305">
        <v>13683.167065006712</v>
      </c>
      <c r="C305">
        <v>13099.037447698669</v>
      </c>
      <c r="D305">
        <v>13800</v>
      </c>
      <c r="E305">
        <v>13810</v>
      </c>
      <c r="F305">
        <v>13790</v>
      </c>
      <c r="G305">
        <v>13810</v>
      </c>
      <c r="H305">
        <v>37866</v>
      </c>
    </row>
    <row r="306" spans="1:8" x14ac:dyDescent="0.3">
      <c r="A306" s="3" t="s">
        <v>347</v>
      </c>
      <c r="B306">
        <v>13684.570685919425</v>
      </c>
      <c r="C306">
        <v>13097.647388340667</v>
      </c>
      <c r="D306">
        <v>13805</v>
      </c>
      <c r="E306">
        <v>13825</v>
      </c>
      <c r="F306">
        <v>13805</v>
      </c>
      <c r="G306">
        <v>13825</v>
      </c>
      <c r="H306">
        <v>13485</v>
      </c>
    </row>
    <row r="307" spans="1:8" x14ac:dyDescent="0.3">
      <c r="A307" s="3" t="s">
        <v>348</v>
      </c>
      <c r="B307">
        <v>13685.075001994244</v>
      </c>
      <c r="C307">
        <v>13097.147944884926</v>
      </c>
      <c r="D307">
        <v>13820</v>
      </c>
      <c r="E307">
        <v>13835</v>
      </c>
      <c r="F307">
        <v>13815</v>
      </c>
      <c r="G307">
        <v>13830</v>
      </c>
      <c r="H307">
        <v>25479</v>
      </c>
    </row>
    <row r="308" spans="1:8" x14ac:dyDescent="0.3">
      <c r="A308" s="3" t="s">
        <v>349</v>
      </c>
      <c r="B308">
        <v>13687.742748245093</v>
      </c>
      <c r="C308">
        <v>13094.505973960175</v>
      </c>
      <c r="D308">
        <v>13830</v>
      </c>
      <c r="E308">
        <v>13840</v>
      </c>
      <c r="F308">
        <v>13830</v>
      </c>
      <c r="G308">
        <v>13840</v>
      </c>
      <c r="H308">
        <v>26788</v>
      </c>
    </row>
    <row r="309" spans="1:8" x14ac:dyDescent="0.3">
      <c r="A309" s="3" t="s">
        <v>350</v>
      </c>
      <c r="B309">
        <v>13688.952280071089</v>
      </c>
      <c r="C309">
        <v>13093.308128432012</v>
      </c>
      <c r="D309">
        <v>13835</v>
      </c>
      <c r="E309">
        <v>13850</v>
      </c>
      <c r="F309">
        <v>13835</v>
      </c>
      <c r="G309">
        <v>13845</v>
      </c>
      <c r="H309">
        <v>25348</v>
      </c>
    </row>
    <row r="310" spans="1:8" x14ac:dyDescent="0.3">
      <c r="A310" s="3" t="s">
        <v>351</v>
      </c>
      <c r="B310">
        <v>13686.624501359272</v>
      </c>
      <c r="C310">
        <v>13095.613416528258</v>
      </c>
      <c r="D310">
        <v>13845</v>
      </c>
      <c r="E310">
        <v>13850</v>
      </c>
      <c r="F310">
        <v>13835</v>
      </c>
      <c r="G310">
        <v>13840</v>
      </c>
      <c r="H310">
        <v>29838</v>
      </c>
    </row>
    <row r="311" spans="1:8" x14ac:dyDescent="0.3">
      <c r="A311" s="3" t="s">
        <v>352</v>
      </c>
      <c r="B311">
        <v>13687.116231315695</v>
      </c>
      <c r="C311">
        <v>13095.126437585906</v>
      </c>
      <c r="D311">
        <v>13835</v>
      </c>
      <c r="E311">
        <v>13845</v>
      </c>
      <c r="F311">
        <v>13820</v>
      </c>
      <c r="G311">
        <v>13820</v>
      </c>
      <c r="H311">
        <v>9710</v>
      </c>
    </row>
    <row r="312" spans="1:8" x14ac:dyDescent="0.3">
      <c r="A312" s="3" t="s">
        <v>353</v>
      </c>
      <c r="B312">
        <v>13684.453270221322</v>
      </c>
      <c r="C312">
        <v>13097.763669587581</v>
      </c>
      <c r="D312">
        <v>13825</v>
      </c>
      <c r="E312">
        <v>13825</v>
      </c>
      <c r="F312">
        <v>13815</v>
      </c>
      <c r="G312">
        <v>13820</v>
      </c>
      <c r="H312">
        <v>2670</v>
      </c>
    </row>
    <row r="313" spans="1:8" x14ac:dyDescent="0.3">
      <c r="A313" s="3" t="s">
        <v>354</v>
      </c>
      <c r="B313">
        <v>13690.830582199731</v>
      </c>
      <c r="C313">
        <v>13091.447974150025</v>
      </c>
      <c r="D313">
        <v>13825</v>
      </c>
      <c r="E313">
        <v>13835</v>
      </c>
      <c r="F313">
        <v>13820</v>
      </c>
      <c r="G313">
        <v>13830</v>
      </c>
      <c r="H313">
        <v>7594</v>
      </c>
    </row>
    <row r="314" spans="1:8" x14ac:dyDescent="0.3">
      <c r="A314" s="3" t="s">
        <v>355</v>
      </c>
      <c r="B314">
        <v>13690.561173467249</v>
      </c>
      <c r="C314">
        <v>13091.714779899581</v>
      </c>
      <c r="D314">
        <v>13830</v>
      </c>
      <c r="E314">
        <v>13845</v>
      </c>
      <c r="F314">
        <v>13830</v>
      </c>
      <c r="G314">
        <v>13845</v>
      </c>
      <c r="H314">
        <v>7003</v>
      </c>
    </row>
    <row r="315" spans="1:8" x14ac:dyDescent="0.3">
      <c r="A315" s="3" t="s">
        <v>356</v>
      </c>
      <c r="B315">
        <v>13687.835593413938</v>
      </c>
      <c r="C315">
        <v>13094.414025846099</v>
      </c>
      <c r="D315">
        <v>13840</v>
      </c>
      <c r="E315">
        <v>13850</v>
      </c>
      <c r="F315">
        <v>13830</v>
      </c>
      <c r="G315">
        <v>13830</v>
      </c>
      <c r="H315">
        <v>8701</v>
      </c>
    </row>
    <row r="316" spans="1:8" x14ac:dyDescent="0.3">
      <c r="A316" s="3" t="s">
        <v>357</v>
      </c>
      <c r="B316">
        <v>13690.114467763686</v>
      </c>
      <c r="C316">
        <v>13092.157169606011</v>
      </c>
      <c r="D316">
        <v>13835</v>
      </c>
      <c r="E316">
        <v>13850</v>
      </c>
      <c r="F316">
        <v>13835</v>
      </c>
      <c r="G316">
        <v>13840</v>
      </c>
      <c r="H316">
        <v>15955</v>
      </c>
    </row>
    <row r="317" spans="1:8" x14ac:dyDescent="0.3">
      <c r="A317" s="3" t="s">
        <v>358</v>
      </c>
      <c r="B317">
        <v>13692.238017455233</v>
      </c>
      <c r="C317">
        <v>13090.054137302786</v>
      </c>
      <c r="D317">
        <v>13845</v>
      </c>
      <c r="E317">
        <v>13850</v>
      </c>
      <c r="F317">
        <v>13840</v>
      </c>
      <c r="G317">
        <v>13845</v>
      </c>
      <c r="H317">
        <v>20766</v>
      </c>
    </row>
    <row r="318" spans="1:8" x14ac:dyDescent="0.3">
      <c r="A318" s="3" t="s">
        <v>359</v>
      </c>
      <c r="B318">
        <v>13691.688065097485</v>
      </c>
      <c r="C318">
        <v>13090.598776111186</v>
      </c>
      <c r="D318">
        <v>13845</v>
      </c>
      <c r="E318">
        <v>13860</v>
      </c>
      <c r="F318">
        <v>13845</v>
      </c>
      <c r="G318">
        <v>13845</v>
      </c>
      <c r="H318">
        <v>27934</v>
      </c>
    </row>
    <row r="319" spans="1:8" x14ac:dyDescent="0.3">
      <c r="A319" s="3" t="s">
        <v>360</v>
      </c>
      <c r="B319">
        <v>13694.545993795295</v>
      </c>
      <c r="C319">
        <v>13087.768460251034</v>
      </c>
      <c r="D319">
        <v>13850</v>
      </c>
      <c r="E319">
        <v>13855</v>
      </c>
      <c r="F319">
        <v>13850</v>
      </c>
      <c r="G319">
        <v>13855</v>
      </c>
      <c r="H319">
        <v>2551</v>
      </c>
    </row>
    <row r="320" spans="1:8" x14ac:dyDescent="0.3">
      <c r="A320" s="3" t="s">
        <v>361</v>
      </c>
      <c r="B320">
        <v>13691.965886015039</v>
      </c>
      <c r="C320">
        <v>13090.323639453707</v>
      </c>
      <c r="D320">
        <v>13855</v>
      </c>
      <c r="E320">
        <v>13860</v>
      </c>
      <c r="F320">
        <v>13835</v>
      </c>
      <c r="G320">
        <v>13845</v>
      </c>
      <c r="H320">
        <v>31479</v>
      </c>
    </row>
    <row r="321" spans="1:8" x14ac:dyDescent="0.3">
      <c r="A321" s="3" t="s">
        <v>362</v>
      </c>
      <c r="B321">
        <v>13690.882614478243</v>
      </c>
      <c r="C321">
        <v>13091.39644459884</v>
      </c>
      <c r="D321">
        <v>13845</v>
      </c>
      <c r="E321">
        <v>13845</v>
      </c>
      <c r="F321">
        <v>13825</v>
      </c>
      <c r="G321">
        <v>13825</v>
      </c>
      <c r="H321">
        <v>18810</v>
      </c>
    </row>
    <row r="322" spans="1:8" x14ac:dyDescent="0.3">
      <c r="A322" s="3" t="s">
        <v>363</v>
      </c>
      <c r="B322">
        <v>13690.414773074875</v>
      </c>
      <c r="C322">
        <v>13091.859765795411</v>
      </c>
      <c r="D322">
        <v>13825</v>
      </c>
      <c r="E322">
        <v>13830</v>
      </c>
      <c r="F322">
        <v>13810</v>
      </c>
      <c r="G322">
        <v>13830</v>
      </c>
      <c r="H322">
        <v>103887</v>
      </c>
    </row>
    <row r="323" spans="1:8" x14ac:dyDescent="0.3">
      <c r="A323" s="3" t="s">
        <v>364</v>
      </c>
      <c r="B323">
        <v>13690.956917304458</v>
      </c>
      <c r="C323">
        <v>13091.322859674328</v>
      </c>
      <c r="D323">
        <v>13830</v>
      </c>
      <c r="E323">
        <v>13855</v>
      </c>
      <c r="F323">
        <v>13830</v>
      </c>
      <c r="G323">
        <v>13855</v>
      </c>
      <c r="H323">
        <v>33785</v>
      </c>
    </row>
    <row r="324" spans="1:8" x14ac:dyDescent="0.3">
      <c r="A324" s="3" t="s">
        <v>365</v>
      </c>
      <c r="B324">
        <v>13691.058914475354</v>
      </c>
      <c r="C324">
        <v>13091.221847983346</v>
      </c>
      <c r="D324">
        <v>13855</v>
      </c>
      <c r="E324">
        <v>13870</v>
      </c>
      <c r="F324">
        <v>13850</v>
      </c>
      <c r="G324">
        <v>13850</v>
      </c>
      <c r="H324">
        <v>80285</v>
      </c>
    </row>
    <row r="325" spans="1:8" x14ac:dyDescent="0.3">
      <c r="A325" s="3" t="s">
        <v>366</v>
      </c>
      <c r="B325">
        <v>13696.496477013165</v>
      </c>
      <c r="C325">
        <v>13085.83682228165</v>
      </c>
      <c r="D325">
        <v>13850</v>
      </c>
      <c r="E325">
        <v>13860</v>
      </c>
      <c r="F325">
        <v>13850</v>
      </c>
      <c r="G325">
        <v>13850</v>
      </c>
      <c r="H325">
        <v>5438</v>
      </c>
    </row>
    <row r="326" spans="1:8" x14ac:dyDescent="0.3">
      <c r="A326" s="3" t="s">
        <v>367</v>
      </c>
      <c r="B326">
        <v>13698.517701530662</v>
      </c>
      <c r="C326">
        <v>13083.835126503453</v>
      </c>
      <c r="D326">
        <v>13845</v>
      </c>
      <c r="E326">
        <v>13850</v>
      </c>
      <c r="F326">
        <v>13840</v>
      </c>
      <c r="G326">
        <v>13845</v>
      </c>
      <c r="H326">
        <v>2215</v>
      </c>
    </row>
    <row r="327" spans="1:8" x14ac:dyDescent="0.3">
      <c r="A327" s="3" t="s">
        <v>368</v>
      </c>
      <c r="B327">
        <v>13702.882487366502</v>
      </c>
      <c r="C327">
        <v>13079.512512511435</v>
      </c>
      <c r="D327">
        <v>13850</v>
      </c>
      <c r="E327">
        <v>13855</v>
      </c>
      <c r="F327">
        <v>13840</v>
      </c>
      <c r="G327">
        <v>13850</v>
      </c>
      <c r="H327">
        <v>7153</v>
      </c>
    </row>
    <row r="328" spans="1:8" x14ac:dyDescent="0.3">
      <c r="A328" s="3" t="s">
        <v>369</v>
      </c>
      <c r="B328">
        <v>13700.593948541289</v>
      </c>
      <c r="C328">
        <v>13081.778939850414</v>
      </c>
      <c r="D328">
        <v>13850</v>
      </c>
      <c r="E328">
        <v>13860</v>
      </c>
      <c r="F328">
        <v>13850</v>
      </c>
      <c r="G328">
        <v>13850</v>
      </c>
      <c r="H328">
        <v>13417</v>
      </c>
    </row>
    <row r="329" spans="1:8" x14ac:dyDescent="0.3">
      <c r="A329" s="3" t="s">
        <v>370</v>
      </c>
      <c r="B329">
        <v>13699.190414147315</v>
      </c>
      <c r="C329">
        <v>13083.168913525606</v>
      </c>
      <c r="D329">
        <v>13850</v>
      </c>
      <c r="E329">
        <v>13850</v>
      </c>
      <c r="F329">
        <v>13840</v>
      </c>
      <c r="G329">
        <v>13850</v>
      </c>
      <c r="H329">
        <v>3316</v>
      </c>
    </row>
    <row r="330" spans="1:8" x14ac:dyDescent="0.3">
      <c r="A330" s="3" t="s">
        <v>371</v>
      </c>
      <c r="B330">
        <v>13699.225227752479</v>
      </c>
      <c r="C330">
        <v>13083.134436283777</v>
      </c>
      <c r="D330">
        <v>13855</v>
      </c>
      <c r="E330">
        <v>13860</v>
      </c>
      <c r="F330">
        <v>13845</v>
      </c>
      <c r="G330">
        <v>13855</v>
      </c>
      <c r="H330">
        <v>22503</v>
      </c>
    </row>
    <row r="331" spans="1:8" x14ac:dyDescent="0.3">
      <c r="A331" s="3" t="s">
        <v>372</v>
      </c>
      <c r="B331">
        <v>13701.671301748609</v>
      </c>
      <c r="C331">
        <v>13080.711995852827</v>
      </c>
      <c r="D331">
        <v>13860</v>
      </c>
      <c r="E331">
        <v>13860</v>
      </c>
      <c r="F331">
        <v>13850</v>
      </c>
      <c r="G331">
        <v>13855</v>
      </c>
      <c r="H331">
        <v>5232</v>
      </c>
    </row>
    <row r="332" spans="1:8" x14ac:dyDescent="0.3">
      <c r="A332" s="3" t="s">
        <v>373</v>
      </c>
      <c r="B332">
        <v>13699.023481788741</v>
      </c>
      <c r="C332">
        <v>13083.33423301115</v>
      </c>
      <c r="D332">
        <v>13855</v>
      </c>
      <c r="E332">
        <v>13860</v>
      </c>
      <c r="F332">
        <v>13850</v>
      </c>
      <c r="G332">
        <v>13860</v>
      </c>
      <c r="H332">
        <v>9356</v>
      </c>
    </row>
    <row r="333" spans="1:8" x14ac:dyDescent="0.3">
      <c r="A333" s="3" t="s">
        <v>374</v>
      </c>
      <c r="B333">
        <v>13699.695766508754</v>
      </c>
      <c r="C333">
        <v>13082.668443795679</v>
      </c>
      <c r="D333">
        <v>13855</v>
      </c>
      <c r="E333">
        <v>13860</v>
      </c>
      <c r="F333">
        <v>13850</v>
      </c>
      <c r="G333">
        <v>13855</v>
      </c>
      <c r="H333">
        <v>20359</v>
      </c>
    </row>
    <row r="334" spans="1:8" x14ac:dyDescent="0.3">
      <c r="A334" s="3" t="s">
        <v>375</v>
      </c>
      <c r="B334">
        <v>13700.936435405263</v>
      </c>
      <c r="C334">
        <v>13081.439762038264</v>
      </c>
      <c r="D334">
        <v>13855</v>
      </c>
      <c r="E334">
        <v>13855</v>
      </c>
      <c r="F334">
        <v>13835</v>
      </c>
      <c r="G334">
        <v>13840</v>
      </c>
      <c r="H334">
        <v>49526</v>
      </c>
    </row>
    <row r="335" spans="1:8" x14ac:dyDescent="0.3">
      <c r="A335" s="3" t="s">
        <v>376</v>
      </c>
      <c r="B335">
        <v>13702.428195053566</v>
      </c>
      <c r="C335">
        <v>13079.962415526663</v>
      </c>
      <c r="D335">
        <v>13840</v>
      </c>
      <c r="E335">
        <v>13850</v>
      </c>
      <c r="F335">
        <v>13840</v>
      </c>
      <c r="G335">
        <v>13840</v>
      </c>
      <c r="H335">
        <v>26759</v>
      </c>
    </row>
    <row r="336" spans="1:8" x14ac:dyDescent="0.3">
      <c r="A336" s="3" t="s">
        <v>377</v>
      </c>
      <c r="B336">
        <v>13703.63367028573</v>
      </c>
      <c r="C336">
        <v>13078.76858739819</v>
      </c>
      <c r="D336">
        <v>13840</v>
      </c>
      <c r="E336">
        <v>13855</v>
      </c>
      <c r="F336">
        <v>13835</v>
      </c>
      <c r="G336">
        <v>13850</v>
      </c>
      <c r="H336">
        <v>21207</v>
      </c>
    </row>
    <row r="337" spans="1:8" x14ac:dyDescent="0.3">
      <c r="A337" s="3" t="s">
        <v>378</v>
      </c>
      <c r="B337">
        <v>13702.78676733025</v>
      </c>
      <c r="C337">
        <v>13079.60730771642</v>
      </c>
      <c r="D337">
        <v>13850</v>
      </c>
      <c r="E337">
        <v>13855</v>
      </c>
      <c r="F337">
        <v>13850</v>
      </c>
      <c r="G337">
        <v>13850</v>
      </c>
      <c r="H337">
        <v>22850</v>
      </c>
    </row>
    <row r="338" spans="1:8" x14ac:dyDescent="0.3">
      <c r="A338" s="3" t="s">
        <v>379</v>
      </c>
      <c r="B338">
        <v>13703.883502243891</v>
      </c>
      <c r="C338">
        <v>13078.521169275376</v>
      </c>
      <c r="D338">
        <v>13850</v>
      </c>
      <c r="E338">
        <v>13850</v>
      </c>
      <c r="F338">
        <v>13840</v>
      </c>
      <c r="G338">
        <v>13845</v>
      </c>
      <c r="H338">
        <v>36017</v>
      </c>
    </row>
    <row r="339" spans="1:8" x14ac:dyDescent="0.3">
      <c r="A339" s="3" t="s">
        <v>380</v>
      </c>
      <c r="B339">
        <v>13702.772617110211</v>
      </c>
      <c r="C339">
        <v>13079.621321219358</v>
      </c>
      <c r="D339">
        <v>13845</v>
      </c>
      <c r="E339">
        <v>13845</v>
      </c>
      <c r="F339">
        <v>13835</v>
      </c>
      <c r="G339">
        <v>13840</v>
      </c>
      <c r="H339">
        <v>22819</v>
      </c>
    </row>
    <row r="340" spans="1:8" x14ac:dyDescent="0.3">
      <c r="A340" s="3" t="s">
        <v>381</v>
      </c>
      <c r="B340">
        <v>13705.893669515162</v>
      </c>
      <c r="C340">
        <v>13076.530423910104</v>
      </c>
      <c r="D340">
        <v>13840</v>
      </c>
      <c r="E340">
        <v>13845</v>
      </c>
      <c r="F340">
        <v>13835</v>
      </c>
      <c r="G340">
        <v>13840</v>
      </c>
      <c r="H340">
        <v>21486</v>
      </c>
    </row>
    <row r="341" spans="1:8" x14ac:dyDescent="0.3">
      <c r="A341" s="3" t="s">
        <v>382</v>
      </c>
      <c r="B341">
        <v>13703.212997707329</v>
      </c>
      <c r="C341">
        <v>13079.185195507232</v>
      </c>
      <c r="D341">
        <v>13840</v>
      </c>
      <c r="E341">
        <v>13850</v>
      </c>
      <c r="F341">
        <v>13835</v>
      </c>
      <c r="G341">
        <v>13845</v>
      </c>
      <c r="H341">
        <v>7447</v>
      </c>
    </row>
    <row r="342" spans="1:8" x14ac:dyDescent="0.3">
      <c r="A342" s="3" t="s">
        <v>383</v>
      </c>
      <c r="B342">
        <v>13702.777704462767</v>
      </c>
      <c r="C342">
        <v>13079.616283019965</v>
      </c>
      <c r="D342">
        <v>13845</v>
      </c>
      <c r="E342">
        <v>13855</v>
      </c>
      <c r="F342">
        <v>13840</v>
      </c>
      <c r="G342">
        <v>13850</v>
      </c>
      <c r="H342">
        <v>13521</v>
      </c>
    </row>
    <row r="343" spans="1:8" x14ac:dyDescent="0.3">
      <c r="A343" s="3" t="s">
        <v>384</v>
      </c>
      <c r="B343">
        <v>13703.621159449285</v>
      </c>
      <c r="C343">
        <v>13078.78097735699</v>
      </c>
      <c r="D343">
        <v>13850</v>
      </c>
      <c r="E343">
        <v>13855</v>
      </c>
      <c r="F343">
        <v>13845</v>
      </c>
      <c r="G343">
        <v>13845</v>
      </c>
      <c r="H343">
        <v>16179</v>
      </c>
    </row>
    <row r="344" spans="1:8" x14ac:dyDescent="0.3">
      <c r="A344" s="3" t="s">
        <v>385</v>
      </c>
      <c r="B344">
        <v>13700.857314254798</v>
      </c>
      <c r="C344">
        <v>13081.518118733171</v>
      </c>
      <c r="D344">
        <v>13850</v>
      </c>
      <c r="E344">
        <v>13860</v>
      </c>
      <c r="F344">
        <v>13850</v>
      </c>
      <c r="G344">
        <v>13855</v>
      </c>
      <c r="H344">
        <v>9180</v>
      </c>
    </row>
    <row r="345" spans="1:8" x14ac:dyDescent="0.3">
      <c r="A345" s="3" t="s">
        <v>386</v>
      </c>
      <c r="B345">
        <v>13700.461099172981</v>
      </c>
      <c r="C345">
        <v>13081.910505649948</v>
      </c>
      <c r="D345">
        <v>13855</v>
      </c>
      <c r="E345">
        <v>13860</v>
      </c>
      <c r="F345">
        <v>13850</v>
      </c>
      <c r="G345">
        <v>13860</v>
      </c>
      <c r="H345">
        <v>10991</v>
      </c>
    </row>
    <row r="346" spans="1:8" x14ac:dyDescent="0.3">
      <c r="A346" s="3" t="s">
        <v>387</v>
      </c>
      <c r="B346">
        <v>13700.933720192261</v>
      </c>
      <c r="C346">
        <v>13081.442451017327</v>
      </c>
      <c r="D346">
        <v>13850</v>
      </c>
      <c r="E346">
        <v>13860</v>
      </c>
      <c r="F346">
        <v>13850</v>
      </c>
      <c r="G346">
        <v>13860</v>
      </c>
      <c r="H346">
        <v>4439</v>
      </c>
    </row>
    <row r="347" spans="1:8" x14ac:dyDescent="0.3">
      <c r="A347" s="3" t="s">
        <v>388</v>
      </c>
      <c r="B347">
        <v>13700.382614220392</v>
      </c>
      <c r="C347">
        <v>13081.988232293816</v>
      </c>
      <c r="D347">
        <v>13855</v>
      </c>
      <c r="E347">
        <v>13860</v>
      </c>
      <c r="F347">
        <v>13845</v>
      </c>
      <c r="G347">
        <v>13845</v>
      </c>
      <c r="H347">
        <v>15378</v>
      </c>
    </row>
    <row r="348" spans="1:8" x14ac:dyDescent="0.3">
      <c r="A348" s="3" t="s">
        <v>389</v>
      </c>
      <c r="B348">
        <v>13697.688753093084</v>
      </c>
      <c r="C348">
        <v>13084.656065777379</v>
      </c>
      <c r="D348">
        <v>13850</v>
      </c>
      <c r="E348">
        <v>13850</v>
      </c>
      <c r="F348">
        <v>13840</v>
      </c>
      <c r="G348">
        <v>13840</v>
      </c>
      <c r="H348">
        <v>6657</v>
      </c>
    </row>
    <row r="349" spans="1:8" x14ac:dyDescent="0.3">
      <c r="A349" s="3" t="s">
        <v>390</v>
      </c>
      <c r="B349">
        <v>13701.234772804179</v>
      </c>
      <c r="C349">
        <v>13081.144307126297</v>
      </c>
      <c r="D349">
        <v>13840</v>
      </c>
      <c r="E349">
        <v>13850</v>
      </c>
      <c r="F349">
        <v>13840</v>
      </c>
      <c r="G349">
        <v>13845</v>
      </c>
      <c r="H349">
        <v>6763</v>
      </c>
    </row>
    <row r="350" spans="1:8" x14ac:dyDescent="0.3">
      <c r="A350" s="3" t="s">
        <v>391</v>
      </c>
      <c r="B350">
        <v>13705.200605398746</v>
      </c>
      <c r="C350">
        <v>13077.216791754865</v>
      </c>
      <c r="D350">
        <v>13850</v>
      </c>
      <c r="E350">
        <v>13850</v>
      </c>
      <c r="F350">
        <v>13845</v>
      </c>
      <c r="G350">
        <v>13850</v>
      </c>
      <c r="H350">
        <v>10147</v>
      </c>
    </row>
    <row r="351" spans="1:8" x14ac:dyDescent="0.3">
      <c r="A351" s="3" t="s">
        <v>392</v>
      </c>
      <c r="B351">
        <v>13704.667206168037</v>
      </c>
      <c r="C351">
        <v>13077.745037369819</v>
      </c>
      <c r="D351">
        <v>13850</v>
      </c>
      <c r="E351">
        <v>13855</v>
      </c>
      <c r="F351">
        <v>13845</v>
      </c>
      <c r="G351">
        <v>13850</v>
      </c>
      <c r="H351">
        <v>1131</v>
      </c>
    </row>
    <row r="352" spans="1:8" x14ac:dyDescent="0.3">
      <c r="A352" s="3" t="s">
        <v>393</v>
      </c>
      <c r="B352">
        <v>13702.990355140093</v>
      </c>
      <c r="C352">
        <v>13079.405686938555</v>
      </c>
      <c r="D352">
        <v>13855</v>
      </c>
      <c r="E352">
        <v>13855</v>
      </c>
      <c r="F352">
        <v>13840</v>
      </c>
      <c r="G352">
        <v>13840</v>
      </c>
      <c r="H352">
        <v>20392</v>
      </c>
    </row>
    <row r="353" spans="1:8" x14ac:dyDescent="0.3">
      <c r="A353" s="3" t="s">
        <v>394</v>
      </c>
      <c r="B353">
        <v>13703.415352487773</v>
      </c>
      <c r="C353">
        <v>13078.984795845443</v>
      </c>
      <c r="D353">
        <v>13840</v>
      </c>
      <c r="E353">
        <v>13840</v>
      </c>
      <c r="F353">
        <v>13835</v>
      </c>
      <c r="G353">
        <v>13835</v>
      </c>
      <c r="H353">
        <v>38930</v>
      </c>
    </row>
    <row r="354" spans="1:8" x14ac:dyDescent="0.3">
      <c r="A354" s="3" t="s">
        <v>395</v>
      </c>
      <c r="B354">
        <v>13707.763863026885</v>
      </c>
      <c r="C354">
        <v>13074.678299900912</v>
      </c>
      <c r="D354">
        <v>13835</v>
      </c>
      <c r="E354">
        <v>13835</v>
      </c>
      <c r="F354">
        <v>13830</v>
      </c>
      <c r="G354">
        <v>13830</v>
      </c>
      <c r="H354">
        <v>63867</v>
      </c>
    </row>
    <row r="355" spans="1:8" x14ac:dyDescent="0.3">
      <c r="A355" s="3" t="s">
        <v>396</v>
      </c>
      <c r="B355">
        <v>13707.800653861514</v>
      </c>
      <c r="C355">
        <v>13074.641864533285</v>
      </c>
      <c r="D355">
        <v>13830</v>
      </c>
      <c r="E355">
        <v>13840</v>
      </c>
      <c r="F355">
        <v>13830</v>
      </c>
      <c r="G355">
        <v>13835</v>
      </c>
      <c r="H355">
        <v>23386</v>
      </c>
    </row>
    <row r="356" spans="1:8" x14ac:dyDescent="0.3">
      <c r="A356" s="3" t="s">
        <v>397</v>
      </c>
      <c r="B356">
        <v>13706.633546230923</v>
      </c>
      <c r="C356">
        <v>13075.797695761647</v>
      </c>
      <c r="D356">
        <v>13840</v>
      </c>
      <c r="E356">
        <v>13845</v>
      </c>
      <c r="F356">
        <v>13835</v>
      </c>
      <c r="G356">
        <v>13840</v>
      </c>
      <c r="H356">
        <v>8208</v>
      </c>
    </row>
    <row r="357" spans="1:8" x14ac:dyDescent="0.3">
      <c r="A357" s="3" t="s">
        <v>398</v>
      </c>
      <c r="B357">
        <v>13703.577135240737</v>
      </c>
      <c r="C357">
        <v>13078.824576210865</v>
      </c>
      <c r="D357">
        <v>13840</v>
      </c>
      <c r="E357">
        <v>13850</v>
      </c>
      <c r="F357">
        <v>13840</v>
      </c>
      <c r="G357">
        <v>13845</v>
      </c>
      <c r="H357">
        <v>8320</v>
      </c>
    </row>
    <row r="358" spans="1:8" x14ac:dyDescent="0.3">
      <c r="A358" s="3" t="s">
        <v>399</v>
      </c>
      <c r="B358">
        <v>13702.508259542847</v>
      </c>
      <c r="C358">
        <v>13079.883124607326</v>
      </c>
      <c r="D358">
        <v>13850</v>
      </c>
      <c r="E358">
        <v>13870</v>
      </c>
      <c r="F358">
        <v>13845</v>
      </c>
      <c r="G358">
        <v>13870</v>
      </c>
      <c r="H358">
        <v>76129</v>
      </c>
    </row>
    <row r="359" spans="1:8" x14ac:dyDescent="0.3">
      <c r="A359" s="3" t="s">
        <v>400</v>
      </c>
      <c r="B359">
        <v>13704.628348580043</v>
      </c>
      <c r="C359">
        <v>13077.783519522181</v>
      </c>
      <c r="D359">
        <v>13870</v>
      </c>
      <c r="E359">
        <v>13880</v>
      </c>
      <c r="F359">
        <v>13865</v>
      </c>
      <c r="G359">
        <v>13875</v>
      </c>
      <c r="H359">
        <v>82546</v>
      </c>
    </row>
    <row r="360" spans="1:8" x14ac:dyDescent="0.3">
      <c r="A360" s="3" t="s">
        <v>401</v>
      </c>
      <c r="B360">
        <v>13710.442718583077</v>
      </c>
      <c r="C360">
        <v>13072.025327007097</v>
      </c>
      <c r="D360">
        <v>13870</v>
      </c>
      <c r="E360">
        <v>13880</v>
      </c>
      <c r="F360">
        <v>13865</v>
      </c>
      <c r="G360">
        <v>13875</v>
      </c>
      <c r="H360">
        <v>32549</v>
      </c>
    </row>
    <row r="361" spans="1:8" x14ac:dyDescent="0.3">
      <c r="A361" s="3" t="s">
        <v>402</v>
      </c>
      <c r="B361">
        <v>13708.167062155022</v>
      </c>
      <c r="C361">
        <v>13074.278996416524</v>
      </c>
      <c r="D361">
        <v>13875</v>
      </c>
      <c r="E361">
        <v>13875</v>
      </c>
      <c r="F361">
        <v>13870</v>
      </c>
      <c r="G361">
        <v>13870</v>
      </c>
      <c r="H361">
        <v>17088</v>
      </c>
    </row>
    <row r="362" spans="1:8" x14ac:dyDescent="0.3">
      <c r="A362" s="3" t="s">
        <v>403</v>
      </c>
      <c r="B362">
        <v>13706.550091930179</v>
      </c>
      <c r="C362">
        <v>13075.88034374064</v>
      </c>
      <c r="D362">
        <v>13870</v>
      </c>
      <c r="E362">
        <v>13870</v>
      </c>
      <c r="F362">
        <v>13850</v>
      </c>
      <c r="G362">
        <v>13860</v>
      </c>
      <c r="H362">
        <v>17838</v>
      </c>
    </row>
    <row r="363" spans="1:8" x14ac:dyDescent="0.3">
      <c r="A363" s="3" t="s">
        <v>404</v>
      </c>
      <c r="B363">
        <v>13705.206569837617</v>
      </c>
      <c r="C363">
        <v>13077.210884943423</v>
      </c>
      <c r="D363">
        <v>13860</v>
      </c>
      <c r="E363">
        <v>13860</v>
      </c>
      <c r="F363">
        <v>13840</v>
      </c>
      <c r="G363">
        <v>13840</v>
      </c>
      <c r="H363">
        <v>25596</v>
      </c>
    </row>
    <row r="364" spans="1:8" x14ac:dyDescent="0.3">
      <c r="A364" s="3" t="s">
        <v>405</v>
      </c>
      <c r="B364">
        <v>13707.952951958634</v>
      </c>
      <c r="C364">
        <v>13074.491037915361</v>
      </c>
      <c r="D364">
        <v>13845</v>
      </c>
      <c r="E364">
        <v>13860</v>
      </c>
      <c r="F364">
        <v>13840</v>
      </c>
      <c r="G364">
        <v>13860</v>
      </c>
      <c r="H364">
        <v>19096</v>
      </c>
    </row>
    <row r="365" spans="1:8" x14ac:dyDescent="0.3">
      <c r="A365" s="3" t="s">
        <v>406</v>
      </c>
      <c r="B365">
        <v>13709.548845607587</v>
      </c>
      <c r="C365">
        <v>13072.910563528716</v>
      </c>
      <c r="D365">
        <v>13860</v>
      </c>
      <c r="E365">
        <v>13860</v>
      </c>
      <c r="F365">
        <v>13835</v>
      </c>
      <c r="G365">
        <v>13835</v>
      </c>
      <c r="H365">
        <v>41021</v>
      </c>
    </row>
    <row r="366" spans="1:8" x14ac:dyDescent="0.3">
      <c r="A366" s="3" t="s">
        <v>407</v>
      </c>
      <c r="B366">
        <v>13709.857163011904</v>
      </c>
      <c r="C366">
        <v>13072.605225036521</v>
      </c>
      <c r="D366">
        <v>13835</v>
      </c>
      <c r="E366">
        <v>13855</v>
      </c>
      <c r="F366">
        <v>13835</v>
      </c>
      <c r="G366">
        <v>13845</v>
      </c>
      <c r="H366">
        <v>22090</v>
      </c>
    </row>
    <row r="367" spans="1:8" x14ac:dyDescent="0.3">
      <c r="A367" s="3" t="s">
        <v>408</v>
      </c>
      <c r="B367">
        <v>13707.517209914138</v>
      </c>
      <c r="C367">
        <v>13074.922569891796</v>
      </c>
      <c r="D367">
        <v>13845</v>
      </c>
      <c r="E367">
        <v>13850</v>
      </c>
      <c r="F367">
        <v>13835</v>
      </c>
      <c r="G367">
        <v>13845</v>
      </c>
      <c r="H367">
        <v>36415</v>
      </c>
    </row>
    <row r="368" spans="1:8" x14ac:dyDescent="0.3">
      <c r="A368" s="3" t="s">
        <v>409</v>
      </c>
      <c r="B368">
        <v>13705.893080151391</v>
      </c>
      <c r="C368">
        <v>13076.531007579541</v>
      </c>
      <c r="D368">
        <v>13845</v>
      </c>
      <c r="E368">
        <v>13855</v>
      </c>
      <c r="F368">
        <v>13835</v>
      </c>
      <c r="G368">
        <v>13835</v>
      </c>
      <c r="H368">
        <v>18384</v>
      </c>
    </row>
    <row r="369" spans="1:8" x14ac:dyDescent="0.3">
      <c r="A369" s="3" t="s">
        <v>410</v>
      </c>
      <c r="B369">
        <v>13703.955178601002</v>
      </c>
      <c r="C369">
        <v>13078.450185443451</v>
      </c>
      <c r="D369">
        <v>13835</v>
      </c>
      <c r="E369">
        <v>13845</v>
      </c>
      <c r="F369">
        <v>13830</v>
      </c>
      <c r="G369">
        <v>13840</v>
      </c>
      <c r="H369">
        <v>14702</v>
      </c>
    </row>
    <row r="370" spans="1:8" x14ac:dyDescent="0.3">
      <c r="A370" s="3" t="s">
        <v>411</v>
      </c>
      <c r="B370">
        <v>13707.946698009848</v>
      </c>
      <c r="C370">
        <v>13074.497231439522</v>
      </c>
      <c r="D370">
        <v>13835</v>
      </c>
      <c r="E370">
        <v>13845</v>
      </c>
      <c r="F370">
        <v>13830</v>
      </c>
      <c r="G370">
        <v>13845</v>
      </c>
      <c r="H370">
        <v>34654</v>
      </c>
    </row>
    <row r="371" spans="1:8" x14ac:dyDescent="0.3">
      <c r="A371" s="3" t="s">
        <v>412</v>
      </c>
      <c r="B371">
        <v>13709.454641163222</v>
      </c>
      <c r="C371">
        <v>13073.003857785216</v>
      </c>
      <c r="D371">
        <v>13840</v>
      </c>
      <c r="E371">
        <v>13840</v>
      </c>
      <c r="F371">
        <v>13825</v>
      </c>
      <c r="G371">
        <v>13835</v>
      </c>
      <c r="H371">
        <v>66229</v>
      </c>
    </row>
    <row r="372" spans="1:8" x14ac:dyDescent="0.3">
      <c r="A372" s="3" t="s">
        <v>413</v>
      </c>
      <c r="B372">
        <v>13705.820177252512</v>
      </c>
      <c r="C372">
        <v>13076.603206102583</v>
      </c>
      <c r="D372">
        <v>13835</v>
      </c>
      <c r="E372">
        <v>13840</v>
      </c>
      <c r="F372">
        <v>13820</v>
      </c>
      <c r="G372">
        <v>13825</v>
      </c>
      <c r="H372">
        <v>18987</v>
      </c>
    </row>
    <row r="373" spans="1:8" x14ac:dyDescent="0.3">
      <c r="A373" s="3" t="s">
        <v>414</v>
      </c>
      <c r="B373">
        <v>13704.995109315558</v>
      </c>
      <c r="C373">
        <v>13077.420302368651</v>
      </c>
      <c r="D373">
        <v>13825</v>
      </c>
      <c r="E373">
        <v>13835</v>
      </c>
      <c r="F373">
        <v>13820</v>
      </c>
      <c r="G373">
        <v>13835</v>
      </c>
      <c r="H373">
        <v>26446</v>
      </c>
    </row>
    <row r="374" spans="1:8" x14ac:dyDescent="0.3">
      <c r="A374" s="3" t="s">
        <v>415</v>
      </c>
      <c r="B374">
        <v>13706.332374111536</v>
      </c>
      <c r="C374">
        <v>13076.095958005484</v>
      </c>
      <c r="D374">
        <v>13835</v>
      </c>
      <c r="E374">
        <v>13850</v>
      </c>
      <c r="F374">
        <v>13835</v>
      </c>
      <c r="G374">
        <v>13845</v>
      </c>
      <c r="H374">
        <v>30558</v>
      </c>
    </row>
    <row r="375" spans="1:8" x14ac:dyDescent="0.3">
      <c r="A375" s="3" t="s">
        <v>416</v>
      </c>
      <c r="B375">
        <v>13707.479247734931</v>
      </c>
      <c r="C375">
        <v>13074.960165286662</v>
      </c>
      <c r="D375">
        <v>13845</v>
      </c>
      <c r="E375">
        <v>13850</v>
      </c>
      <c r="F375">
        <v>13835</v>
      </c>
      <c r="G375">
        <v>13840</v>
      </c>
      <c r="H375">
        <v>26673</v>
      </c>
    </row>
    <row r="376" spans="1:8" x14ac:dyDescent="0.3">
      <c r="A376" s="3" t="s">
        <v>417</v>
      </c>
      <c r="B376">
        <v>13704.463302649598</v>
      </c>
      <c r="C376">
        <v>13077.946970805957</v>
      </c>
      <c r="D376">
        <v>13845</v>
      </c>
      <c r="E376">
        <v>13850</v>
      </c>
      <c r="F376">
        <v>13835</v>
      </c>
      <c r="G376">
        <v>13845</v>
      </c>
      <c r="H376">
        <v>46537</v>
      </c>
    </row>
    <row r="377" spans="1:8" x14ac:dyDescent="0.3">
      <c r="A377" s="3" t="s">
        <v>418</v>
      </c>
      <c r="B377">
        <v>13704.574331277416</v>
      </c>
      <c r="C377">
        <v>13077.837014918501</v>
      </c>
      <c r="D377">
        <v>13845</v>
      </c>
      <c r="E377">
        <v>13850</v>
      </c>
      <c r="F377">
        <v>13835</v>
      </c>
      <c r="G377">
        <v>13845</v>
      </c>
      <c r="H377">
        <v>11506</v>
      </c>
    </row>
    <row r="378" spans="1:8" x14ac:dyDescent="0.3">
      <c r="A378" s="3" t="s">
        <v>419</v>
      </c>
      <c r="B378">
        <v>13705.419626622712</v>
      </c>
      <c r="C378">
        <v>13076.999886677992</v>
      </c>
      <c r="D378">
        <v>13845</v>
      </c>
      <c r="E378">
        <v>13850</v>
      </c>
      <c r="F378">
        <v>13835</v>
      </c>
      <c r="G378">
        <v>13840</v>
      </c>
      <c r="H378">
        <v>20337</v>
      </c>
    </row>
    <row r="379" spans="1:8" x14ac:dyDescent="0.3">
      <c r="A379" s="3" t="s">
        <v>420</v>
      </c>
      <c r="B379">
        <v>13702.332083493398</v>
      </c>
      <c r="C379">
        <v>13080.057598472722</v>
      </c>
      <c r="D379">
        <v>13845</v>
      </c>
      <c r="E379">
        <v>13845</v>
      </c>
      <c r="F379">
        <v>13825</v>
      </c>
      <c r="G379">
        <v>13825</v>
      </c>
      <c r="H379">
        <v>13243</v>
      </c>
    </row>
    <row r="380" spans="1:8" x14ac:dyDescent="0.3">
      <c r="A380" s="3" t="s">
        <v>421</v>
      </c>
      <c r="B380">
        <v>13702.734092584727</v>
      </c>
      <c r="C380">
        <v>13079.659473527203</v>
      </c>
      <c r="D380">
        <v>13825</v>
      </c>
      <c r="E380">
        <v>13830</v>
      </c>
      <c r="F380">
        <v>13815</v>
      </c>
      <c r="G380">
        <v>13830</v>
      </c>
      <c r="H380">
        <v>32730</v>
      </c>
    </row>
    <row r="381" spans="1:8" x14ac:dyDescent="0.3">
      <c r="A381" s="3" t="s">
        <v>422</v>
      </c>
      <c r="B381">
        <v>13703.122219305114</v>
      </c>
      <c r="C381">
        <v>13079.275096823438</v>
      </c>
      <c r="D381">
        <v>13830</v>
      </c>
      <c r="E381">
        <v>13835</v>
      </c>
      <c r="F381">
        <v>13825</v>
      </c>
      <c r="G381">
        <v>13825</v>
      </c>
      <c r="H381">
        <v>15786</v>
      </c>
    </row>
    <row r="382" spans="1:8" x14ac:dyDescent="0.3">
      <c r="A382" s="3" t="s">
        <v>423</v>
      </c>
      <c r="B382">
        <v>13709.553765519544</v>
      </c>
      <c r="C382">
        <v>13072.905691152144</v>
      </c>
      <c r="D382">
        <v>13800</v>
      </c>
      <c r="E382">
        <v>13800</v>
      </c>
      <c r="F382">
        <v>13800</v>
      </c>
      <c r="G382">
        <v>13800</v>
      </c>
      <c r="H382">
        <v>272070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764"/>
  <sheetViews>
    <sheetView topLeftCell="BH1" workbookViewId="0">
      <selection activeCell="BH1" sqref="BH1"/>
    </sheetView>
  </sheetViews>
  <sheetFormatPr defaultRowHeight="16.5" x14ac:dyDescent="0.3"/>
  <cols>
    <col min="1" max="1" width="8.25" style="3" bestFit="1" customWidth="1"/>
    <col min="2" max="2" width="16.75" style="3" bestFit="1" customWidth="1"/>
    <col min="3" max="3" width="16.625" style="3" bestFit="1" customWidth="1"/>
    <col min="4" max="4" width="16.75" style="3" bestFit="1" customWidth="1"/>
    <col min="5" max="5" width="16.625" style="3" bestFit="1" customWidth="1"/>
    <col min="6" max="6" width="16.75" style="3" bestFit="1" customWidth="1"/>
    <col min="7" max="7" width="16.625" style="3" bestFit="1" customWidth="1"/>
    <col min="8" max="8" width="16.75" style="3" bestFit="1" customWidth="1"/>
    <col min="9" max="9" width="16.625" style="3" bestFit="1" customWidth="1"/>
    <col min="10" max="10" width="16.75" style="3" bestFit="1" customWidth="1"/>
    <col min="11" max="11" width="16.625" style="3" bestFit="1" customWidth="1"/>
    <col min="12" max="12" width="16.75" style="3" bestFit="1" customWidth="1"/>
    <col min="13" max="13" width="16.625" style="3" bestFit="1" customWidth="1"/>
    <col min="14" max="14" width="16.75" style="3" bestFit="1" customWidth="1"/>
    <col min="15" max="15" width="16.625" style="3" bestFit="1" customWidth="1"/>
    <col min="16" max="16" width="16.75" style="3" bestFit="1" customWidth="1"/>
    <col min="17" max="17" width="16.625" style="3" bestFit="1" customWidth="1"/>
    <col min="18" max="18" width="16.75" style="3" bestFit="1" customWidth="1"/>
    <col min="19" max="19" width="16.625" style="3" bestFit="1" customWidth="1"/>
    <col min="20" max="20" width="16.75" style="3" bestFit="1" customWidth="1"/>
    <col min="21" max="21" width="16.625" style="3" bestFit="1" customWidth="1"/>
    <col min="22" max="22" width="16.75" style="3" bestFit="1" customWidth="1"/>
    <col min="23" max="23" width="16.625" style="3" bestFit="1" customWidth="1"/>
    <col min="24" max="24" width="16.75" style="3" bestFit="1" customWidth="1"/>
    <col min="25" max="25" width="16.625" style="3" bestFit="1" customWidth="1"/>
    <col min="26" max="26" width="16.75" style="3" bestFit="1" customWidth="1"/>
    <col min="27" max="27" width="16.625" style="3" bestFit="1" customWidth="1"/>
    <col min="28" max="28" width="16.75" style="3" bestFit="1" customWidth="1"/>
    <col min="29" max="29" width="16.625" style="3" bestFit="1" customWidth="1"/>
    <col min="30" max="30" width="16.75" style="3" bestFit="1" customWidth="1"/>
    <col min="31" max="31" width="16.625" style="3" bestFit="1" customWidth="1"/>
    <col min="32" max="32" width="16.75" style="3" bestFit="1" customWidth="1"/>
    <col min="33" max="33" width="16.625" style="3" bestFit="1" customWidth="1"/>
    <col min="34" max="34" width="16.75" style="3" bestFit="1" customWidth="1"/>
    <col min="35" max="35" width="16.625" style="3" bestFit="1" customWidth="1"/>
    <col min="36" max="36" width="16.75" style="3" bestFit="1" customWidth="1"/>
    <col min="37" max="37" width="16.625" style="3" bestFit="1" customWidth="1"/>
    <col min="38" max="38" width="16.75" style="3" bestFit="1" customWidth="1"/>
    <col min="39" max="39" width="16.625" style="3" bestFit="1" customWidth="1"/>
    <col min="40" max="40" width="16.75" style="3" bestFit="1" customWidth="1"/>
    <col min="41" max="41" width="16.625" style="3" bestFit="1" customWidth="1"/>
    <col min="42" max="42" width="16.75" style="3" bestFit="1" customWidth="1"/>
    <col min="43" max="43" width="16.625" style="3" bestFit="1" customWidth="1"/>
    <col min="44" max="54" width="16.75" style="3" bestFit="1" customWidth="1"/>
    <col min="55" max="64" width="16.75" style="3" customWidth="1"/>
    <col min="65" max="65" width="16.5" style="3" bestFit="1" customWidth="1"/>
    <col min="66" max="66" width="11.25" style="3" bestFit="1" customWidth="1"/>
    <col min="67" max="67" width="11" style="3" bestFit="1" customWidth="1"/>
    <col min="68" max="72" width="9" style="3"/>
    <col min="73" max="73" width="9.125" style="3" bestFit="1" customWidth="1"/>
    <col min="74" max="74" width="12.875" style="3" bestFit="1" customWidth="1"/>
    <col min="75" max="75" width="15.625" style="3" bestFit="1" customWidth="1"/>
    <col min="76" max="76" width="10.625" style="3" bestFit="1" customWidth="1"/>
    <col min="77" max="16384" width="9" style="3"/>
  </cols>
  <sheetData>
    <row r="1" spans="1:77" x14ac:dyDescent="0.3">
      <c r="B1" s="3" t="s">
        <v>439</v>
      </c>
      <c r="AR1" s="3" t="s">
        <v>454</v>
      </c>
      <c r="BM1" s="5" t="s">
        <v>440</v>
      </c>
      <c r="BN1" s="6" t="s">
        <v>443</v>
      </c>
      <c r="BO1" s="6"/>
      <c r="BP1" s="6" t="s">
        <v>439</v>
      </c>
      <c r="BQ1" s="6"/>
      <c r="BR1" s="6"/>
      <c r="BS1" s="6"/>
      <c r="BT1" s="6"/>
      <c r="BU1" s="6" t="s">
        <v>464</v>
      </c>
    </row>
    <row r="2" spans="1:77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448</v>
      </c>
      <c r="AS2" s="1" t="s">
        <v>449</v>
      </c>
      <c r="AT2" s="1" t="s">
        <v>450</v>
      </c>
      <c r="AU2" s="1" t="s">
        <v>451</v>
      </c>
      <c r="AV2" s="1" t="s">
        <v>452</v>
      </c>
      <c r="AW2" s="1" t="s">
        <v>453</v>
      </c>
      <c r="AX2" s="1" t="s">
        <v>424</v>
      </c>
      <c r="AY2" s="1" t="s">
        <v>425</v>
      </c>
      <c r="AZ2" s="1" t="s">
        <v>426</v>
      </c>
      <c r="BA2" s="1" t="s">
        <v>427</v>
      </c>
      <c r="BB2" s="1" t="s">
        <v>428</v>
      </c>
      <c r="BC2" s="1" t="s">
        <v>429</v>
      </c>
      <c r="BD2" s="1" t="s">
        <v>430</v>
      </c>
      <c r="BE2" s="1" t="s">
        <v>431</v>
      </c>
      <c r="BF2" s="1" t="s">
        <v>432</v>
      </c>
      <c r="BG2" s="1" t="s">
        <v>433</v>
      </c>
      <c r="BH2" s="1" t="s">
        <v>434</v>
      </c>
      <c r="BI2" s="1" t="s">
        <v>435</v>
      </c>
      <c r="BJ2" s="1" t="s">
        <v>436</v>
      </c>
      <c r="BK2" s="1" t="s">
        <v>437</v>
      </c>
      <c r="BL2" s="1" t="s">
        <v>438</v>
      </c>
      <c r="BM2" s="12">
        <v>45376</v>
      </c>
      <c r="BN2" s="7" t="s">
        <v>442</v>
      </c>
      <c r="BO2" s="7" t="s">
        <v>445</v>
      </c>
      <c r="BP2" s="7" t="s">
        <v>456</v>
      </c>
      <c r="BQ2" s="7" t="s">
        <v>458</v>
      </c>
      <c r="BR2" s="7" t="s">
        <v>460</v>
      </c>
      <c r="BS2" s="7" t="s">
        <v>447</v>
      </c>
      <c r="BT2" s="7" t="s">
        <v>462</v>
      </c>
      <c r="BU2" s="7" t="s">
        <v>465</v>
      </c>
      <c r="BV2" s="7" t="s">
        <v>466</v>
      </c>
      <c r="BW2" s="7" t="s">
        <v>467</v>
      </c>
      <c r="BX2" s="7" t="s">
        <v>468</v>
      </c>
      <c r="BY2" s="7" t="s">
        <v>469</v>
      </c>
    </row>
    <row r="3" spans="1:77" x14ac:dyDescent="0.3">
      <c r="A3" s="3" t="s">
        <v>43</v>
      </c>
      <c r="B3" s="3">
        <v>11530</v>
      </c>
      <c r="C3" s="3">
        <v>11545</v>
      </c>
      <c r="D3" s="3">
        <v>11550</v>
      </c>
      <c r="E3" s="3">
        <v>11505</v>
      </c>
      <c r="F3" s="3">
        <v>11360</v>
      </c>
      <c r="G3" s="3">
        <v>11360</v>
      </c>
      <c r="H3" s="3">
        <v>11780</v>
      </c>
      <c r="I3" s="3">
        <v>11765</v>
      </c>
      <c r="J3" s="3">
        <v>11690</v>
      </c>
      <c r="K3" s="3">
        <v>11695</v>
      </c>
      <c r="L3" s="3">
        <v>11860</v>
      </c>
      <c r="M3" s="3">
        <v>11900</v>
      </c>
      <c r="N3" s="3">
        <v>12115</v>
      </c>
      <c r="O3" s="3">
        <v>12150</v>
      </c>
      <c r="P3" s="3">
        <v>12780</v>
      </c>
      <c r="Q3" s="3">
        <v>12760</v>
      </c>
      <c r="R3" s="3">
        <v>12545</v>
      </c>
      <c r="S3" s="3">
        <v>12545</v>
      </c>
      <c r="T3" s="3">
        <v>12375</v>
      </c>
      <c r="U3" s="3">
        <v>12340</v>
      </c>
      <c r="V3" s="3">
        <v>12335</v>
      </c>
      <c r="W3" s="3">
        <v>12375</v>
      </c>
      <c r="X3" s="3">
        <v>12635</v>
      </c>
      <c r="Y3" s="3">
        <v>12605</v>
      </c>
      <c r="Z3" s="3">
        <v>12840</v>
      </c>
      <c r="AA3" s="3">
        <v>12795</v>
      </c>
      <c r="AB3" s="3">
        <v>12965</v>
      </c>
      <c r="AC3" s="3">
        <v>12970</v>
      </c>
      <c r="AD3" s="3">
        <v>13090</v>
      </c>
      <c r="AE3" s="3">
        <v>13080</v>
      </c>
      <c r="AF3" s="3">
        <v>13335</v>
      </c>
      <c r="AG3" s="3">
        <v>13320</v>
      </c>
      <c r="AH3" s="3">
        <v>13910</v>
      </c>
      <c r="AI3" s="3">
        <v>13900</v>
      </c>
      <c r="AJ3" s="3">
        <v>13875</v>
      </c>
      <c r="AK3" s="3">
        <v>13875</v>
      </c>
      <c r="AL3" s="3">
        <v>13720</v>
      </c>
      <c r="AM3" s="3">
        <v>13825</v>
      </c>
      <c r="AN3" s="3">
        <v>13685</v>
      </c>
      <c r="AO3" s="3">
        <v>13690</v>
      </c>
      <c r="AP3" s="3">
        <v>13455</v>
      </c>
      <c r="AQ3" s="3">
        <v>13470</v>
      </c>
      <c r="AR3" s="8">
        <v>0</v>
      </c>
      <c r="AS3" s="8">
        <v>0</v>
      </c>
      <c r="AT3" s="8">
        <v>0</v>
      </c>
      <c r="AU3" s="8">
        <v>0</v>
      </c>
      <c r="AV3" s="8">
        <v>0</v>
      </c>
      <c r="AW3" s="8">
        <v>0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0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8">
        <v>0</v>
      </c>
      <c r="BM3" s="8">
        <v>0</v>
      </c>
      <c r="BN3" s="9">
        <f>MAX($AP$3,$AO$383)*(1+BM3)</f>
        <v>13455</v>
      </c>
      <c r="BO3" s="10">
        <f>MIN($AP$3,$AO$383)*(1-BM3)</f>
        <v>13325</v>
      </c>
      <c r="BP3">
        <v>13335</v>
      </c>
      <c r="BQ3">
        <v>13345</v>
      </c>
      <c r="BR3">
        <v>13290</v>
      </c>
      <c r="BS3">
        <v>13320</v>
      </c>
      <c r="BT3">
        <v>472496</v>
      </c>
      <c r="BU3" s="13">
        <f>SUM(BQ3:BS3)/3</f>
        <v>13318.333333333334</v>
      </c>
      <c r="BV3" s="13">
        <f>BU3*BT3</f>
        <v>6292859226.666667</v>
      </c>
      <c r="BW3" s="13">
        <f>SUM($BV$3:BV3)</f>
        <v>6292859226.666667</v>
      </c>
      <c r="BX3" s="13">
        <f>SUM($BT$3:BT3)</f>
        <v>472496</v>
      </c>
      <c r="BY3" s="3">
        <f>BW3/BX3</f>
        <v>13318.333333333334</v>
      </c>
    </row>
    <row r="4" spans="1:77" x14ac:dyDescent="0.3">
      <c r="A4" s="3" t="s">
        <v>44</v>
      </c>
      <c r="B4" s="3">
        <v>11550</v>
      </c>
      <c r="C4" s="3">
        <v>11550</v>
      </c>
      <c r="D4" s="3">
        <v>11500</v>
      </c>
      <c r="E4" s="3">
        <v>11560</v>
      </c>
      <c r="F4" s="3">
        <v>11365</v>
      </c>
      <c r="G4" s="3">
        <v>11335</v>
      </c>
      <c r="H4" s="3">
        <v>11770</v>
      </c>
      <c r="I4" s="3">
        <v>11760</v>
      </c>
      <c r="J4" s="3">
        <v>11700</v>
      </c>
      <c r="K4" s="3">
        <v>11695</v>
      </c>
      <c r="L4" s="3">
        <v>11900</v>
      </c>
      <c r="M4" s="3">
        <v>11895</v>
      </c>
      <c r="N4" s="3">
        <v>12150</v>
      </c>
      <c r="O4" s="3">
        <v>12220</v>
      </c>
      <c r="P4" s="3">
        <v>12760</v>
      </c>
      <c r="Q4" s="3">
        <v>12710</v>
      </c>
      <c r="R4" s="3">
        <v>12545</v>
      </c>
      <c r="S4" s="3">
        <v>12630</v>
      </c>
      <c r="T4" s="3">
        <v>12340</v>
      </c>
      <c r="U4" s="3">
        <v>12310</v>
      </c>
      <c r="V4" s="3">
        <v>12370</v>
      </c>
      <c r="W4" s="3">
        <v>12370</v>
      </c>
      <c r="X4" s="3">
        <v>12600</v>
      </c>
      <c r="Y4" s="3">
        <v>12560</v>
      </c>
      <c r="Z4" s="3">
        <v>12790</v>
      </c>
      <c r="AA4" s="3">
        <v>12795</v>
      </c>
      <c r="AB4" s="3">
        <v>12975</v>
      </c>
      <c r="AC4" s="3">
        <v>12965</v>
      </c>
      <c r="AD4" s="3">
        <v>13075</v>
      </c>
      <c r="AE4" s="3">
        <v>13115</v>
      </c>
      <c r="AF4" s="3">
        <v>13320</v>
      </c>
      <c r="AG4" s="3">
        <v>13325</v>
      </c>
      <c r="AH4" s="3">
        <v>13900</v>
      </c>
      <c r="AI4" s="3">
        <v>13895</v>
      </c>
      <c r="AJ4" s="3">
        <v>13875</v>
      </c>
      <c r="AK4" s="3">
        <v>13980</v>
      </c>
      <c r="AL4" s="3">
        <v>13825</v>
      </c>
      <c r="AM4" s="3">
        <v>13765</v>
      </c>
      <c r="AN4" s="3">
        <v>13690</v>
      </c>
      <c r="AO4" s="3">
        <v>13620</v>
      </c>
      <c r="AP4" s="3">
        <v>13470</v>
      </c>
      <c r="AQ4" s="3">
        <v>13510</v>
      </c>
      <c r="AR4" s="4">
        <f>ABS(C4/B$3-1)</f>
        <v>1.7346053772766545E-3</v>
      </c>
      <c r="AS4" s="4">
        <f t="shared" ref="AS4:AS67" si="0">ABS(E4/D$3-1)</f>
        <v>8.658008658009031E-4</v>
      </c>
      <c r="AT4" s="4">
        <f t="shared" ref="AT4:AT67" si="1">ABS(G4/F$3-1)</f>
        <v>2.2007042253521236E-3</v>
      </c>
      <c r="AU4" s="4">
        <f t="shared" ref="AU4:AU67" si="2">ABS(I4/H$3-1)</f>
        <v>1.6977928692699651E-3</v>
      </c>
      <c r="AV4" s="4">
        <f t="shared" ref="AV4:AV67" si="3">ABS(K4/J$3-1)</f>
        <v>4.2771599657820403E-4</v>
      </c>
      <c r="AW4" s="4">
        <f t="shared" ref="AW4:AW67" si="4">ABS(M4/L$3-1)</f>
        <v>2.9510961214165299E-3</v>
      </c>
      <c r="AX4" s="4">
        <f t="shared" ref="AX4:AX67" si="5">ABS(O4/N$3-1)</f>
        <v>8.6669418076763538E-3</v>
      </c>
      <c r="AY4" s="4">
        <f t="shared" ref="AY4:AY67" si="6">ABS(Q4/P$3-1)</f>
        <v>5.4773082942096707E-3</v>
      </c>
      <c r="AZ4" s="4">
        <f t="shared" ref="AZ4:AZ67" si="7">ABS(S4/R$3-1)</f>
        <v>6.7756078118772489E-3</v>
      </c>
      <c r="BA4" s="4">
        <f t="shared" ref="BA4:BA67" si="8">ABS(U4/T$3-1)</f>
        <v>5.2525252525252863E-3</v>
      </c>
      <c r="BB4" s="4">
        <f t="shared" ref="BB4:BB67" si="9">ABS(W4/V$3-1)</f>
        <v>2.8374543980542732E-3</v>
      </c>
      <c r="BC4" s="4">
        <f t="shared" ref="BC4:BC67" si="10">ABS(Y4/X$3-1)</f>
        <v>5.9358923624851512E-3</v>
      </c>
      <c r="BD4" s="4">
        <f t="shared" ref="BD4:BD67" si="11">ABS(AA4/Z$3-1)</f>
        <v>3.5046728971962482E-3</v>
      </c>
      <c r="BE4" s="4">
        <f t="shared" ref="BE4:BE67" si="12">ABS(AC4/AB$3-1)</f>
        <v>0</v>
      </c>
      <c r="BF4" s="4">
        <f t="shared" ref="BF4:BF67" si="13">ABS(AE4/AD$3-1)</f>
        <v>1.9098548510312341E-3</v>
      </c>
      <c r="BG4" s="4">
        <f t="shared" ref="BG4:BG67" si="14">ABS(AG4/AF$3-1)</f>
        <v>7.4990626171733687E-4</v>
      </c>
      <c r="BH4" s="4">
        <f t="shared" ref="BH4:BH67" si="15">ABS(AI4/AH$3-1)</f>
        <v>1.0783608914449738E-3</v>
      </c>
      <c r="BI4" s="4">
        <f t="shared" ref="BI4:BI67" si="16">ABS(AK4/AJ$3-1)</f>
        <v>7.5675675675674903E-3</v>
      </c>
      <c r="BJ4" s="4">
        <f t="shared" ref="BJ4:BJ67" si="17">ABS(AM4/AL$3-1)</f>
        <v>3.2798833819243089E-3</v>
      </c>
      <c r="BK4" s="4">
        <f t="shared" ref="BK4:BK67" si="18">ABS(AO4/AN$3-1)</f>
        <v>4.7497259773474632E-3</v>
      </c>
      <c r="BL4" s="4">
        <f t="shared" ref="BL4:BL67" si="19">ABS(AQ4/AP$3-1)</f>
        <v>4.0876997398735515E-3</v>
      </c>
      <c r="BM4" s="4">
        <f>AVERAGE(AS4:BF4)</f>
        <v>3.464526268105228E-3</v>
      </c>
      <c r="BN4" s="9">
        <f>MAX($AP$3,$AO$383)*(1+BM4)</f>
        <v>13501.615200937356</v>
      </c>
      <c r="BO4" s="10">
        <f>MIN($AP$3,$AO$383)*(1-BM4)</f>
        <v>13278.835187477498</v>
      </c>
      <c r="BP4">
        <v>13320</v>
      </c>
      <c r="BQ4">
        <v>13330</v>
      </c>
      <c r="BR4">
        <v>13300</v>
      </c>
      <c r="BS4">
        <v>13325</v>
      </c>
      <c r="BT4">
        <v>160071</v>
      </c>
      <c r="BU4" s="13">
        <f t="shared" ref="BU4:BU67" si="20">SUM(BQ4:BS4)/3</f>
        <v>13318.333333333334</v>
      </c>
      <c r="BV4" s="13">
        <f t="shared" ref="BV4:BV67" si="21">BU4*BT4</f>
        <v>2131878935</v>
      </c>
      <c r="BW4" s="13">
        <f>SUM($BV$3:BV4)</f>
        <v>8424738161.666667</v>
      </c>
      <c r="BX4" s="13">
        <f>SUM($BT$3:BT4)</f>
        <v>632567</v>
      </c>
      <c r="BY4" s="3">
        <f t="shared" ref="BY4:BY67" si="22">BW4/BX4</f>
        <v>13318.333333333334</v>
      </c>
    </row>
    <row r="5" spans="1:77" x14ac:dyDescent="0.3">
      <c r="A5" s="3" t="s">
        <v>45</v>
      </c>
      <c r="B5" s="3">
        <v>11550</v>
      </c>
      <c r="C5" s="3">
        <v>11545</v>
      </c>
      <c r="D5" s="3">
        <v>11555</v>
      </c>
      <c r="E5" s="3">
        <v>11555</v>
      </c>
      <c r="F5" s="3">
        <v>11335</v>
      </c>
      <c r="G5" s="3">
        <v>11390</v>
      </c>
      <c r="H5" s="3">
        <v>11755</v>
      </c>
      <c r="I5" s="3">
        <v>11735</v>
      </c>
      <c r="J5" s="3">
        <v>11690</v>
      </c>
      <c r="K5" s="3">
        <v>11675</v>
      </c>
      <c r="L5" s="3">
        <v>11890</v>
      </c>
      <c r="M5" s="3">
        <v>11955</v>
      </c>
      <c r="N5" s="3">
        <v>12215</v>
      </c>
      <c r="O5" s="3">
        <v>12235</v>
      </c>
      <c r="P5" s="3">
        <v>12710</v>
      </c>
      <c r="Q5" s="3">
        <v>12725</v>
      </c>
      <c r="R5" s="3">
        <v>12630</v>
      </c>
      <c r="S5" s="3">
        <v>12720</v>
      </c>
      <c r="T5" s="3">
        <v>12310</v>
      </c>
      <c r="U5" s="3">
        <v>12340</v>
      </c>
      <c r="V5" s="3">
        <v>12370</v>
      </c>
      <c r="W5" s="3">
        <v>12415</v>
      </c>
      <c r="X5" s="3">
        <v>12555</v>
      </c>
      <c r="Y5" s="3">
        <v>12570</v>
      </c>
      <c r="Z5" s="3">
        <v>12795</v>
      </c>
      <c r="AA5" s="3">
        <v>12795</v>
      </c>
      <c r="AB5" s="3">
        <v>12965</v>
      </c>
      <c r="AC5" s="3">
        <v>12945</v>
      </c>
      <c r="AD5" s="3">
        <v>13110</v>
      </c>
      <c r="AE5" s="3">
        <v>13120</v>
      </c>
      <c r="AF5" s="3">
        <v>13325</v>
      </c>
      <c r="AG5" s="3">
        <v>13355</v>
      </c>
      <c r="AH5" s="3">
        <v>13900</v>
      </c>
      <c r="AI5" s="3">
        <v>13845</v>
      </c>
      <c r="AJ5" s="3">
        <v>13975</v>
      </c>
      <c r="AK5" s="3">
        <v>14050</v>
      </c>
      <c r="AL5" s="3">
        <v>13765</v>
      </c>
      <c r="AM5" s="3">
        <v>13745</v>
      </c>
      <c r="AN5" s="3">
        <v>13625</v>
      </c>
      <c r="AO5" s="3">
        <v>13530</v>
      </c>
      <c r="AP5" s="3">
        <v>13510</v>
      </c>
      <c r="AQ5" s="3">
        <v>13445</v>
      </c>
      <c r="AR5" s="4">
        <f t="shared" ref="AR5:AR68" si="23">ABS(C5/B$3-1)</f>
        <v>1.3009540329576019E-3</v>
      </c>
      <c r="AS5" s="4">
        <f t="shared" si="0"/>
        <v>4.3290043290045155E-4</v>
      </c>
      <c r="AT5" s="4">
        <f t="shared" si="1"/>
        <v>2.6408450704225039E-3</v>
      </c>
      <c r="AU5" s="4">
        <f t="shared" si="2"/>
        <v>3.8200339558573937E-3</v>
      </c>
      <c r="AV5" s="4">
        <f t="shared" si="3"/>
        <v>1.2831479897348341E-3</v>
      </c>
      <c r="AW5" s="4">
        <f t="shared" si="4"/>
        <v>8.0101180438447717E-3</v>
      </c>
      <c r="AX5" s="4">
        <f t="shared" si="5"/>
        <v>9.9050763516301821E-3</v>
      </c>
      <c r="AY5" s="4">
        <f t="shared" si="6"/>
        <v>4.3035993740219158E-3</v>
      </c>
      <c r="AZ5" s="4">
        <f t="shared" si="7"/>
        <v>1.3949780789159094E-2</v>
      </c>
      <c r="BA5" s="4">
        <f t="shared" si="8"/>
        <v>2.8282828282828465E-3</v>
      </c>
      <c r="BB5" s="4">
        <f t="shared" si="9"/>
        <v>6.4856100526955451E-3</v>
      </c>
      <c r="BC5" s="4">
        <f t="shared" si="10"/>
        <v>5.1444400474871532E-3</v>
      </c>
      <c r="BD5" s="4">
        <f t="shared" si="11"/>
        <v>3.5046728971962482E-3</v>
      </c>
      <c r="BE5" s="4">
        <f t="shared" si="12"/>
        <v>1.542614731970704E-3</v>
      </c>
      <c r="BF5" s="4">
        <f t="shared" si="13"/>
        <v>2.2918258212376585E-3</v>
      </c>
      <c r="BG5" s="4">
        <f t="shared" si="14"/>
        <v>1.4998125234346737E-3</v>
      </c>
      <c r="BH5" s="4">
        <f t="shared" si="15"/>
        <v>4.6728971962616273E-3</v>
      </c>
      <c r="BI5" s="4">
        <f t="shared" si="16"/>
        <v>1.2612612612612706E-2</v>
      </c>
      <c r="BJ5" s="4">
        <f t="shared" si="17"/>
        <v>1.8221574344023939E-3</v>
      </c>
      <c r="BK5" s="4">
        <f t="shared" si="18"/>
        <v>1.1326269638290087E-2</v>
      </c>
      <c r="BL5" s="4">
        <f t="shared" si="19"/>
        <v>7.4321813452249419E-4</v>
      </c>
      <c r="BM5" s="4">
        <f t="shared" ref="BM5:BM68" si="24">AVERAGE(AS5:BF5)</f>
        <v>4.7244963133172358E-3</v>
      </c>
      <c r="BN5" s="9">
        <f t="shared" ref="BN5:BN68" si="25">MAX($AP$3,$AO$383)*(1+BM5)</f>
        <v>13518.568097895684</v>
      </c>
      <c r="BO5" s="10">
        <f t="shared" ref="BO5:BO68" si="26">MIN($AP$3,$AO$383)*(1-BM5)</f>
        <v>13262.046086625047</v>
      </c>
      <c r="BP5">
        <v>13325</v>
      </c>
      <c r="BQ5">
        <v>13355</v>
      </c>
      <c r="BR5">
        <v>13305</v>
      </c>
      <c r="BS5">
        <v>13355</v>
      </c>
      <c r="BT5">
        <v>187984</v>
      </c>
      <c r="BU5" s="13">
        <f t="shared" si="20"/>
        <v>13338.333333333334</v>
      </c>
      <c r="BV5" s="13">
        <f t="shared" si="21"/>
        <v>2507393253.3333335</v>
      </c>
      <c r="BW5" s="13">
        <f>SUM($BV$3:BV5)</f>
        <v>10932131415</v>
      </c>
      <c r="BX5" s="13">
        <f>SUM($BT$3:BT5)</f>
        <v>820551</v>
      </c>
      <c r="BY5" s="3">
        <f t="shared" si="22"/>
        <v>13322.915230131948</v>
      </c>
    </row>
    <row r="6" spans="1:77" x14ac:dyDescent="0.3">
      <c r="A6" s="3" t="s">
        <v>46</v>
      </c>
      <c r="B6" s="3">
        <v>11545</v>
      </c>
      <c r="C6" s="3">
        <v>11630</v>
      </c>
      <c r="D6" s="3">
        <v>11560</v>
      </c>
      <c r="E6" s="3">
        <v>11550</v>
      </c>
      <c r="F6" s="3">
        <v>11385</v>
      </c>
      <c r="G6" s="3">
        <v>11400</v>
      </c>
      <c r="H6" s="3">
        <v>11735</v>
      </c>
      <c r="I6" s="3">
        <v>11760</v>
      </c>
      <c r="J6" s="3">
        <v>11675</v>
      </c>
      <c r="K6" s="3">
        <v>11675</v>
      </c>
      <c r="L6" s="3">
        <v>11955</v>
      </c>
      <c r="M6" s="3">
        <v>11945</v>
      </c>
      <c r="N6" s="3">
        <v>12235</v>
      </c>
      <c r="O6" s="3">
        <v>12230</v>
      </c>
      <c r="P6" s="3">
        <v>12720</v>
      </c>
      <c r="Q6" s="3">
        <v>12715</v>
      </c>
      <c r="R6" s="3">
        <v>12720</v>
      </c>
      <c r="S6" s="3">
        <v>12680</v>
      </c>
      <c r="T6" s="3">
        <v>12345</v>
      </c>
      <c r="U6" s="3">
        <v>12365</v>
      </c>
      <c r="V6" s="3">
        <v>12410</v>
      </c>
      <c r="W6" s="3">
        <v>12400</v>
      </c>
      <c r="X6" s="3">
        <v>12570</v>
      </c>
      <c r="Y6" s="3">
        <v>12625</v>
      </c>
      <c r="Z6" s="3">
        <v>12800</v>
      </c>
      <c r="AA6" s="3">
        <v>12800</v>
      </c>
      <c r="AB6" s="3">
        <v>12950</v>
      </c>
      <c r="AC6" s="3">
        <v>12970</v>
      </c>
      <c r="AD6" s="3">
        <v>13125</v>
      </c>
      <c r="AE6" s="3">
        <v>13190</v>
      </c>
      <c r="AF6" s="3">
        <v>13350</v>
      </c>
      <c r="AG6" s="3">
        <v>13365</v>
      </c>
      <c r="AH6" s="3">
        <v>13840</v>
      </c>
      <c r="AI6" s="3">
        <v>13890</v>
      </c>
      <c r="AJ6" s="3">
        <v>14060</v>
      </c>
      <c r="AK6" s="3">
        <v>14045</v>
      </c>
      <c r="AL6" s="3">
        <v>13745</v>
      </c>
      <c r="AM6" s="3">
        <v>13700</v>
      </c>
      <c r="AN6" s="3">
        <v>13530</v>
      </c>
      <c r="AO6" s="3">
        <v>13505</v>
      </c>
      <c r="AP6" s="3">
        <v>13445</v>
      </c>
      <c r="AQ6" s="3">
        <v>13390</v>
      </c>
      <c r="AR6" s="4">
        <f t="shared" si="23"/>
        <v>8.6730268863832727E-3</v>
      </c>
      <c r="AS6" s="4">
        <f t="shared" si="0"/>
        <v>0</v>
      </c>
      <c r="AT6" s="4">
        <f t="shared" si="1"/>
        <v>3.5211267605634866E-3</v>
      </c>
      <c r="AU6" s="4">
        <f t="shared" si="2"/>
        <v>1.6977928692699651E-3</v>
      </c>
      <c r="AV6" s="4">
        <f t="shared" si="3"/>
        <v>1.2831479897348341E-3</v>
      </c>
      <c r="AW6" s="4">
        <f t="shared" si="4"/>
        <v>7.1669477234401757E-3</v>
      </c>
      <c r="AX6" s="4">
        <f t="shared" si="5"/>
        <v>9.492364836978906E-3</v>
      </c>
      <c r="AY6" s="4">
        <f t="shared" si="6"/>
        <v>5.0860719874804561E-3</v>
      </c>
      <c r="AZ6" s="4">
        <f t="shared" si="7"/>
        <v>1.0761259465922768E-2</v>
      </c>
      <c r="BA6" s="4">
        <f t="shared" si="8"/>
        <v>8.0808080808081328E-4</v>
      </c>
      <c r="BB6" s="4">
        <f t="shared" si="9"/>
        <v>5.2695581678152692E-3</v>
      </c>
      <c r="BC6" s="4">
        <f t="shared" si="10"/>
        <v>7.9145231499799795E-4</v>
      </c>
      <c r="BD6" s="4">
        <f t="shared" si="11"/>
        <v>3.1152647975077885E-3</v>
      </c>
      <c r="BE6" s="4">
        <f t="shared" si="12"/>
        <v>3.8565368299270375E-4</v>
      </c>
      <c r="BF6" s="4">
        <f t="shared" si="13"/>
        <v>7.6394194041253805E-3</v>
      </c>
      <c r="BG6" s="4">
        <f t="shared" si="14"/>
        <v>2.2497187851517886E-3</v>
      </c>
      <c r="BH6" s="4">
        <f t="shared" si="15"/>
        <v>1.4378145219267058E-3</v>
      </c>
      <c r="BI6" s="4">
        <f t="shared" si="16"/>
        <v>1.2252252252252349E-2</v>
      </c>
      <c r="BJ6" s="4">
        <f t="shared" si="17"/>
        <v>1.4577259475219151E-3</v>
      </c>
      <c r="BK6" s="4">
        <f t="shared" si="18"/>
        <v>1.3153087321885248E-2</v>
      </c>
      <c r="BL6" s="4">
        <f t="shared" si="19"/>
        <v>4.8309178743961567E-3</v>
      </c>
      <c r="BM6" s="4">
        <f t="shared" si="24"/>
        <v>4.0727243434936101E-3</v>
      </c>
      <c r="BN6" s="9">
        <f t="shared" si="25"/>
        <v>13509.798506041709</v>
      </c>
      <c r="BO6" s="10">
        <f t="shared" si="26"/>
        <v>13270.730948122948</v>
      </c>
      <c r="BP6">
        <v>13350</v>
      </c>
      <c r="BQ6">
        <v>13375</v>
      </c>
      <c r="BR6">
        <v>13340</v>
      </c>
      <c r="BS6">
        <v>13365</v>
      </c>
      <c r="BT6">
        <v>237759</v>
      </c>
      <c r="BU6" s="13">
        <f t="shared" si="20"/>
        <v>13360</v>
      </c>
      <c r="BV6" s="13">
        <f t="shared" si="21"/>
        <v>3176460240</v>
      </c>
      <c r="BW6" s="13">
        <f>SUM($BV$3:BV6)</f>
        <v>14108591655</v>
      </c>
      <c r="BX6" s="13">
        <f>SUM($BT$3:BT6)</f>
        <v>1058310</v>
      </c>
      <c r="BY6" s="3">
        <f t="shared" si="22"/>
        <v>13331.246662131134</v>
      </c>
    </row>
    <row r="7" spans="1:77" x14ac:dyDescent="0.3">
      <c r="A7" s="3" t="s">
        <v>47</v>
      </c>
      <c r="B7" s="3">
        <v>11630</v>
      </c>
      <c r="C7" s="3">
        <v>11685</v>
      </c>
      <c r="D7" s="3">
        <v>11555</v>
      </c>
      <c r="E7" s="3">
        <v>11575</v>
      </c>
      <c r="F7" s="3">
        <v>11405</v>
      </c>
      <c r="G7" s="3">
        <v>11395</v>
      </c>
      <c r="H7" s="3">
        <v>11760</v>
      </c>
      <c r="I7" s="3">
        <v>11735</v>
      </c>
      <c r="J7" s="3">
        <v>11675</v>
      </c>
      <c r="K7" s="3">
        <v>11685</v>
      </c>
      <c r="L7" s="3">
        <v>11950</v>
      </c>
      <c r="M7" s="3">
        <v>11965</v>
      </c>
      <c r="N7" s="3">
        <v>12235</v>
      </c>
      <c r="O7" s="3">
        <v>12205</v>
      </c>
      <c r="P7" s="3">
        <v>12715</v>
      </c>
      <c r="Q7" s="3">
        <v>12725</v>
      </c>
      <c r="R7" s="3">
        <v>12680</v>
      </c>
      <c r="S7" s="3">
        <v>12695</v>
      </c>
      <c r="T7" s="3">
        <v>12365</v>
      </c>
      <c r="U7" s="3">
        <v>12365</v>
      </c>
      <c r="V7" s="3">
        <v>12395</v>
      </c>
      <c r="W7" s="3">
        <v>12400</v>
      </c>
      <c r="X7" s="3">
        <v>12620</v>
      </c>
      <c r="Y7" s="3">
        <v>12600</v>
      </c>
      <c r="Z7" s="3">
        <v>12795</v>
      </c>
      <c r="AA7" s="3">
        <v>12775</v>
      </c>
      <c r="AB7" s="3">
        <v>12970</v>
      </c>
      <c r="AC7" s="3">
        <v>13070</v>
      </c>
      <c r="AD7" s="3">
        <v>13185</v>
      </c>
      <c r="AE7" s="3">
        <v>13165</v>
      </c>
      <c r="AF7" s="3">
        <v>13360</v>
      </c>
      <c r="AG7" s="3">
        <v>13465</v>
      </c>
      <c r="AH7" s="3">
        <v>13890</v>
      </c>
      <c r="AI7" s="3">
        <v>13895</v>
      </c>
      <c r="AJ7" s="3">
        <v>14045</v>
      </c>
      <c r="AK7" s="3">
        <v>13995</v>
      </c>
      <c r="AL7" s="3">
        <v>13700</v>
      </c>
      <c r="AM7" s="3">
        <v>13650</v>
      </c>
      <c r="AN7" s="3">
        <v>13500</v>
      </c>
      <c r="AO7" s="3">
        <v>13525</v>
      </c>
      <c r="AP7" s="3">
        <v>13390</v>
      </c>
      <c r="AQ7" s="3">
        <v>13395</v>
      </c>
      <c r="AR7" s="4">
        <f t="shared" si="23"/>
        <v>1.3443191673894184E-2</v>
      </c>
      <c r="AS7" s="4">
        <f t="shared" si="0"/>
        <v>2.1645021645022577E-3</v>
      </c>
      <c r="AT7" s="4">
        <f t="shared" si="1"/>
        <v>3.0809859154929953E-3</v>
      </c>
      <c r="AU7" s="4">
        <f t="shared" si="2"/>
        <v>3.8200339558573937E-3</v>
      </c>
      <c r="AV7" s="4">
        <f t="shared" si="3"/>
        <v>4.2771599657831505E-4</v>
      </c>
      <c r="AW7" s="4">
        <f t="shared" si="4"/>
        <v>8.8532883642495896E-3</v>
      </c>
      <c r="AX7" s="4">
        <f t="shared" si="5"/>
        <v>7.4288072637227476E-3</v>
      </c>
      <c r="AY7" s="4">
        <f t="shared" si="6"/>
        <v>4.3035993740219158E-3</v>
      </c>
      <c r="AZ7" s="4">
        <f t="shared" si="7"/>
        <v>1.1956954962136335E-2</v>
      </c>
      <c r="BA7" s="4">
        <f t="shared" si="8"/>
        <v>8.0808080808081328E-4</v>
      </c>
      <c r="BB7" s="4">
        <f t="shared" si="9"/>
        <v>5.2695581678152692E-3</v>
      </c>
      <c r="BC7" s="4">
        <f t="shared" si="10"/>
        <v>2.7700831024930483E-3</v>
      </c>
      <c r="BD7" s="4">
        <f t="shared" si="11"/>
        <v>5.062305295950198E-3</v>
      </c>
      <c r="BE7" s="4">
        <f t="shared" si="12"/>
        <v>8.0987273428461126E-3</v>
      </c>
      <c r="BF7" s="4">
        <f t="shared" si="13"/>
        <v>5.7295645530939243E-3</v>
      </c>
      <c r="BG7" s="4">
        <f t="shared" si="14"/>
        <v>9.7487814023247132E-3</v>
      </c>
      <c r="BH7" s="4">
        <f t="shared" si="15"/>
        <v>1.0783608914449738E-3</v>
      </c>
      <c r="BI7" s="4">
        <f t="shared" si="16"/>
        <v>8.6486486486485603E-3</v>
      </c>
      <c r="BJ7" s="4">
        <f t="shared" si="17"/>
        <v>5.1020408163264808E-3</v>
      </c>
      <c r="BK7" s="4">
        <f t="shared" si="18"/>
        <v>1.1691633175009097E-2</v>
      </c>
      <c r="BL7" s="4">
        <f t="shared" si="19"/>
        <v>4.4593088071348541E-3</v>
      </c>
      <c r="BM7" s="4">
        <f t="shared" si="24"/>
        <v>4.9838719476314941E-3</v>
      </c>
      <c r="BN7" s="9">
        <f t="shared" si="25"/>
        <v>13522.057997055381</v>
      </c>
      <c r="BO7" s="10">
        <f t="shared" si="26"/>
        <v>13258.58990629781</v>
      </c>
      <c r="BP7">
        <v>13360</v>
      </c>
      <c r="BQ7">
        <v>13475</v>
      </c>
      <c r="BR7">
        <v>13355</v>
      </c>
      <c r="BS7">
        <v>13465</v>
      </c>
      <c r="BT7">
        <v>706476</v>
      </c>
      <c r="BU7" s="13">
        <f t="shared" si="20"/>
        <v>13431.666666666666</v>
      </c>
      <c r="BV7" s="13">
        <f t="shared" si="21"/>
        <v>9489150140</v>
      </c>
      <c r="BW7" s="13">
        <f>SUM($BV$3:BV7)</f>
        <v>23597741795</v>
      </c>
      <c r="BX7" s="13">
        <f>SUM($BT$3:BT7)</f>
        <v>1764786</v>
      </c>
      <c r="BY7" s="3">
        <f t="shared" si="22"/>
        <v>13371.446620156777</v>
      </c>
    </row>
    <row r="8" spans="1:77" x14ac:dyDescent="0.3">
      <c r="A8" s="3" t="s">
        <v>48</v>
      </c>
      <c r="B8" s="3">
        <v>11685</v>
      </c>
      <c r="C8" s="3">
        <v>11670</v>
      </c>
      <c r="D8" s="3">
        <v>11575</v>
      </c>
      <c r="E8" s="3">
        <v>11545</v>
      </c>
      <c r="F8" s="3">
        <v>11395</v>
      </c>
      <c r="G8" s="3">
        <v>11455</v>
      </c>
      <c r="H8" s="3">
        <v>11735</v>
      </c>
      <c r="I8" s="3">
        <v>11730</v>
      </c>
      <c r="J8" s="3">
        <v>11685</v>
      </c>
      <c r="K8" s="3">
        <v>11690</v>
      </c>
      <c r="L8" s="3">
        <v>11960</v>
      </c>
      <c r="M8" s="3">
        <v>11990</v>
      </c>
      <c r="N8" s="3">
        <v>12205</v>
      </c>
      <c r="O8" s="3">
        <v>12210</v>
      </c>
      <c r="P8" s="3">
        <v>12725</v>
      </c>
      <c r="Q8" s="3">
        <v>12725</v>
      </c>
      <c r="R8" s="3">
        <v>12695</v>
      </c>
      <c r="S8" s="3">
        <v>12705</v>
      </c>
      <c r="T8" s="3">
        <v>12365</v>
      </c>
      <c r="U8" s="3">
        <v>12335</v>
      </c>
      <c r="V8" s="3">
        <v>12400</v>
      </c>
      <c r="W8" s="3">
        <v>12390</v>
      </c>
      <c r="X8" s="3">
        <v>12615</v>
      </c>
      <c r="Y8" s="3">
        <v>12595</v>
      </c>
      <c r="Z8" s="3">
        <v>12775</v>
      </c>
      <c r="AA8" s="3">
        <v>12770</v>
      </c>
      <c r="AB8" s="3">
        <v>13075</v>
      </c>
      <c r="AC8" s="3">
        <v>13155</v>
      </c>
      <c r="AD8" s="3">
        <v>13165</v>
      </c>
      <c r="AE8" s="3">
        <v>13160</v>
      </c>
      <c r="AF8" s="3">
        <v>13455</v>
      </c>
      <c r="AG8" s="3">
        <v>13515</v>
      </c>
      <c r="AH8" s="3">
        <v>13895</v>
      </c>
      <c r="AI8" s="3">
        <v>13835</v>
      </c>
      <c r="AJ8" s="3">
        <v>13995</v>
      </c>
      <c r="AK8" s="3">
        <v>14025</v>
      </c>
      <c r="AL8" s="3">
        <v>13655</v>
      </c>
      <c r="AM8" s="3">
        <v>13640</v>
      </c>
      <c r="AN8" s="3">
        <v>13525</v>
      </c>
      <c r="AO8" s="3">
        <v>13510</v>
      </c>
      <c r="AP8" s="3">
        <v>13390</v>
      </c>
      <c r="AQ8" s="3">
        <v>13430</v>
      </c>
      <c r="AR8" s="4">
        <f t="shared" si="23"/>
        <v>1.2142237640936582E-2</v>
      </c>
      <c r="AS8" s="4">
        <f t="shared" si="0"/>
        <v>4.3290043290045155E-4</v>
      </c>
      <c r="AT8" s="4">
        <f t="shared" si="1"/>
        <v>8.3626760563380031E-3</v>
      </c>
      <c r="AU8" s="4">
        <f t="shared" si="2"/>
        <v>4.2444821731748572E-3</v>
      </c>
      <c r="AV8" s="4">
        <f t="shared" si="3"/>
        <v>0</v>
      </c>
      <c r="AW8" s="4">
        <f t="shared" si="4"/>
        <v>1.0961214165261302E-2</v>
      </c>
      <c r="AX8" s="4">
        <f t="shared" si="5"/>
        <v>7.8415187783740237E-3</v>
      </c>
      <c r="AY8" s="4">
        <f t="shared" si="6"/>
        <v>4.3035993740219158E-3</v>
      </c>
      <c r="AZ8" s="4">
        <f t="shared" si="7"/>
        <v>1.2754085292945305E-2</v>
      </c>
      <c r="BA8" s="4">
        <f t="shared" si="8"/>
        <v>3.2323232323232531E-3</v>
      </c>
      <c r="BB8" s="4">
        <f t="shared" si="9"/>
        <v>4.4588569112282705E-3</v>
      </c>
      <c r="BC8" s="4">
        <f t="shared" si="10"/>
        <v>3.1658092599921028E-3</v>
      </c>
      <c r="BD8" s="4">
        <f t="shared" si="11"/>
        <v>5.4517133956386576E-3</v>
      </c>
      <c r="BE8" s="4">
        <f t="shared" si="12"/>
        <v>1.4654839953721632E-2</v>
      </c>
      <c r="BF8" s="4">
        <f t="shared" si="13"/>
        <v>5.3475935828877219E-3</v>
      </c>
      <c r="BG8" s="4">
        <f t="shared" si="14"/>
        <v>1.3498312710911176E-2</v>
      </c>
      <c r="BH8" s="4">
        <f t="shared" si="15"/>
        <v>5.3918044572249801E-3</v>
      </c>
      <c r="BI8" s="4">
        <f t="shared" si="16"/>
        <v>1.08108108108107E-2</v>
      </c>
      <c r="BJ8" s="4">
        <f t="shared" si="17"/>
        <v>5.8309037900874383E-3</v>
      </c>
      <c r="BK8" s="4">
        <f t="shared" si="18"/>
        <v>1.2787723785166238E-2</v>
      </c>
      <c r="BL8" s="4">
        <f t="shared" si="19"/>
        <v>1.85804533630618E-3</v>
      </c>
      <c r="BM8" s="4">
        <f t="shared" si="24"/>
        <v>6.0865437577719639E-3</v>
      </c>
      <c r="BN8" s="9">
        <f t="shared" si="25"/>
        <v>13536.894446260821</v>
      </c>
      <c r="BO8" s="10">
        <f t="shared" si="26"/>
        <v>13243.896804427688</v>
      </c>
      <c r="BP8">
        <v>13455</v>
      </c>
      <c r="BQ8">
        <v>13540</v>
      </c>
      <c r="BR8">
        <v>13445</v>
      </c>
      <c r="BS8">
        <v>13515</v>
      </c>
      <c r="BT8">
        <v>727939</v>
      </c>
      <c r="BU8" s="13">
        <f t="shared" si="20"/>
        <v>13500</v>
      </c>
      <c r="BV8" s="13">
        <f t="shared" si="21"/>
        <v>9827176500</v>
      </c>
      <c r="BW8" s="13">
        <f>SUM($BV$3:BV8)</f>
        <v>33424918295</v>
      </c>
      <c r="BX8" s="13">
        <f>SUM($BT$3:BT8)</f>
        <v>2492725</v>
      </c>
      <c r="BY8" s="3">
        <f t="shared" si="22"/>
        <v>13408.987471542188</v>
      </c>
    </row>
    <row r="9" spans="1:77" x14ac:dyDescent="0.3">
      <c r="A9" s="3" t="s">
        <v>49</v>
      </c>
      <c r="B9" s="3">
        <v>11680</v>
      </c>
      <c r="C9" s="3">
        <v>11660</v>
      </c>
      <c r="D9" s="3">
        <v>11545</v>
      </c>
      <c r="E9" s="3">
        <v>11540</v>
      </c>
      <c r="F9" s="3">
        <v>11450</v>
      </c>
      <c r="G9" s="3">
        <v>11500</v>
      </c>
      <c r="H9" s="3">
        <v>11735</v>
      </c>
      <c r="I9" s="3">
        <v>11750</v>
      </c>
      <c r="J9" s="3">
        <v>11690</v>
      </c>
      <c r="K9" s="3">
        <v>11685</v>
      </c>
      <c r="L9" s="3">
        <v>11985</v>
      </c>
      <c r="M9" s="3">
        <v>12025</v>
      </c>
      <c r="N9" s="3">
        <v>12215</v>
      </c>
      <c r="O9" s="3">
        <v>12205</v>
      </c>
      <c r="P9" s="3">
        <v>12725</v>
      </c>
      <c r="Q9" s="3">
        <v>12700</v>
      </c>
      <c r="R9" s="3">
        <v>12705</v>
      </c>
      <c r="S9" s="3">
        <v>12720</v>
      </c>
      <c r="T9" s="3">
        <v>12335</v>
      </c>
      <c r="U9" s="3">
        <v>12345</v>
      </c>
      <c r="V9" s="3">
        <v>12395</v>
      </c>
      <c r="W9" s="3">
        <v>12455</v>
      </c>
      <c r="X9" s="3">
        <v>12590</v>
      </c>
      <c r="Y9" s="3">
        <v>12550</v>
      </c>
      <c r="Z9" s="3">
        <v>12770</v>
      </c>
      <c r="AA9" s="3">
        <v>12790</v>
      </c>
      <c r="AB9" s="3">
        <v>13155</v>
      </c>
      <c r="AC9" s="3">
        <v>13175</v>
      </c>
      <c r="AD9" s="3">
        <v>13160</v>
      </c>
      <c r="AE9" s="3">
        <v>13185</v>
      </c>
      <c r="AF9" s="3">
        <v>13515</v>
      </c>
      <c r="AG9" s="3">
        <v>13490</v>
      </c>
      <c r="AH9" s="3">
        <v>13835</v>
      </c>
      <c r="AI9" s="3">
        <v>13850</v>
      </c>
      <c r="AJ9" s="3">
        <v>14030</v>
      </c>
      <c r="AK9" s="3">
        <v>14060</v>
      </c>
      <c r="AL9" s="3">
        <v>13640</v>
      </c>
      <c r="AM9" s="3">
        <v>13690</v>
      </c>
      <c r="AN9" s="3">
        <v>13505</v>
      </c>
      <c r="AO9" s="3">
        <v>13520</v>
      </c>
      <c r="AP9" s="3">
        <v>13430</v>
      </c>
      <c r="AQ9" s="3">
        <v>13445</v>
      </c>
      <c r="AR9" s="4">
        <f t="shared" si="23"/>
        <v>1.1274934952298254E-2</v>
      </c>
      <c r="AS9" s="4">
        <f t="shared" si="0"/>
        <v>8.658008658009031E-4</v>
      </c>
      <c r="AT9" s="4">
        <f t="shared" si="1"/>
        <v>1.2323943661971759E-2</v>
      </c>
      <c r="AU9" s="4">
        <f t="shared" si="2"/>
        <v>2.5466893039048921E-3</v>
      </c>
      <c r="AV9" s="4">
        <f t="shared" si="3"/>
        <v>4.2771599657831505E-4</v>
      </c>
      <c r="AW9" s="4">
        <f t="shared" si="4"/>
        <v>1.3912310286677831E-2</v>
      </c>
      <c r="AX9" s="4">
        <f t="shared" si="5"/>
        <v>7.4288072637227476E-3</v>
      </c>
      <c r="AY9" s="4">
        <f t="shared" si="6"/>
        <v>6.2597809076682109E-3</v>
      </c>
      <c r="AZ9" s="4">
        <f t="shared" si="7"/>
        <v>1.3949780789159094E-2</v>
      </c>
      <c r="BA9" s="4">
        <f t="shared" si="8"/>
        <v>2.4242424242424399E-3</v>
      </c>
      <c r="BB9" s="4">
        <f t="shared" si="9"/>
        <v>9.7284150790433177E-3</v>
      </c>
      <c r="BC9" s="4">
        <f t="shared" si="10"/>
        <v>6.7273446774831491E-3</v>
      </c>
      <c r="BD9" s="4">
        <f t="shared" si="11"/>
        <v>3.8940809968847079E-3</v>
      </c>
      <c r="BE9" s="4">
        <f t="shared" si="12"/>
        <v>1.6197454685692225E-2</v>
      </c>
      <c r="BF9" s="4">
        <f t="shared" si="13"/>
        <v>7.257448433918956E-3</v>
      </c>
      <c r="BG9" s="4">
        <f t="shared" si="14"/>
        <v>1.1623547056617944E-2</v>
      </c>
      <c r="BH9" s="4">
        <f t="shared" si="15"/>
        <v>4.3134435657800063E-3</v>
      </c>
      <c r="BI9" s="4">
        <f t="shared" si="16"/>
        <v>1.3333333333333419E-2</v>
      </c>
      <c r="BJ9" s="4">
        <f t="shared" si="17"/>
        <v>2.1865889212827616E-3</v>
      </c>
      <c r="BK9" s="4">
        <f t="shared" si="18"/>
        <v>1.2056996711728218E-2</v>
      </c>
      <c r="BL9" s="4">
        <f t="shared" si="19"/>
        <v>7.4321813452249419E-4</v>
      </c>
      <c r="BM9" s="4">
        <f t="shared" si="24"/>
        <v>7.4245582409106104E-3</v>
      </c>
      <c r="BN9" s="9">
        <f t="shared" si="25"/>
        <v>13554.897431131454</v>
      </c>
      <c r="BO9" s="10">
        <f t="shared" si="26"/>
        <v>13226.067761439866</v>
      </c>
      <c r="BP9">
        <v>13515</v>
      </c>
      <c r="BQ9">
        <v>13530</v>
      </c>
      <c r="BR9">
        <v>13475</v>
      </c>
      <c r="BS9">
        <v>13490</v>
      </c>
      <c r="BT9">
        <v>288952</v>
      </c>
      <c r="BU9" s="13">
        <f t="shared" si="20"/>
        <v>13498.333333333334</v>
      </c>
      <c r="BV9" s="13">
        <f t="shared" si="21"/>
        <v>3900370413.3333335</v>
      </c>
      <c r="BW9" s="13">
        <f>SUM($BV$3:BV9)</f>
        <v>37325288708.333336</v>
      </c>
      <c r="BX9" s="13">
        <f>SUM($BT$3:BT9)</f>
        <v>2781677</v>
      </c>
      <c r="BY9" s="3">
        <f t="shared" si="22"/>
        <v>13418.268443220883</v>
      </c>
    </row>
    <row r="10" spans="1:77" x14ac:dyDescent="0.3">
      <c r="A10" s="3" t="s">
        <v>50</v>
      </c>
      <c r="B10" s="3">
        <v>11655</v>
      </c>
      <c r="C10" s="3">
        <v>11670</v>
      </c>
      <c r="D10" s="3">
        <v>11540</v>
      </c>
      <c r="E10" s="3">
        <v>11545</v>
      </c>
      <c r="F10" s="3">
        <v>11500</v>
      </c>
      <c r="G10" s="3">
        <v>11485</v>
      </c>
      <c r="H10" s="3">
        <v>11745</v>
      </c>
      <c r="I10" s="3">
        <v>11725</v>
      </c>
      <c r="J10" s="3">
        <v>11690</v>
      </c>
      <c r="K10" s="3">
        <v>11695</v>
      </c>
      <c r="L10" s="3">
        <v>12025</v>
      </c>
      <c r="M10" s="3">
        <v>12025</v>
      </c>
      <c r="N10" s="3">
        <v>12200</v>
      </c>
      <c r="O10" s="3">
        <v>12190</v>
      </c>
      <c r="P10" s="3">
        <v>12705</v>
      </c>
      <c r="Q10" s="3">
        <v>12685</v>
      </c>
      <c r="R10" s="3">
        <v>12720</v>
      </c>
      <c r="S10" s="3">
        <v>12715</v>
      </c>
      <c r="T10" s="3">
        <v>12345</v>
      </c>
      <c r="U10" s="3">
        <v>12370</v>
      </c>
      <c r="V10" s="3">
        <v>12460</v>
      </c>
      <c r="W10" s="3">
        <v>12490</v>
      </c>
      <c r="X10" s="3">
        <v>12550</v>
      </c>
      <c r="Y10" s="3">
        <v>12595</v>
      </c>
      <c r="Z10" s="3">
        <v>12790</v>
      </c>
      <c r="AA10" s="3">
        <v>12785</v>
      </c>
      <c r="AB10" s="3">
        <v>13180</v>
      </c>
      <c r="AC10" s="3">
        <v>13155</v>
      </c>
      <c r="AD10" s="3">
        <v>13185</v>
      </c>
      <c r="AE10" s="3">
        <v>13150</v>
      </c>
      <c r="AF10" s="3">
        <v>13490</v>
      </c>
      <c r="AG10" s="3">
        <v>13535</v>
      </c>
      <c r="AH10" s="3">
        <v>13845</v>
      </c>
      <c r="AI10" s="3">
        <v>13855</v>
      </c>
      <c r="AJ10" s="3">
        <v>14055</v>
      </c>
      <c r="AK10" s="3">
        <v>14030</v>
      </c>
      <c r="AL10" s="3">
        <v>13685</v>
      </c>
      <c r="AM10" s="3">
        <v>13650</v>
      </c>
      <c r="AN10" s="3">
        <v>13520</v>
      </c>
      <c r="AO10" s="3">
        <v>13475</v>
      </c>
      <c r="AP10" s="3">
        <v>13445</v>
      </c>
      <c r="AQ10" s="3">
        <v>13420</v>
      </c>
      <c r="AR10" s="4">
        <f t="shared" si="23"/>
        <v>1.2142237640936582E-2</v>
      </c>
      <c r="AS10" s="4">
        <f t="shared" si="0"/>
        <v>4.3290043290045155E-4</v>
      </c>
      <c r="AT10" s="4">
        <f t="shared" si="1"/>
        <v>1.1003521126760507E-2</v>
      </c>
      <c r="AU10" s="4">
        <f t="shared" si="2"/>
        <v>4.6689303904923207E-3</v>
      </c>
      <c r="AV10" s="4">
        <f t="shared" si="3"/>
        <v>4.2771599657820403E-4</v>
      </c>
      <c r="AW10" s="4">
        <f t="shared" si="4"/>
        <v>1.3912310286677831E-2</v>
      </c>
      <c r="AX10" s="4">
        <f t="shared" si="5"/>
        <v>6.1906727197689193E-3</v>
      </c>
      <c r="AY10" s="4">
        <f t="shared" si="6"/>
        <v>7.4334898278560768E-3</v>
      </c>
      <c r="AZ10" s="4">
        <f t="shared" si="7"/>
        <v>1.3551215623754498E-2</v>
      </c>
      <c r="BA10" s="4">
        <f t="shared" si="8"/>
        <v>4.0404040404040664E-4</v>
      </c>
      <c r="BB10" s="4">
        <f t="shared" si="9"/>
        <v>1.2565869477097591E-2</v>
      </c>
      <c r="BC10" s="4">
        <f t="shared" si="10"/>
        <v>3.1658092599921028E-3</v>
      </c>
      <c r="BD10" s="4">
        <f t="shared" si="11"/>
        <v>4.2834890965731676E-3</v>
      </c>
      <c r="BE10" s="4">
        <f t="shared" si="12"/>
        <v>1.4654839953721632E-2</v>
      </c>
      <c r="BF10" s="4">
        <f t="shared" si="13"/>
        <v>4.583651642475095E-3</v>
      </c>
      <c r="BG10" s="4">
        <f t="shared" si="14"/>
        <v>1.4998125234345627E-2</v>
      </c>
      <c r="BH10" s="4">
        <f t="shared" si="15"/>
        <v>3.9539899352983854E-3</v>
      </c>
      <c r="BI10" s="4">
        <f t="shared" si="16"/>
        <v>1.1171171171171279E-2</v>
      </c>
      <c r="BJ10" s="4">
        <f t="shared" si="17"/>
        <v>5.1020408163264808E-3</v>
      </c>
      <c r="BK10" s="4">
        <f t="shared" si="18"/>
        <v>1.5345268542199531E-2</v>
      </c>
      <c r="BL10" s="4">
        <f t="shared" si="19"/>
        <v>2.6012634708286742E-3</v>
      </c>
      <c r="BM10" s="4">
        <f t="shared" si="24"/>
        <v>6.9484611599063429E-3</v>
      </c>
      <c r="BN10" s="9">
        <f t="shared" si="25"/>
        <v>13548.491544906541</v>
      </c>
      <c r="BO10" s="10">
        <f t="shared" si="26"/>
        <v>13232.411755044248</v>
      </c>
      <c r="BP10">
        <v>13490</v>
      </c>
      <c r="BQ10">
        <v>13550</v>
      </c>
      <c r="BR10">
        <v>13490</v>
      </c>
      <c r="BS10">
        <v>13535</v>
      </c>
      <c r="BT10">
        <v>230557</v>
      </c>
      <c r="BU10" s="13">
        <f t="shared" si="20"/>
        <v>13525</v>
      </c>
      <c r="BV10" s="13">
        <f t="shared" si="21"/>
        <v>3118283425</v>
      </c>
      <c r="BW10" s="13">
        <f>SUM($BV$3:BV10)</f>
        <v>40443572133.333336</v>
      </c>
      <c r="BX10" s="13">
        <f>SUM($BT$3:BT10)</f>
        <v>3012234</v>
      </c>
      <c r="BY10" s="3">
        <f t="shared" si="22"/>
        <v>13426.437698177942</v>
      </c>
    </row>
    <row r="11" spans="1:77" x14ac:dyDescent="0.3">
      <c r="A11" s="3" t="s">
        <v>51</v>
      </c>
      <c r="B11" s="3">
        <v>11670</v>
      </c>
      <c r="C11" s="3">
        <v>11695</v>
      </c>
      <c r="D11" s="3">
        <v>11550</v>
      </c>
      <c r="E11" s="3">
        <v>11550</v>
      </c>
      <c r="F11" s="3">
        <v>11490</v>
      </c>
      <c r="G11" s="3">
        <v>11495</v>
      </c>
      <c r="H11" s="3">
        <v>11725</v>
      </c>
      <c r="I11" s="3">
        <v>11735</v>
      </c>
      <c r="J11" s="3">
        <v>11695</v>
      </c>
      <c r="K11" s="3">
        <v>11700</v>
      </c>
      <c r="L11" s="3">
        <v>12030</v>
      </c>
      <c r="M11" s="3">
        <v>12085</v>
      </c>
      <c r="N11" s="3">
        <v>12190</v>
      </c>
      <c r="O11" s="3">
        <v>12185</v>
      </c>
      <c r="P11" s="3">
        <v>12685</v>
      </c>
      <c r="Q11" s="3">
        <v>12650</v>
      </c>
      <c r="R11" s="3">
        <v>12715</v>
      </c>
      <c r="S11" s="3">
        <v>12715</v>
      </c>
      <c r="T11" s="3">
        <v>12370</v>
      </c>
      <c r="U11" s="3">
        <v>12345</v>
      </c>
      <c r="V11" s="3">
        <v>12485</v>
      </c>
      <c r="W11" s="3">
        <v>12545</v>
      </c>
      <c r="X11" s="3">
        <v>12595</v>
      </c>
      <c r="Y11" s="3">
        <v>12615</v>
      </c>
      <c r="Z11" s="3">
        <v>12785</v>
      </c>
      <c r="AA11" s="3">
        <v>12805</v>
      </c>
      <c r="AB11" s="3">
        <v>13160</v>
      </c>
      <c r="AC11" s="3">
        <v>13190</v>
      </c>
      <c r="AD11" s="3">
        <v>13150</v>
      </c>
      <c r="AE11" s="3">
        <v>13155</v>
      </c>
      <c r="AF11" s="3">
        <v>13535</v>
      </c>
      <c r="AG11" s="3">
        <v>13570</v>
      </c>
      <c r="AH11" s="3">
        <v>13850</v>
      </c>
      <c r="AI11" s="3">
        <v>13870</v>
      </c>
      <c r="AJ11" s="3">
        <v>14020</v>
      </c>
      <c r="AK11" s="3">
        <v>14065</v>
      </c>
      <c r="AL11" s="3">
        <v>13650</v>
      </c>
      <c r="AM11" s="3">
        <v>13735</v>
      </c>
      <c r="AN11" s="3">
        <v>13480</v>
      </c>
      <c r="AO11" s="3">
        <v>13445</v>
      </c>
      <c r="AP11" s="3">
        <v>13420</v>
      </c>
      <c r="AQ11" s="3">
        <v>13450</v>
      </c>
      <c r="AR11" s="4">
        <f t="shared" si="23"/>
        <v>1.4310494362532511E-2</v>
      </c>
      <c r="AS11" s="4">
        <f t="shared" si="0"/>
        <v>0</v>
      </c>
      <c r="AT11" s="4">
        <f t="shared" si="1"/>
        <v>1.188380281690149E-2</v>
      </c>
      <c r="AU11" s="4">
        <f t="shared" si="2"/>
        <v>3.8200339558573937E-3</v>
      </c>
      <c r="AV11" s="4">
        <f t="shared" si="3"/>
        <v>8.554319931566301E-4</v>
      </c>
      <c r="AW11" s="4">
        <f t="shared" si="4"/>
        <v>1.8971332209106295E-2</v>
      </c>
      <c r="AX11" s="4">
        <f t="shared" si="5"/>
        <v>5.7779612051176432E-3</v>
      </c>
      <c r="AY11" s="4">
        <f t="shared" si="6"/>
        <v>1.0172143974960912E-2</v>
      </c>
      <c r="AZ11" s="4">
        <f t="shared" si="7"/>
        <v>1.3551215623754498E-2</v>
      </c>
      <c r="BA11" s="4">
        <f t="shared" si="8"/>
        <v>2.4242424242424399E-3</v>
      </c>
      <c r="BB11" s="4">
        <f t="shared" si="9"/>
        <v>1.7024726388325861E-2</v>
      </c>
      <c r="BC11" s="4">
        <f t="shared" si="10"/>
        <v>1.5829046299959959E-3</v>
      </c>
      <c r="BD11" s="4">
        <f t="shared" si="11"/>
        <v>2.7258566978193288E-3</v>
      </c>
      <c r="BE11" s="4">
        <f t="shared" si="12"/>
        <v>1.7354415734670336E-2</v>
      </c>
      <c r="BF11" s="4">
        <f t="shared" si="13"/>
        <v>4.9656226126815195E-3</v>
      </c>
      <c r="BG11" s="4">
        <f t="shared" si="14"/>
        <v>1.7622797150356195E-2</v>
      </c>
      <c r="BH11" s="4">
        <f t="shared" si="15"/>
        <v>2.8756290438533005E-3</v>
      </c>
      <c r="BI11" s="4">
        <f t="shared" si="16"/>
        <v>1.3693693693693776E-2</v>
      </c>
      <c r="BJ11" s="4">
        <f t="shared" si="17"/>
        <v>1.0932944606414363E-3</v>
      </c>
      <c r="BK11" s="4">
        <f t="shared" si="18"/>
        <v>1.7537449762513702E-2</v>
      </c>
      <c r="BL11" s="4">
        <f t="shared" si="19"/>
        <v>3.7160906726119158E-4</v>
      </c>
      <c r="BM11" s="4">
        <f t="shared" si="24"/>
        <v>7.9364064476135955E-3</v>
      </c>
      <c r="BN11" s="9">
        <f t="shared" si="25"/>
        <v>13561.784348752641</v>
      </c>
      <c r="BO11" s="10">
        <f t="shared" si="26"/>
        <v>13219.247384085549</v>
      </c>
      <c r="BP11">
        <v>13535</v>
      </c>
      <c r="BQ11">
        <v>13600</v>
      </c>
      <c r="BR11">
        <v>13530</v>
      </c>
      <c r="BS11">
        <v>13570</v>
      </c>
      <c r="BT11">
        <v>352814</v>
      </c>
      <c r="BU11" s="13">
        <f t="shared" si="20"/>
        <v>13566.666666666666</v>
      </c>
      <c r="BV11" s="13">
        <f t="shared" si="21"/>
        <v>4786509933.333333</v>
      </c>
      <c r="BW11" s="13">
        <f>SUM($BV$3:BV11)</f>
        <v>45230082066.666672</v>
      </c>
      <c r="BX11" s="13">
        <f>SUM($BT$3:BT11)</f>
        <v>3365048</v>
      </c>
      <c r="BY11" s="3">
        <f t="shared" si="22"/>
        <v>13441.140235344837</v>
      </c>
    </row>
    <row r="12" spans="1:77" x14ac:dyDescent="0.3">
      <c r="A12" s="3" t="s">
        <v>52</v>
      </c>
      <c r="B12" s="3">
        <v>11700</v>
      </c>
      <c r="C12" s="3">
        <v>11745</v>
      </c>
      <c r="D12" s="3">
        <v>11555</v>
      </c>
      <c r="E12" s="3">
        <v>11565</v>
      </c>
      <c r="F12" s="3">
        <v>11495</v>
      </c>
      <c r="G12" s="3">
        <v>11465</v>
      </c>
      <c r="H12" s="3">
        <v>11735</v>
      </c>
      <c r="I12" s="3">
        <v>11725</v>
      </c>
      <c r="J12" s="3">
        <v>11705</v>
      </c>
      <c r="K12" s="3">
        <v>11705</v>
      </c>
      <c r="L12" s="3">
        <v>12085</v>
      </c>
      <c r="M12" s="3">
        <v>12095</v>
      </c>
      <c r="N12" s="3">
        <v>12185</v>
      </c>
      <c r="O12" s="3">
        <v>12200</v>
      </c>
      <c r="P12" s="3">
        <v>12650</v>
      </c>
      <c r="Q12" s="3">
        <v>12685</v>
      </c>
      <c r="R12" s="3">
        <v>12720</v>
      </c>
      <c r="S12" s="3">
        <v>12705</v>
      </c>
      <c r="T12" s="3">
        <v>12355</v>
      </c>
      <c r="U12" s="3">
        <v>12360</v>
      </c>
      <c r="V12" s="3">
        <v>12545</v>
      </c>
      <c r="W12" s="3">
        <v>12545</v>
      </c>
      <c r="X12" s="3">
        <v>12620</v>
      </c>
      <c r="Y12" s="3">
        <v>12670</v>
      </c>
      <c r="Z12" s="3">
        <v>12805</v>
      </c>
      <c r="AA12" s="3">
        <v>12800</v>
      </c>
      <c r="AB12" s="3">
        <v>13195</v>
      </c>
      <c r="AC12" s="3">
        <v>13190</v>
      </c>
      <c r="AD12" s="3">
        <v>13155</v>
      </c>
      <c r="AE12" s="3">
        <v>13145</v>
      </c>
      <c r="AF12" s="3">
        <v>13570</v>
      </c>
      <c r="AG12" s="3">
        <v>13515</v>
      </c>
      <c r="AH12" s="3">
        <v>13870</v>
      </c>
      <c r="AI12" s="3">
        <v>13870</v>
      </c>
      <c r="AJ12" s="3">
        <v>14065</v>
      </c>
      <c r="AK12" s="3">
        <v>14075</v>
      </c>
      <c r="AL12" s="3">
        <v>13735</v>
      </c>
      <c r="AM12" s="3">
        <v>13695</v>
      </c>
      <c r="AN12" s="3">
        <v>13445</v>
      </c>
      <c r="AO12" s="3">
        <v>13425</v>
      </c>
      <c r="AP12" s="3">
        <v>13445</v>
      </c>
      <c r="AQ12" s="3">
        <v>13420</v>
      </c>
      <c r="AR12" s="4">
        <f t="shared" si="23"/>
        <v>1.8647007805724147E-2</v>
      </c>
      <c r="AS12" s="4">
        <f t="shared" si="0"/>
        <v>1.2987012987013546E-3</v>
      </c>
      <c r="AT12" s="4">
        <f t="shared" si="1"/>
        <v>9.2429577464787638E-3</v>
      </c>
      <c r="AU12" s="4">
        <f t="shared" si="2"/>
        <v>4.6689303904923207E-3</v>
      </c>
      <c r="AV12" s="4">
        <f t="shared" si="3"/>
        <v>1.2831479897348341E-3</v>
      </c>
      <c r="AW12" s="4">
        <f t="shared" si="4"/>
        <v>1.9814502529510891E-2</v>
      </c>
      <c r="AX12" s="4">
        <f t="shared" si="5"/>
        <v>7.0160957490714715E-3</v>
      </c>
      <c r="AY12" s="4">
        <f t="shared" si="6"/>
        <v>7.4334898278560768E-3</v>
      </c>
      <c r="AZ12" s="4">
        <f t="shared" si="7"/>
        <v>1.2754085292945305E-2</v>
      </c>
      <c r="BA12" s="4">
        <f t="shared" si="8"/>
        <v>1.2121212121212199E-3</v>
      </c>
      <c r="BB12" s="4">
        <f t="shared" si="9"/>
        <v>1.7024726388325861E-2</v>
      </c>
      <c r="BC12" s="4">
        <f t="shared" si="10"/>
        <v>2.7700831024930483E-3</v>
      </c>
      <c r="BD12" s="4">
        <f t="shared" si="11"/>
        <v>3.1152647975077885E-3</v>
      </c>
      <c r="BE12" s="4">
        <f t="shared" si="12"/>
        <v>1.7354415734670336E-2</v>
      </c>
      <c r="BF12" s="4">
        <f t="shared" si="13"/>
        <v>4.2016806722688926E-3</v>
      </c>
      <c r="BG12" s="4">
        <f t="shared" si="14"/>
        <v>1.3498312710911176E-2</v>
      </c>
      <c r="BH12" s="4">
        <f t="shared" si="15"/>
        <v>2.8756290438533005E-3</v>
      </c>
      <c r="BI12" s="4">
        <f t="shared" si="16"/>
        <v>1.4414414414414489E-2</v>
      </c>
      <c r="BJ12" s="4">
        <f t="shared" si="17"/>
        <v>1.8221574344022828E-3</v>
      </c>
      <c r="BK12" s="4">
        <f t="shared" si="18"/>
        <v>1.8998903909389853E-2</v>
      </c>
      <c r="BL12" s="4">
        <f t="shared" si="19"/>
        <v>2.6012634708286742E-3</v>
      </c>
      <c r="BM12" s="4">
        <f t="shared" si="24"/>
        <v>7.799300195155583E-3</v>
      </c>
      <c r="BN12" s="9">
        <f t="shared" si="25"/>
        <v>13559.939584125817</v>
      </c>
      <c r="BO12" s="10">
        <f t="shared" si="26"/>
        <v>13221.074324899551</v>
      </c>
      <c r="BP12">
        <v>13570</v>
      </c>
      <c r="BQ12">
        <v>13590</v>
      </c>
      <c r="BR12">
        <v>13510</v>
      </c>
      <c r="BS12">
        <v>13515</v>
      </c>
      <c r="BT12">
        <v>236970</v>
      </c>
      <c r="BU12" s="13">
        <f t="shared" si="20"/>
        <v>13538.333333333334</v>
      </c>
      <c r="BV12" s="13">
        <f t="shared" si="21"/>
        <v>3208178850</v>
      </c>
      <c r="BW12" s="13">
        <f>SUM($BV$3:BV12)</f>
        <v>48438260916.666672</v>
      </c>
      <c r="BX12" s="13">
        <f>SUM($BT$3:BT12)</f>
        <v>3602018</v>
      </c>
      <c r="BY12" s="3">
        <f t="shared" si="22"/>
        <v>13447.53438674284</v>
      </c>
    </row>
    <row r="13" spans="1:77" x14ac:dyDescent="0.3">
      <c r="A13" s="3" t="s">
        <v>53</v>
      </c>
      <c r="B13" s="3">
        <v>11740</v>
      </c>
      <c r="C13" s="3">
        <v>11775</v>
      </c>
      <c r="D13" s="3">
        <v>11565</v>
      </c>
      <c r="E13" s="3">
        <v>11580</v>
      </c>
      <c r="F13" s="3">
        <v>11465</v>
      </c>
      <c r="G13" s="3">
        <v>11480</v>
      </c>
      <c r="H13" s="3">
        <v>11730</v>
      </c>
      <c r="I13" s="3">
        <v>11700</v>
      </c>
      <c r="J13" s="3">
        <v>11705</v>
      </c>
      <c r="K13" s="3">
        <v>11695</v>
      </c>
      <c r="L13" s="3">
        <v>12095</v>
      </c>
      <c r="M13" s="3">
        <v>12090</v>
      </c>
      <c r="N13" s="3">
        <v>12195</v>
      </c>
      <c r="O13" s="3">
        <v>12240</v>
      </c>
      <c r="P13" s="3">
        <v>12685</v>
      </c>
      <c r="Q13" s="3">
        <v>12690</v>
      </c>
      <c r="R13" s="3">
        <v>12700</v>
      </c>
      <c r="S13" s="3">
        <v>12715</v>
      </c>
      <c r="T13" s="3">
        <v>12355</v>
      </c>
      <c r="U13" s="3">
        <v>12330</v>
      </c>
      <c r="V13" s="3">
        <v>12545</v>
      </c>
      <c r="W13" s="3">
        <v>12545</v>
      </c>
      <c r="X13" s="3">
        <v>12670</v>
      </c>
      <c r="Y13" s="3">
        <v>12700</v>
      </c>
      <c r="Z13" s="3">
        <v>12795</v>
      </c>
      <c r="AA13" s="3">
        <v>12785</v>
      </c>
      <c r="AB13" s="3">
        <v>13185</v>
      </c>
      <c r="AC13" s="3">
        <v>13225</v>
      </c>
      <c r="AD13" s="3">
        <v>13140</v>
      </c>
      <c r="AE13" s="3">
        <v>13110</v>
      </c>
      <c r="AF13" s="3">
        <v>13515</v>
      </c>
      <c r="AG13" s="3">
        <v>13545</v>
      </c>
      <c r="AH13" s="3">
        <v>13880</v>
      </c>
      <c r="AI13" s="3">
        <v>13895</v>
      </c>
      <c r="AJ13" s="3">
        <v>14080</v>
      </c>
      <c r="AK13" s="3">
        <v>14060</v>
      </c>
      <c r="AL13" s="3">
        <v>13700</v>
      </c>
      <c r="AM13" s="3">
        <v>13690</v>
      </c>
      <c r="AN13" s="3">
        <v>13420</v>
      </c>
      <c r="AO13" s="3">
        <v>13390</v>
      </c>
      <c r="AP13" s="3">
        <v>13420</v>
      </c>
      <c r="AQ13" s="3">
        <v>13405</v>
      </c>
      <c r="AR13" s="4">
        <f t="shared" si="23"/>
        <v>2.1248915871639129E-2</v>
      </c>
      <c r="AS13" s="4">
        <f t="shared" si="0"/>
        <v>2.5974025974024872E-3</v>
      </c>
      <c r="AT13" s="4">
        <f t="shared" si="1"/>
        <v>1.0563380281690238E-2</v>
      </c>
      <c r="AU13" s="4">
        <f t="shared" si="2"/>
        <v>6.7911714770797493E-3</v>
      </c>
      <c r="AV13" s="4">
        <f t="shared" si="3"/>
        <v>4.2771599657820403E-4</v>
      </c>
      <c r="AW13" s="4">
        <f t="shared" si="4"/>
        <v>1.9392917369308593E-2</v>
      </c>
      <c r="AX13" s="4">
        <f t="shared" si="5"/>
        <v>1.0317787866281458E-2</v>
      </c>
      <c r="AY13" s="4">
        <f t="shared" si="6"/>
        <v>7.0422535211267512E-3</v>
      </c>
      <c r="AZ13" s="4">
        <f t="shared" si="7"/>
        <v>1.3551215623754498E-2</v>
      </c>
      <c r="BA13" s="4">
        <f t="shared" si="8"/>
        <v>3.6363636363636598E-3</v>
      </c>
      <c r="BB13" s="4">
        <f t="shared" si="9"/>
        <v>1.7024726388325861E-2</v>
      </c>
      <c r="BC13" s="4">
        <f t="shared" si="10"/>
        <v>5.1444400474871532E-3</v>
      </c>
      <c r="BD13" s="4">
        <f t="shared" si="11"/>
        <v>4.2834890965731676E-3</v>
      </c>
      <c r="BE13" s="4">
        <f t="shared" si="12"/>
        <v>2.0053991515619041E-2</v>
      </c>
      <c r="BF13" s="4">
        <f t="shared" si="13"/>
        <v>1.5278838808250317E-3</v>
      </c>
      <c r="BG13" s="4">
        <f t="shared" si="14"/>
        <v>1.5748031496062964E-2</v>
      </c>
      <c r="BH13" s="4">
        <f t="shared" si="15"/>
        <v>1.0783608914449738E-3</v>
      </c>
      <c r="BI13" s="4">
        <f t="shared" si="16"/>
        <v>1.3333333333333419E-2</v>
      </c>
      <c r="BJ13" s="4">
        <f t="shared" si="17"/>
        <v>2.1865889212827616E-3</v>
      </c>
      <c r="BK13" s="4">
        <f t="shared" si="18"/>
        <v>2.1556448666423145E-2</v>
      </c>
      <c r="BL13" s="4">
        <f t="shared" si="19"/>
        <v>3.7160906726123599E-3</v>
      </c>
      <c r="BM13" s="4">
        <f t="shared" si="24"/>
        <v>8.7396242356011355E-3</v>
      </c>
      <c r="BN13" s="9">
        <f t="shared" si="25"/>
        <v>13572.591644090013</v>
      </c>
      <c r="BO13" s="10">
        <f t="shared" si="26"/>
        <v>13208.544507060615</v>
      </c>
      <c r="BP13">
        <v>13515</v>
      </c>
      <c r="BQ13">
        <v>13560</v>
      </c>
      <c r="BR13">
        <v>13510</v>
      </c>
      <c r="BS13">
        <v>13545</v>
      </c>
      <c r="BT13">
        <v>142802</v>
      </c>
      <c r="BU13" s="13">
        <f t="shared" si="20"/>
        <v>13538.333333333334</v>
      </c>
      <c r="BV13" s="13">
        <f t="shared" si="21"/>
        <v>1933301076.6666667</v>
      </c>
      <c r="BW13" s="13">
        <f>SUM($BV$3:BV13)</f>
        <v>50371561993.333336</v>
      </c>
      <c r="BX13" s="13">
        <f>SUM($BT$3:BT13)</f>
        <v>3744820</v>
      </c>
      <c r="BY13" s="3">
        <f t="shared" si="22"/>
        <v>13450.996841859778</v>
      </c>
    </row>
    <row r="14" spans="1:77" x14ac:dyDescent="0.3">
      <c r="A14" s="3" t="s">
        <v>54</v>
      </c>
      <c r="B14" s="3">
        <v>11770</v>
      </c>
      <c r="C14" s="3">
        <v>11785</v>
      </c>
      <c r="D14" s="3">
        <v>11585</v>
      </c>
      <c r="E14" s="3">
        <v>11565</v>
      </c>
      <c r="F14" s="3">
        <v>11480</v>
      </c>
      <c r="G14" s="3">
        <v>11465</v>
      </c>
      <c r="H14" s="3">
        <v>11700</v>
      </c>
      <c r="I14" s="3">
        <v>11685</v>
      </c>
      <c r="J14" s="3">
        <v>11695</v>
      </c>
      <c r="K14" s="3">
        <v>11695</v>
      </c>
      <c r="L14" s="3">
        <v>12095</v>
      </c>
      <c r="M14" s="3">
        <v>12060</v>
      </c>
      <c r="N14" s="3">
        <v>12245</v>
      </c>
      <c r="O14" s="3">
        <v>12230</v>
      </c>
      <c r="P14" s="3">
        <v>12695</v>
      </c>
      <c r="Q14" s="3">
        <v>12680</v>
      </c>
      <c r="R14" s="3">
        <v>12720</v>
      </c>
      <c r="S14" s="3">
        <v>12705</v>
      </c>
      <c r="T14" s="3">
        <v>12325</v>
      </c>
      <c r="U14" s="3">
        <v>12320</v>
      </c>
      <c r="V14" s="3">
        <v>12550</v>
      </c>
      <c r="W14" s="3">
        <v>12575</v>
      </c>
      <c r="X14" s="3">
        <v>12700</v>
      </c>
      <c r="Y14" s="3">
        <v>12665</v>
      </c>
      <c r="Z14" s="3">
        <v>12785</v>
      </c>
      <c r="AA14" s="3">
        <v>12760</v>
      </c>
      <c r="AB14" s="3">
        <v>13230</v>
      </c>
      <c r="AC14" s="3">
        <v>13250</v>
      </c>
      <c r="AD14" s="3">
        <v>13110</v>
      </c>
      <c r="AE14" s="3">
        <v>13140</v>
      </c>
      <c r="AF14" s="3">
        <v>13545</v>
      </c>
      <c r="AG14" s="3">
        <v>13630</v>
      </c>
      <c r="AH14" s="3">
        <v>13890</v>
      </c>
      <c r="AI14" s="3">
        <v>13930</v>
      </c>
      <c r="AJ14" s="3">
        <v>14070</v>
      </c>
      <c r="AK14" s="3">
        <v>14025</v>
      </c>
      <c r="AL14" s="3">
        <v>13690</v>
      </c>
      <c r="AM14" s="3">
        <v>13655</v>
      </c>
      <c r="AN14" s="3">
        <v>13400</v>
      </c>
      <c r="AO14" s="3">
        <v>13390</v>
      </c>
      <c r="AP14" s="3">
        <v>13400</v>
      </c>
      <c r="AQ14" s="3">
        <v>13420</v>
      </c>
      <c r="AR14" s="4">
        <f t="shared" si="23"/>
        <v>2.2116218560277456E-2</v>
      </c>
      <c r="AS14" s="4">
        <f t="shared" si="0"/>
        <v>1.2987012987013546E-3</v>
      </c>
      <c r="AT14" s="4">
        <f t="shared" si="1"/>
        <v>9.2429577464787638E-3</v>
      </c>
      <c r="AU14" s="4">
        <f t="shared" si="2"/>
        <v>8.0645161290322509E-3</v>
      </c>
      <c r="AV14" s="4">
        <f t="shared" si="3"/>
        <v>4.2771599657820403E-4</v>
      </c>
      <c r="AW14" s="4">
        <f t="shared" si="4"/>
        <v>1.6863406408094361E-2</v>
      </c>
      <c r="AX14" s="4">
        <f t="shared" si="5"/>
        <v>9.492364836978906E-3</v>
      </c>
      <c r="AY14" s="4">
        <f t="shared" si="6"/>
        <v>7.8247261345852914E-3</v>
      </c>
      <c r="AZ14" s="4">
        <f t="shared" si="7"/>
        <v>1.2754085292945305E-2</v>
      </c>
      <c r="BA14" s="4">
        <f t="shared" si="8"/>
        <v>4.4444444444444731E-3</v>
      </c>
      <c r="BB14" s="4">
        <f t="shared" si="9"/>
        <v>1.9456830158086635E-2</v>
      </c>
      <c r="BC14" s="4">
        <f t="shared" si="10"/>
        <v>2.3743569449941049E-3</v>
      </c>
      <c r="BD14" s="4">
        <f t="shared" si="11"/>
        <v>6.230529595015577E-3</v>
      </c>
      <c r="BE14" s="4">
        <f t="shared" si="12"/>
        <v>2.1982259930582337E-2</v>
      </c>
      <c r="BF14" s="4">
        <f t="shared" si="13"/>
        <v>3.8197097020626902E-3</v>
      </c>
      <c r="BG14" s="4">
        <f t="shared" si="14"/>
        <v>2.2122234720659995E-2</v>
      </c>
      <c r="BH14" s="4">
        <f t="shared" si="15"/>
        <v>1.4378145219267058E-3</v>
      </c>
      <c r="BI14" s="4">
        <f t="shared" si="16"/>
        <v>1.08108108108107E-2</v>
      </c>
      <c r="BJ14" s="4">
        <f t="shared" si="17"/>
        <v>4.737609329446113E-3</v>
      </c>
      <c r="BK14" s="4">
        <f t="shared" si="18"/>
        <v>2.1556448666423145E-2</v>
      </c>
      <c r="BL14" s="4">
        <f t="shared" si="19"/>
        <v>2.6012634708286742E-3</v>
      </c>
      <c r="BM14" s="4">
        <f t="shared" si="24"/>
        <v>8.8769003298985894E-3</v>
      </c>
      <c r="BN14" s="9">
        <f t="shared" si="25"/>
        <v>13574.438693938784</v>
      </c>
      <c r="BO14" s="10">
        <f t="shared" si="26"/>
        <v>13206.715303104102</v>
      </c>
      <c r="BP14">
        <v>13545</v>
      </c>
      <c r="BQ14">
        <v>13630</v>
      </c>
      <c r="BR14">
        <v>13545</v>
      </c>
      <c r="BS14">
        <v>13630</v>
      </c>
      <c r="BT14">
        <v>334045</v>
      </c>
      <c r="BU14" s="13">
        <f t="shared" si="20"/>
        <v>13601.666666666666</v>
      </c>
      <c r="BV14" s="13">
        <f t="shared" si="21"/>
        <v>4543568741.666666</v>
      </c>
      <c r="BW14" s="13">
        <f>SUM($BV$3:BV14)</f>
        <v>54915130735</v>
      </c>
      <c r="BX14" s="13">
        <f>SUM($BT$3:BT14)</f>
        <v>4078865</v>
      </c>
      <c r="BY14" s="3">
        <f t="shared" si="22"/>
        <v>13463.336181756444</v>
      </c>
    </row>
    <row r="15" spans="1:77" x14ac:dyDescent="0.3">
      <c r="A15" s="3" t="s">
        <v>55</v>
      </c>
      <c r="B15" s="3">
        <v>11785</v>
      </c>
      <c r="C15" s="3">
        <v>11750</v>
      </c>
      <c r="D15" s="3">
        <v>11565</v>
      </c>
      <c r="E15" s="3">
        <v>11570</v>
      </c>
      <c r="F15" s="3">
        <v>11470</v>
      </c>
      <c r="G15" s="3">
        <v>11465</v>
      </c>
      <c r="H15" s="3">
        <v>11685</v>
      </c>
      <c r="I15" s="3">
        <v>11700</v>
      </c>
      <c r="J15" s="3">
        <v>11695</v>
      </c>
      <c r="K15" s="3">
        <v>11690</v>
      </c>
      <c r="L15" s="3">
        <v>12065</v>
      </c>
      <c r="M15" s="3">
        <v>12080</v>
      </c>
      <c r="N15" s="3">
        <v>12230</v>
      </c>
      <c r="O15" s="3">
        <v>12250</v>
      </c>
      <c r="P15" s="3">
        <v>12685</v>
      </c>
      <c r="Q15" s="3">
        <v>12700</v>
      </c>
      <c r="R15" s="3">
        <v>12700</v>
      </c>
      <c r="S15" s="3">
        <v>12705</v>
      </c>
      <c r="T15" s="3">
        <v>12320</v>
      </c>
      <c r="U15" s="3">
        <v>12310</v>
      </c>
      <c r="V15" s="3">
        <v>12570</v>
      </c>
      <c r="W15" s="3">
        <v>12555</v>
      </c>
      <c r="X15" s="3">
        <v>12670</v>
      </c>
      <c r="Y15" s="3">
        <v>12660</v>
      </c>
      <c r="Z15" s="3">
        <v>12760</v>
      </c>
      <c r="AA15" s="3">
        <v>12760</v>
      </c>
      <c r="AB15" s="3">
        <v>13250</v>
      </c>
      <c r="AC15" s="3">
        <v>13245</v>
      </c>
      <c r="AD15" s="3">
        <v>13140</v>
      </c>
      <c r="AE15" s="3">
        <v>13145</v>
      </c>
      <c r="AF15" s="3">
        <v>13630</v>
      </c>
      <c r="AG15" s="3">
        <v>13640</v>
      </c>
      <c r="AH15" s="3">
        <v>13930</v>
      </c>
      <c r="AI15" s="3">
        <v>13930</v>
      </c>
      <c r="AJ15" s="3">
        <v>14025</v>
      </c>
      <c r="AK15" s="3">
        <v>14000</v>
      </c>
      <c r="AL15" s="3">
        <v>13645</v>
      </c>
      <c r="AM15" s="3">
        <v>13630</v>
      </c>
      <c r="AN15" s="3">
        <v>13380</v>
      </c>
      <c r="AO15" s="3">
        <v>13385</v>
      </c>
      <c r="AP15" s="3">
        <v>13420</v>
      </c>
      <c r="AQ15" s="3">
        <v>13385</v>
      </c>
      <c r="AR15" s="4">
        <f t="shared" si="23"/>
        <v>1.9080659150043422E-2</v>
      </c>
      <c r="AS15" s="4">
        <f t="shared" si="0"/>
        <v>1.7316017316018062E-3</v>
      </c>
      <c r="AT15" s="4">
        <f t="shared" si="1"/>
        <v>9.2429577464787638E-3</v>
      </c>
      <c r="AU15" s="4">
        <f t="shared" si="2"/>
        <v>6.7911714770797493E-3</v>
      </c>
      <c r="AV15" s="4">
        <f t="shared" si="3"/>
        <v>0</v>
      </c>
      <c r="AW15" s="4">
        <f t="shared" si="4"/>
        <v>1.8549747048903775E-2</v>
      </c>
      <c r="AX15" s="4">
        <f t="shared" si="5"/>
        <v>1.114321089558401E-2</v>
      </c>
      <c r="AY15" s="4">
        <f t="shared" si="6"/>
        <v>6.2597809076682109E-3</v>
      </c>
      <c r="AZ15" s="4">
        <f t="shared" si="7"/>
        <v>1.2754085292945305E-2</v>
      </c>
      <c r="BA15" s="4">
        <f t="shared" si="8"/>
        <v>5.2525252525252863E-3</v>
      </c>
      <c r="BB15" s="4">
        <f t="shared" si="9"/>
        <v>1.783542764491286E-2</v>
      </c>
      <c r="BC15" s="4">
        <f t="shared" si="10"/>
        <v>1.9786307874951614E-3</v>
      </c>
      <c r="BD15" s="4">
        <f t="shared" si="11"/>
        <v>6.230529595015577E-3</v>
      </c>
      <c r="BE15" s="4">
        <f t="shared" si="12"/>
        <v>2.1596606247589634E-2</v>
      </c>
      <c r="BF15" s="4">
        <f t="shared" si="13"/>
        <v>4.2016806722688926E-3</v>
      </c>
      <c r="BG15" s="4">
        <f t="shared" si="14"/>
        <v>2.2872140982377109E-2</v>
      </c>
      <c r="BH15" s="4">
        <f t="shared" si="15"/>
        <v>1.4378145219267058E-3</v>
      </c>
      <c r="BI15" s="4">
        <f t="shared" si="16"/>
        <v>9.009009009008917E-3</v>
      </c>
      <c r="BJ15" s="4">
        <f t="shared" si="17"/>
        <v>6.5597667638483959E-3</v>
      </c>
      <c r="BK15" s="4">
        <f t="shared" si="18"/>
        <v>2.1921812203142155E-2</v>
      </c>
      <c r="BL15" s="4">
        <f t="shared" si="19"/>
        <v>5.2025269416573483E-3</v>
      </c>
      <c r="BM15" s="4">
        <f t="shared" si="24"/>
        <v>8.8262825214335018E-3</v>
      </c>
      <c r="BN15" s="9">
        <f t="shared" si="25"/>
        <v>13573.757631325889</v>
      </c>
      <c r="BO15" s="10">
        <f t="shared" si="26"/>
        <v>13207.3897854019</v>
      </c>
      <c r="BP15">
        <v>13630</v>
      </c>
      <c r="BQ15">
        <v>13655</v>
      </c>
      <c r="BR15">
        <v>13610</v>
      </c>
      <c r="BS15">
        <v>13640</v>
      </c>
      <c r="BT15">
        <v>272692</v>
      </c>
      <c r="BU15" s="13">
        <f t="shared" si="20"/>
        <v>13635</v>
      </c>
      <c r="BV15" s="13">
        <f t="shared" si="21"/>
        <v>3718155420</v>
      </c>
      <c r="BW15" s="13">
        <f>SUM($BV$3:BV15)</f>
        <v>58633286155</v>
      </c>
      <c r="BX15" s="13">
        <f>SUM($BT$3:BT15)</f>
        <v>4351557</v>
      </c>
      <c r="BY15" s="3">
        <f t="shared" si="22"/>
        <v>13474.093561224177</v>
      </c>
    </row>
    <row r="16" spans="1:77" x14ac:dyDescent="0.3">
      <c r="A16" s="3" t="s">
        <v>56</v>
      </c>
      <c r="B16" s="3">
        <v>11740</v>
      </c>
      <c r="C16" s="3">
        <v>11770</v>
      </c>
      <c r="D16" s="3">
        <v>11570</v>
      </c>
      <c r="E16" s="3">
        <v>11550</v>
      </c>
      <c r="F16" s="3">
        <v>11460</v>
      </c>
      <c r="G16" s="3">
        <v>11455</v>
      </c>
      <c r="H16" s="3">
        <v>11700</v>
      </c>
      <c r="I16" s="3">
        <v>11690</v>
      </c>
      <c r="J16" s="3">
        <v>11690</v>
      </c>
      <c r="K16" s="3">
        <v>11695</v>
      </c>
      <c r="L16" s="3">
        <v>12085</v>
      </c>
      <c r="M16" s="3">
        <v>12065</v>
      </c>
      <c r="N16" s="3">
        <v>12250</v>
      </c>
      <c r="O16" s="3">
        <v>12265</v>
      </c>
      <c r="P16" s="3">
        <v>12700</v>
      </c>
      <c r="Q16" s="3">
        <v>12695</v>
      </c>
      <c r="R16" s="3">
        <v>12705</v>
      </c>
      <c r="S16" s="3">
        <v>12685</v>
      </c>
      <c r="T16" s="3">
        <v>12315</v>
      </c>
      <c r="U16" s="3">
        <v>12325</v>
      </c>
      <c r="V16" s="3">
        <v>12560</v>
      </c>
      <c r="W16" s="3">
        <v>12580</v>
      </c>
      <c r="X16" s="3">
        <v>12660</v>
      </c>
      <c r="Y16" s="3">
        <v>12605</v>
      </c>
      <c r="Z16" s="3">
        <v>12755</v>
      </c>
      <c r="AA16" s="3">
        <v>12760</v>
      </c>
      <c r="AB16" s="3">
        <v>13250</v>
      </c>
      <c r="AC16" s="3">
        <v>13255</v>
      </c>
      <c r="AD16" s="3">
        <v>13145</v>
      </c>
      <c r="AE16" s="3">
        <v>13150</v>
      </c>
      <c r="AF16" s="3">
        <v>13640</v>
      </c>
      <c r="AG16" s="3">
        <v>13670</v>
      </c>
      <c r="AH16" s="3">
        <v>13935</v>
      </c>
      <c r="AI16" s="3">
        <v>13940</v>
      </c>
      <c r="AJ16" s="3">
        <v>13995</v>
      </c>
      <c r="AK16" s="3">
        <v>14010</v>
      </c>
      <c r="AL16" s="3">
        <v>13630</v>
      </c>
      <c r="AM16" s="3">
        <v>13605</v>
      </c>
      <c r="AN16" s="3">
        <v>13390</v>
      </c>
      <c r="AO16" s="3">
        <v>13440</v>
      </c>
      <c r="AP16" s="3">
        <v>13385</v>
      </c>
      <c r="AQ16" s="3">
        <v>13390</v>
      </c>
      <c r="AR16" s="4">
        <f t="shared" si="23"/>
        <v>2.0815264527320076E-2</v>
      </c>
      <c r="AS16" s="4">
        <f t="shared" si="0"/>
        <v>0</v>
      </c>
      <c r="AT16" s="4">
        <f t="shared" si="1"/>
        <v>8.3626760563380031E-3</v>
      </c>
      <c r="AU16" s="4">
        <f t="shared" si="2"/>
        <v>7.6400679117147874E-3</v>
      </c>
      <c r="AV16" s="4">
        <f t="shared" si="3"/>
        <v>4.2771599657820403E-4</v>
      </c>
      <c r="AW16" s="4">
        <f t="shared" si="4"/>
        <v>1.7284991568296881E-2</v>
      </c>
      <c r="AX16" s="4">
        <f t="shared" si="5"/>
        <v>1.2381345439537839E-2</v>
      </c>
      <c r="AY16" s="4">
        <f t="shared" si="6"/>
        <v>6.6510172143975366E-3</v>
      </c>
      <c r="AZ16" s="4">
        <f t="shared" si="7"/>
        <v>1.1159824631327142E-2</v>
      </c>
      <c r="BA16" s="4">
        <f t="shared" si="8"/>
        <v>4.0404040404040664E-3</v>
      </c>
      <c r="BB16" s="4">
        <f t="shared" si="9"/>
        <v>1.9862180786380135E-2</v>
      </c>
      <c r="BC16" s="4">
        <f t="shared" si="10"/>
        <v>2.3743569449941049E-3</v>
      </c>
      <c r="BD16" s="4">
        <f t="shared" si="11"/>
        <v>6.230529595015577E-3</v>
      </c>
      <c r="BE16" s="4">
        <f t="shared" si="12"/>
        <v>2.2367913613575041E-2</v>
      </c>
      <c r="BF16" s="4">
        <f t="shared" si="13"/>
        <v>4.583651642475095E-3</v>
      </c>
      <c r="BG16" s="4">
        <f t="shared" si="14"/>
        <v>2.512185976752912E-2</v>
      </c>
      <c r="BH16" s="4">
        <f t="shared" si="15"/>
        <v>2.1567217828899476E-3</v>
      </c>
      <c r="BI16" s="4">
        <f t="shared" si="16"/>
        <v>9.7297297297296303E-3</v>
      </c>
      <c r="BJ16" s="4">
        <f t="shared" si="17"/>
        <v>8.3819241982506787E-3</v>
      </c>
      <c r="BK16" s="4">
        <f t="shared" si="18"/>
        <v>1.7902813299232712E-2</v>
      </c>
      <c r="BL16" s="4">
        <f t="shared" si="19"/>
        <v>4.8309178743961567E-3</v>
      </c>
      <c r="BM16" s="4">
        <f t="shared" si="24"/>
        <v>8.8119053886453157E-3</v>
      </c>
      <c r="BN16" s="9">
        <f t="shared" si="25"/>
        <v>13573.564187004222</v>
      </c>
      <c r="BO16" s="10">
        <f t="shared" si="26"/>
        <v>13207.581360696302</v>
      </c>
      <c r="BP16">
        <v>13640</v>
      </c>
      <c r="BQ16">
        <v>13670</v>
      </c>
      <c r="BR16">
        <v>13635</v>
      </c>
      <c r="BS16">
        <v>13670</v>
      </c>
      <c r="BT16">
        <v>164306</v>
      </c>
      <c r="BU16" s="13">
        <f t="shared" si="20"/>
        <v>13658.333333333334</v>
      </c>
      <c r="BV16" s="13">
        <f t="shared" si="21"/>
        <v>2244146116.666667</v>
      </c>
      <c r="BW16" s="13">
        <f>SUM($BV$3:BV16)</f>
        <v>60877432271.666664</v>
      </c>
      <c r="BX16" s="13">
        <f>SUM($BT$3:BT16)</f>
        <v>4515863</v>
      </c>
      <c r="BY16" s="3">
        <f t="shared" si="22"/>
        <v>13480.796975388019</v>
      </c>
    </row>
    <row r="17" spans="1:77" x14ac:dyDescent="0.3">
      <c r="A17" s="3" t="s">
        <v>57</v>
      </c>
      <c r="B17" s="3">
        <v>11765</v>
      </c>
      <c r="C17" s="3">
        <v>11745</v>
      </c>
      <c r="D17" s="3">
        <v>11550</v>
      </c>
      <c r="E17" s="3">
        <v>11555</v>
      </c>
      <c r="F17" s="3">
        <v>11455</v>
      </c>
      <c r="G17" s="3">
        <v>11485</v>
      </c>
      <c r="H17" s="3">
        <v>11690</v>
      </c>
      <c r="I17" s="3">
        <v>11695</v>
      </c>
      <c r="J17" s="3">
        <v>11700</v>
      </c>
      <c r="K17" s="3">
        <v>11695</v>
      </c>
      <c r="L17" s="3">
        <v>12065</v>
      </c>
      <c r="M17" s="3">
        <v>12050</v>
      </c>
      <c r="N17" s="3">
        <v>12260</v>
      </c>
      <c r="O17" s="3">
        <v>12265</v>
      </c>
      <c r="P17" s="3">
        <v>12695</v>
      </c>
      <c r="Q17" s="3">
        <v>12675</v>
      </c>
      <c r="R17" s="3">
        <v>12685</v>
      </c>
      <c r="S17" s="3">
        <v>12695</v>
      </c>
      <c r="T17" s="3">
        <v>12320</v>
      </c>
      <c r="U17" s="3">
        <v>12315</v>
      </c>
      <c r="V17" s="3">
        <v>12585</v>
      </c>
      <c r="W17" s="3">
        <v>12570</v>
      </c>
      <c r="X17" s="3">
        <v>12610</v>
      </c>
      <c r="Y17" s="3">
        <v>12595</v>
      </c>
      <c r="Z17" s="3">
        <v>12760</v>
      </c>
      <c r="AA17" s="3">
        <v>12750</v>
      </c>
      <c r="AB17" s="3">
        <v>13255</v>
      </c>
      <c r="AC17" s="3">
        <v>13295</v>
      </c>
      <c r="AD17" s="3">
        <v>13145</v>
      </c>
      <c r="AE17" s="3">
        <v>13140</v>
      </c>
      <c r="AF17" s="3">
        <v>13670</v>
      </c>
      <c r="AG17" s="3">
        <v>13660</v>
      </c>
      <c r="AH17" s="3">
        <v>13940</v>
      </c>
      <c r="AI17" s="3">
        <v>13935</v>
      </c>
      <c r="AJ17" s="3">
        <v>14005</v>
      </c>
      <c r="AK17" s="3">
        <v>13990</v>
      </c>
      <c r="AL17" s="3">
        <v>13600</v>
      </c>
      <c r="AM17" s="3">
        <v>13590</v>
      </c>
      <c r="AN17" s="3">
        <v>13440</v>
      </c>
      <c r="AO17" s="3">
        <v>13445</v>
      </c>
      <c r="AP17" s="3">
        <v>13385</v>
      </c>
      <c r="AQ17" s="3">
        <v>13355</v>
      </c>
      <c r="AR17" s="4">
        <f t="shared" si="23"/>
        <v>1.8647007805724147E-2</v>
      </c>
      <c r="AS17" s="4">
        <f t="shared" si="0"/>
        <v>4.3290043290045155E-4</v>
      </c>
      <c r="AT17" s="4">
        <f t="shared" si="1"/>
        <v>1.1003521126760507E-2</v>
      </c>
      <c r="AU17" s="4">
        <f t="shared" si="2"/>
        <v>7.2156196943973239E-3</v>
      </c>
      <c r="AV17" s="4">
        <f t="shared" si="3"/>
        <v>4.2771599657820403E-4</v>
      </c>
      <c r="AW17" s="4">
        <f t="shared" si="4"/>
        <v>1.6020236087689765E-2</v>
      </c>
      <c r="AX17" s="4">
        <f t="shared" si="5"/>
        <v>1.2381345439537839E-2</v>
      </c>
      <c r="AY17" s="4">
        <f t="shared" si="6"/>
        <v>8.215962441314506E-3</v>
      </c>
      <c r="AZ17" s="4">
        <f t="shared" si="7"/>
        <v>1.1956954962136335E-2</v>
      </c>
      <c r="BA17" s="4">
        <f t="shared" si="8"/>
        <v>4.8484848484848797E-3</v>
      </c>
      <c r="BB17" s="4">
        <f t="shared" si="9"/>
        <v>1.9051479529793358E-2</v>
      </c>
      <c r="BC17" s="4">
        <f t="shared" si="10"/>
        <v>3.1658092599921028E-3</v>
      </c>
      <c r="BD17" s="4">
        <f t="shared" si="11"/>
        <v>7.0093457943924964E-3</v>
      </c>
      <c r="BE17" s="4">
        <f t="shared" si="12"/>
        <v>2.5453143077516449E-2</v>
      </c>
      <c r="BF17" s="4">
        <f t="shared" si="13"/>
        <v>3.8197097020626902E-3</v>
      </c>
      <c r="BG17" s="4">
        <f t="shared" si="14"/>
        <v>2.4371953505811783E-2</v>
      </c>
      <c r="BH17" s="4">
        <f t="shared" si="15"/>
        <v>1.7972681524083267E-3</v>
      </c>
      <c r="BI17" s="4">
        <f t="shared" si="16"/>
        <v>8.2882882882882036E-3</v>
      </c>
      <c r="BJ17" s="4">
        <f t="shared" si="17"/>
        <v>9.475218658892115E-3</v>
      </c>
      <c r="BK17" s="4">
        <f t="shared" si="18"/>
        <v>1.7537449762513702E-2</v>
      </c>
      <c r="BL17" s="4">
        <f t="shared" si="19"/>
        <v>7.4321813452248309E-3</v>
      </c>
      <c r="BM17" s="4">
        <f t="shared" si="24"/>
        <v>9.3573020281112074E-3</v>
      </c>
      <c r="BN17" s="9">
        <f t="shared" si="25"/>
        <v>13580.902498788237</v>
      </c>
      <c r="BO17" s="10">
        <f t="shared" si="26"/>
        <v>13200.313950475418</v>
      </c>
      <c r="BP17">
        <v>13670</v>
      </c>
      <c r="BQ17">
        <v>13690</v>
      </c>
      <c r="BR17">
        <v>13655</v>
      </c>
      <c r="BS17">
        <v>13660</v>
      </c>
      <c r="BT17">
        <v>137671</v>
      </c>
      <c r="BU17" s="13">
        <f t="shared" si="20"/>
        <v>13668.333333333334</v>
      </c>
      <c r="BV17" s="13">
        <f t="shared" si="21"/>
        <v>1881733118.3333335</v>
      </c>
      <c r="BW17" s="13">
        <f>SUM($BV$3:BV17)</f>
        <v>62759165390</v>
      </c>
      <c r="BX17" s="13">
        <f>SUM($BT$3:BT17)</f>
        <v>4653534</v>
      </c>
      <c r="BY17" s="3">
        <f t="shared" si="22"/>
        <v>13486.345085262083</v>
      </c>
    </row>
    <row r="18" spans="1:77" x14ac:dyDescent="0.3">
      <c r="A18" s="3" t="s">
        <v>58</v>
      </c>
      <c r="B18" s="3">
        <v>11750</v>
      </c>
      <c r="C18" s="3">
        <v>11750</v>
      </c>
      <c r="D18" s="3">
        <v>11550</v>
      </c>
      <c r="E18" s="3">
        <v>11570</v>
      </c>
      <c r="F18" s="3">
        <v>11480</v>
      </c>
      <c r="G18" s="3">
        <v>11500</v>
      </c>
      <c r="H18" s="3">
        <v>11690</v>
      </c>
      <c r="I18" s="3">
        <v>11655</v>
      </c>
      <c r="J18" s="3">
        <v>11690</v>
      </c>
      <c r="K18" s="3">
        <v>11700</v>
      </c>
      <c r="L18" s="3">
        <v>12050</v>
      </c>
      <c r="M18" s="3">
        <v>12020</v>
      </c>
      <c r="N18" s="3">
        <v>12270</v>
      </c>
      <c r="O18" s="3">
        <v>12270</v>
      </c>
      <c r="P18" s="3">
        <v>12680</v>
      </c>
      <c r="Q18" s="3">
        <v>12700</v>
      </c>
      <c r="R18" s="3">
        <v>12690</v>
      </c>
      <c r="S18" s="3">
        <v>12680</v>
      </c>
      <c r="T18" s="3">
        <v>12310</v>
      </c>
      <c r="U18" s="3">
        <v>12285</v>
      </c>
      <c r="V18" s="3">
        <v>12570</v>
      </c>
      <c r="W18" s="3">
        <v>12595</v>
      </c>
      <c r="X18" s="3">
        <v>12595</v>
      </c>
      <c r="Y18" s="3">
        <v>12580</v>
      </c>
      <c r="Z18" s="3">
        <v>12750</v>
      </c>
      <c r="AA18" s="3">
        <v>12765</v>
      </c>
      <c r="AB18" s="3">
        <v>13295</v>
      </c>
      <c r="AC18" s="3">
        <v>13265</v>
      </c>
      <c r="AD18" s="3">
        <v>13140</v>
      </c>
      <c r="AE18" s="3">
        <v>13165</v>
      </c>
      <c r="AF18" s="3">
        <v>13655</v>
      </c>
      <c r="AG18" s="3">
        <v>13675</v>
      </c>
      <c r="AH18" s="3">
        <v>13935</v>
      </c>
      <c r="AI18" s="3">
        <v>13930</v>
      </c>
      <c r="AJ18" s="3">
        <v>13990</v>
      </c>
      <c r="AK18" s="3">
        <v>13950</v>
      </c>
      <c r="AL18" s="3">
        <v>13590</v>
      </c>
      <c r="AM18" s="3">
        <v>13595</v>
      </c>
      <c r="AN18" s="3">
        <v>13445</v>
      </c>
      <c r="AO18" s="3">
        <v>13455</v>
      </c>
      <c r="AP18" s="3">
        <v>13355</v>
      </c>
      <c r="AQ18" s="3">
        <v>13410</v>
      </c>
      <c r="AR18" s="4">
        <f t="shared" si="23"/>
        <v>1.9080659150043422E-2</v>
      </c>
      <c r="AS18" s="4">
        <f t="shared" si="0"/>
        <v>1.7316017316018062E-3</v>
      </c>
      <c r="AT18" s="4">
        <f t="shared" si="1"/>
        <v>1.2323943661971759E-2</v>
      </c>
      <c r="AU18" s="4">
        <f t="shared" si="2"/>
        <v>1.0611205432937143E-2</v>
      </c>
      <c r="AV18" s="4">
        <f t="shared" si="3"/>
        <v>8.554319931566301E-4</v>
      </c>
      <c r="AW18" s="4">
        <f t="shared" si="4"/>
        <v>1.3490725126475533E-2</v>
      </c>
      <c r="AX18" s="4">
        <f t="shared" si="5"/>
        <v>1.2794056954189115E-2</v>
      </c>
      <c r="AY18" s="4">
        <f t="shared" si="6"/>
        <v>6.2597809076682109E-3</v>
      </c>
      <c r="AZ18" s="4">
        <f t="shared" si="7"/>
        <v>1.0761259465922768E-2</v>
      </c>
      <c r="BA18" s="4">
        <f t="shared" si="8"/>
        <v>7.2727272727273196E-3</v>
      </c>
      <c r="BB18" s="4">
        <f t="shared" si="9"/>
        <v>2.1078232671260633E-2</v>
      </c>
      <c r="BC18" s="4">
        <f t="shared" si="10"/>
        <v>4.3529877324891553E-3</v>
      </c>
      <c r="BD18" s="4">
        <f t="shared" si="11"/>
        <v>5.8411214953271173E-3</v>
      </c>
      <c r="BE18" s="4">
        <f t="shared" si="12"/>
        <v>2.3139220979560449E-2</v>
      </c>
      <c r="BF18" s="4">
        <f t="shared" si="13"/>
        <v>5.7295645530939243E-3</v>
      </c>
      <c r="BG18" s="4">
        <f t="shared" si="14"/>
        <v>2.5496812898387677E-2</v>
      </c>
      <c r="BH18" s="4">
        <f t="shared" si="15"/>
        <v>1.4378145219267058E-3</v>
      </c>
      <c r="BI18" s="4">
        <f t="shared" si="16"/>
        <v>5.4054054054053502E-3</v>
      </c>
      <c r="BJ18" s="4">
        <f t="shared" si="17"/>
        <v>9.1107871720116362E-3</v>
      </c>
      <c r="BK18" s="4">
        <f t="shared" si="18"/>
        <v>1.6806722689075682E-2</v>
      </c>
      <c r="BL18" s="4">
        <f t="shared" si="19"/>
        <v>3.3444816053511683E-3</v>
      </c>
      <c r="BM18" s="4">
        <f t="shared" si="24"/>
        <v>9.7315614270272553E-3</v>
      </c>
      <c r="BN18" s="9">
        <f t="shared" si="25"/>
        <v>13585.938159000652</v>
      </c>
      <c r="BO18" s="10">
        <f t="shared" si="26"/>
        <v>13195.326943984863</v>
      </c>
      <c r="BP18">
        <v>13655</v>
      </c>
      <c r="BQ18">
        <v>13695</v>
      </c>
      <c r="BR18">
        <v>13655</v>
      </c>
      <c r="BS18">
        <v>13675</v>
      </c>
      <c r="BT18">
        <v>162883</v>
      </c>
      <c r="BU18" s="13">
        <f t="shared" si="20"/>
        <v>13675</v>
      </c>
      <c r="BV18" s="13">
        <f t="shared" si="21"/>
        <v>2227425025</v>
      </c>
      <c r="BW18" s="13">
        <f>SUM($BV$3:BV18)</f>
        <v>64986590415</v>
      </c>
      <c r="BX18" s="13">
        <f>SUM($BT$3:BT18)</f>
        <v>4816417</v>
      </c>
      <c r="BY18" s="3">
        <f t="shared" si="22"/>
        <v>13492.725072393026</v>
      </c>
    </row>
    <row r="19" spans="1:77" x14ac:dyDescent="0.3">
      <c r="A19" s="3" t="s">
        <v>59</v>
      </c>
      <c r="B19" s="3">
        <v>11755</v>
      </c>
      <c r="C19" s="3">
        <v>11740</v>
      </c>
      <c r="D19" s="3">
        <v>11565</v>
      </c>
      <c r="E19" s="3">
        <v>11555</v>
      </c>
      <c r="F19" s="3">
        <v>11505</v>
      </c>
      <c r="G19" s="3">
        <v>11545</v>
      </c>
      <c r="H19" s="3">
        <v>11650</v>
      </c>
      <c r="I19" s="3">
        <v>11680</v>
      </c>
      <c r="J19" s="3">
        <v>11700</v>
      </c>
      <c r="K19" s="3">
        <v>11730</v>
      </c>
      <c r="L19" s="3">
        <v>12020</v>
      </c>
      <c r="M19" s="3">
        <v>12010</v>
      </c>
      <c r="N19" s="3">
        <v>12275</v>
      </c>
      <c r="O19" s="3">
        <v>12290</v>
      </c>
      <c r="P19" s="3">
        <v>12695</v>
      </c>
      <c r="Q19" s="3">
        <v>12725</v>
      </c>
      <c r="R19" s="3">
        <v>12675</v>
      </c>
      <c r="S19" s="3">
        <v>12685</v>
      </c>
      <c r="T19" s="3">
        <v>12290</v>
      </c>
      <c r="U19" s="3">
        <v>12295</v>
      </c>
      <c r="V19" s="3">
        <v>12595</v>
      </c>
      <c r="W19" s="3">
        <v>12600</v>
      </c>
      <c r="X19" s="3">
        <v>12580</v>
      </c>
      <c r="Y19" s="3">
        <v>12620</v>
      </c>
      <c r="Z19" s="3">
        <v>12765</v>
      </c>
      <c r="AA19" s="3">
        <v>12740</v>
      </c>
      <c r="AB19" s="3">
        <v>13270</v>
      </c>
      <c r="AC19" s="3">
        <v>13275</v>
      </c>
      <c r="AD19" s="3">
        <v>13165</v>
      </c>
      <c r="AE19" s="3">
        <v>13150</v>
      </c>
      <c r="AF19" s="3">
        <v>13675</v>
      </c>
      <c r="AG19" s="3">
        <v>13705</v>
      </c>
      <c r="AH19" s="3">
        <v>13930</v>
      </c>
      <c r="AI19" s="3">
        <v>13915</v>
      </c>
      <c r="AJ19" s="3">
        <v>13950</v>
      </c>
      <c r="AK19" s="3">
        <v>13950</v>
      </c>
      <c r="AL19" s="3">
        <v>13600</v>
      </c>
      <c r="AM19" s="3">
        <v>13615</v>
      </c>
      <c r="AN19" s="3">
        <v>13450</v>
      </c>
      <c r="AO19" s="3">
        <v>13440</v>
      </c>
      <c r="AP19" s="3">
        <v>13410</v>
      </c>
      <c r="AQ19" s="3">
        <v>13415</v>
      </c>
      <c r="AR19" s="4">
        <f t="shared" si="23"/>
        <v>1.8213356461405095E-2</v>
      </c>
      <c r="AS19" s="4">
        <f t="shared" si="0"/>
        <v>4.3290043290045155E-4</v>
      </c>
      <c r="AT19" s="4">
        <f t="shared" si="1"/>
        <v>1.6285211267605737E-2</v>
      </c>
      <c r="AU19" s="4">
        <f t="shared" si="2"/>
        <v>8.4889643463497144E-3</v>
      </c>
      <c r="AV19" s="4">
        <f t="shared" si="3"/>
        <v>3.4217279726260763E-3</v>
      </c>
      <c r="AW19" s="4">
        <f t="shared" si="4"/>
        <v>1.2647554806070715E-2</v>
      </c>
      <c r="AX19" s="4">
        <f t="shared" si="5"/>
        <v>1.4444903012793997E-2</v>
      </c>
      <c r="AY19" s="4">
        <f t="shared" si="6"/>
        <v>4.3035993740219158E-3</v>
      </c>
      <c r="AZ19" s="4">
        <f t="shared" si="7"/>
        <v>1.1159824631327142E-2</v>
      </c>
      <c r="BA19" s="4">
        <f t="shared" si="8"/>
        <v>6.4646464646465063E-3</v>
      </c>
      <c r="BB19" s="4">
        <f t="shared" si="9"/>
        <v>2.1483583299554132E-2</v>
      </c>
      <c r="BC19" s="4">
        <f t="shared" si="10"/>
        <v>1.1871784724970524E-3</v>
      </c>
      <c r="BD19" s="4">
        <f t="shared" si="11"/>
        <v>7.7881619937694158E-3</v>
      </c>
      <c r="BE19" s="4">
        <f t="shared" si="12"/>
        <v>2.3910528345545634E-2</v>
      </c>
      <c r="BF19" s="4">
        <f t="shared" si="13"/>
        <v>4.583651642475095E-3</v>
      </c>
      <c r="BG19" s="4">
        <f t="shared" si="14"/>
        <v>2.7746531683539466E-2</v>
      </c>
      <c r="BH19" s="4">
        <f t="shared" si="15"/>
        <v>3.5945363048162093E-4</v>
      </c>
      <c r="BI19" s="4">
        <f t="shared" si="16"/>
        <v>5.4054054054053502E-3</v>
      </c>
      <c r="BJ19" s="4">
        <f t="shared" si="17"/>
        <v>7.6530612244898322E-3</v>
      </c>
      <c r="BK19" s="4">
        <f t="shared" si="18"/>
        <v>1.7902813299232712E-2</v>
      </c>
      <c r="BL19" s="4">
        <f t="shared" si="19"/>
        <v>2.9728725380899768E-3</v>
      </c>
      <c r="BM19" s="4">
        <f t="shared" si="24"/>
        <v>9.7573168615845418E-3</v>
      </c>
      <c r="BN19" s="9">
        <f t="shared" si="25"/>
        <v>13586.284698372619</v>
      </c>
      <c r="BO19" s="10">
        <f t="shared" si="26"/>
        <v>13194.983752819386</v>
      </c>
      <c r="BP19">
        <v>13675</v>
      </c>
      <c r="BQ19">
        <v>13710</v>
      </c>
      <c r="BR19">
        <v>13675</v>
      </c>
      <c r="BS19">
        <v>13705</v>
      </c>
      <c r="BT19">
        <v>262874</v>
      </c>
      <c r="BU19" s="13">
        <f t="shared" si="20"/>
        <v>13696.666666666666</v>
      </c>
      <c r="BV19" s="13">
        <f t="shared" si="21"/>
        <v>3600497553.333333</v>
      </c>
      <c r="BW19" s="13">
        <f>SUM($BV$3:BV19)</f>
        <v>68587087968.333336</v>
      </c>
      <c r="BX19" s="13">
        <f>SUM($BT$3:BT19)</f>
        <v>5079291</v>
      </c>
      <c r="BY19" s="3">
        <f t="shared" si="22"/>
        <v>13503.279880663134</v>
      </c>
    </row>
    <row r="20" spans="1:77" x14ac:dyDescent="0.3">
      <c r="A20" s="3" t="s">
        <v>60</v>
      </c>
      <c r="B20" s="3">
        <v>11745</v>
      </c>
      <c r="C20" s="3">
        <v>11745</v>
      </c>
      <c r="D20" s="3">
        <v>11565</v>
      </c>
      <c r="E20" s="3">
        <v>11545</v>
      </c>
      <c r="F20" s="3">
        <v>11550</v>
      </c>
      <c r="G20" s="3">
        <v>11565</v>
      </c>
      <c r="H20" s="3">
        <v>11685</v>
      </c>
      <c r="I20" s="3">
        <v>11685</v>
      </c>
      <c r="J20" s="3">
        <v>11725</v>
      </c>
      <c r="K20" s="3">
        <v>11740</v>
      </c>
      <c r="L20" s="3">
        <v>12010</v>
      </c>
      <c r="M20" s="3">
        <v>11980</v>
      </c>
      <c r="N20" s="3">
        <v>12295</v>
      </c>
      <c r="O20" s="3">
        <v>12320</v>
      </c>
      <c r="P20" s="3">
        <v>12720</v>
      </c>
      <c r="Q20" s="3">
        <v>12740</v>
      </c>
      <c r="R20" s="3">
        <v>12685</v>
      </c>
      <c r="S20" s="3">
        <v>12665</v>
      </c>
      <c r="T20" s="3">
        <v>12295</v>
      </c>
      <c r="U20" s="3">
        <v>12270</v>
      </c>
      <c r="V20" s="3">
        <v>12600</v>
      </c>
      <c r="W20" s="3">
        <v>12595</v>
      </c>
      <c r="X20" s="3">
        <v>12625</v>
      </c>
      <c r="Y20" s="3">
        <v>12630</v>
      </c>
      <c r="Z20" s="3">
        <v>12740</v>
      </c>
      <c r="AA20" s="3">
        <v>12735</v>
      </c>
      <c r="AB20" s="3">
        <v>13280</v>
      </c>
      <c r="AC20" s="3">
        <v>13260</v>
      </c>
      <c r="AD20" s="3">
        <v>13150</v>
      </c>
      <c r="AE20" s="3">
        <v>13175</v>
      </c>
      <c r="AF20" s="3">
        <v>13705</v>
      </c>
      <c r="AG20" s="3">
        <v>13635</v>
      </c>
      <c r="AH20" s="3">
        <v>13915</v>
      </c>
      <c r="AI20" s="3">
        <v>13920</v>
      </c>
      <c r="AJ20" s="3">
        <v>13955</v>
      </c>
      <c r="AK20" s="3">
        <v>13930</v>
      </c>
      <c r="AL20" s="3">
        <v>13615</v>
      </c>
      <c r="AM20" s="3">
        <v>13595</v>
      </c>
      <c r="AN20" s="3">
        <v>13435</v>
      </c>
      <c r="AO20" s="3">
        <v>13425</v>
      </c>
      <c r="AP20" s="3">
        <v>13420</v>
      </c>
      <c r="AQ20" s="3">
        <v>13445</v>
      </c>
      <c r="AR20" s="4">
        <f t="shared" si="23"/>
        <v>1.8647007805724147E-2</v>
      </c>
      <c r="AS20" s="4">
        <f t="shared" si="0"/>
        <v>4.3290043290045155E-4</v>
      </c>
      <c r="AT20" s="4">
        <f t="shared" si="1"/>
        <v>1.8045774647887258E-2</v>
      </c>
      <c r="AU20" s="4">
        <f t="shared" si="2"/>
        <v>8.0645161290322509E-3</v>
      </c>
      <c r="AV20" s="4">
        <f t="shared" si="3"/>
        <v>4.2771599657827064E-3</v>
      </c>
      <c r="AW20" s="4">
        <f t="shared" si="4"/>
        <v>1.0118043844856706E-2</v>
      </c>
      <c r="AX20" s="4">
        <f t="shared" si="5"/>
        <v>1.6921172100701654E-2</v>
      </c>
      <c r="AY20" s="4">
        <f t="shared" si="6"/>
        <v>3.129890453834161E-3</v>
      </c>
      <c r="AZ20" s="4">
        <f t="shared" si="7"/>
        <v>9.5655639697089789E-3</v>
      </c>
      <c r="BA20" s="4">
        <f t="shared" si="8"/>
        <v>8.4848484848485395E-3</v>
      </c>
      <c r="BB20" s="4">
        <f t="shared" si="9"/>
        <v>2.1078232671260633E-2</v>
      </c>
      <c r="BC20" s="4">
        <f t="shared" si="10"/>
        <v>3.9572615749905449E-4</v>
      </c>
      <c r="BD20" s="4">
        <f t="shared" si="11"/>
        <v>8.1775700934579865E-3</v>
      </c>
      <c r="BE20" s="4">
        <f t="shared" si="12"/>
        <v>2.2753567296567745E-2</v>
      </c>
      <c r="BF20" s="4">
        <f t="shared" si="13"/>
        <v>6.4935064935065512E-3</v>
      </c>
      <c r="BG20" s="4">
        <f t="shared" si="14"/>
        <v>2.2497187851518552E-2</v>
      </c>
      <c r="BH20" s="4">
        <f t="shared" si="15"/>
        <v>7.1890726096324187E-4</v>
      </c>
      <c r="BI20" s="4">
        <f t="shared" si="16"/>
        <v>3.9639639639639235E-3</v>
      </c>
      <c r="BJ20" s="4">
        <f t="shared" si="17"/>
        <v>9.1107871720116362E-3</v>
      </c>
      <c r="BK20" s="4">
        <f t="shared" si="18"/>
        <v>1.8998903909389853E-2</v>
      </c>
      <c r="BL20" s="4">
        <f t="shared" si="19"/>
        <v>7.4321813452249419E-4</v>
      </c>
      <c r="BM20" s="4">
        <f t="shared" si="24"/>
        <v>9.8527480529889046E-3</v>
      </c>
      <c r="BN20" s="9">
        <f t="shared" si="25"/>
        <v>13587.568725052965</v>
      </c>
      <c r="BO20" s="10">
        <f t="shared" si="26"/>
        <v>13193.712132193923</v>
      </c>
      <c r="BP20">
        <v>13705</v>
      </c>
      <c r="BQ20">
        <v>13705</v>
      </c>
      <c r="BR20">
        <v>13630</v>
      </c>
      <c r="BS20">
        <v>13635</v>
      </c>
      <c r="BT20">
        <v>156482</v>
      </c>
      <c r="BU20" s="13">
        <f t="shared" si="20"/>
        <v>13656.666666666666</v>
      </c>
      <c r="BV20" s="13">
        <f t="shared" si="21"/>
        <v>2137022513.3333333</v>
      </c>
      <c r="BW20" s="13">
        <f>SUM($BV$3:BV20)</f>
        <v>70724110481.666672</v>
      </c>
      <c r="BX20" s="13">
        <f>SUM($BT$3:BT20)</f>
        <v>5235773</v>
      </c>
      <c r="BY20" s="3">
        <f t="shared" si="22"/>
        <v>13507.864164788403</v>
      </c>
    </row>
    <row r="21" spans="1:77" x14ac:dyDescent="0.3">
      <c r="A21" s="3" t="s">
        <v>61</v>
      </c>
      <c r="B21" s="3">
        <v>11745</v>
      </c>
      <c r="C21" s="3">
        <v>11760</v>
      </c>
      <c r="D21" s="3">
        <v>11545</v>
      </c>
      <c r="E21" s="3">
        <v>11540</v>
      </c>
      <c r="F21" s="3">
        <v>11570</v>
      </c>
      <c r="G21" s="3">
        <v>11540</v>
      </c>
      <c r="H21" s="3">
        <v>11695</v>
      </c>
      <c r="I21" s="3">
        <v>11710</v>
      </c>
      <c r="J21" s="3">
        <v>11745</v>
      </c>
      <c r="K21" s="3">
        <v>11735</v>
      </c>
      <c r="L21" s="3">
        <v>11980</v>
      </c>
      <c r="M21" s="3">
        <v>11925</v>
      </c>
      <c r="N21" s="3">
        <v>12325</v>
      </c>
      <c r="O21" s="3">
        <v>12320</v>
      </c>
      <c r="P21" s="3">
        <v>12745</v>
      </c>
      <c r="Q21" s="3">
        <v>12720</v>
      </c>
      <c r="R21" s="3">
        <v>12665</v>
      </c>
      <c r="S21" s="3">
        <v>12670</v>
      </c>
      <c r="T21" s="3">
        <v>12265</v>
      </c>
      <c r="U21" s="3">
        <v>12265</v>
      </c>
      <c r="V21" s="3">
        <v>12595</v>
      </c>
      <c r="W21" s="3">
        <v>12580</v>
      </c>
      <c r="X21" s="3">
        <v>12630</v>
      </c>
      <c r="Y21" s="3">
        <v>12615</v>
      </c>
      <c r="Z21" s="3">
        <v>12735</v>
      </c>
      <c r="AA21" s="3">
        <v>12735</v>
      </c>
      <c r="AB21" s="3">
        <v>13260</v>
      </c>
      <c r="AC21" s="3">
        <v>13265</v>
      </c>
      <c r="AD21" s="3">
        <v>13175</v>
      </c>
      <c r="AE21" s="3">
        <v>13175</v>
      </c>
      <c r="AF21" s="3">
        <v>13635</v>
      </c>
      <c r="AG21" s="3">
        <v>13655</v>
      </c>
      <c r="AH21" s="3">
        <v>13920</v>
      </c>
      <c r="AI21" s="3">
        <v>13950</v>
      </c>
      <c r="AJ21" s="3">
        <v>13930</v>
      </c>
      <c r="AK21" s="3">
        <v>13940</v>
      </c>
      <c r="AL21" s="3">
        <v>13595</v>
      </c>
      <c r="AM21" s="3">
        <v>13615</v>
      </c>
      <c r="AN21" s="3">
        <v>13425</v>
      </c>
      <c r="AO21" s="3">
        <v>13450</v>
      </c>
      <c r="AP21" s="3">
        <v>13440</v>
      </c>
      <c r="AQ21" s="3">
        <v>13445</v>
      </c>
      <c r="AR21" s="4">
        <f t="shared" si="23"/>
        <v>1.9947961838681749E-2</v>
      </c>
      <c r="AS21" s="4">
        <f t="shared" si="0"/>
        <v>8.658008658009031E-4</v>
      </c>
      <c r="AT21" s="4">
        <f t="shared" si="1"/>
        <v>1.5845070422535246E-2</v>
      </c>
      <c r="AU21" s="4">
        <f t="shared" si="2"/>
        <v>5.9422750424448223E-3</v>
      </c>
      <c r="AV21" s="4">
        <f t="shared" si="3"/>
        <v>3.8494439692045024E-3</v>
      </c>
      <c r="AW21" s="4">
        <f t="shared" si="4"/>
        <v>5.4806070826307618E-3</v>
      </c>
      <c r="AX21" s="4">
        <f t="shared" si="5"/>
        <v>1.6921172100701654E-2</v>
      </c>
      <c r="AY21" s="4">
        <f t="shared" si="6"/>
        <v>4.6948356807511304E-3</v>
      </c>
      <c r="AZ21" s="4">
        <f t="shared" si="7"/>
        <v>9.9641291351135752E-3</v>
      </c>
      <c r="BA21" s="4">
        <f t="shared" si="8"/>
        <v>8.8888888888888351E-3</v>
      </c>
      <c r="BB21" s="4">
        <f t="shared" si="9"/>
        <v>1.9862180786380135E-2</v>
      </c>
      <c r="BC21" s="4">
        <f t="shared" si="10"/>
        <v>1.5829046299959959E-3</v>
      </c>
      <c r="BD21" s="4">
        <f t="shared" si="11"/>
        <v>8.1775700934579865E-3</v>
      </c>
      <c r="BE21" s="4">
        <f t="shared" si="12"/>
        <v>2.3139220979560449E-2</v>
      </c>
      <c r="BF21" s="4">
        <f t="shared" si="13"/>
        <v>6.4935064935065512E-3</v>
      </c>
      <c r="BG21" s="4">
        <f t="shared" si="14"/>
        <v>2.3997000374953226E-2</v>
      </c>
      <c r="BH21" s="4">
        <f t="shared" si="15"/>
        <v>2.8756290438534116E-3</v>
      </c>
      <c r="BI21" s="4">
        <f t="shared" si="16"/>
        <v>4.6846846846846368E-3</v>
      </c>
      <c r="BJ21" s="4">
        <f t="shared" si="17"/>
        <v>7.6530612244898322E-3</v>
      </c>
      <c r="BK21" s="4">
        <f t="shared" si="18"/>
        <v>1.7172086225794692E-2</v>
      </c>
      <c r="BL21" s="4">
        <f t="shared" si="19"/>
        <v>7.4321813452249419E-4</v>
      </c>
      <c r="BM21" s="4">
        <f t="shared" si="24"/>
        <v>9.4076861550694679E-3</v>
      </c>
      <c r="BN21" s="9">
        <f t="shared" si="25"/>
        <v>13581.580417216459</v>
      </c>
      <c r="BO21" s="10">
        <f t="shared" si="26"/>
        <v>13199.642581983699</v>
      </c>
      <c r="BP21">
        <v>13635</v>
      </c>
      <c r="BQ21">
        <v>13670</v>
      </c>
      <c r="BR21">
        <v>13635</v>
      </c>
      <c r="BS21">
        <v>13655</v>
      </c>
      <c r="BT21">
        <v>103127</v>
      </c>
      <c r="BU21" s="13">
        <f t="shared" si="20"/>
        <v>13653.333333333334</v>
      </c>
      <c r="BV21" s="13">
        <f t="shared" si="21"/>
        <v>1408027306.6666667</v>
      </c>
      <c r="BW21" s="13">
        <f>SUM($BV$3:BV21)</f>
        <v>72132137788.333344</v>
      </c>
      <c r="BX21" s="13">
        <f>SUM($BT$3:BT21)</f>
        <v>5338900</v>
      </c>
      <c r="BY21" s="3">
        <f t="shared" si="22"/>
        <v>13510.67406925272</v>
      </c>
    </row>
    <row r="22" spans="1:77" x14ac:dyDescent="0.3">
      <c r="A22" s="3" t="s">
        <v>62</v>
      </c>
      <c r="B22" s="3">
        <v>11760</v>
      </c>
      <c r="C22" s="3">
        <v>11755</v>
      </c>
      <c r="D22" s="3">
        <v>11540</v>
      </c>
      <c r="E22" s="3">
        <v>11535</v>
      </c>
      <c r="F22" s="3">
        <v>11540</v>
      </c>
      <c r="G22" s="3">
        <v>11540</v>
      </c>
      <c r="H22" s="3">
        <v>11710</v>
      </c>
      <c r="I22" s="3">
        <v>11700</v>
      </c>
      <c r="J22" s="3">
        <v>11735</v>
      </c>
      <c r="K22" s="3">
        <v>11725</v>
      </c>
      <c r="L22" s="3">
        <v>11930</v>
      </c>
      <c r="M22" s="3">
        <v>11990</v>
      </c>
      <c r="N22" s="3">
        <v>12315</v>
      </c>
      <c r="O22" s="3">
        <v>12315</v>
      </c>
      <c r="P22" s="3">
        <v>12720</v>
      </c>
      <c r="Q22" s="3">
        <v>12720</v>
      </c>
      <c r="R22" s="3">
        <v>12670</v>
      </c>
      <c r="S22" s="3">
        <v>12650</v>
      </c>
      <c r="T22" s="3">
        <v>12265</v>
      </c>
      <c r="U22" s="3">
        <v>12250</v>
      </c>
      <c r="V22" s="3">
        <v>12580</v>
      </c>
      <c r="W22" s="3">
        <v>12575</v>
      </c>
      <c r="X22" s="3">
        <v>12620</v>
      </c>
      <c r="Y22" s="3">
        <v>12580</v>
      </c>
      <c r="Z22" s="3">
        <v>12735</v>
      </c>
      <c r="AA22" s="3">
        <v>12710</v>
      </c>
      <c r="AB22" s="3">
        <v>13270</v>
      </c>
      <c r="AC22" s="3">
        <v>13270</v>
      </c>
      <c r="AD22" s="3">
        <v>13175</v>
      </c>
      <c r="AE22" s="3">
        <v>13160</v>
      </c>
      <c r="AF22" s="3">
        <v>13655</v>
      </c>
      <c r="AG22" s="3">
        <v>13650</v>
      </c>
      <c r="AH22" s="3">
        <v>13950</v>
      </c>
      <c r="AI22" s="3">
        <v>13960</v>
      </c>
      <c r="AJ22" s="3">
        <v>13940</v>
      </c>
      <c r="AK22" s="3">
        <v>13955</v>
      </c>
      <c r="AL22" s="3">
        <v>13620</v>
      </c>
      <c r="AM22" s="3">
        <v>13630</v>
      </c>
      <c r="AN22" s="3">
        <v>13450</v>
      </c>
      <c r="AO22" s="3">
        <v>13465</v>
      </c>
      <c r="AP22" s="3">
        <v>13450</v>
      </c>
      <c r="AQ22" s="3">
        <v>13445</v>
      </c>
      <c r="AR22" s="4">
        <f t="shared" si="23"/>
        <v>1.9514310494362475E-2</v>
      </c>
      <c r="AS22" s="4">
        <f t="shared" si="0"/>
        <v>1.2987012987012436E-3</v>
      </c>
      <c r="AT22" s="4">
        <f t="shared" si="1"/>
        <v>1.5845070422535246E-2</v>
      </c>
      <c r="AU22" s="4">
        <f t="shared" si="2"/>
        <v>6.7911714770797493E-3</v>
      </c>
      <c r="AV22" s="4">
        <f t="shared" si="3"/>
        <v>2.9940119760478723E-3</v>
      </c>
      <c r="AW22" s="4">
        <f t="shared" si="4"/>
        <v>1.0961214165261302E-2</v>
      </c>
      <c r="AX22" s="4">
        <f t="shared" si="5"/>
        <v>1.6508460586050377E-2</v>
      </c>
      <c r="AY22" s="4">
        <f t="shared" si="6"/>
        <v>4.6948356807511304E-3</v>
      </c>
      <c r="AZ22" s="4">
        <f t="shared" si="7"/>
        <v>8.3698684734954121E-3</v>
      </c>
      <c r="BA22" s="4">
        <f t="shared" si="8"/>
        <v>1.0101010101010055E-2</v>
      </c>
      <c r="BB22" s="4">
        <f t="shared" si="9"/>
        <v>1.9456830158086635E-2</v>
      </c>
      <c r="BC22" s="4">
        <f t="shared" si="10"/>
        <v>4.3529877324891553E-3</v>
      </c>
      <c r="BD22" s="4">
        <f t="shared" si="11"/>
        <v>1.0124610591900285E-2</v>
      </c>
      <c r="BE22" s="4">
        <f t="shared" si="12"/>
        <v>2.352487466255293E-2</v>
      </c>
      <c r="BF22" s="4">
        <f t="shared" si="13"/>
        <v>5.3475935828877219E-3</v>
      </c>
      <c r="BG22" s="4">
        <f t="shared" si="14"/>
        <v>2.3622047244094446E-2</v>
      </c>
      <c r="BH22" s="4">
        <f t="shared" si="15"/>
        <v>3.5945363048166534E-3</v>
      </c>
      <c r="BI22" s="4">
        <f t="shared" si="16"/>
        <v>5.7657657657657069E-3</v>
      </c>
      <c r="BJ22" s="4">
        <f t="shared" si="17"/>
        <v>6.5597667638483959E-3</v>
      </c>
      <c r="BK22" s="4">
        <f t="shared" si="18"/>
        <v>1.6075995615637551E-2</v>
      </c>
      <c r="BL22" s="4">
        <f t="shared" si="19"/>
        <v>7.4321813452249419E-4</v>
      </c>
      <c r="BM22" s="4">
        <f t="shared" si="24"/>
        <v>1.0026517207774937E-2</v>
      </c>
      <c r="BN22" s="9">
        <f t="shared" si="25"/>
        <v>13589.906789030612</v>
      </c>
      <c r="BO22" s="10">
        <f t="shared" si="26"/>
        <v>13191.396658206399</v>
      </c>
      <c r="BP22">
        <v>13655</v>
      </c>
      <c r="BQ22">
        <v>13665</v>
      </c>
      <c r="BR22">
        <v>13640</v>
      </c>
      <c r="BS22">
        <v>13650</v>
      </c>
      <c r="BT22">
        <v>184627</v>
      </c>
      <c r="BU22" s="13">
        <f t="shared" si="20"/>
        <v>13651.666666666666</v>
      </c>
      <c r="BV22" s="13">
        <f t="shared" si="21"/>
        <v>2520466261.6666665</v>
      </c>
      <c r="BW22" s="13">
        <f>SUM($BV$3:BV22)</f>
        <v>74652604050.000015</v>
      </c>
      <c r="BX22" s="13">
        <f>SUM($BT$3:BT22)</f>
        <v>5523527</v>
      </c>
      <c r="BY22" s="3">
        <f t="shared" si="22"/>
        <v>13515.386826207243</v>
      </c>
    </row>
    <row r="23" spans="1:77" x14ac:dyDescent="0.3">
      <c r="A23" s="3" t="s">
        <v>63</v>
      </c>
      <c r="B23" s="3">
        <v>11755</v>
      </c>
      <c r="C23" s="3">
        <v>11775</v>
      </c>
      <c r="D23" s="3">
        <v>11530</v>
      </c>
      <c r="E23" s="3">
        <v>11515</v>
      </c>
      <c r="F23" s="3">
        <v>11540</v>
      </c>
      <c r="G23" s="3">
        <v>11580</v>
      </c>
      <c r="H23" s="3">
        <v>11700</v>
      </c>
      <c r="I23" s="3">
        <v>11660</v>
      </c>
      <c r="J23" s="3">
        <v>11730</v>
      </c>
      <c r="K23" s="3">
        <v>11715</v>
      </c>
      <c r="L23" s="3">
        <v>11995</v>
      </c>
      <c r="M23" s="3">
        <v>11975</v>
      </c>
      <c r="N23" s="3">
        <v>12320</v>
      </c>
      <c r="O23" s="3">
        <v>12295</v>
      </c>
      <c r="P23" s="3">
        <v>12720</v>
      </c>
      <c r="Q23" s="3">
        <v>12730</v>
      </c>
      <c r="R23" s="3">
        <v>12645</v>
      </c>
      <c r="S23" s="3">
        <v>12675</v>
      </c>
      <c r="T23" s="3">
        <v>12250</v>
      </c>
      <c r="U23" s="3">
        <v>12210</v>
      </c>
      <c r="V23" s="3">
        <v>12575</v>
      </c>
      <c r="W23" s="3">
        <v>12590</v>
      </c>
      <c r="X23" s="3">
        <v>12585</v>
      </c>
      <c r="Y23" s="3">
        <v>12555</v>
      </c>
      <c r="Z23" s="3">
        <v>12710</v>
      </c>
      <c r="AA23" s="3">
        <v>12670</v>
      </c>
      <c r="AB23" s="3">
        <v>13270</v>
      </c>
      <c r="AC23" s="3">
        <v>13260</v>
      </c>
      <c r="AD23" s="3">
        <v>13160</v>
      </c>
      <c r="AE23" s="3">
        <v>13175</v>
      </c>
      <c r="AF23" s="3">
        <v>13650</v>
      </c>
      <c r="AG23" s="3">
        <v>13710</v>
      </c>
      <c r="AH23" s="3">
        <v>13960</v>
      </c>
      <c r="AI23" s="3">
        <v>14035</v>
      </c>
      <c r="AJ23" s="3">
        <v>13955</v>
      </c>
      <c r="AK23" s="3">
        <v>13975</v>
      </c>
      <c r="AL23" s="3">
        <v>13635</v>
      </c>
      <c r="AM23" s="3">
        <v>13640</v>
      </c>
      <c r="AN23" s="3">
        <v>13470</v>
      </c>
      <c r="AO23" s="3">
        <v>13475</v>
      </c>
      <c r="AP23" s="3">
        <v>13440</v>
      </c>
      <c r="AQ23" s="3">
        <v>13425</v>
      </c>
      <c r="AR23" s="4">
        <f t="shared" si="23"/>
        <v>2.1248915871639129E-2</v>
      </c>
      <c r="AS23" s="4">
        <f t="shared" si="0"/>
        <v>3.0303030303030498E-3</v>
      </c>
      <c r="AT23" s="4">
        <f t="shared" si="1"/>
        <v>1.936619718309851E-2</v>
      </c>
      <c r="AU23" s="4">
        <f t="shared" si="2"/>
        <v>1.018675721561968E-2</v>
      </c>
      <c r="AV23" s="4">
        <f t="shared" si="3"/>
        <v>2.1385799828914642E-3</v>
      </c>
      <c r="AW23" s="4">
        <f t="shared" si="4"/>
        <v>9.6964586846544076E-3</v>
      </c>
      <c r="AX23" s="4">
        <f t="shared" si="5"/>
        <v>1.4857614527445273E-2</v>
      </c>
      <c r="AY23" s="4">
        <f t="shared" si="6"/>
        <v>3.9123630672925902E-3</v>
      </c>
      <c r="AZ23" s="4">
        <f t="shared" si="7"/>
        <v>1.0362694300518172E-2</v>
      </c>
      <c r="BA23" s="4">
        <f t="shared" si="8"/>
        <v>1.3333333333333308E-2</v>
      </c>
      <c r="BB23" s="4">
        <f t="shared" si="9"/>
        <v>2.0672882042967133E-2</v>
      </c>
      <c r="BC23" s="4">
        <f t="shared" si="10"/>
        <v>6.3316185199842057E-3</v>
      </c>
      <c r="BD23" s="4">
        <f t="shared" si="11"/>
        <v>1.3239875389408073E-2</v>
      </c>
      <c r="BE23" s="4">
        <f t="shared" si="12"/>
        <v>2.2753567296567745E-2</v>
      </c>
      <c r="BF23" s="4">
        <f t="shared" si="13"/>
        <v>6.4935064935065512E-3</v>
      </c>
      <c r="BG23" s="4">
        <f t="shared" si="14"/>
        <v>2.8121484814398245E-2</v>
      </c>
      <c r="BH23" s="4">
        <f t="shared" si="15"/>
        <v>8.9863407620416336E-3</v>
      </c>
      <c r="BI23" s="4">
        <f t="shared" si="16"/>
        <v>7.2072072072071336E-3</v>
      </c>
      <c r="BJ23" s="4">
        <f t="shared" si="17"/>
        <v>5.8309037900874383E-3</v>
      </c>
      <c r="BK23" s="4">
        <f t="shared" si="18"/>
        <v>1.5345268542199531E-2</v>
      </c>
      <c r="BL23" s="4">
        <f t="shared" si="19"/>
        <v>2.2296544035674826E-3</v>
      </c>
      <c r="BM23" s="4">
        <f t="shared" si="24"/>
        <v>1.1169696504827869E-2</v>
      </c>
      <c r="BN23" s="9">
        <f t="shared" si="25"/>
        <v>13605.288266472458</v>
      </c>
      <c r="BO23" s="10">
        <f t="shared" si="26"/>
        <v>13176.163794073169</v>
      </c>
      <c r="BP23">
        <v>13650</v>
      </c>
      <c r="BQ23">
        <v>13715</v>
      </c>
      <c r="BR23">
        <v>13650</v>
      </c>
      <c r="BS23">
        <v>13710</v>
      </c>
      <c r="BT23">
        <v>226143</v>
      </c>
      <c r="BU23" s="13">
        <f t="shared" si="20"/>
        <v>13691.666666666666</v>
      </c>
      <c r="BV23" s="13">
        <f t="shared" si="21"/>
        <v>3096274575</v>
      </c>
      <c r="BW23" s="13">
        <f>SUM($BV$3:BV23)</f>
        <v>77748878625.000015</v>
      </c>
      <c r="BX23" s="13">
        <f>SUM($BT$3:BT23)</f>
        <v>5749670</v>
      </c>
      <c r="BY23" s="3">
        <f t="shared" si="22"/>
        <v>13522.320172288151</v>
      </c>
    </row>
    <row r="24" spans="1:77" x14ac:dyDescent="0.3">
      <c r="A24" s="3" t="s">
        <v>64</v>
      </c>
      <c r="B24" s="3">
        <v>11775</v>
      </c>
      <c r="C24" s="3">
        <v>11780</v>
      </c>
      <c r="D24" s="3">
        <v>11515</v>
      </c>
      <c r="E24" s="3">
        <v>11525</v>
      </c>
      <c r="F24" s="3">
        <v>11580</v>
      </c>
      <c r="G24" s="3">
        <v>11580</v>
      </c>
      <c r="H24" s="3">
        <v>11660</v>
      </c>
      <c r="I24" s="3">
        <v>11675</v>
      </c>
      <c r="J24" s="3">
        <v>11710</v>
      </c>
      <c r="K24" s="3">
        <v>11725</v>
      </c>
      <c r="L24" s="3">
        <v>11975</v>
      </c>
      <c r="M24" s="3">
        <v>11965</v>
      </c>
      <c r="N24" s="3">
        <v>12300</v>
      </c>
      <c r="O24" s="3">
        <v>12310</v>
      </c>
      <c r="P24" s="3">
        <v>12735</v>
      </c>
      <c r="Q24" s="3">
        <v>12745</v>
      </c>
      <c r="R24" s="3">
        <v>12675</v>
      </c>
      <c r="S24" s="3">
        <v>12655</v>
      </c>
      <c r="T24" s="3">
        <v>12205</v>
      </c>
      <c r="U24" s="3">
        <v>12200</v>
      </c>
      <c r="V24" s="3">
        <v>12590</v>
      </c>
      <c r="W24" s="3">
        <v>12600</v>
      </c>
      <c r="X24" s="3">
        <v>12560</v>
      </c>
      <c r="Y24" s="3">
        <v>12550</v>
      </c>
      <c r="Z24" s="3">
        <v>12665</v>
      </c>
      <c r="AA24" s="3">
        <v>12705</v>
      </c>
      <c r="AB24" s="3">
        <v>13265</v>
      </c>
      <c r="AC24" s="3">
        <v>13270</v>
      </c>
      <c r="AD24" s="3">
        <v>13175</v>
      </c>
      <c r="AE24" s="3">
        <v>13220</v>
      </c>
      <c r="AF24" s="3">
        <v>13715</v>
      </c>
      <c r="AG24" s="3">
        <v>13735</v>
      </c>
      <c r="AH24" s="3">
        <v>14040</v>
      </c>
      <c r="AI24" s="3">
        <v>14030</v>
      </c>
      <c r="AJ24" s="3">
        <v>13980</v>
      </c>
      <c r="AK24" s="3">
        <v>13935</v>
      </c>
      <c r="AL24" s="3">
        <v>13635</v>
      </c>
      <c r="AM24" s="3">
        <v>13670</v>
      </c>
      <c r="AN24" s="3">
        <v>13470</v>
      </c>
      <c r="AO24" s="3">
        <v>13465</v>
      </c>
      <c r="AP24" s="3">
        <v>13425</v>
      </c>
      <c r="AQ24" s="3">
        <v>13470</v>
      </c>
      <c r="AR24" s="4">
        <f t="shared" si="23"/>
        <v>2.1682567215958404E-2</v>
      </c>
      <c r="AS24" s="4">
        <f t="shared" si="0"/>
        <v>2.1645021645021467E-3</v>
      </c>
      <c r="AT24" s="4">
        <f t="shared" si="1"/>
        <v>1.936619718309851E-2</v>
      </c>
      <c r="AU24" s="4">
        <f t="shared" si="2"/>
        <v>8.9134125636671779E-3</v>
      </c>
      <c r="AV24" s="4">
        <f t="shared" si="3"/>
        <v>2.9940119760478723E-3</v>
      </c>
      <c r="AW24" s="4">
        <f t="shared" si="4"/>
        <v>8.8532883642495896E-3</v>
      </c>
      <c r="AX24" s="4">
        <f t="shared" si="5"/>
        <v>1.6095749071399101E-2</v>
      </c>
      <c r="AY24" s="4">
        <f t="shared" si="6"/>
        <v>2.7386541471048353E-3</v>
      </c>
      <c r="AZ24" s="4">
        <f t="shared" si="7"/>
        <v>8.7684336389000084E-3</v>
      </c>
      <c r="BA24" s="4">
        <f t="shared" si="8"/>
        <v>1.4141414141414121E-2</v>
      </c>
      <c r="BB24" s="4">
        <f t="shared" si="9"/>
        <v>2.1483583299554132E-2</v>
      </c>
      <c r="BC24" s="4">
        <f t="shared" si="10"/>
        <v>6.7273446774831491E-3</v>
      </c>
      <c r="BD24" s="4">
        <f t="shared" si="11"/>
        <v>1.0514018691588745E-2</v>
      </c>
      <c r="BE24" s="4">
        <f t="shared" si="12"/>
        <v>2.352487466255293E-2</v>
      </c>
      <c r="BF24" s="4">
        <f t="shared" si="13"/>
        <v>9.931245225362817E-3</v>
      </c>
      <c r="BG24" s="4">
        <f t="shared" si="14"/>
        <v>2.9996250468691477E-2</v>
      </c>
      <c r="BH24" s="4">
        <f t="shared" si="15"/>
        <v>8.6268871315600126E-3</v>
      </c>
      <c r="BI24" s="4">
        <f t="shared" si="16"/>
        <v>4.3243243243242802E-3</v>
      </c>
      <c r="BJ24" s="4">
        <f t="shared" si="17"/>
        <v>3.6443148688046767E-3</v>
      </c>
      <c r="BK24" s="4">
        <f t="shared" si="18"/>
        <v>1.6075995615637551E-2</v>
      </c>
      <c r="BL24" s="4">
        <f t="shared" si="19"/>
        <v>1.1148272017837968E-3</v>
      </c>
      <c r="BM24" s="4">
        <f t="shared" si="24"/>
        <v>1.1158337843351795E-2</v>
      </c>
      <c r="BN24" s="9">
        <f t="shared" si="25"/>
        <v>13605.135435682298</v>
      </c>
      <c r="BO24" s="10">
        <f t="shared" si="26"/>
        <v>13176.315148237338</v>
      </c>
      <c r="BP24">
        <v>13715</v>
      </c>
      <c r="BQ24">
        <v>13745</v>
      </c>
      <c r="BR24">
        <v>13715</v>
      </c>
      <c r="BS24">
        <v>13735</v>
      </c>
      <c r="BT24">
        <v>205693</v>
      </c>
      <c r="BU24" s="13">
        <f t="shared" si="20"/>
        <v>13731.666666666666</v>
      </c>
      <c r="BV24" s="13">
        <f t="shared" si="21"/>
        <v>2824507711.6666665</v>
      </c>
      <c r="BW24" s="13">
        <f>SUM($BV$3:BV24)</f>
        <v>80573386336.666687</v>
      </c>
      <c r="BX24" s="13">
        <f>SUM($BT$3:BT24)</f>
        <v>5955363</v>
      </c>
      <c r="BY24" s="3">
        <f t="shared" si="22"/>
        <v>13529.550816073963</v>
      </c>
    </row>
    <row r="25" spans="1:77" x14ac:dyDescent="0.3">
      <c r="A25" s="3" t="s">
        <v>65</v>
      </c>
      <c r="B25" s="3">
        <v>11785</v>
      </c>
      <c r="C25" s="3">
        <v>11795</v>
      </c>
      <c r="D25" s="3">
        <v>11525</v>
      </c>
      <c r="E25" s="3">
        <v>11520</v>
      </c>
      <c r="F25" s="3">
        <v>11580</v>
      </c>
      <c r="G25" s="3">
        <v>11560</v>
      </c>
      <c r="H25" s="3">
        <v>11670</v>
      </c>
      <c r="I25" s="3">
        <v>11665</v>
      </c>
      <c r="J25" s="3">
        <v>11720</v>
      </c>
      <c r="K25" s="3">
        <v>11720</v>
      </c>
      <c r="L25" s="3">
        <v>11960</v>
      </c>
      <c r="M25" s="3">
        <v>11910</v>
      </c>
      <c r="N25" s="3">
        <v>12310</v>
      </c>
      <c r="O25" s="3">
        <v>12345</v>
      </c>
      <c r="P25" s="3">
        <v>12745</v>
      </c>
      <c r="Q25" s="3">
        <v>12740</v>
      </c>
      <c r="R25" s="3">
        <v>12655</v>
      </c>
      <c r="S25" s="3">
        <v>12670</v>
      </c>
      <c r="T25" s="3">
        <v>12200</v>
      </c>
      <c r="U25" s="3">
        <v>12190</v>
      </c>
      <c r="V25" s="3">
        <v>12605</v>
      </c>
      <c r="W25" s="3">
        <v>12625</v>
      </c>
      <c r="X25" s="3">
        <v>12545</v>
      </c>
      <c r="Y25" s="3">
        <v>12490</v>
      </c>
      <c r="Z25" s="3">
        <v>12700</v>
      </c>
      <c r="AA25" s="3">
        <v>12725</v>
      </c>
      <c r="AB25" s="3">
        <v>13265</v>
      </c>
      <c r="AC25" s="3">
        <v>13270</v>
      </c>
      <c r="AD25" s="3">
        <v>13220</v>
      </c>
      <c r="AE25" s="3">
        <v>13275</v>
      </c>
      <c r="AF25" s="3">
        <v>13730</v>
      </c>
      <c r="AG25" s="3">
        <v>13725</v>
      </c>
      <c r="AH25" s="3">
        <v>14030</v>
      </c>
      <c r="AI25" s="3">
        <v>14060</v>
      </c>
      <c r="AJ25" s="3">
        <v>13935</v>
      </c>
      <c r="AK25" s="3">
        <v>13975</v>
      </c>
      <c r="AL25" s="3">
        <v>13670</v>
      </c>
      <c r="AM25" s="3">
        <v>13710</v>
      </c>
      <c r="AN25" s="3">
        <v>13465</v>
      </c>
      <c r="AO25" s="3">
        <v>13440</v>
      </c>
      <c r="AP25" s="3">
        <v>13465</v>
      </c>
      <c r="AQ25" s="3">
        <v>13445</v>
      </c>
      <c r="AR25" s="4">
        <f t="shared" si="23"/>
        <v>2.2983521248915784E-2</v>
      </c>
      <c r="AS25" s="4">
        <f t="shared" si="0"/>
        <v>2.5974025974025983E-3</v>
      </c>
      <c r="AT25" s="4">
        <f t="shared" si="1"/>
        <v>1.7605633802816989E-2</v>
      </c>
      <c r="AU25" s="4">
        <f t="shared" si="2"/>
        <v>9.762308998302216E-3</v>
      </c>
      <c r="AV25" s="4">
        <f t="shared" si="3"/>
        <v>2.5662959794696683E-3</v>
      </c>
      <c r="AW25" s="4">
        <f t="shared" si="4"/>
        <v>4.2158516020236458E-3</v>
      </c>
      <c r="AX25" s="4">
        <f t="shared" si="5"/>
        <v>1.8984729673957812E-2</v>
      </c>
      <c r="AY25" s="4">
        <f t="shared" si="6"/>
        <v>3.129890453834161E-3</v>
      </c>
      <c r="AZ25" s="4">
        <f t="shared" si="7"/>
        <v>9.9641291351135752E-3</v>
      </c>
      <c r="BA25" s="4">
        <f t="shared" si="8"/>
        <v>1.4949494949494935E-2</v>
      </c>
      <c r="BB25" s="4">
        <f t="shared" si="9"/>
        <v>2.3510336441021407E-2</v>
      </c>
      <c r="BC25" s="4">
        <f t="shared" si="10"/>
        <v>1.1476058567471359E-2</v>
      </c>
      <c r="BD25" s="4">
        <f t="shared" si="11"/>
        <v>8.9563862928349058E-3</v>
      </c>
      <c r="BE25" s="4">
        <f t="shared" si="12"/>
        <v>2.352487466255293E-2</v>
      </c>
      <c r="BF25" s="4">
        <f t="shared" si="13"/>
        <v>1.413292589763171E-2</v>
      </c>
      <c r="BG25" s="4">
        <f t="shared" si="14"/>
        <v>2.924634420697414E-2</v>
      </c>
      <c r="BH25" s="4">
        <f t="shared" si="15"/>
        <v>1.078360891444996E-2</v>
      </c>
      <c r="BI25" s="4">
        <f t="shared" si="16"/>
        <v>7.2072072072071336E-3</v>
      </c>
      <c r="BJ25" s="4">
        <f t="shared" si="17"/>
        <v>7.2886297376095754E-4</v>
      </c>
      <c r="BK25" s="4">
        <f t="shared" si="18"/>
        <v>1.7902813299232712E-2</v>
      </c>
      <c r="BL25" s="4">
        <f t="shared" si="19"/>
        <v>7.4321813452249419E-4</v>
      </c>
      <c r="BM25" s="4">
        <f t="shared" si="24"/>
        <v>1.1812594218137708E-2</v>
      </c>
      <c r="BN25" s="9">
        <f t="shared" si="25"/>
        <v>13613.938455205043</v>
      </c>
      <c r="BO25" s="10">
        <f t="shared" si="26"/>
        <v>13167.597182043315</v>
      </c>
      <c r="BP25">
        <v>13730</v>
      </c>
      <c r="BQ25">
        <v>13750</v>
      </c>
      <c r="BR25">
        <v>13710</v>
      </c>
      <c r="BS25">
        <v>13725</v>
      </c>
      <c r="BT25">
        <v>223803</v>
      </c>
      <c r="BU25" s="13">
        <f t="shared" si="20"/>
        <v>13728.333333333334</v>
      </c>
      <c r="BV25" s="13">
        <f t="shared" si="21"/>
        <v>3072442185</v>
      </c>
      <c r="BW25" s="13">
        <f>SUM($BV$3:BV25)</f>
        <v>83645828521.666687</v>
      </c>
      <c r="BX25" s="13">
        <f>SUM($BT$3:BT25)</f>
        <v>6179166</v>
      </c>
      <c r="BY25" s="3">
        <f t="shared" si="22"/>
        <v>13536.750513203026</v>
      </c>
    </row>
    <row r="26" spans="1:77" x14ac:dyDescent="0.3">
      <c r="A26" s="3" t="s">
        <v>66</v>
      </c>
      <c r="B26" s="3">
        <v>11795</v>
      </c>
      <c r="C26" s="3">
        <v>11790</v>
      </c>
      <c r="D26" s="3">
        <v>11520</v>
      </c>
      <c r="E26" s="3">
        <v>11515</v>
      </c>
      <c r="F26" s="3">
        <v>11555</v>
      </c>
      <c r="G26" s="3">
        <v>11555</v>
      </c>
      <c r="H26" s="3">
        <v>11665</v>
      </c>
      <c r="I26" s="3">
        <v>11615</v>
      </c>
      <c r="J26" s="3">
        <v>11720</v>
      </c>
      <c r="K26" s="3">
        <v>11685</v>
      </c>
      <c r="L26" s="3">
        <v>11905</v>
      </c>
      <c r="M26" s="3">
        <v>11920</v>
      </c>
      <c r="N26" s="3">
        <v>12345</v>
      </c>
      <c r="O26" s="3">
        <v>12340</v>
      </c>
      <c r="P26" s="3">
        <v>12740</v>
      </c>
      <c r="Q26" s="3">
        <v>12715</v>
      </c>
      <c r="R26" s="3">
        <v>12665</v>
      </c>
      <c r="S26" s="3">
        <v>12655</v>
      </c>
      <c r="T26" s="3">
        <v>12190</v>
      </c>
      <c r="U26" s="3">
        <v>12220</v>
      </c>
      <c r="V26" s="3">
        <v>12620</v>
      </c>
      <c r="W26" s="3">
        <v>12610</v>
      </c>
      <c r="X26" s="3">
        <v>12495</v>
      </c>
      <c r="Y26" s="3">
        <v>12490</v>
      </c>
      <c r="Z26" s="3">
        <v>12720</v>
      </c>
      <c r="AA26" s="3">
        <v>12720</v>
      </c>
      <c r="AB26" s="3">
        <v>13270</v>
      </c>
      <c r="AC26" s="3">
        <v>13280</v>
      </c>
      <c r="AD26" s="3">
        <v>13275</v>
      </c>
      <c r="AE26" s="3">
        <v>13255</v>
      </c>
      <c r="AF26" s="3">
        <v>13725</v>
      </c>
      <c r="AG26" s="3">
        <v>13680</v>
      </c>
      <c r="AH26" s="3">
        <v>14060</v>
      </c>
      <c r="AI26" s="3">
        <v>14080</v>
      </c>
      <c r="AJ26" s="3">
        <v>13980</v>
      </c>
      <c r="AK26" s="3">
        <v>13960</v>
      </c>
      <c r="AL26" s="3">
        <v>13710</v>
      </c>
      <c r="AM26" s="3">
        <v>13695</v>
      </c>
      <c r="AN26" s="3">
        <v>13445</v>
      </c>
      <c r="AO26" s="3">
        <v>13470</v>
      </c>
      <c r="AP26" s="3">
        <v>13445</v>
      </c>
      <c r="AQ26" s="3">
        <v>13480</v>
      </c>
      <c r="AR26" s="4">
        <f t="shared" si="23"/>
        <v>2.2549869904596731E-2</v>
      </c>
      <c r="AS26" s="4">
        <f t="shared" si="0"/>
        <v>3.0303030303030498E-3</v>
      </c>
      <c r="AT26" s="4">
        <f t="shared" si="1"/>
        <v>1.7165492957746498E-2</v>
      </c>
      <c r="AU26" s="4">
        <f t="shared" si="2"/>
        <v>1.4006791171477073E-2</v>
      </c>
      <c r="AV26" s="4">
        <f t="shared" si="3"/>
        <v>4.2771599657831505E-4</v>
      </c>
      <c r="AW26" s="4">
        <f t="shared" si="4"/>
        <v>5.0590219224282418E-3</v>
      </c>
      <c r="AX26" s="4">
        <f t="shared" si="5"/>
        <v>1.8572018159306536E-2</v>
      </c>
      <c r="AY26" s="4">
        <f t="shared" si="6"/>
        <v>5.0860719874804561E-3</v>
      </c>
      <c r="AZ26" s="4">
        <f t="shared" si="7"/>
        <v>8.7684336389000084E-3</v>
      </c>
      <c r="BA26" s="4">
        <f t="shared" si="8"/>
        <v>1.2525252525252495E-2</v>
      </c>
      <c r="BB26" s="4">
        <f t="shared" si="9"/>
        <v>2.2294284556141131E-2</v>
      </c>
      <c r="BC26" s="4">
        <f t="shared" si="10"/>
        <v>1.1476058567471359E-2</v>
      </c>
      <c r="BD26" s="4">
        <f t="shared" si="11"/>
        <v>9.3457943925233655E-3</v>
      </c>
      <c r="BE26" s="4">
        <f t="shared" si="12"/>
        <v>2.4296182028538338E-2</v>
      </c>
      <c r="BF26" s="4">
        <f t="shared" si="13"/>
        <v>1.2605042016806678E-2</v>
      </c>
      <c r="BG26" s="4">
        <f t="shared" si="14"/>
        <v>2.5871766029246235E-2</v>
      </c>
      <c r="BH26" s="4">
        <f t="shared" si="15"/>
        <v>1.2221423436376666E-2</v>
      </c>
      <c r="BI26" s="4">
        <f t="shared" si="16"/>
        <v>6.1261261261260636E-3</v>
      </c>
      <c r="BJ26" s="4">
        <f t="shared" si="17"/>
        <v>1.8221574344022828E-3</v>
      </c>
      <c r="BK26" s="4">
        <f t="shared" si="18"/>
        <v>1.5710632078918541E-2</v>
      </c>
      <c r="BL26" s="4">
        <f t="shared" si="19"/>
        <v>1.85804533630618E-3</v>
      </c>
      <c r="BM26" s="4">
        <f t="shared" si="24"/>
        <v>1.1761318782210968E-2</v>
      </c>
      <c r="BN26" s="9">
        <f t="shared" si="25"/>
        <v>13613.248544214648</v>
      </c>
      <c r="BO26" s="10">
        <f t="shared" si="26"/>
        <v>13168.280427227039</v>
      </c>
      <c r="BP26">
        <v>13725</v>
      </c>
      <c r="BQ26">
        <v>13735</v>
      </c>
      <c r="BR26">
        <v>13675</v>
      </c>
      <c r="BS26">
        <v>13680</v>
      </c>
      <c r="BT26">
        <v>88470</v>
      </c>
      <c r="BU26" s="13">
        <f t="shared" si="20"/>
        <v>13696.666666666666</v>
      </c>
      <c r="BV26" s="13">
        <f t="shared" si="21"/>
        <v>1211744100</v>
      </c>
      <c r="BW26" s="13">
        <f>SUM($BV$3:BV26)</f>
        <v>84857572621.666687</v>
      </c>
      <c r="BX26" s="13">
        <f>SUM($BT$3:BT26)</f>
        <v>6267636</v>
      </c>
      <c r="BY26" s="3">
        <f t="shared" si="22"/>
        <v>13539.007788848408</v>
      </c>
    </row>
    <row r="27" spans="1:77" x14ac:dyDescent="0.3">
      <c r="A27" s="3" t="s">
        <v>67</v>
      </c>
      <c r="B27" s="3">
        <v>11795</v>
      </c>
      <c r="C27" s="3">
        <v>11780</v>
      </c>
      <c r="D27" s="3">
        <v>11515</v>
      </c>
      <c r="E27" s="3">
        <v>11525</v>
      </c>
      <c r="F27" s="3">
        <v>11555</v>
      </c>
      <c r="G27" s="3">
        <v>11570</v>
      </c>
      <c r="H27" s="3">
        <v>11615</v>
      </c>
      <c r="I27" s="3">
        <v>11605</v>
      </c>
      <c r="J27" s="3">
        <v>11685</v>
      </c>
      <c r="K27" s="3">
        <v>11695</v>
      </c>
      <c r="L27" s="3">
        <v>11920</v>
      </c>
      <c r="M27" s="3">
        <v>11915</v>
      </c>
      <c r="N27" s="3">
        <v>12340</v>
      </c>
      <c r="O27" s="3">
        <v>12335</v>
      </c>
      <c r="P27" s="3">
        <v>12715</v>
      </c>
      <c r="Q27" s="3">
        <v>12680</v>
      </c>
      <c r="R27" s="3">
        <v>12655</v>
      </c>
      <c r="S27" s="3">
        <v>12670</v>
      </c>
      <c r="T27" s="3">
        <v>12220</v>
      </c>
      <c r="U27" s="3">
        <v>12225</v>
      </c>
      <c r="V27" s="3">
        <v>12615</v>
      </c>
      <c r="W27" s="3">
        <v>12635</v>
      </c>
      <c r="X27" s="3">
        <v>12485</v>
      </c>
      <c r="Y27" s="3">
        <v>12495</v>
      </c>
      <c r="Z27" s="3">
        <v>12725</v>
      </c>
      <c r="AA27" s="3">
        <v>12730</v>
      </c>
      <c r="AB27" s="3">
        <v>13280</v>
      </c>
      <c r="AC27" s="3">
        <v>13285</v>
      </c>
      <c r="AD27" s="3">
        <v>13260</v>
      </c>
      <c r="AE27" s="3">
        <v>13265</v>
      </c>
      <c r="AF27" s="3">
        <v>13680</v>
      </c>
      <c r="AG27" s="3">
        <v>13715</v>
      </c>
      <c r="AH27" s="3">
        <v>14080</v>
      </c>
      <c r="AI27" s="3">
        <v>14115</v>
      </c>
      <c r="AJ27" s="3">
        <v>13955</v>
      </c>
      <c r="AK27" s="3">
        <v>13955</v>
      </c>
      <c r="AL27" s="3">
        <v>13695</v>
      </c>
      <c r="AM27" s="3">
        <v>13690</v>
      </c>
      <c r="AN27" s="3">
        <v>13470</v>
      </c>
      <c r="AO27" s="3">
        <v>13465</v>
      </c>
      <c r="AP27" s="3">
        <v>13480</v>
      </c>
      <c r="AQ27" s="3">
        <v>13445</v>
      </c>
      <c r="AR27" s="4">
        <f t="shared" si="23"/>
        <v>2.1682567215958404E-2</v>
      </c>
      <c r="AS27" s="4">
        <f t="shared" si="0"/>
        <v>2.1645021645021467E-3</v>
      </c>
      <c r="AT27" s="4">
        <f t="shared" si="1"/>
        <v>1.848591549295775E-2</v>
      </c>
      <c r="AU27" s="4">
        <f t="shared" si="2"/>
        <v>1.4855687606112E-2</v>
      </c>
      <c r="AV27" s="4">
        <f t="shared" si="3"/>
        <v>4.2771599657820403E-4</v>
      </c>
      <c r="AW27" s="4">
        <f t="shared" si="4"/>
        <v>4.6374367622259438E-3</v>
      </c>
      <c r="AX27" s="4">
        <f t="shared" si="5"/>
        <v>1.8159306644655482E-2</v>
      </c>
      <c r="AY27" s="4">
        <f t="shared" si="6"/>
        <v>7.8247261345852914E-3</v>
      </c>
      <c r="AZ27" s="4">
        <f t="shared" si="7"/>
        <v>9.9641291351135752E-3</v>
      </c>
      <c r="BA27" s="4">
        <f t="shared" si="8"/>
        <v>1.2121212121212088E-2</v>
      </c>
      <c r="BB27" s="4">
        <f t="shared" si="9"/>
        <v>2.4321037697608405E-2</v>
      </c>
      <c r="BC27" s="4">
        <f t="shared" si="10"/>
        <v>1.1080332409972304E-2</v>
      </c>
      <c r="BD27" s="4">
        <f t="shared" si="11"/>
        <v>8.5669781931464462E-3</v>
      </c>
      <c r="BE27" s="4">
        <f t="shared" si="12"/>
        <v>2.4681835711531042E-2</v>
      </c>
      <c r="BF27" s="4">
        <f t="shared" si="13"/>
        <v>1.3368983957219305E-2</v>
      </c>
      <c r="BG27" s="4">
        <f t="shared" si="14"/>
        <v>2.8496437945256803E-2</v>
      </c>
      <c r="BH27" s="4">
        <f t="shared" si="15"/>
        <v>1.4737598849748457E-2</v>
      </c>
      <c r="BI27" s="4">
        <f t="shared" si="16"/>
        <v>5.7657657657657069E-3</v>
      </c>
      <c r="BJ27" s="4">
        <f t="shared" si="17"/>
        <v>2.1865889212827616E-3</v>
      </c>
      <c r="BK27" s="4">
        <f t="shared" si="18"/>
        <v>1.6075995615637551E-2</v>
      </c>
      <c r="BL27" s="4">
        <f t="shared" si="19"/>
        <v>7.4321813452249419E-4</v>
      </c>
      <c r="BM27" s="4">
        <f t="shared" si="24"/>
        <v>1.2189985716244285E-2</v>
      </c>
      <c r="BN27" s="9">
        <f t="shared" si="25"/>
        <v>13619.016257812065</v>
      </c>
      <c r="BO27" s="10">
        <f t="shared" si="26"/>
        <v>13162.568440331044</v>
      </c>
      <c r="BP27">
        <v>13680</v>
      </c>
      <c r="BQ27">
        <v>13720</v>
      </c>
      <c r="BR27">
        <v>13665</v>
      </c>
      <c r="BS27">
        <v>13715</v>
      </c>
      <c r="BT27">
        <v>103702</v>
      </c>
      <c r="BU27" s="13">
        <f t="shared" si="20"/>
        <v>13700</v>
      </c>
      <c r="BV27" s="13">
        <f t="shared" si="21"/>
        <v>1420717400</v>
      </c>
      <c r="BW27" s="13">
        <f>SUM($BV$3:BV27)</f>
        <v>86278290021.666687</v>
      </c>
      <c r="BX27" s="13">
        <f>SUM($BT$3:BT27)</f>
        <v>6371338</v>
      </c>
      <c r="BY27" s="3">
        <f t="shared" si="22"/>
        <v>13541.62815120885</v>
      </c>
    </row>
    <row r="28" spans="1:77" x14ac:dyDescent="0.3">
      <c r="A28" s="3" t="s">
        <v>68</v>
      </c>
      <c r="B28" s="3">
        <v>11785</v>
      </c>
      <c r="C28" s="3">
        <v>11795</v>
      </c>
      <c r="D28" s="3">
        <v>11520</v>
      </c>
      <c r="E28" s="3">
        <v>11530</v>
      </c>
      <c r="F28" s="3">
        <v>11570</v>
      </c>
      <c r="G28" s="3">
        <v>11555</v>
      </c>
      <c r="H28" s="3">
        <v>11605</v>
      </c>
      <c r="I28" s="3">
        <v>11615</v>
      </c>
      <c r="J28" s="3">
        <v>11695</v>
      </c>
      <c r="K28" s="3">
        <v>11690</v>
      </c>
      <c r="L28" s="3">
        <v>11915</v>
      </c>
      <c r="M28" s="3">
        <v>11935</v>
      </c>
      <c r="N28" s="3">
        <v>12340</v>
      </c>
      <c r="O28" s="3">
        <v>12350</v>
      </c>
      <c r="P28" s="3">
        <v>12685</v>
      </c>
      <c r="Q28" s="3">
        <v>12715</v>
      </c>
      <c r="R28" s="3">
        <v>12670</v>
      </c>
      <c r="S28" s="3">
        <v>12640</v>
      </c>
      <c r="T28" s="3">
        <v>12220</v>
      </c>
      <c r="U28" s="3">
        <v>12205</v>
      </c>
      <c r="V28" s="3">
        <v>12635</v>
      </c>
      <c r="W28" s="3">
        <v>12645</v>
      </c>
      <c r="X28" s="3">
        <v>12495</v>
      </c>
      <c r="Y28" s="3">
        <v>12505</v>
      </c>
      <c r="Z28" s="3">
        <v>12725</v>
      </c>
      <c r="AA28" s="3">
        <v>12735</v>
      </c>
      <c r="AB28" s="3">
        <v>13285</v>
      </c>
      <c r="AC28" s="3">
        <v>13300</v>
      </c>
      <c r="AD28" s="3">
        <v>13265</v>
      </c>
      <c r="AE28" s="3">
        <v>13250</v>
      </c>
      <c r="AF28" s="3">
        <v>13720</v>
      </c>
      <c r="AG28" s="3">
        <v>13750</v>
      </c>
      <c r="AH28" s="3">
        <v>14120</v>
      </c>
      <c r="AI28" s="3">
        <v>14150</v>
      </c>
      <c r="AJ28" s="3">
        <v>13945</v>
      </c>
      <c r="AK28" s="3">
        <v>13910</v>
      </c>
      <c r="AL28" s="3">
        <v>13695</v>
      </c>
      <c r="AM28" s="3">
        <v>13665</v>
      </c>
      <c r="AN28" s="3">
        <v>13470</v>
      </c>
      <c r="AO28" s="3">
        <v>13440</v>
      </c>
      <c r="AP28" s="3">
        <v>13450</v>
      </c>
      <c r="AQ28" s="3">
        <v>13465</v>
      </c>
      <c r="AR28" s="4">
        <f t="shared" si="23"/>
        <v>2.2983521248915784E-2</v>
      </c>
      <c r="AS28" s="4">
        <f t="shared" si="0"/>
        <v>1.7316017316016952E-3</v>
      </c>
      <c r="AT28" s="4">
        <f t="shared" si="1"/>
        <v>1.7165492957746498E-2</v>
      </c>
      <c r="AU28" s="4">
        <f t="shared" si="2"/>
        <v>1.4006791171477073E-2</v>
      </c>
      <c r="AV28" s="4">
        <f t="shared" si="3"/>
        <v>0</v>
      </c>
      <c r="AW28" s="4">
        <f t="shared" si="4"/>
        <v>6.3237774030353577E-3</v>
      </c>
      <c r="AX28" s="4">
        <f t="shared" si="5"/>
        <v>1.9397441188609088E-2</v>
      </c>
      <c r="AY28" s="4">
        <f t="shared" si="6"/>
        <v>5.0860719874804561E-3</v>
      </c>
      <c r="AZ28" s="4">
        <f t="shared" si="7"/>
        <v>7.5727381426862195E-3</v>
      </c>
      <c r="BA28" s="4">
        <f t="shared" si="8"/>
        <v>1.3737373737373715E-2</v>
      </c>
      <c r="BB28" s="4">
        <f t="shared" si="9"/>
        <v>2.5131738954195404E-2</v>
      </c>
      <c r="BC28" s="4">
        <f t="shared" si="10"/>
        <v>1.0288880094974306E-2</v>
      </c>
      <c r="BD28" s="4">
        <f t="shared" si="11"/>
        <v>8.1775700934579865E-3</v>
      </c>
      <c r="BE28" s="4">
        <f t="shared" si="12"/>
        <v>2.5838796760509153E-2</v>
      </c>
      <c r="BF28" s="4">
        <f t="shared" si="13"/>
        <v>1.2223071046600475E-2</v>
      </c>
      <c r="BG28" s="4">
        <f t="shared" si="14"/>
        <v>3.1121109861267371E-2</v>
      </c>
      <c r="BH28" s="4">
        <f t="shared" si="15"/>
        <v>1.7253774263120025E-2</v>
      </c>
      <c r="BI28" s="4">
        <f t="shared" si="16"/>
        <v>2.5225225225224968E-3</v>
      </c>
      <c r="BJ28" s="4">
        <f t="shared" si="17"/>
        <v>4.0087463556851555E-3</v>
      </c>
      <c r="BK28" s="4">
        <f t="shared" si="18"/>
        <v>1.7902813299232712E-2</v>
      </c>
      <c r="BL28" s="4">
        <f t="shared" si="19"/>
        <v>7.4321813452238317E-4</v>
      </c>
      <c r="BM28" s="4">
        <f t="shared" si="24"/>
        <v>1.1905810376410531E-2</v>
      </c>
      <c r="BN28" s="9">
        <f t="shared" si="25"/>
        <v>13615.192678614603</v>
      </c>
      <c r="BO28" s="10">
        <f t="shared" si="26"/>
        <v>13166.355076734331</v>
      </c>
      <c r="BP28">
        <v>13720</v>
      </c>
      <c r="BQ28">
        <v>13750</v>
      </c>
      <c r="BR28">
        <v>13720</v>
      </c>
      <c r="BS28">
        <v>13750</v>
      </c>
      <c r="BT28">
        <v>130217</v>
      </c>
      <c r="BU28" s="13">
        <f t="shared" si="20"/>
        <v>13740</v>
      </c>
      <c r="BV28" s="13">
        <f t="shared" si="21"/>
        <v>1789181580</v>
      </c>
      <c r="BW28" s="13">
        <f>SUM($BV$3:BV28)</f>
        <v>88067471601.666687</v>
      </c>
      <c r="BX28" s="13">
        <f>SUM($BT$3:BT28)</f>
        <v>6501555</v>
      </c>
      <c r="BY28" s="3">
        <f t="shared" si="22"/>
        <v>13545.601260262612</v>
      </c>
    </row>
    <row r="29" spans="1:77" x14ac:dyDescent="0.3">
      <c r="A29" s="3" t="s">
        <v>69</v>
      </c>
      <c r="B29" s="3">
        <v>11795</v>
      </c>
      <c r="C29" s="3">
        <v>11780</v>
      </c>
      <c r="D29" s="3">
        <v>11530</v>
      </c>
      <c r="E29" s="3">
        <v>11510</v>
      </c>
      <c r="F29" s="3">
        <v>11555</v>
      </c>
      <c r="G29" s="3">
        <v>11580</v>
      </c>
      <c r="H29" s="3">
        <v>11610</v>
      </c>
      <c r="I29" s="3">
        <v>11615</v>
      </c>
      <c r="J29" s="3">
        <v>11690</v>
      </c>
      <c r="K29" s="3">
        <v>11705</v>
      </c>
      <c r="L29" s="3">
        <v>11940</v>
      </c>
      <c r="M29" s="3">
        <v>11950</v>
      </c>
      <c r="N29" s="3">
        <v>12350</v>
      </c>
      <c r="O29" s="3">
        <v>12355</v>
      </c>
      <c r="P29" s="3">
        <v>12720</v>
      </c>
      <c r="Q29" s="3">
        <v>12735</v>
      </c>
      <c r="R29" s="3">
        <v>12640</v>
      </c>
      <c r="S29" s="3">
        <v>12650</v>
      </c>
      <c r="T29" s="3">
        <v>12205</v>
      </c>
      <c r="U29" s="3">
        <v>12230</v>
      </c>
      <c r="V29" s="3">
        <v>12645</v>
      </c>
      <c r="W29" s="3">
        <v>12655</v>
      </c>
      <c r="X29" s="3">
        <v>12505</v>
      </c>
      <c r="Y29" s="3">
        <v>12515</v>
      </c>
      <c r="Z29" s="3">
        <v>12730</v>
      </c>
      <c r="AA29" s="3">
        <v>12815</v>
      </c>
      <c r="AB29" s="3">
        <v>13295</v>
      </c>
      <c r="AC29" s="3">
        <v>13285</v>
      </c>
      <c r="AD29" s="3">
        <v>13250</v>
      </c>
      <c r="AE29" s="3">
        <v>13265</v>
      </c>
      <c r="AF29" s="3">
        <v>13745</v>
      </c>
      <c r="AG29" s="3">
        <v>13740</v>
      </c>
      <c r="AH29" s="3">
        <v>14150</v>
      </c>
      <c r="AI29" s="3">
        <v>14140</v>
      </c>
      <c r="AJ29" s="3">
        <v>13910</v>
      </c>
      <c r="AK29" s="3">
        <v>13885</v>
      </c>
      <c r="AL29" s="3">
        <v>13670</v>
      </c>
      <c r="AM29" s="3">
        <v>13660</v>
      </c>
      <c r="AN29" s="3">
        <v>13440</v>
      </c>
      <c r="AO29" s="3">
        <v>13405</v>
      </c>
      <c r="AP29" s="3">
        <v>13465</v>
      </c>
      <c r="AQ29" s="3">
        <v>13430</v>
      </c>
      <c r="AR29" s="4">
        <f t="shared" si="23"/>
        <v>2.1682567215958404E-2</v>
      </c>
      <c r="AS29" s="4">
        <f t="shared" si="0"/>
        <v>3.4632034632035014E-3</v>
      </c>
      <c r="AT29" s="4">
        <f t="shared" si="1"/>
        <v>1.936619718309851E-2</v>
      </c>
      <c r="AU29" s="4">
        <f t="shared" si="2"/>
        <v>1.4006791171477073E-2</v>
      </c>
      <c r="AV29" s="4">
        <f t="shared" si="3"/>
        <v>1.2831479897348341E-3</v>
      </c>
      <c r="AW29" s="4">
        <f t="shared" si="4"/>
        <v>7.5885328836424737E-3</v>
      </c>
      <c r="AX29" s="4">
        <f t="shared" si="5"/>
        <v>1.9810152703260364E-2</v>
      </c>
      <c r="AY29" s="4">
        <f t="shared" si="6"/>
        <v>3.5211267605633756E-3</v>
      </c>
      <c r="AZ29" s="4">
        <f t="shared" si="7"/>
        <v>8.3698684734954121E-3</v>
      </c>
      <c r="BA29" s="4">
        <f t="shared" si="8"/>
        <v>1.1717171717171682E-2</v>
      </c>
      <c r="BB29" s="4">
        <f t="shared" si="9"/>
        <v>2.5942440210782403E-2</v>
      </c>
      <c r="BC29" s="4">
        <f t="shared" si="10"/>
        <v>9.4974277799763085E-3</v>
      </c>
      <c r="BD29" s="4">
        <f t="shared" si="11"/>
        <v>1.9470404984424095E-3</v>
      </c>
      <c r="BE29" s="4">
        <f t="shared" si="12"/>
        <v>2.4681835711531042E-2</v>
      </c>
      <c r="BF29" s="4">
        <f t="shared" si="13"/>
        <v>1.3368983957219305E-2</v>
      </c>
      <c r="BG29" s="4">
        <f t="shared" si="14"/>
        <v>3.0371203599550034E-2</v>
      </c>
      <c r="BH29" s="4">
        <f t="shared" si="15"/>
        <v>1.6534867002156783E-2</v>
      </c>
      <c r="BI29" s="4">
        <f t="shared" si="16"/>
        <v>7.2072072072071336E-4</v>
      </c>
      <c r="BJ29" s="4">
        <f t="shared" si="17"/>
        <v>4.3731778425656342E-3</v>
      </c>
      <c r="BK29" s="4">
        <f t="shared" si="18"/>
        <v>2.0460358056266004E-2</v>
      </c>
      <c r="BL29" s="4">
        <f t="shared" si="19"/>
        <v>1.85804533630618E-3</v>
      </c>
      <c r="BM29" s="4">
        <f t="shared" si="24"/>
        <v>1.1754565750257049E-2</v>
      </c>
      <c r="BN29" s="9">
        <f t="shared" si="25"/>
        <v>13613.157682169709</v>
      </c>
      <c r="BO29" s="10">
        <f t="shared" si="26"/>
        <v>13168.370411377826</v>
      </c>
      <c r="BP29">
        <v>13745</v>
      </c>
      <c r="BQ29">
        <v>13775</v>
      </c>
      <c r="BR29">
        <v>13725</v>
      </c>
      <c r="BS29">
        <v>13740</v>
      </c>
      <c r="BT29">
        <v>283276</v>
      </c>
      <c r="BU29" s="13">
        <f t="shared" si="20"/>
        <v>13746.666666666666</v>
      </c>
      <c r="BV29" s="13">
        <f t="shared" si="21"/>
        <v>3894100746.6666665</v>
      </c>
      <c r="BW29" s="13">
        <f>SUM($BV$3:BV29)</f>
        <v>91961572348.333359</v>
      </c>
      <c r="BX29" s="13">
        <f>SUM($BT$3:BT29)</f>
        <v>6784831</v>
      </c>
      <c r="BY29" s="3">
        <f t="shared" si="22"/>
        <v>13553.996016751686</v>
      </c>
    </row>
    <row r="30" spans="1:77" x14ac:dyDescent="0.3">
      <c r="A30" s="3" t="s">
        <v>70</v>
      </c>
      <c r="B30" s="3">
        <v>11780</v>
      </c>
      <c r="C30" s="3">
        <v>11760</v>
      </c>
      <c r="D30" s="3">
        <v>11515</v>
      </c>
      <c r="E30" s="3">
        <v>11515</v>
      </c>
      <c r="F30" s="3">
        <v>11570</v>
      </c>
      <c r="G30" s="3">
        <v>11625</v>
      </c>
      <c r="H30" s="3">
        <v>11615</v>
      </c>
      <c r="I30" s="3">
        <v>11590</v>
      </c>
      <c r="J30" s="3">
        <v>11700</v>
      </c>
      <c r="K30" s="3">
        <v>11670</v>
      </c>
      <c r="L30" s="3">
        <v>11955</v>
      </c>
      <c r="M30" s="3">
        <v>11980</v>
      </c>
      <c r="N30" s="3">
        <v>12350</v>
      </c>
      <c r="O30" s="3">
        <v>12360</v>
      </c>
      <c r="P30" s="3">
        <v>12735</v>
      </c>
      <c r="Q30" s="3">
        <v>12720</v>
      </c>
      <c r="R30" s="3">
        <v>12650</v>
      </c>
      <c r="S30" s="3">
        <v>12655</v>
      </c>
      <c r="T30" s="3">
        <v>12230</v>
      </c>
      <c r="U30" s="3">
        <v>12215</v>
      </c>
      <c r="V30" s="3">
        <v>12655</v>
      </c>
      <c r="W30" s="3">
        <v>12660</v>
      </c>
      <c r="X30" s="3">
        <v>12510</v>
      </c>
      <c r="Y30" s="3">
        <v>12510</v>
      </c>
      <c r="Z30" s="3">
        <v>12820</v>
      </c>
      <c r="AA30" s="3">
        <v>12775</v>
      </c>
      <c r="AB30" s="3">
        <v>13285</v>
      </c>
      <c r="AC30" s="3">
        <v>13285</v>
      </c>
      <c r="AD30" s="3">
        <v>13265</v>
      </c>
      <c r="AE30" s="3">
        <v>13260</v>
      </c>
      <c r="AF30" s="3">
        <v>13745</v>
      </c>
      <c r="AG30" s="3">
        <v>13715</v>
      </c>
      <c r="AH30" s="3">
        <v>14145</v>
      </c>
      <c r="AI30" s="3">
        <v>14155</v>
      </c>
      <c r="AJ30" s="3">
        <v>13880</v>
      </c>
      <c r="AK30" s="3">
        <v>13940</v>
      </c>
      <c r="AL30" s="3">
        <v>13660</v>
      </c>
      <c r="AM30" s="3">
        <v>13680</v>
      </c>
      <c r="AN30" s="3">
        <v>13400</v>
      </c>
      <c r="AO30" s="3">
        <v>13425</v>
      </c>
      <c r="AP30" s="3">
        <v>13430</v>
      </c>
      <c r="AQ30" s="3">
        <v>13435</v>
      </c>
      <c r="AR30" s="4">
        <f t="shared" si="23"/>
        <v>1.9947961838681749E-2</v>
      </c>
      <c r="AS30" s="4">
        <f t="shared" si="0"/>
        <v>3.0303030303030498E-3</v>
      </c>
      <c r="AT30" s="4">
        <f t="shared" si="1"/>
        <v>2.3327464788732488E-2</v>
      </c>
      <c r="AU30" s="4">
        <f t="shared" si="2"/>
        <v>1.6129032258064502E-2</v>
      </c>
      <c r="AV30" s="4">
        <f t="shared" si="3"/>
        <v>1.7108639863130382E-3</v>
      </c>
      <c r="AW30" s="4">
        <f t="shared" si="4"/>
        <v>1.0118043844856706E-2</v>
      </c>
      <c r="AX30" s="4">
        <f t="shared" si="5"/>
        <v>2.022286421791164E-2</v>
      </c>
      <c r="AY30" s="4">
        <f t="shared" si="6"/>
        <v>4.6948356807511304E-3</v>
      </c>
      <c r="AZ30" s="4">
        <f t="shared" si="7"/>
        <v>8.7684336389000084E-3</v>
      </c>
      <c r="BA30" s="4">
        <f t="shared" si="8"/>
        <v>1.2929292929292902E-2</v>
      </c>
      <c r="BB30" s="4">
        <f t="shared" si="9"/>
        <v>2.6347790839075902E-2</v>
      </c>
      <c r="BC30" s="4">
        <f t="shared" si="10"/>
        <v>9.893153937475252E-3</v>
      </c>
      <c r="BD30" s="4">
        <f t="shared" si="11"/>
        <v>5.062305295950198E-3</v>
      </c>
      <c r="BE30" s="4">
        <f t="shared" si="12"/>
        <v>2.4681835711531042E-2</v>
      </c>
      <c r="BF30" s="4">
        <f t="shared" si="13"/>
        <v>1.298701298701288E-2</v>
      </c>
      <c r="BG30" s="4">
        <f t="shared" si="14"/>
        <v>2.8496437945256803E-2</v>
      </c>
      <c r="BH30" s="4">
        <f t="shared" si="15"/>
        <v>1.7613227893601646E-2</v>
      </c>
      <c r="BI30" s="4">
        <f t="shared" si="16"/>
        <v>4.6846846846846368E-3</v>
      </c>
      <c r="BJ30" s="4">
        <f t="shared" si="17"/>
        <v>2.9154518950437192E-3</v>
      </c>
      <c r="BK30" s="4">
        <f t="shared" si="18"/>
        <v>1.8998903909389853E-2</v>
      </c>
      <c r="BL30" s="4">
        <f t="shared" si="19"/>
        <v>1.4864362690449884E-3</v>
      </c>
      <c r="BM30" s="4">
        <f t="shared" si="24"/>
        <v>1.2850230939012195E-2</v>
      </c>
      <c r="BN30" s="9">
        <f t="shared" si="25"/>
        <v>13627.899857284408</v>
      </c>
      <c r="BO30" s="10">
        <f t="shared" si="26"/>
        <v>13153.770672737663</v>
      </c>
      <c r="BP30">
        <v>13745</v>
      </c>
      <c r="BQ30">
        <v>13750</v>
      </c>
      <c r="BR30">
        <v>13705</v>
      </c>
      <c r="BS30">
        <v>13715</v>
      </c>
      <c r="BT30">
        <v>58159</v>
      </c>
      <c r="BU30" s="13">
        <f t="shared" si="20"/>
        <v>13723.333333333334</v>
      </c>
      <c r="BV30" s="13">
        <f t="shared" si="21"/>
        <v>798135343.33333337</v>
      </c>
      <c r="BW30" s="13">
        <f>SUM($BV$3:BV30)</f>
        <v>92759707691.666687</v>
      </c>
      <c r="BX30" s="13">
        <f>SUM($BT$3:BT30)</f>
        <v>6842990</v>
      </c>
      <c r="BY30" s="3">
        <f t="shared" si="22"/>
        <v>13555.435225196396</v>
      </c>
    </row>
    <row r="31" spans="1:77" x14ac:dyDescent="0.3">
      <c r="A31" s="3" t="s">
        <v>71</v>
      </c>
      <c r="B31" s="3">
        <v>11755</v>
      </c>
      <c r="C31" s="3">
        <v>11740</v>
      </c>
      <c r="D31" s="3">
        <v>11515</v>
      </c>
      <c r="E31" s="3">
        <v>11490</v>
      </c>
      <c r="F31" s="3">
        <v>11625</v>
      </c>
      <c r="G31" s="3">
        <v>11635</v>
      </c>
      <c r="H31" s="3">
        <v>11595</v>
      </c>
      <c r="I31" s="3">
        <v>11605</v>
      </c>
      <c r="J31" s="3">
        <v>11670</v>
      </c>
      <c r="K31" s="3">
        <v>11665</v>
      </c>
      <c r="L31" s="3">
        <v>11980</v>
      </c>
      <c r="M31" s="3">
        <v>11980</v>
      </c>
      <c r="N31" s="3">
        <v>12360</v>
      </c>
      <c r="O31" s="3">
        <v>12345</v>
      </c>
      <c r="P31" s="3">
        <v>12730</v>
      </c>
      <c r="Q31" s="3">
        <v>12700</v>
      </c>
      <c r="R31" s="3">
        <v>12650</v>
      </c>
      <c r="S31" s="3">
        <v>12645</v>
      </c>
      <c r="T31" s="3">
        <v>12210</v>
      </c>
      <c r="U31" s="3">
        <v>12195</v>
      </c>
      <c r="V31" s="3">
        <v>12655</v>
      </c>
      <c r="W31" s="3">
        <v>12660</v>
      </c>
      <c r="X31" s="3">
        <v>12510</v>
      </c>
      <c r="Y31" s="3">
        <v>12495</v>
      </c>
      <c r="Z31" s="3">
        <v>12775</v>
      </c>
      <c r="AA31" s="3">
        <v>12795</v>
      </c>
      <c r="AB31" s="3">
        <v>13285</v>
      </c>
      <c r="AC31" s="3">
        <v>13275</v>
      </c>
      <c r="AD31" s="3">
        <v>13260</v>
      </c>
      <c r="AE31" s="3">
        <v>13245</v>
      </c>
      <c r="AF31" s="3">
        <v>13715</v>
      </c>
      <c r="AG31" s="3">
        <v>13740</v>
      </c>
      <c r="AH31" s="3">
        <v>14150</v>
      </c>
      <c r="AI31" s="3">
        <v>14175</v>
      </c>
      <c r="AJ31" s="3">
        <v>13940</v>
      </c>
      <c r="AK31" s="3">
        <v>13930</v>
      </c>
      <c r="AL31" s="3">
        <v>13680</v>
      </c>
      <c r="AM31" s="3">
        <v>13695</v>
      </c>
      <c r="AN31" s="3">
        <v>13425</v>
      </c>
      <c r="AO31" s="3">
        <v>13395</v>
      </c>
      <c r="AP31" s="3">
        <v>13435</v>
      </c>
      <c r="AQ31" s="3">
        <v>13420</v>
      </c>
      <c r="AR31" s="4">
        <f t="shared" si="23"/>
        <v>1.8213356461405095E-2</v>
      </c>
      <c r="AS31" s="4">
        <f t="shared" si="0"/>
        <v>5.1948051948051965E-3</v>
      </c>
      <c r="AT31" s="4">
        <f t="shared" si="1"/>
        <v>2.4207746478873249E-2</v>
      </c>
      <c r="AU31" s="4">
        <f t="shared" si="2"/>
        <v>1.4855687606112E-2</v>
      </c>
      <c r="AV31" s="4">
        <f t="shared" si="3"/>
        <v>2.1385799828913532E-3</v>
      </c>
      <c r="AW31" s="4">
        <f t="shared" si="4"/>
        <v>1.0118043844856706E-2</v>
      </c>
      <c r="AX31" s="4">
        <f t="shared" si="5"/>
        <v>1.8984729673957812E-2</v>
      </c>
      <c r="AY31" s="4">
        <f t="shared" si="6"/>
        <v>6.2597809076682109E-3</v>
      </c>
      <c r="AZ31" s="4">
        <f t="shared" si="7"/>
        <v>7.9713033080908158E-3</v>
      </c>
      <c r="BA31" s="4">
        <f t="shared" si="8"/>
        <v>1.4545454545454528E-2</v>
      </c>
      <c r="BB31" s="4">
        <f t="shared" si="9"/>
        <v>2.6347790839075902E-2</v>
      </c>
      <c r="BC31" s="4">
        <f t="shared" si="10"/>
        <v>1.1080332409972304E-2</v>
      </c>
      <c r="BD31" s="4">
        <f t="shared" si="11"/>
        <v>3.5046728971962482E-3</v>
      </c>
      <c r="BE31" s="4">
        <f t="shared" si="12"/>
        <v>2.3910528345545634E-2</v>
      </c>
      <c r="BF31" s="4">
        <f t="shared" si="13"/>
        <v>1.1841100076394273E-2</v>
      </c>
      <c r="BG31" s="4">
        <f t="shared" si="14"/>
        <v>3.0371203599550034E-2</v>
      </c>
      <c r="BH31" s="4">
        <f t="shared" si="15"/>
        <v>1.9051042415528352E-2</v>
      </c>
      <c r="BI31" s="4">
        <f t="shared" si="16"/>
        <v>3.9639639639639235E-3</v>
      </c>
      <c r="BJ31" s="4">
        <f t="shared" si="17"/>
        <v>1.8221574344022828E-3</v>
      </c>
      <c r="BK31" s="4">
        <f t="shared" si="18"/>
        <v>2.1191085129704024E-2</v>
      </c>
      <c r="BL31" s="4">
        <f t="shared" si="19"/>
        <v>2.6012634708286742E-3</v>
      </c>
      <c r="BM31" s="4">
        <f t="shared" si="24"/>
        <v>1.2925754007921017E-2</v>
      </c>
      <c r="BN31" s="9">
        <f t="shared" si="25"/>
        <v>13628.916020176577</v>
      </c>
      <c r="BO31" s="10">
        <f t="shared" si="26"/>
        <v>13152.764327844452</v>
      </c>
      <c r="BP31">
        <v>13715</v>
      </c>
      <c r="BQ31">
        <v>13740</v>
      </c>
      <c r="BR31">
        <v>13710</v>
      </c>
      <c r="BS31">
        <v>13740</v>
      </c>
      <c r="BT31">
        <v>36093</v>
      </c>
      <c r="BU31" s="13">
        <f t="shared" si="20"/>
        <v>13730</v>
      </c>
      <c r="BV31" s="13">
        <f t="shared" si="21"/>
        <v>495556890</v>
      </c>
      <c r="BW31" s="13">
        <f>SUM($BV$3:BV31)</f>
        <v>93255264581.666687</v>
      </c>
      <c r="BX31" s="13">
        <f>SUM($BT$3:BT31)</f>
        <v>6879083</v>
      </c>
      <c r="BY31" s="3">
        <f t="shared" si="22"/>
        <v>13556.351127274767</v>
      </c>
    </row>
    <row r="32" spans="1:77" x14ac:dyDescent="0.3">
      <c r="A32" s="3" t="s">
        <v>72</v>
      </c>
      <c r="B32" s="3">
        <v>11735</v>
      </c>
      <c r="C32" s="3">
        <v>11740</v>
      </c>
      <c r="D32" s="3">
        <v>11490</v>
      </c>
      <c r="E32" s="3">
        <v>11495</v>
      </c>
      <c r="F32" s="3">
        <v>11635</v>
      </c>
      <c r="G32" s="3">
        <v>11670</v>
      </c>
      <c r="H32" s="3">
        <v>11605</v>
      </c>
      <c r="I32" s="3">
        <v>11595</v>
      </c>
      <c r="J32" s="3">
        <v>11665</v>
      </c>
      <c r="K32" s="3">
        <v>11645</v>
      </c>
      <c r="L32" s="3">
        <v>11980</v>
      </c>
      <c r="M32" s="3">
        <v>11990</v>
      </c>
      <c r="N32" s="3">
        <v>12345</v>
      </c>
      <c r="O32" s="3">
        <v>12350</v>
      </c>
      <c r="P32" s="3">
        <v>12700</v>
      </c>
      <c r="Q32" s="3">
        <v>12695</v>
      </c>
      <c r="R32" s="3">
        <v>12640</v>
      </c>
      <c r="S32" s="3">
        <v>12655</v>
      </c>
      <c r="T32" s="3">
        <v>12190</v>
      </c>
      <c r="U32" s="3">
        <v>12205</v>
      </c>
      <c r="V32" s="3">
        <v>12660</v>
      </c>
      <c r="W32" s="3">
        <v>12635</v>
      </c>
      <c r="X32" s="3">
        <v>12495</v>
      </c>
      <c r="Y32" s="3">
        <v>12520</v>
      </c>
      <c r="Z32" s="3">
        <v>12795</v>
      </c>
      <c r="AA32" s="3">
        <v>12780</v>
      </c>
      <c r="AB32" s="3">
        <v>13275</v>
      </c>
      <c r="AC32" s="3">
        <v>13290</v>
      </c>
      <c r="AD32" s="3">
        <v>13250</v>
      </c>
      <c r="AE32" s="3">
        <v>13250</v>
      </c>
      <c r="AF32" s="3">
        <v>13740</v>
      </c>
      <c r="AG32" s="3">
        <v>13720</v>
      </c>
      <c r="AH32" s="3">
        <v>14170</v>
      </c>
      <c r="AI32" s="3">
        <v>14175</v>
      </c>
      <c r="AJ32" s="3">
        <v>13925</v>
      </c>
      <c r="AK32" s="3">
        <v>13900</v>
      </c>
      <c r="AL32" s="3">
        <v>13695</v>
      </c>
      <c r="AM32" s="3">
        <v>13685</v>
      </c>
      <c r="AN32" s="3">
        <v>13400</v>
      </c>
      <c r="AO32" s="3">
        <v>13425</v>
      </c>
      <c r="AP32" s="3">
        <v>13420</v>
      </c>
      <c r="AQ32" s="3">
        <v>13415</v>
      </c>
      <c r="AR32" s="4">
        <f t="shared" si="23"/>
        <v>1.8213356461405095E-2</v>
      </c>
      <c r="AS32" s="4">
        <f t="shared" si="0"/>
        <v>4.761904761904745E-3</v>
      </c>
      <c r="AT32" s="4">
        <f t="shared" si="1"/>
        <v>2.7288732394366244E-2</v>
      </c>
      <c r="AU32" s="4">
        <f t="shared" si="2"/>
        <v>1.5704584040747038E-2</v>
      </c>
      <c r="AV32" s="4">
        <f t="shared" si="3"/>
        <v>3.8494439692045024E-3</v>
      </c>
      <c r="AW32" s="4">
        <f t="shared" si="4"/>
        <v>1.0961214165261302E-2</v>
      </c>
      <c r="AX32" s="4">
        <f t="shared" si="5"/>
        <v>1.9397441188609088E-2</v>
      </c>
      <c r="AY32" s="4">
        <f t="shared" si="6"/>
        <v>6.6510172143975366E-3</v>
      </c>
      <c r="AZ32" s="4">
        <f t="shared" si="7"/>
        <v>8.7684336389000084E-3</v>
      </c>
      <c r="BA32" s="4">
        <f t="shared" si="8"/>
        <v>1.3737373737373715E-2</v>
      </c>
      <c r="BB32" s="4">
        <f t="shared" si="9"/>
        <v>2.4321037697608405E-2</v>
      </c>
      <c r="BC32" s="4">
        <f t="shared" si="10"/>
        <v>9.101701622477254E-3</v>
      </c>
      <c r="BD32" s="4">
        <f t="shared" si="11"/>
        <v>4.6728971962616273E-3</v>
      </c>
      <c r="BE32" s="4">
        <f t="shared" si="12"/>
        <v>2.5067489394523745E-2</v>
      </c>
      <c r="BF32" s="4">
        <f t="shared" si="13"/>
        <v>1.2223071046600475E-2</v>
      </c>
      <c r="BG32" s="4">
        <f t="shared" si="14"/>
        <v>2.8871391076115582E-2</v>
      </c>
      <c r="BH32" s="4">
        <f t="shared" si="15"/>
        <v>1.9051042415528352E-2</v>
      </c>
      <c r="BI32" s="4">
        <f t="shared" si="16"/>
        <v>1.8018018018017834E-3</v>
      </c>
      <c r="BJ32" s="4">
        <f t="shared" si="17"/>
        <v>2.5510204081632404E-3</v>
      </c>
      <c r="BK32" s="4">
        <f t="shared" si="18"/>
        <v>1.8998903909389853E-2</v>
      </c>
      <c r="BL32" s="4">
        <f t="shared" si="19"/>
        <v>2.9728725380899768E-3</v>
      </c>
      <c r="BM32" s="4">
        <f t="shared" si="24"/>
        <v>1.332188157630255E-2</v>
      </c>
      <c r="BN32" s="9">
        <f t="shared" si="25"/>
        <v>13634.24591660915</v>
      </c>
      <c r="BO32" s="10">
        <f t="shared" si="26"/>
        <v>13147.485927995769</v>
      </c>
      <c r="BP32">
        <v>13740</v>
      </c>
      <c r="BQ32">
        <v>13745</v>
      </c>
      <c r="BR32">
        <v>13720</v>
      </c>
      <c r="BS32">
        <v>13720</v>
      </c>
      <c r="BT32">
        <v>49547</v>
      </c>
      <c r="BU32" s="13">
        <f t="shared" si="20"/>
        <v>13728.333333333334</v>
      </c>
      <c r="BV32" s="13">
        <f t="shared" si="21"/>
        <v>680197731.66666675</v>
      </c>
      <c r="BW32" s="13">
        <f>SUM($BV$3:BV32)</f>
        <v>93935462313.333359</v>
      </c>
      <c r="BX32" s="13">
        <f>SUM($BT$3:BT32)</f>
        <v>6928630</v>
      </c>
      <c r="BY32" s="3">
        <f t="shared" si="22"/>
        <v>13557.580981136727</v>
      </c>
    </row>
    <row r="33" spans="1:77" x14ac:dyDescent="0.3">
      <c r="A33" s="3" t="s">
        <v>73</v>
      </c>
      <c r="B33" s="3">
        <v>11740</v>
      </c>
      <c r="C33" s="3">
        <v>11740</v>
      </c>
      <c r="D33" s="3">
        <v>11495</v>
      </c>
      <c r="E33" s="3">
        <v>11470</v>
      </c>
      <c r="F33" s="3">
        <v>11670</v>
      </c>
      <c r="G33" s="3">
        <v>11635</v>
      </c>
      <c r="H33" s="3">
        <v>11595</v>
      </c>
      <c r="I33" s="3">
        <v>11585</v>
      </c>
      <c r="J33" s="3">
        <v>11645</v>
      </c>
      <c r="K33" s="3">
        <v>11660</v>
      </c>
      <c r="L33" s="3">
        <v>11990</v>
      </c>
      <c r="M33" s="3">
        <v>12025</v>
      </c>
      <c r="N33" s="3">
        <v>12355</v>
      </c>
      <c r="O33" s="3">
        <v>12350</v>
      </c>
      <c r="P33" s="3">
        <v>12695</v>
      </c>
      <c r="Q33" s="3">
        <v>12715</v>
      </c>
      <c r="R33" s="3">
        <v>12660</v>
      </c>
      <c r="S33" s="3">
        <v>12680</v>
      </c>
      <c r="T33" s="3">
        <v>12205</v>
      </c>
      <c r="U33" s="3">
        <v>12195</v>
      </c>
      <c r="V33" s="3">
        <v>12635</v>
      </c>
      <c r="W33" s="3">
        <v>12655</v>
      </c>
      <c r="X33" s="3">
        <v>12520</v>
      </c>
      <c r="Y33" s="3">
        <v>12505</v>
      </c>
      <c r="Z33" s="3">
        <v>12785</v>
      </c>
      <c r="AA33" s="3">
        <v>12820</v>
      </c>
      <c r="AB33" s="3">
        <v>13285</v>
      </c>
      <c r="AC33" s="3">
        <v>13305</v>
      </c>
      <c r="AD33" s="3">
        <v>13250</v>
      </c>
      <c r="AE33" s="3">
        <v>13250</v>
      </c>
      <c r="AF33" s="3">
        <v>13725</v>
      </c>
      <c r="AG33" s="3">
        <v>13775</v>
      </c>
      <c r="AH33" s="3">
        <v>14180</v>
      </c>
      <c r="AI33" s="3">
        <v>14180</v>
      </c>
      <c r="AJ33" s="3">
        <v>13900</v>
      </c>
      <c r="AK33" s="3">
        <v>13875</v>
      </c>
      <c r="AL33" s="3">
        <v>13685</v>
      </c>
      <c r="AM33" s="3">
        <v>13690</v>
      </c>
      <c r="AN33" s="3">
        <v>13420</v>
      </c>
      <c r="AO33" s="3">
        <v>13385</v>
      </c>
      <c r="AP33" s="3">
        <v>13415</v>
      </c>
      <c r="AQ33" s="3">
        <v>13415</v>
      </c>
      <c r="AR33" s="4">
        <f t="shared" si="23"/>
        <v>1.8213356461405095E-2</v>
      </c>
      <c r="AS33" s="4">
        <f t="shared" si="0"/>
        <v>6.9264069264068917E-3</v>
      </c>
      <c r="AT33" s="4">
        <f t="shared" si="1"/>
        <v>2.4207746478873249E-2</v>
      </c>
      <c r="AU33" s="4">
        <f t="shared" si="2"/>
        <v>1.6553480475381965E-2</v>
      </c>
      <c r="AV33" s="4">
        <f t="shared" si="3"/>
        <v>2.5662959794696683E-3</v>
      </c>
      <c r="AW33" s="4">
        <f t="shared" si="4"/>
        <v>1.3912310286677831E-2</v>
      </c>
      <c r="AX33" s="4">
        <f t="shared" si="5"/>
        <v>1.9397441188609088E-2</v>
      </c>
      <c r="AY33" s="4">
        <f t="shared" si="6"/>
        <v>5.0860719874804561E-3</v>
      </c>
      <c r="AZ33" s="4">
        <f t="shared" si="7"/>
        <v>1.0761259465922768E-2</v>
      </c>
      <c r="BA33" s="4">
        <f t="shared" si="8"/>
        <v>1.4545454545454528E-2</v>
      </c>
      <c r="BB33" s="4">
        <f t="shared" si="9"/>
        <v>2.5942440210782403E-2</v>
      </c>
      <c r="BC33" s="4">
        <f t="shared" si="10"/>
        <v>1.0288880094974306E-2</v>
      </c>
      <c r="BD33" s="4">
        <f t="shared" si="11"/>
        <v>1.5576323987538387E-3</v>
      </c>
      <c r="BE33" s="4">
        <f t="shared" si="12"/>
        <v>2.6224450443501635E-2</v>
      </c>
      <c r="BF33" s="4">
        <f t="shared" si="13"/>
        <v>1.2223071046600475E-2</v>
      </c>
      <c r="BG33" s="4">
        <f t="shared" si="14"/>
        <v>3.2995875515560602E-2</v>
      </c>
      <c r="BH33" s="4">
        <f t="shared" si="15"/>
        <v>1.9410496046009973E-2</v>
      </c>
      <c r="BI33" s="4">
        <f t="shared" si="16"/>
        <v>0</v>
      </c>
      <c r="BJ33" s="4">
        <f t="shared" si="17"/>
        <v>2.1865889212827616E-3</v>
      </c>
      <c r="BK33" s="4">
        <f t="shared" si="18"/>
        <v>2.1921812203142155E-2</v>
      </c>
      <c r="BL33" s="4">
        <f t="shared" si="19"/>
        <v>2.9728725380899768E-3</v>
      </c>
      <c r="BM33" s="4">
        <f t="shared" si="24"/>
        <v>1.3585210109206365E-2</v>
      </c>
      <c r="BN33" s="9">
        <f t="shared" si="25"/>
        <v>13637.789002019372</v>
      </c>
      <c r="BO33" s="10">
        <f t="shared" si="26"/>
        <v>13143.977075294826</v>
      </c>
      <c r="BP33">
        <v>13725</v>
      </c>
      <c r="BQ33">
        <v>13780</v>
      </c>
      <c r="BR33">
        <v>13725</v>
      </c>
      <c r="BS33">
        <v>13775</v>
      </c>
      <c r="BT33">
        <v>150588</v>
      </c>
      <c r="BU33" s="13">
        <f t="shared" si="20"/>
        <v>13760</v>
      </c>
      <c r="BV33" s="13">
        <f t="shared" si="21"/>
        <v>2072090880</v>
      </c>
      <c r="BW33" s="13">
        <f>SUM($BV$3:BV33)</f>
        <v>96007553193.333359</v>
      </c>
      <c r="BX33" s="13">
        <f>SUM($BT$3:BT33)</f>
        <v>7079218</v>
      </c>
      <c r="BY33" s="3">
        <f t="shared" si="22"/>
        <v>13561.886806329931</v>
      </c>
    </row>
    <row r="34" spans="1:77" x14ac:dyDescent="0.3">
      <c r="A34" s="3" t="s">
        <v>74</v>
      </c>
      <c r="B34" s="3">
        <v>11745</v>
      </c>
      <c r="C34" s="3">
        <v>11730</v>
      </c>
      <c r="D34" s="3">
        <v>11465</v>
      </c>
      <c r="E34" s="3">
        <v>11490</v>
      </c>
      <c r="F34" s="3">
        <v>11635</v>
      </c>
      <c r="G34" s="3">
        <v>11635</v>
      </c>
      <c r="H34" s="3">
        <v>11585</v>
      </c>
      <c r="I34" s="3">
        <v>11615</v>
      </c>
      <c r="J34" s="3">
        <v>11660</v>
      </c>
      <c r="K34" s="3">
        <v>11660</v>
      </c>
      <c r="L34" s="3">
        <v>12020</v>
      </c>
      <c r="M34" s="3">
        <v>11980</v>
      </c>
      <c r="N34" s="3">
        <v>12350</v>
      </c>
      <c r="O34" s="3">
        <v>12370</v>
      </c>
      <c r="P34" s="3">
        <v>12715</v>
      </c>
      <c r="Q34" s="3">
        <v>12710</v>
      </c>
      <c r="R34" s="3">
        <v>12680</v>
      </c>
      <c r="S34" s="3">
        <v>12700</v>
      </c>
      <c r="T34" s="3">
        <v>12195</v>
      </c>
      <c r="U34" s="3">
        <v>12220</v>
      </c>
      <c r="V34" s="3">
        <v>12655</v>
      </c>
      <c r="W34" s="3">
        <v>12675</v>
      </c>
      <c r="X34" s="3">
        <v>12505</v>
      </c>
      <c r="Y34" s="3">
        <v>12490</v>
      </c>
      <c r="Z34" s="3">
        <v>12820</v>
      </c>
      <c r="AA34" s="3">
        <v>12780</v>
      </c>
      <c r="AB34" s="3">
        <v>13310</v>
      </c>
      <c r="AC34" s="3">
        <v>13280</v>
      </c>
      <c r="AD34" s="3">
        <v>13255</v>
      </c>
      <c r="AE34" s="3">
        <v>13240</v>
      </c>
      <c r="AF34" s="3">
        <v>13775</v>
      </c>
      <c r="AG34" s="3">
        <v>13805</v>
      </c>
      <c r="AH34" s="3">
        <v>14180</v>
      </c>
      <c r="AI34" s="3">
        <v>14195</v>
      </c>
      <c r="AJ34" s="3">
        <v>13875</v>
      </c>
      <c r="AK34" s="3">
        <v>13885</v>
      </c>
      <c r="AL34" s="3">
        <v>13690</v>
      </c>
      <c r="AM34" s="3">
        <v>13715</v>
      </c>
      <c r="AN34" s="3">
        <v>13390</v>
      </c>
      <c r="AO34" s="3">
        <v>13410</v>
      </c>
      <c r="AP34" s="3">
        <v>13415</v>
      </c>
      <c r="AQ34" s="3">
        <v>13400</v>
      </c>
      <c r="AR34" s="4">
        <f t="shared" si="23"/>
        <v>1.7346053772766767E-2</v>
      </c>
      <c r="AS34" s="4">
        <f t="shared" si="0"/>
        <v>5.1948051948051965E-3</v>
      </c>
      <c r="AT34" s="4">
        <f t="shared" si="1"/>
        <v>2.4207746478873249E-2</v>
      </c>
      <c r="AU34" s="4">
        <f t="shared" si="2"/>
        <v>1.4006791171477073E-2</v>
      </c>
      <c r="AV34" s="4">
        <f t="shared" si="3"/>
        <v>2.5662959794696683E-3</v>
      </c>
      <c r="AW34" s="4">
        <f t="shared" si="4"/>
        <v>1.0118043844856706E-2</v>
      </c>
      <c r="AX34" s="4">
        <f t="shared" si="5"/>
        <v>2.1048287247214192E-2</v>
      </c>
      <c r="AY34" s="4">
        <f t="shared" si="6"/>
        <v>5.4773082942096707E-3</v>
      </c>
      <c r="AZ34" s="4">
        <f t="shared" si="7"/>
        <v>1.2355520127540931E-2</v>
      </c>
      <c r="BA34" s="4">
        <f t="shared" si="8"/>
        <v>1.2525252525252495E-2</v>
      </c>
      <c r="BB34" s="4">
        <f t="shared" si="9"/>
        <v>2.7563842723956178E-2</v>
      </c>
      <c r="BC34" s="4">
        <f t="shared" si="10"/>
        <v>1.1476058567471359E-2</v>
      </c>
      <c r="BD34" s="4">
        <f t="shared" si="11"/>
        <v>4.6728971962616273E-3</v>
      </c>
      <c r="BE34" s="4">
        <f t="shared" si="12"/>
        <v>2.4296182028538338E-2</v>
      </c>
      <c r="BF34" s="4">
        <f t="shared" si="13"/>
        <v>1.1459129106187849E-2</v>
      </c>
      <c r="BG34" s="4">
        <f t="shared" si="14"/>
        <v>3.5245594300712391E-2</v>
      </c>
      <c r="BH34" s="4">
        <f t="shared" si="15"/>
        <v>2.0488856937455058E-2</v>
      </c>
      <c r="BI34" s="4">
        <f t="shared" si="16"/>
        <v>7.2072072072071336E-4</v>
      </c>
      <c r="BJ34" s="4">
        <f t="shared" si="17"/>
        <v>3.6443148688047877E-4</v>
      </c>
      <c r="BK34" s="4">
        <f t="shared" si="18"/>
        <v>2.0094994519546994E-2</v>
      </c>
      <c r="BL34" s="4">
        <f t="shared" si="19"/>
        <v>4.0876997398736625E-3</v>
      </c>
      <c r="BM34" s="4">
        <f t="shared" si="24"/>
        <v>1.3354868606151038E-2</v>
      </c>
      <c r="BN34" s="9">
        <f t="shared" si="25"/>
        <v>13634.689757095763</v>
      </c>
      <c r="BO34" s="10">
        <f t="shared" si="26"/>
        <v>13147.046375823036</v>
      </c>
      <c r="BP34">
        <v>13775</v>
      </c>
      <c r="BQ34">
        <v>13810</v>
      </c>
      <c r="BR34">
        <v>13765</v>
      </c>
      <c r="BS34">
        <v>13805</v>
      </c>
      <c r="BT34">
        <v>518036</v>
      </c>
      <c r="BU34" s="13">
        <f t="shared" si="20"/>
        <v>13793.333333333334</v>
      </c>
      <c r="BV34" s="13">
        <f t="shared" si="21"/>
        <v>7145443226.666667</v>
      </c>
      <c r="BW34" s="13">
        <f>SUM($BV$3:BV34)</f>
        <v>103152996420.00003</v>
      </c>
      <c r="BX34" s="13">
        <f>SUM($BT$3:BT34)</f>
        <v>7597254</v>
      </c>
      <c r="BY34" s="3">
        <f t="shared" si="22"/>
        <v>13577.668512860046</v>
      </c>
    </row>
    <row r="35" spans="1:77" x14ac:dyDescent="0.3">
      <c r="A35" s="3" t="s">
        <v>75</v>
      </c>
      <c r="B35" s="3">
        <v>11735</v>
      </c>
      <c r="C35" s="3">
        <v>11740</v>
      </c>
      <c r="D35" s="3">
        <v>11490</v>
      </c>
      <c r="E35" s="3">
        <v>11495</v>
      </c>
      <c r="F35" s="3">
        <v>11635</v>
      </c>
      <c r="G35" s="3">
        <v>11630</v>
      </c>
      <c r="H35" s="3">
        <v>11610</v>
      </c>
      <c r="I35" s="3">
        <v>11595</v>
      </c>
      <c r="J35" s="3">
        <v>11660</v>
      </c>
      <c r="K35" s="3">
        <v>11660</v>
      </c>
      <c r="L35" s="3">
        <v>11980</v>
      </c>
      <c r="M35" s="3">
        <v>11950</v>
      </c>
      <c r="N35" s="3">
        <v>12375</v>
      </c>
      <c r="O35" s="3">
        <v>12350</v>
      </c>
      <c r="P35" s="3">
        <v>12710</v>
      </c>
      <c r="Q35" s="3">
        <v>12710</v>
      </c>
      <c r="R35" s="3">
        <v>12695</v>
      </c>
      <c r="S35" s="3">
        <v>12680</v>
      </c>
      <c r="T35" s="3">
        <v>12220</v>
      </c>
      <c r="U35" s="3">
        <v>12205</v>
      </c>
      <c r="V35" s="3">
        <v>12675</v>
      </c>
      <c r="W35" s="3">
        <v>12680</v>
      </c>
      <c r="X35" s="3">
        <v>12485</v>
      </c>
      <c r="Y35" s="3">
        <v>12495</v>
      </c>
      <c r="Z35" s="3">
        <v>12780</v>
      </c>
      <c r="AA35" s="3">
        <v>12765</v>
      </c>
      <c r="AB35" s="3">
        <v>13280</v>
      </c>
      <c r="AC35" s="3">
        <v>13290</v>
      </c>
      <c r="AD35" s="3">
        <v>13235</v>
      </c>
      <c r="AE35" s="3">
        <v>13270</v>
      </c>
      <c r="AF35" s="3">
        <v>13805</v>
      </c>
      <c r="AG35" s="3">
        <v>13825</v>
      </c>
      <c r="AH35" s="3">
        <v>14195</v>
      </c>
      <c r="AI35" s="3">
        <v>14175</v>
      </c>
      <c r="AJ35" s="3">
        <v>13875</v>
      </c>
      <c r="AK35" s="3">
        <v>13860</v>
      </c>
      <c r="AL35" s="3">
        <v>13715</v>
      </c>
      <c r="AM35" s="3">
        <v>13700</v>
      </c>
      <c r="AN35" s="3">
        <v>13415</v>
      </c>
      <c r="AO35" s="3">
        <v>13405</v>
      </c>
      <c r="AP35" s="3">
        <v>13400</v>
      </c>
      <c r="AQ35" s="3">
        <v>13410</v>
      </c>
      <c r="AR35" s="4">
        <f t="shared" si="23"/>
        <v>1.8213356461405095E-2</v>
      </c>
      <c r="AS35" s="4">
        <f t="shared" si="0"/>
        <v>4.761904761904745E-3</v>
      </c>
      <c r="AT35" s="4">
        <f t="shared" si="1"/>
        <v>2.3767605633802757E-2</v>
      </c>
      <c r="AU35" s="4">
        <f t="shared" si="2"/>
        <v>1.5704584040747038E-2</v>
      </c>
      <c r="AV35" s="4">
        <f t="shared" si="3"/>
        <v>2.5662959794696683E-3</v>
      </c>
      <c r="AW35" s="4">
        <f t="shared" si="4"/>
        <v>7.5885328836424737E-3</v>
      </c>
      <c r="AX35" s="4">
        <f t="shared" si="5"/>
        <v>1.9397441188609088E-2</v>
      </c>
      <c r="AY35" s="4">
        <f t="shared" si="6"/>
        <v>5.4773082942096707E-3</v>
      </c>
      <c r="AZ35" s="4">
        <f t="shared" si="7"/>
        <v>1.0761259465922768E-2</v>
      </c>
      <c r="BA35" s="4">
        <f t="shared" si="8"/>
        <v>1.3737373737373715E-2</v>
      </c>
      <c r="BB35" s="4">
        <f t="shared" si="9"/>
        <v>2.7969193352249677E-2</v>
      </c>
      <c r="BC35" s="4">
        <f t="shared" si="10"/>
        <v>1.1080332409972304E-2</v>
      </c>
      <c r="BD35" s="4">
        <f t="shared" si="11"/>
        <v>5.8411214953271173E-3</v>
      </c>
      <c r="BE35" s="4">
        <f t="shared" si="12"/>
        <v>2.5067489394523745E-2</v>
      </c>
      <c r="BF35" s="4">
        <f t="shared" si="13"/>
        <v>1.3750954927425507E-2</v>
      </c>
      <c r="BG35" s="4">
        <f t="shared" si="14"/>
        <v>3.6745406824147064E-2</v>
      </c>
      <c r="BH35" s="4">
        <f t="shared" si="15"/>
        <v>1.9051042415528352E-2</v>
      </c>
      <c r="BI35" s="4">
        <f t="shared" si="16"/>
        <v>1.08108108108107E-3</v>
      </c>
      <c r="BJ35" s="4">
        <f t="shared" si="17"/>
        <v>1.4577259475219151E-3</v>
      </c>
      <c r="BK35" s="4">
        <f t="shared" si="18"/>
        <v>2.0460358056266004E-2</v>
      </c>
      <c r="BL35" s="4">
        <f t="shared" si="19"/>
        <v>3.3444816053511683E-3</v>
      </c>
      <c r="BM35" s="4">
        <f t="shared" si="24"/>
        <v>1.339081411179859E-2</v>
      </c>
      <c r="BN35" s="9">
        <f t="shared" si="25"/>
        <v>13635.173403874251</v>
      </c>
      <c r="BO35" s="10">
        <f t="shared" si="26"/>
        <v>13146.567401960285</v>
      </c>
      <c r="BP35">
        <v>13805</v>
      </c>
      <c r="BQ35">
        <v>13830</v>
      </c>
      <c r="BR35">
        <v>13805</v>
      </c>
      <c r="BS35">
        <v>13825</v>
      </c>
      <c r="BT35">
        <v>108876</v>
      </c>
      <c r="BU35" s="13">
        <f t="shared" si="20"/>
        <v>13820</v>
      </c>
      <c r="BV35" s="13">
        <f t="shared" si="21"/>
        <v>1504666320</v>
      </c>
      <c r="BW35" s="13">
        <f>SUM($BV$3:BV35)</f>
        <v>104657662740.00003</v>
      </c>
      <c r="BX35" s="13">
        <f>SUM($BT$3:BT35)</f>
        <v>7706130</v>
      </c>
      <c r="BY35" s="3">
        <f t="shared" si="22"/>
        <v>13581.092291461477</v>
      </c>
    </row>
    <row r="36" spans="1:77" x14ac:dyDescent="0.3">
      <c r="A36" s="3" t="s">
        <v>76</v>
      </c>
      <c r="B36" s="3">
        <v>11740</v>
      </c>
      <c r="C36" s="3">
        <v>11745</v>
      </c>
      <c r="D36" s="3">
        <v>11490</v>
      </c>
      <c r="E36" s="3">
        <v>11485</v>
      </c>
      <c r="F36" s="3">
        <v>11625</v>
      </c>
      <c r="G36" s="3">
        <v>11650</v>
      </c>
      <c r="H36" s="3">
        <v>11595</v>
      </c>
      <c r="I36" s="3">
        <v>11605</v>
      </c>
      <c r="J36" s="3">
        <v>11665</v>
      </c>
      <c r="K36" s="3">
        <v>11675</v>
      </c>
      <c r="L36" s="3">
        <v>11945</v>
      </c>
      <c r="M36" s="3">
        <v>11945</v>
      </c>
      <c r="N36" s="3">
        <v>12350</v>
      </c>
      <c r="O36" s="3">
        <v>12365</v>
      </c>
      <c r="P36" s="3">
        <v>12715</v>
      </c>
      <c r="Q36" s="3">
        <v>12710</v>
      </c>
      <c r="R36" s="3">
        <v>12680</v>
      </c>
      <c r="S36" s="3">
        <v>12675</v>
      </c>
      <c r="T36" s="3">
        <v>12210</v>
      </c>
      <c r="U36" s="3">
        <v>12195</v>
      </c>
      <c r="V36" s="3">
        <v>12680</v>
      </c>
      <c r="W36" s="3">
        <v>12695</v>
      </c>
      <c r="X36" s="3">
        <v>12495</v>
      </c>
      <c r="Y36" s="3">
        <v>12525</v>
      </c>
      <c r="Z36" s="3">
        <v>12765</v>
      </c>
      <c r="AA36" s="3">
        <v>12805</v>
      </c>
      <c r="AB36" s="3">
        <v>13290</v>
      </c>
      <c r="AC36" s="3">
        <v>13290</v>
      </c>
      <c r="AD36" s="3">
        <v>13270</v>
      </c>
      <c r="AE36" s="3">
        <v>13265</v>
      </c>
      <c r="AF36" s="3">
        <v>13830</v>
      </c>
      <c r="AG36" s="3">
        <v>13830</v>
      </c>
      <c r="AH36" s="3">
        <v>14180</v>
      </c>
      <c r="AI36" s="3">
        <v>14190</v>
      </c>
      <c r="AJ36" s="3">
        <v>13855</v>
      </c>
      <c r="AK36" s="3">
        <v>13840</v>
      </c>
      <c r="AL36" s="3">
        <v>13700</v>
      </c>
      <c r="AM36" s="3">
        <v>13715</v>
      </c>
      <c r="AN36" s="3">
        <v>13405</v>
      </c>
      <c r="AO36" s="3">
        <v>13425</v>
      </c>
      <c r="AP36" s="3">
        <v>13410</v>
      </c>
      <c r="AQ36" s="3">
        <v>13410</v>
      </c>
      <c r="AR36" s="4">
        <f t="shared" si="23"/>
        <v>1.8647007805724147E-2</v>
      </c>
      <c r="AS36" s="4">
        <f t="shared" si="0"/>
        <v>5.6277056277056481E-3</v>
      </c>
      <c r="AT36" s="4">
        <f t="shared" si="1"/>
        <v>2.5528169014084501E-2</v>
      </c>
      <c r="AU36" s="4">
        <f t="shared" si="2"/>
        <v>1.4855687606112E-2</v>
      </c>
      <c r="AV36" s="4">
        <f t="shared" si="3"/>
        <v>1.2831479897348341E-3</v>
      </c>
      <c r="AW36" s="4">
        <f t="shared" si="4"/>
        <v>7.1669477234401757E-3</v>
      </c>
      <c r="AX36" s="4">
        <f t="shared" si="5"/>
        <v>2.0635575732562916E-2</v>
      </c>
      <c r="AY36" s="4">
        <f t="shared" si="6"/>
        <v>5.4773082942096707E-3</v>
      </c>
      <c r="AZ36" s="4">
        <f t="shared" si="7"/>
        <v>1.0362694300518172E-2</v>
      </c>
      <c r="BA36" s="4">
        <f t="shared" si="8"/>
        <v>1.4545454545454528E-2</v>
      </c>
      <c r="BB36" s="4">
        <f t="shared" si="9"/>
        <v>2.9185245237130175E-2</v>
      </c>
      <c r="BC36" s="4">
        <f t="shared" si="10"/>
        <v>8.7059754649781995E-3</v>
      </c>
      <c r="BD36" s="4">
        <f t="shared" si="11"/>
        <v>2.7258566978193288E-3</v>
      </c>
      <c r="BE36" s="4">
        <f t="shared" si="12"/>
        <v>2.5067489394523745E-2</v>
      </c>
      <c r="BF36" s="4">
        <f t="shared" si="13"/>
        <v>1.3368983957219305E-2</v>
      </c>
      <c r="BG36" s="4">
        <f t="shared" si="14"/>
        <v>3.7120359955005622E-2</v>
      </c>
      <c r="BH36" s="4">
        <f t="shared" si="15"/>
        <v>2.0129403306973437E-2</v>
      </c>
      <c r="BI36" s="4">
        <f t="shared" si="16"/>
        <v>2.5225225225224968E-3</v>
      </c>
      <c r="BJ36" s="4">
        <f t="shared" si="17"/>
        <v>3.6443148688047877E-4</v>
      </c>
      <c r="BK36" s="4">
        <f t="shared" si="18"/>
        <v>1.8998903909389853E-2</v>
      </c>
      <c r="BL36" s="4">
        <f t="shared" si="19"/>
        <v>3.3444816053511683E-3</v>
      </c>
      <c r="BM36" s="4">
        <f t="shared" si="24"/>
        <v>1.3181160113249515E-2</v>
      </c>
      <c r="BN36" s="9">
        <f t="shared" si="25"/>
        <v>13632.352509323771</v>
      </c>
      <c r="BO36" s="10">
        <f t="shared" si="26"/>
        <v>13149.361041490949</v>
      </c>
      <c r="BP36">
        <v>13830</v>
      </c>
      <c r="BQ36">
        <v>13840</v>
      </c>
      <c r="BR36">
        <v>13815</v>
      </c>
      <c r="BS36">
        <v>13830</v>
      </c>
      <c r="BT36">
        <v>144069</v>
      </c>
      <c r="BU36" s="13">
        <f t="shared" si="20"/>
        <v>13828.333333333334</v>
      </c>
      <c r="BV36" s="13">
        <f t="shared" si="21"/>
        <v>1992234155</v>
      </c>
      <c r="BW36" s="13">
        <f>SUM($BV$3:BV36)</f>
        <v>106649896895.00003</v>
      </c>
      <c r="BX36" s="13">
        <f>SUM($BT$3:BT36)</f>
        <v>7850199</v>
      </c>
      <c r="BY36" s="3">
        <f t="shared" si="22"/>
        <v>13585.62972671139</v>
      </c>
    </row>
    <row r="37" spans="1:77" x14ac:dyDescent="0.3">
      <c r="A37" s="3" t="s">
        <v>77</v>
      </c>
      <c r="B37" s="3">
        <v>11745</v>
      </c>
      <c r="C37" s="3">
        <v>11745</v>
      </c>
      <c r="D37" s="3">
        <v>11485</v>
      </c>
      <c r="E37" s="3">
        <v>11500</v>
      </c>
      <c r="F37" s="3">
        <v>11645</v>
      </c>
      <c r="G37" s="3">
        <v>11675</v>
      </c>
      <c r="H37" s="3">
        <v>11605</v>
      </c>
      <c r="I37" s="3">
        <v>11620</v>
      </c>
      <c r="J37" s="3">
        <v>11675</v>
      </c>
      <c r="K37" s="3">
        <v>11680</v>
      </c>
      <c r="L37" s="3">
        <v>11940</v>
      </c>
      <c r="M37" s="3">
        <v>11935</v>
      </c>
      <c r="N37" s="3">
        <v>12365</v>
      </c>
      <c r="O37" s="3">
        <v>12380</v>
      </c>
      <c r="P37" s="3">
        <v>12710</v>
      </c>
      <c r="Q37" s="3">
        <v>12720</v>
      </c>
      <c r="R37" s="3">
        <v>12670</v>
      </c>
      <c r="S37" s="3">
        <v>12660</v>
      </c>
      <c r="T37" s="3">
        <v>12195</v>
      </c>
      <c r="U37" s="3">
        <v>12205</v>
      </c>
      <c r="V37" s="3">
        <v>12695</v>
      </c>
      <c r="W37" s="3">
        <v>12685</v>
      </c>
      <c r="X37" s="3">
        <v>12525</v>
      </c>
      <c r="Y37" s="3">
        <v>12545</v>
      </c>
      <c r="Z37" s="3">
        <v>12810</v>
      </c>
      <c r="AA37" s="3">
        <v>12765</v>
      </c>
      <c r="AB37" s="3">
        <v>13290</v>
      </c>
      <c r="AC37" s="3">
        <v>13290</v>
      </c>
      <c r="AD37" s="3">
        <v>13270</v>
      </c>
      <c r="AE37" s="3">
        <v>13270</v>
      </c>
      <c r="AF37" s="3">
        <v>13830</v>
      </c>
      <c r="AG37" s="3">
        <v>13830</v>
      </c>
      <c r="AH37" s="3">
        <v>14190</v>
      </c>
      <c r="AI37" s="3">
        <v>14225</v>
      </c>
      <c r="AJ37" s="3">
        <v>13840</v>
      </c>
      <c r="AK37" s="3">
        <v>13805</v>
      </c>
      <c r="AL37" s="3">
        <v>13715</v>
      </c>
      <c r="AM37" s="3">
        <v>13680</v>
      </c>
      <c r="AN37" s="3">
        <v>13425</v>
      </c>
      <c r="AO37" s="3">
        <v>13430</v>
      </c>
      <c r="AP37" s="3">
        <v>13415</v>
      </c>
      <c r="AQ37" s="3">
        <v>13410</v>
      </c>
      <c r="AR37" s="4">
        <f t="shared" si="23"/>
        <v>1.8647007805724147E-2</v>
      </c>
      <c r="AS37" s="4">
        <f t="shared" si="0"/>
        <v>4.3290043290042934E-3</v>
      </c>
      <c r="AT37" s="4">
        <f t="shared" si="1"/>
        <v>2.7728873239436513E-2</v>
      </c>
      <c r="AU37" s="4">
        <f t="shared" si="2"/>
        <v>1.358234295415961E-2</v>
      </c>
      <c r="AV37" s="4">
        <f t="shared" si="3"/>
        <v>8.5543199315651908E-4</v>
      </c>
      <c r="AW37" s="4">
        <f t="shared" si="4"/>
        <v>6.3237774030353577E-3</v>
      </c>
      <c r="AX37" s="4">
        <f t="shared" si="5"/>
        <v>2.1873710276516745E-2</v>
      </c>
      <c r="AY37" s="4">
        <f t="shared" si="6"/>
        <v>4.6948356807511304E-3</v>
      </c>
      <c r="AZ37" s="4">
        <f t="shared" si="7"/>
        <v>9.1669988043046047E-3</v>
      </c>
      <c r="BA37" s="4">
        <f t="shared" si="8"/>
        <v>1.3737373737373715E-2</v>
      </c>
      <c r="BB37" s="4">
        <f t="shared" si="9"/>
        <v>2.8374543980543177E-2</v>
      </c>
      <c r="BC37" s="4">
        <f t="shared" si="10"/>
        <v>7.1230708349822036E-3</v>
      </c>
      <c r="BD37" s="4">
        <f t="shared" si="11"/>
        <v>5.8411214953271173E-3</v>
      </c>
      <c r="BE37" s="4">
        <f t="shared" si="12"/>
        <v>2.5067489394523745E-2</v>
      </c>
      <c r="BF37" s="4">
        <f t="shared" si="13"/>
        <v>1.3750954927425507E-2</v>
      </c>
      <c r="BG37" s="4">
        <f t="shared" si="14"/>
        <v>3.7120359955005622E-2</v>
      </c>
      <c r="BH37" s="4">
        <f t="shared" si="15"/>
        <v>2.2645578720345005E-2</v>
      </c>
      <c r="BI37" s="4">
        <f t="shared" si="16"/>
        <v>5.0450450450449935E-3</v>
      </c>
      <c r="BJ37" s="4">
        <f t="shared" si="17"/>
        <v>2.9154518950437192E-3</v>
      </c>
      <c r="BK37" s="4">
        <f t="shared" si="18"/>
        <v>1.8633540372670843E-2</v>
      </c>
      <c r="BL37" s="4">
        <f t="shared" si="19"/>
        <v>3.3444816053511683E-3</v>
      </c>
      <c r="BM37" s="4">
        <f t="shared" si="24"/>
        <v>1.3032109217895731E-2</v>
      </c>
      <c r="BN37" s="9">
        <f t="shared" si="25"/>
        <v>13630.347029526787</v>
      </c>
      <c r="BO37" s="10">
        <f t="shared" si="26"/>
        <v>13151.347144671539</v>
      </c>
      <c r="BP37">
        <v>13830</v>
      </c>
      <c r="BQ37">
        <v>13845</v>
      </c>
      <c r="BR37">
        <v>13820</v>
      </c>
      <c r="BS37">
        <v>13830</v>
      </c>
      <c r="BT37">
        <v>76923</v>
      </c>
      <c r="BU37" s="13">
        <f t="shared" si="20"/>
        <v>13831.666666666666</v>
      </c>
      <c r="BV37" s="13">
        <f t="shared" si="21"/>
        <v>1063973295</v>
      </c>
      <c r="BW37" s="13">
        <f>SUM($BV$3:BV37)</f>
        <v>107713870190.00003</v>
      </c>
      <c r="BX37" s="13">
        <f>SUM($BT$3:BT37)</f>
        <v>7927122</v>
      </c>
      <c r="BY37" s="3">
        <f t="shared" si="22"/>
        <v>13588.017213561243</v>
      </c>
    </row>
    <row r="38" spans="1:77" x14ac:dyDescent="0.3">
      <c r="A38" s="3" t="s">
        <v>78</v>
      </c>
      <c r="B38" s="3">
        <v>11750</v>
      </c>
      <c r="C38" s="3">
        <v>11750</v>
      </c>
      <c r="D38" s="3">
        <v>11500</v>
      </c>
      <c r="E38" s="3">
        <v>11505</v>
      </c>
      <c r="F38" s="3">
        <v>11675</v>
      </c>
      <c r="G38" s="3">
        <v>11685</v>
      </c>
      <c r="H38" s="3">
        <v>11620</v>
      </c>
      <c r="I38" s="3">
        <v>11635</v>
      </c>
      <c r="J38" s="3">
        <v>11675</v>
      </c>
      <c r="K38" s="3">
        <v>11675</v>
      </c>
      <c r="L38" s="3">
        <v>11930</v>
      </c>
      <c r="M38" s="3">
        <v>11935</v>
      </c>
      <c r="N38" s="3">
        <v>12380</v>
      </c>
      <c r="O38" s="3">
        <v>12385</v>
      </c>
      <c r="P38" s="3">
        <v>12715</v>
      </c>
      <c r="Q38" s="3">
        <v>12705</v>
      </c>
      <c r="R38" s="3">
        <v>12660</v>
      </c>
      <c r="S38" s="3">
        <v>12655</v>
      </c>
      <c r="T38" s="3">
        <v>12200</v>
      </c>
      <c r="U38" s="3">
        <v>12210</v>
      </c>
      <c r="V38" s="3">
        <v>12690</v>
      </c>
      <c r="W38" s="3">
        <v>12680</v>
      </c>
      <c r="X38" s="3">
        <v>12545</v>
      </c>
      <c r="Y38" s="3">
        <v>12570</v>
      </c>
      <c r="Z38" s="3">
        <v>12765</v>
      </c>
      <c r="AA38" s="3">
        <v>12785</v>
      </c>
      <c r="AB38" s="3">
        <v>13285</v>
      </c>
      <c r="AC38" s="3">
        <v>13265</v>
      </c>
      <c r="AD38" s="3">
        <v>13270</v>
      </c>
      <c r="AE38" s="3">
        <v>13295</v>
      </c>
      <c r="AF38" s="3">
        <v>13825</v>
      </c>
      <c r="AG38" s="3">
        <v>13815</v>
      </c>
      <c r="AH38" s="3">
        <v>14225</v>
      </c>
      <c r="AI38" s="3">
        <v>14225</v>
      </c>
      <c r="AJ38" s="3">
        <v>13800</v>
      </c>
      <c r="AK38" s="3">
        <v>13845</v>
      </c>
      <c r="AL38" s="3">
        <v>13685</v>
      </c>
      <c r="AM38" s="3">
        <v>13680</v>
      </c>
      <c r="AN38" s="3">
        <v>13425</v>
      </c>
      <c r="AO38" s="3">
        <v>13435</v>
      </c>
      <c r="AP38" s="3">
        <v>13410</v>
      </c>
      <c r="AQ38" s="3">
        <v>13420</v>
      </c>
      <c r="AR38" s="4">
        <f t="shared" si="23"/>
        <v>1.9080659150043422E-2</v>
      </c>
      <c r="AS38" s="4">
        <f t="shared" si="0"/>
        <v>3.8961038961038419E-3</v>
      </c>
      <c r="AT38" s="4">
        <f t="shared" si="1"/>
        <v>2.8609154929577496E-2</v>
      </c>
      <c r="AU38" s="4">
        <f t="shared" si="2"/>
        <v>1.2308998302207108E-2</v>
      </c>
      <c r="AV38" s="4">
        <f t="shared" si="3"/>
        <v>1.2831479897348341E-3</v>
      </c>
      <c r="AW38" s="4">
        <f t="shared" si="4"/>
        <v>6.3237774030353577E-3</v>
      </c>
      <c r="AX38" s="4">
        <f t="shared" si="5"/>
        <v>2.2286421791168021E-2</v>
      </c>
      <c r="AY38" s="4">
        <f t="shared" si="6"/>
        <v>5.8685446009389963E-3</v>
      </c>
      <c r="AZ38" s="4">
        <f t="shared" si="7"/>
        <v>8.7684336389000084E-3</v>
      </c>
      <c r="BA38" s="4">
        <f t="shared" si="8"/>
        <v>1.3333333333333308E-2</v>
      </c>
      <c r="BB38" s="4">
        <f t="shared" si="9"/>
        <v>2.7969193352249677E-2</v>
      </c>
      <c r="BC38" s="4">
        <f t="shared" si="10"/>
        <v>5.1444400474871532E-3</v>
      </c>
      <c r="BD38" s="4">
        <f t="shared" si="11"/>
        <v>4.2834890965731676E-3</v>
      </c>
      <c r="BE38" s="4">
        <f t="shared" si="12"/>
        <v>2.3139220979560449E-2</v>
      </c>
      <c r="BF38" s="4">
        <f t="shared" si="13"/>
        <v>1.5660809778456741E-2</v>
      </c>
      <c r="BG38" s="4">
        <f t="shared" si="14"/>
        <v>3.5995500562429728E-2</v>
      </c>
      <c r="BH38" s="4">
        <f t="shared" si="15"/>
        <v>2.2645578720345005E-2</v>
      </c>
      <c r="BI38" s="4">
        <f t="shared" si="16"/>
        <v>2.1621621621621401E-3</v>
      </c>
      <c r="BJ38" s="4">
        <f t="shared" si="17"/>
        <v>2.9154518950437192E-3</v>
      </c>
      <c r="BK38" s="4">
        <f t="shared" si="18"/>
        <v>1.8268176835951722E-2</v>
      </c>
      <c r="BL38" s="4">
        <f t="shared" si="19"/>
        <v>2.6012634708286742E-3</v>
      </c>
      <c r="BM38" s="4">
        <f t="shared" si="24"/>
        <v>1.2776790652809011E-2</v>
      </c>
      <c r="BN38" s="9">
        <f t="shared" si="25"/>
        <v>13626.911718233547</v>
      </c>
      <c r="BO38" s="10">
        <f t="shared" si="26"/>
        <v>13154.749264551319</v>
      </c>
      <c r="BP38">
        <v>13825</v>
      </c>
      <c r="BQ38">
        <v>13845</v>
      </c>
      <c r="BR38">
        <v>13815</v>
      </c>
      <c r="BS38">
        <v>13815</v>
      </c>
      <c r="BT38">
        <v>123184</v>
      </c>
      <c r="BU38" s="13">
        <f t="shared" si="20"/>
        <v>13825</v>
      </c>
      <c r="BV38" s="13">
        <f t="shared" si="21"/>
        <v>1703018800</v>
      </c>
      <c r="BW38" s="13">
        <f>SUM($BV$3:BV38)</f>
        <v>109416888990.00003</v>
      </c>
      <c r="BX38" s="13">
        <f>SUM($BT$3:BT38)</f>
        <v>8050306</v>
      </c>
      <c r="BY38" s="3">
        <f t="shared" si="22"/>
        <v>13591.643471689154</v>
      </c>
    </row>
    <row r="39" spans="1:77" x14ac:dyDescent="0.3">
      <c r="A39" s="3" t="s">
        <v>79</v>
      </c>
      <c r="B39" s="3">
        <v>11750</v>
      </c>
      <c r="C39" s="3">
        <v>11760</v>
      </c>
      <c r="D39" s="3">
        <v>11505</v>
      </c>
      <c r="E39" s="3">
        <v>11525</v>
      </c>
      <c r="F39" s="3">
        <v>11690</v>
      </c>
      <c r="G39" s="3">
        <v>11660</v>
      </c>
      <c r="H39" s="3">
        <v>11630</v>
      </c>
      <c r="I39" s="3">
        <v>11630</v>
      </c>
      <c r="J39" s="3">
        <v>11675</v>
      </c>
      <c r="K39" s="3">
        <v>11670</v>
      </c>
      <c r="L39" s="3">
        <v>11940</v>
      </c>
      <c r="M39" s="3">
        <v>11920</v>
      </c>
      <c r="N39" s="3">
        <v>12385</v>
      </c>
      <c r="O39" s="3">
        <v>12390</v>
      </c>
      <c r="P39" s="3">
        <v>12700</v>
      </c>
      <c r="Q39" s="3">
        <v>12715</v>
      </c>
      <c r="R39" s="3">
        <v>12650</v>
      </c>
      <c r="S39" s="3">
        <v>12650</v>
      </c>
      <c r="T39" s="3">
        <v>12210</v>
      </c>
      <c r="U39" s="3">
        <v>12230</v>
      </c>
      <c r="V39" s="3">
        <v>12680</v>
      </c>
      <c r="W39" s="3">
        <v>12690</v>
      </c>
      <c r="X39" s="3">
        <v>12570</v>
      </c>
      <c r="Y39" s="3">
        <v>12580</v>
      </c>
      <c r="Z39" s="3">
        <v>12785</v>
      </c>
      <c r="AA39" s="3">
        <v>12790</v>
      </c>
      <c r="AB39" s="3">
        <v>13265</v>
      </c>
      <c r="AC39" s="3">
        <v>13240</v>
      </c>
      <c r="AD39" s="3">
        <v>13290</v>
      </c>
      <c r="AE39" s="3">
        <v>13285</v>
      </c>
      <c r="AF39" s="3">
        <v>13820</v>
      </c>
      <c r="AG39" s="3">
        <v>13820</v>
      </c>
      <c r="AH39" s="3">
        <v>14220</v>
      </c>
      <c r="AI39" s="3">
        <v>14215</v>
      </c>
      <c r="AJ39" s="3">
        <v>13845</v>
      </c>
      <c r="AK39" s="3">
        <v>13870</v>
      </c>
      <c r="AL39" s="3">
        <v>13680</v>
      </c>
      <c r="AM39" s="3">
        <v>13660</v>
      </c>
      <c r="AN39" s="3">
        <v>13435</v>
      </c>
      <c r="AO39" s="3">
        <v>13430</v>
      </c>
      <c r="AP39" s="3">
        <v>13415</v>
      </c>
      <c r="AQ39" s="3">
        <v>13435</v>
      </c>
      <c r="AR39" s="4">
        <f t="shared" si="23"/>
        <v>1.9947961838681749E-2</v>
      </c>
      <c r="AS39" s="4">
        <f t="shared" si="0"/>
        <v>2.1645021645021467E-3</v>
      </c>
      <c r="AT39" s="4">
        <f t="shared" si="1"/>
        <v>2.6408450704225261E-2</v>
      </c>
      <c r="AU39" s="4">
        <f t="shared" si="2"/>
        <v>1.2733446519524572E-2</v>
      </c>
      <c r="AV39" s="4">
        <f t="shared" si="3"/>
        <v>1.7108639863130382E-3</v>
      </c>
      <c r="AW39" s="4">
        <f t="shared" si="4"/>
        <v>5.0590219224282418E-3</v>
      </c>
      <c r="AX39" s="4">
        <f t="shared" si="5"/>
        <v>2.2699133305819297E-2</v>
      </c>
      <c r="AY39" s="4">
        <f t="shared" si="6"/>
        <v>5.0860719874804561E-3</v>
      </c>
      <c r="AZ39" s="4">
        <f t="shared" si="7"/>
        <v>8.3698684734954121E-3</v>
      </c>
      <c r="BA39" s="4">
        <f t="shared" si="8"/>
        <v>1.1717171717171682E-2</v>
      </c>
      <c r="BB39" s="4">
        <f t="shared" si="9"/>
        <v>2.8779894608836676E-2</v>
      </c>
      <c r="BC39" s="4">
        <f t="shared" si="10"/>
        <v>4.3529877324891553E-3</v>
      </c>
      <c r="BD39" s="4">
        <f t="shared" si="11"/>
        <v>3.8940809968847079E-3</v>
      </c>
      <c r="BE39" s="4">
        <f t="shared" si="12"/>
        <v>2.121095256459693E-2</v>
      </c>
      <c r="BF39" s="4">
        <f t="shared" si="13"/>
        <v>1.4896867838044336E-2</v>
      </c>
      <c r="BG39" s="4">
        <f t="shared" si="14"/>
        <v>3.6370453693288285E-2</v>
      </c>
      <c r="BH39" s="4">
        <f t="shared" si="15"/>
        <v>2.1926671459381764E-2</v>
      </c>
      <c r="BI39" s="4">
        <f t="shared" si="16"/>
        <v>3.6036036036035668E-4</v>
      </c>
      <c r="BJ39" s="4">
        <f t="shared" si="17"/>
        <v>4.3731778425656342E-3</v>
      </c>
      <c r="BK39" s="4">
        <f t="shared" si="18"/>
        <v>1.8633540372670843E-2</v>
      </c>
      <c r="BL39" s="4">
        <f t="shared" si="19"/>
        <v>1.4864362690449884E-3</v>
      </c>
      <c r="BM39" s="4">
        <f t="shared" si="24"/>
        <v>1.2077379608700851E-2</v>
      </c>
      <c r="BN39" s="9">
        <f t="shared" si="25"/>
        <v>13617.50114263507</v>
      </c>
      <c r="BO39" s="10">
        <f t="shared" si="26"/>
        <v>13164.068916714061</v>
      </c>
      <c r="BP39">
        <v>13820</v>
      </c>
      <c r="BQ39">
        <v>13830</v>
      </c>
      <c r="BR39">
        <v>13810</v>
      </c>
      <c r="BS39">
        <v>13820</v>
      </c>
      <c r="BT39">
        <v>61971</v>
      </c>
      <c r="BU39" s="13">
        <f t="shared" si="20"/>
        <v>13820</v>
      </c>
      <c r="BV39" s="13">
        <f t="shared" si="21"/>
        <v>856439220</v>
      </c>
      <c r="BW39" s="13">
        <f>SUM($BV$3:BV39)</f>
        <v>110273328210.00003</v>
      </c>
      <c r="BX39" s="13">
        <f>SUM($BT$3:BT39)</f>
        <v>8112277</v>
      </c>
      <c r="BY39" s="3">
        <f t="shared" si="22"/>
        <v>13593.387924253577</v>
      </c>
    </row>
    <row r="40" spans="1:77" x14ac:dyDescent="0.3">
      <c r="A40" s="3" t="s">
        <v>80</v>
      </c>
      <c r="B40" s="3">
        <v>11760</v>
      </c>
      <c r="C40" s="3">
        <v>11770</v>
      </c>
      <c r="D40" s="3">
        <v>11525</v>
      </c>
      <c r="E40" s="3">
        <v>11525</v>
      </c>
      <c r="F40" s="3">
        <v>11660</v>
      </c>
      <c r="G40" s="3">
        <v>11655</v>
      </c>
      <c r="H40" s="3">
        <v>11630</v>
      </c>
      <c r="I40" s="3">
        <v>11630</v>
      </c>
      <c r="J40" s="3">
        <v>11670</v>
      </c>
      <c r="K40" s="3">
        <v>11685</v>
      </c>
      <c r="L40" s="3">
        <v>11915</v>
      </c>
      <c r="M40" s="3">
        <v>11910</v>
      </c>
      <c r="N40" s="3">
        <v>12395</v>
      </c>
      <c r="O40" s="3">
        <v>12405</v>
      </c>
      <c r="P40" s="3">
        <v>12715</v>
      </c>
      <c r="Q40" s="3">
        <v>12715</v>
      </c>
      <c r="R40" s="3">
        <v>12650</v>
      </c>
      <c r="S40" s="3">
        <v>12630</v>
      </c>
      <c r="T40" s="3">
        <v>12235</v>
      </c>
      <c r="U40" s="3">
        <v>12235</v>
      </c>
      <c r="V40" s="3">
        <v>12690</v>
      </c>
      <c r="W40" s="3">
        <v>12705</v>
      </c>
      <c r="X40" s="3">
        <v>12585</v>
      </c>
      <c r="Y40" s="3">
        <v>12595</v>
      </c>
      <c r="Z40" s="3">
        <v>12795</v>
      </c>
      <c r="AA40" s="3">
        <v>12785</v>
      </c>
      <c r="AB40" s="3">
        <v>13245</v>
      </c>
      <c r="AC40" s="3">
        <v>13245</v>
      </c>
      <c r="AD40" s="3">
        <v>13280</v>
      </c>
      <c r="AE40" s="3">
        <v>13280</v>
      </c>
      <c r="AF40" s="3">
        <v>13825</v>
      </c>
      <c r="AG40" s="3">
        <v>13850</v>
      </c>
      <c r="AH40" s="3">
        <v>14215</v>
      </c>
      <c r="AI40" s="3">
        <v>14230</v>
      </c>
      <c r="AJ40" s="3">
        <v>13865</v>
      </c>
      <c r="AK40" s="3">
        <v>13870</v>
      </c>
      <c r="AL40" s="3">
        <v>13665</v>
      </c>
      <c r="AM40" s="3">
        <v>13675</v>
      </c>
      <c r="AN40" s="3">
        <v>13430</v>
      </c>
      <c r="AO40" s="3">
        <v>13425</v>
      </c>
      <c r="AP40" s="3">
        <v>13440</v>
      </c>
      <c r="AQ40" s="3">
        <v>13440</v>
      </c>
      <c r="AR40" s="4">
        <f t="shared" si="23"/>
        <v>2.0815264527320076E-2</v>
      </c>
      <c r="AS40" s="4">
        <f t="shared" si="0"/>
        <v>2.1645021645021467E-3</v>
      </c>
      <c r="AT40" s="4">
        <f t="shared" si="1"/>
        <v>2.5968309859154992E-2</v>
      </c>
      <c r="AU40" s="4">
        <f t="shared" si="2"/>
        <v>1.2733446519524572E-2</v>
      </c>
      <c r="AV40" s="4">
        <f t="shared" si="3"/>
        <v>4.2771599657831505E-4</v>
      </c>
      <c r="AW40" s="4">
        <f t="shared" si="4"/>
        <v>4.2158516020236458E-3</v>
      </c>
      <c r="AX40" s="4">
        <f t="shared" si="5"/>
        <v>2.3937267849772903E-2</v>
      </c>
      <c r="AY40" s="4">
        <f t="shared" si="6"/>
        <v>5.0860719874804561E-3</v>
      </c>
      <c r="AZ40" s="4">
        <f t="shared" si="7"/>
        <v>6.7756078118772489E-3</v>
      </c>
      <c r="BA40" s="4">
        <f t="shared" si="8"/>
        <v>1.1313131313131275E-2</v>
      </c>
      <c r="BB40" s="4">
        <f t="shared" si="9"/>
        <v>2.9995946493717174E-2</v>
      </c>
      <c r="BC40" s="4">
        <f t="shared" si="10"/>
        <v>3.1658092599921028E-3</v>
      </c>
      <c r="BD40" s="4">
        <f t="shared" si="11"/>
        <v>4.2834890965731676E-3</v>
      </c>
      <c r="BE40" s="4">
        <f t="shared" si="12"/>
        <v>2.1596606247589634E-2</v>
      </c>
      <c r="BF40" s="4">
        <f t="shared" si="13"/>
        <v>1.4514896867838134E-2</v>
      </c>
      <c r="BG40" s="4">
        <f t="shared" si="14"/>
        <v>3.8620172478440296E-2</v>
      </c>
      <c r="BH40" s="4">
        <f t="shared" si="15"/>
        <v>2.3005032350826848E-2</v>
      </c>
      <c r="BI40" s="4">
        <f t="shared" si="16"/>
        <v>3.6036036036035668E-4</v>
      </c>
      <c r="BJ40" s="4">
        <f t="shared" si="17"/>
        <v>3.2798833819241979E-3</v>
      </c>
      <c r="BK40" s="4">
        <f t="shared" si="18"/>
        <v>1.8998903909389853E-2</v>
      </c>
      <c r="BL40" s="4">
        <f t="shared" si="19"/>
        <v>1.1148272017836858E-3</v>
      </c>
      <c r="BM40" s="4">
        <f t="shared" si="24"/>
        <v>1.1869903790696841E-2</v>
      </c>
      <c r="BN40" s="9">
        <f t="shared" si="25"/>
        <v>13614.709555503827</v>
      </c>
      <c r="BO40" s="10">
        <f t="shared" si="26"/>
        <v>13166.833531988965</v>
      </c>
      <c r="BP40">
        <v>13825</v>
      </c>
      <c r="BQ40">
        <v>13850</v>
      </c>
      <c r="BR40">
        <v>13815</v>
      </c>
      <c r="BS40">
        <v>13850</v>
      </c>
      <c r="BT40">
        <v>123740</v>
      </c>
      <c r="BU40" s="13">
        <f t="shared" si="20"/>
        <v>13838.333333333334</v>
      </c>
      <c r="BV40" s="13">
        <f t="shared" si="21"/>
        <v>1712355366.6666667</v>
      </c>
      <c r="BW40" s="13">
        <f>SUM($BV$3:BV40)</f>
        <v>111985683576.6667</v>
      </c>
      <c r="BX40" s="13">
        <f>SUM($BT$3:BT40)</f>
        <v>8236017</v>
      </c>
      <c r="BY40" s="3">
        <f t="shared" si="22"/>
        <v>13597.06804595798</v>
      </c>
    </row>
    <row r="41" spans="1:77" x14ac:dyDescent="0.3">
      <c r="A41" s="3" t="s">
        <v>81</v>
      </c>
      <c r="B41" s="3">
        <v>11765</v>
      </c>
      <c r="C41" s="3">
        <v>11760</v>
      </c>
      <c r="D41" s="3">
        <v>11525</v>
      </c>
      <c r="E41" s="3">
        <v>11535</v>
      </c>
      <c r="F41" s="3">
        <v>11655</v>
      </c>
      <c r="G41" s="3">
        <v>11650</v>
      </c>
      <c r="H41" s="3">
        <v>11625</v>
      </c>
      <c r="I41" s="3">
        <v>11650</v>
      </c>
      <c r="J41" s="3">
        <v>11690</v>
      </c>
      <c r="K41" s="3">
        <v>11690</v>
      </c>
      <c r="L41" s="3">
        <v>11915</v>
      </c>
      <c r="M41" s="3">
        <v>11925</v>
      </c>
      <c r="N41" s="3">
        <v>12405</v>
      </c>
      <c r="O41" s="3">
        <v>12410</v>
      </c>
      <c r="P41" s="3">
        <v>12715</v>
      </c>
      <c r="Q41" s="3">
        <v>12705</v>
      </c>
      <c r="R41" s="3">
        <v>12630</v>
      </c>
      <c r="S41" s="3">
        <v>12610</v>
      </c>
      <c r="T41" s="3">
        <v>12235</v>
      </c>
      <c r="U41" s="3">
        <v>12225</v>
      </c>
      <c r="V41" s="3">
        <v>12700</v>
      </c>
      <c r="W41" s="3">
        <v>12715</v>
      </c>
      <c r="X41" s="3">
        <v>12595</v>
      </c>
      <c r="Y41" s="3">
        <v>12605</v>
      </c>
      <c r="Z41" s="3">
        <v>12785</v>
      </c>
      <c r="AA41" s="3">
        <v>12790</v>
      </c>
      <c r="AB41" s="3">
        <v>13245</v>
      </c>
      <c r="AC41" s="3">
        <v>13235</v>
      </c>
      <c r="AD41" s="3">
        <v>13280</v>
      </c>
      <c r="AE41" s="3">
        <v>13280</v>
      </c>
      <c r="AF41" s="3">
        <v>13850</v>
      </c>
      <c r="AG41" s="3">
        <v>13830</v>
      </c>
      <c r="AH41" s="3">
        <v>14235</v>
      </c>
      <c r="AI41" s="3">
        <v>14225</v>
      </c>
      <c r="AJ41" s="3">
        <v>13865</v>
      </c>
      <c r="AK41" s="3">
        <v>13880</v>
      </c>
      <c r="AL41" s="3">
        <v>13675</v>
      </c>
      <c r="AM41" s="3">
        <v>13655</v>
      </c>
      <c r="AN41" s="3">
        <v>13420</v>
      </c>
      <c r="AO41" s="3">
        <v>13455</v>
      </c>
      <c r="AP41" s="3">
        <v>13445</v>
      </c>
      <c r="AQ41" s="3">
        <v>13455</v>
      </c>
      <c r="AR41" s="4">
        <f t="shared" si="23"/>
        <v>1.9947961838681749E-2</v>
      </c>
      <c r="AS41" s="4">
        <f t="shared" si="0"/>
        <v>1.2987012987012436E-3</v>
      </c>
      <c r="AT41" s="4">
        <f t="shared" si="1"/>
        <v>2.5528169014084501E-2</v>
      </c>
      <c r="AU41" s="4">
        <f t="shared" si="2"/>
        <v>1.1035653650254718E-2</v>
      </c>
      <c r="AV41" s="4">
        <f t="shared" si="3"/>
        <v>0</v>
      </c>
      <c r="AW41" s="4">
        <f t="shared" si="4"/>
        <v>5.4806070826307618E-3</v>
      </c>
      <c r="AX41" s="4">
        <f t="shared" si="5"/>
        <v>2.4349979364424179E-2</v>
      </c>
      <c r="AY41" s="4">
        <f t="shared" si="6"/>
        <v>5.8685446009389963E-3</v>
      </c>
      <c r="AZ41" s="4">
        <f t="shared" si="7"/>
        <v>5.1813471502590858E-3</v>
      </c>
      <c r="BA41" s="4">
        <f t="shared" si="8"/>
        <v>1.2121212121212088E-2</v>
      </c>
      <c r="BB41" s="4">
        <f t="shared" si="9"/>
        <v>3.080664775030395E-2</v>
      </c>
      <c r="BC41" s="4">
        <f t="shared" si="10"/>
        <v>2.3743569449941049E-3</v>
      </c>
      <c r="BD41" s="4">
        <f t="shared" si="11"/>
        <v>3.8940809968847079E-3</v>
      </c>
      <c r="BE41" s="4">
        <f t="shared" si="12"/>
        <v>2.0825298881604226E-2</v>
      </c>
      <c r="BF41" s="4">
        <f t="shared" si="13"/>
        <v>1.4514896867838134E-2</v>
      </c>
      <c r="BG41" s="4">
        <f t="shared" si="14"/>
        <v>3.7120359955005622E-2</v>
      </c>
      <c r="BH41" s="4">
        <f t="shared" si="15"/>
        <v>2.2645578720345005E-2</v>
      </c>
      <c r="BI41" s="4">
        <f t="shared" si="16"/>
        <v>3.6036036036035668E-4</v>
      </c>
      <c r="BJ41" s="4">
        <f t="shared" si="17"/>
        <v>4.737609329446113E-3</v>
      </c>
      <c r="BK41" s="4">
        <f t="shared" si="18"/>
        <v>1.6806722689075682E-2</v>
      </c>
      <c r="BL41" s="4">
        <f t="shared" si="19"/>
        <v>0</v>
      </c>
      <c r="BM41" s="4">
        <f t="shared" si="24"/>
        <v>1.1662821123152192E-2</v>
      </c>
      <c r="BN41" s="9">
        <f t="shared" si="25"/>
        <v>13611.923258212013</v>
      </c>
      <c r="BO41" s="10">
        <f t="shared" si="26"/>
        <v>13169.592908533998</v>
      </c>
      <c r="BP41">
        <v>13850</v>
      </c>
      <c r="BQ41">
        <v>13860</v>
      </c>
      <c r="BR41">
        <v>13825</v>
      </c>
      <c r="BS41">
        <v>13830</v>
      </c>
      <c r="BT41">
        <v>121680</v>
      </c>
      <c r="BU41" s="13">
        <f t="shared" si="20"/>
        <v>13838.333333333334</v>
      </c>
      <c r="BV41" s="13">
        <f t="shared" si="21"/>
        <v>1683848400</v>
      </c>
      <c r="BW41" s="13">
        <f>SUM($BV$3:BV41)</f>
        <v>113669531976.6667</v>
      </c>
      <c r="BX41" s="13">
        <f>SUM($BT$3:BT41)</f>
        <v>8357697</v>
      </c>
      <c r="BY41" s="3">
        <f t="shared" si="22"/>
        <v>13600.580635630449</v>
      </c>
    </row>
    <row r="42" spans="1:77" x14ac:dyDescent="0.3">
      <c r="A42" s="3" t="s">
        <v>82</v>
      </c>
      <c r="B42" s="3">
        <v>11760</v>
      </c>
      <c r="C42" s="3">
        <v>11770</v>
      </c>
      <c r="D42" s="3">
        <v>11535</v>
      </c>
      <c r="E42" s="3">
        <v>11550</v>
      </c>
      <c r="F42" s="3">
        <v>11655</v>
      </c>
      <c r="G42" s="3">
        <v>11660</v>
      </c>
      <c r="H42" s="3">
        <v>11655</v>
      </c>
      <c r="I42" s="3">
        <v>11640</v>
      </c>
      <c r="J42" s="3">
        <v>11695</v>
      </c>
      <c r="K42" s="3">
        <v>11705</v>
      </c>
      <c r="L42" s="3">
        <v>11925</v>
      </c>
      <c r="M42" s="3">
        <v>11955</v>
      </c>
      <c r="N42" s="3">
        <v>12405</v>
      </c>
      <c r="O42" s="3">
        <v>12430</v>
      </c>
      <c r="P42" s="3">
        <v>12705</v>
      </c>
      <c r="Q42" s="3">
        <v>12690</v>
      </c>
      <c r="R42" s="3">
        <v>12605</v>
      </c>
      <c r="S42" s="3">
        <v>12625</v>
      </c>
      <c r="T42" s="3">
        <v>12230</v>
      </c>
      <c r="U42" s="3">
        <v>12215</v>
      </c>
      <c r="V42" s="3">
        <v>12715</v>
      </c>
      <c r="W42" s="3">
        <v>12735</v>
      </c>
      <c r="X42" s="3">
        <v>12605</v>
      </c>
      <c r="Y42" s="3">
        <v>12585</v>
      </c>
      <c r="Z42" s="3">
        <v>12790</v>
      </c>
      <c r="AA42" s="3">
        <v>12810</v>
      </c>
      <c r="AB42" s="3">
        <v>13240</v>
      </c>
      <c r="AC42" s="3">
        <v>13265</v>
      </c>
      <c r="AD42" s="3">
        <v>13280</v>
      </c>
      <c r="AE42" s="3">
        <v>13255</v>
      </c>
      <c r="AF42" s="3">
        <v>13825</v>
      </c>
      <c r="AG42" s="3">
        <v>13825</v>
      </c>
      <c r="AH42" s="3">
        <v>14220</v>
      </c>
      <c r="AI42" s="3">
        <v>14230</v>
      </c>
      <c r="AJ42" s="3">
        <v>13880</v>
      </c>
      <c r="AK42" s="3">
        <v>13885</v>
      </c>
      <c r="AL42" s="3">
        <v>13655</v>
      </c>
      <c r="AM42" s="3">
        <v>13655</v>
      </c>
      <c r="AN42" s="3">
        <v>13460</v>
      </c>
      <c r="AO42" s="3">
        <v>13470</v>
      </c>
      <c r="AP42" s="3">
        <v>13460</v>
      </c>
      <c r="AQ42" s="3">
        <v>13475</v>
      </c>
      <c r="AR42" s="4">
        <f t="shared" si="23"/>
        <v>2.0815264527320076E-2</v>
      </c>
      <c r="AS42" s="4">
        <f t="shared" si="0"/>
        <v>0</v>
      </c>
      <c r="AT42" s="4">
        <f t="shared" si="1"/>
        <v>2.6408450704225261E-2</v>
      </c>
      <c r="AU42" s="4">
        <f t="shared" si="2"/>
        <v>1.1884550084889645E-2</v>
      </c>
      <c r="AV42" s="4">
        <f t="shared" si="3"/>
        <v>1.2831479897348341E-3</v>
      </c>
      <c r="AW42" s="4">
        <f t="shared" si="4"/>
        <v>8.0101180438447717E-3</v>
      </c>
      <c r="AX42" s="4">
        <f t="shared" si="5"/>
        <v>2.6000825423029283E-2</v>
      </c>
      <c r="AY42" s="4">
        <f t="shared" si="6"/>
        <v>7.0422535211267512E-3</v>
      </c>
      <c r="AZ42" s="4">
        <f t="shared" si="7"/>
        <v>6.3770426464726526E-3</v>
      </c>
      <c r="BA42" s="4">
        <f t="shared" si="8"/>
        <v>1.2929292929292902E-2</v>
      </c>
      <c r="BB42" s="4">
        <f t="shared" si="9"/>
        <v>3.2428050263477948E-2</v>
      </c>
      <c r="BC42" s="4">
        <f t="shared" si="10"/>
        <v>3.9572615749901008E-3</v>
      </c>
      <c r="BD42" s="4">
        <f t="shared" si="11"/>
        <v>2.3364485981308691E-3</v>
      </c>
      <c r="BE42" s="4">
        <f t="shared" si="12"/>
        <v>2.3139220979560449E-2</v>
      </c>
      <c r="BF42" s="4">
        <f t="shared" si="13"/>
        <v>1.2605042016806678E-2</v>
      </c>
      <c r="BG42" s="4">
        <f t="shared" si="14"/>
        <v>3.6745406824147064E-2</v>
      </c>
      <c r="BH42" s="4">
        <f t="shared" si="15"/>
        <v>2.3005032350826848E-2</v>
      </c>
      <c r="BI42" s="4">
        <f t="shared" si="16"/>
        <v>7.2072072072071336E-4</v>
      </c>
      <c r="BJ42" s="4">
        <f t="shared" si="17"/>
        <v>4.737609329446113E-3</v>
      </c>
      <c r="BK42" s="4">
        <f t="shared" si="18"/>
        <v>1.5710632078918541E-2</v>
      </c>
      <c r="BL42" s="4">
        <f t="shared" si="19"/>
        <v>1.4864362690449884E-3</v>
      </c>
      <c r="BM42" s="4">
        <f t="shared" si="24"/>
        <v>1.2457264626827296E-2</v>
      </c>
      <c r="BN42" s="9">
        <f t="shared" si="25"/>
        <v>13622.612495553962</v>
      </c>
      <c r="BO42" s="10">
        <f t="shared" si="26"/>
        <v>13159.006948847527</v>
      </c>
      <c r="BP42">
        <v>13825</v>
      </c>
      <c r="BQ42">
        <v>13830</v>
      </c>
      <c r="BR42">
        <v>13800</v>
      </c>
      <c r="BS42">
        <v>13825</v>
      </c>
      <c r="BT42">
        <v>133896</v>
      </c>
      <c r="BU42" s="13">
        <f t="shared" si="20"/>
        <v>13818.333333333334</v>
      </c>
      <c r="BV42" s="13">
        <f t="shared" si="21"/>
        <v>1850219560</v>
      </c>
      <c r="BW42" s="13">
        <f>SUM($BV$3:BV42)</f>
        <v>115519751536.6667</v>
      </c>
      <c r="BX42" s="13">
        <f>SUM($BT$3:BT42)</f>
        <v>8491593</v>
      </c>
      <c r="BY42" s="3">
        <f t="shared" si="22"/>
        <v>13604.014174568505</v>
      </c>
    </row>
    <row r="43" spans="1:77" x14ac:dyDescent="0.3">
      <c r="A43" s="3" t="s">
        <v>83</v>
      </c>
      <c r="B43" s="3">
        <v>11775</v>
      </c>
      <c r="C43" s="3">
        <v>11770</v>
      </c>
      <c r="D43" s="3">
        <v>11545</v>
      </c>
      <c r="E43" s="3">
        <v>11565</v>
      </c>
      <c r="F43" s="3">
        <v>11655</v>
      </c>
      <c r="G43" s="3">
        <v>11680</v>
      </c>
      <c r="H43" s="3">
        <v>11640</v>
      </c>
      <c r="I43" s="3">
        <v>11635</v>
      </c>
      <c r="J43" s="3">
        <v>11700</v>
      </c>
      <c r="K43" s="3">
        <v>11710</v>
      </c>
      <c r="L43" s="3">
        <v>11955</v>
      </c>
      <c r="M43" s="3">
        <v>11965</v>
      </c>
      <c r="N43" s="3">
        <v>12425</v>
      </c>
      <c r="O43" s="3">
        <v>12440</v>
      </c>
      <c r="P43" s="3">
        <v>12690</v>
      </c>
      <c r="Q43" s="3">
        <v>12700</v>
      </c>
      <c r="R43" s="3">
        <v>12625</v>
      </c>
      <c r="S43" s="3">
        <v>12635</v>
      </c>
      <c r="T43" s="3">
        <v>12215</v>
      </c>
      <c r="U43" s="3">
        <v>12230</v>
      </c>
      <c r="V43" s="3">
        <v>12735</v>
      </c>
      <c r="W43" s="3">
        <v>12750</v>
      </c>
      <c r="X43" s="3">
        <v>12585</v>
      </c>
      <c r="Y43" s="3">
        <v>12590</v>
      </c>
      <c r="Z43" s="3">
        <v>12810</v>
      </c>
      <c r="AA43" s="3">
        <v>12800</v>
      </c>
      <c r="AB43" s="3">
        <v>13265</v>
      </c>
      <c r="AC43" s="3">
        <v>13255</v>
      </c>
      <c r="AD43" s="3">
        <v>13250</v>
      </c>
      <c r="AE43" s="3">
        <v>13205</v>
      </c>
      <c r="AF43" s="3">
        <v>13830</v>
      </c>
      <c r="AG43" s="3">
        <v>13830</v>
      </c>
      <c r="AH43" s="3">
        <v>14225</v>
      </c>
      <c r="AI43" s="3">
        <v>14235</v>
      </c>
      <c r="AJ43" s="3">
        <v>13880</v>
      </c>
      <c r="AK43" s="3">
        <v>13900</v>
      </c>
      <c r="AL43" s="3">
        <v>13660</v>
      </c>
      <c r="AM43" s="3">
        <v>13650</v>
      </c>
      <c r="AN43" s="3">
        <v>13460</v>
      </c>
      <c r="AO43" s="3">
        <v>13475</v>
      </c>
      <c r="AP43" s="3">
        <v>13480</v>
      </c>
      <c r="AQ43" s="3">
        <v>13475</v>
      </c>
      <c r="AR43" s="4">
        <f t="shared" si="23"/>
        <v>2.0815264527320076E-2</v>
      </c>
      <c r="AS43" s="4">
        <f t="shared" si="0"/>
        <v>1.2987012987013546E-3</v>
      </c>
      <c r="AT43" s="4">
        <f t="shared" si="1"/>
        <v>2.8169014084507005E-2</v>
      </c>
      <c r="AU43" s="4">
        <f t="shared" si="2"/>
        <v>1.2308998302207108E-2</v>
      </c>
      <c r="AV43" s="4">
        <f t="shared" si="3"/>
        <v>1.7108639863130382E-3</v>
      </c>
      <c r="AW43" s="4">
        <f t="shared" si="4"/>
        <v>8.8532883642495896E-3</v>
      </c>
      <c r="AX43" s="4">
        <f t="shared" si="5"/>
        <v>2.6826248452331836E-2</v>
      </c>
      <c r="AY43" s="4">
        <f t="shared" si="6"/>
        <v>6.2597809076682109E-3</v>
      </c>
      <c r="AZ43" s="4">
        <f t="shared" si="7"/>
        <v>7.1741729772818452E-3</v>
      </c>
      <c r="BA43" s="4">
        <f t="shared" si="8"/>
        <v>1.1717171717171682E-2</v>
      </c>
      <c r="BB43" s="4">
        <f t="shared" si="9"/>
        <v>3.3644102148358224E-2</v>
      </c>
      <c r="BC43" s="4">
        <f t="shared" si="10"/>
        <v>3.5615354174910463E-3</v>
      </c>
      <c r="BD43" s="4">
        <f t="shared" si="11"/>
        <v>3.1152647975077885E-3</v>
      </c>
      <c r="BE43" s="4">
        <f t="shared" si="12"/>
        <v>2.2367913613575041E-2</v>
      </c>
      <c r="BF43" s="4">
        <f t="shared" si="13"/>
        <v>8.7853323147439877E-3</v>
      </c>
      <c r="BG43" s="4">
        <f t="shared" si="14"/>
        <v>3.7120359955005622E-2</v>
      </c>
      <c r="BH43" s="4">
        <f t="shared" si="15"/>
        <v>2.3364485981308469E-2</v>
      </c>
      <c r="BI43" s="4">
        <f t="shared" si="16"/>
        <v>1.8018018018017834E-3</v>
      </c>
      <c r="BJ43" s="4">
        <f t="shared" si="17"/>
        <v>5.1020408163264808E-3</v>
      </c>
      <c r="BK43" s="4">
        <f t="shared" si="18"/>
        <v>1.5345268542199531E-2</v>
      </c>
      <c r="BL43" s="4">
        <f t="shared" si="19"/>
        <v>1.4864362690449884E-3</v>
      </c>
      <c r="BM43" s="4">
        <f t="shared" si="24"/>
        <v>1.2556599170150553E-2</v>
      </c>
      <c r="BN43" s="9">
        <f t="shared" si="25"/>
        <v>13623.949041834376</v>
      </c>
      <c r="BO43" s="10">
        <f t="shared" si="26"/>
        <v>13157.683316057744</v>
      </c>
      <c r="BP43">
        <v>13830</v>
      </c>
      <c r="BQ43">
        <v>13830</v>
      </c>
      <c r="BR43">
        <v>13805</v>
      </c>
      <c r="BS43">
        <v>13830</v>
      </c>
      <c r="BT43">
        <v>37410</v>
      </c>
      <c r="BU43" s="13">
        <f t="shared" si="20"/>
        <v>13821.666666666666</v>
      </c>
      <c r="BV43" s="13">
        <f t="shared" si="21"/>
        <v>517068550</v>
      </c>
      <c r="BW43" s="13">
        <f>SUM($BV$3:BV43)</f>
        <v>116036820086.6667</v>
      </c>
      <c r="BX43" s="13">
        <f>SUM($BT$3:BT43)</f>
        <v>8529003</v>
      </c>
      <c r="BY43" s="3">
        <f t="shared" si="22"/>
        <v>13604.968844150566</v>
      </c>
    </row>
    <row r="44" spans="1:77" x14ac:dyDescent="0.3">
      <c r="A44" s="3" t="s">
        <v>84</v>
      </c>
      <c r="B44" s="3">
        <v>11765</v>
      </c>
      <c r="C44" s="3">
        <v>11755</v>
      </c>
      <c r="D44" s="3">
        <v>11570</v>
      </c>
      <c r="E44" s="3">
        <v>11555</v>
      </c>
      <c r="F44" s="3">
        <v>11685</v>
      </c>
      <c r="G44" s="3">
        <v>11680</v>
      </c>
      <c r="H44" s="3">
        <v>11625</v>
      </c>
      <c r="I44" s="3">
        <v>11610</v>
      </c>
      <c r="J44" s="3">
        <v>11715</v>
      </c>
      <c r="K44" s="3">
        <v>11720</v>
      </c>
      <c r="L44" s="3">
        <v>11970</v>
      </c>
      <c r="M44" s="3">
        <v>12015</v>
      </c>
      <c r="N44" s="3">
        <v>12435</v>
      </c>
      <c r="O44" s="3">
        <v>12420</v>
      </c>
      <c r="P44" s="3">
        <v>12700</v>
      </c>
      <c r="Q44" s="3">
        <v>12670</v>
      </c>
      <c r="R44" s="3">
        <v>12630</v>
      </c>
      <c r="S44" s="3">
        <v>12640</v>
      </c>
      <c r="T44" s="3">
        <v>12230</v>
      </c>
      <c r="U44" s="3">
        <v>12250</v>
      </c>
      <c r="V44" s="3">
        <v>12750</v>
      </c>
      <c r="W44" s="3">
        <v>12740</v>
      </c>
      <c r="X44" s="3">
        <v>12595</v>
      </c>
      <c r="Y44" s="3">
        <v>12605</v>
      </c>
      <c r="Z44" s="3">
        <v>12800</v>
      </c>
      <c r="AA44" s="3">
        <v>12780</v>
      </c>
      <c r="AB44" s="3">
        <v>13255</v>
      </c>
      <c r="AC44" s="3">
        <v>13270</v>
      </c>
      <c r="AD44" s="3">
        <v>13205</v>
      </c>
      <c r="AE44" s="3">
        <v>13205</v>
      </c>
      <c r="AF44" s="3">
        <v>13830</v>
      </c>
      <c r="AG44" s="3">
        <v>13845</v>
      </c>
      <c r="AH44" s="3">
        <v>14240</v>
      </c>
      <c r="AI44" s="3">
        <v>14240</v>
      </c>
      <c r="AJ44" s="3">
        <v>13905</v>
      </c>
      <c r="AK44" s="3">
        <v>13930</v>
      </c>
      <c r="AL44" s="3">
        <v>13645</v>
      </c>
      <c r="AM44" s="3">
        <v>13700</v>
      </c>
      <c r="AN44" s="3">
        <v>13470</v>
      </c>
      <c r="AO44" s="3">
        <v>13465</v>
      </c>
      <c r="AP44" s="3">
        <v>13475</v>
      </c>
      <c r="AQ44" s="3">
        <v>13495</v>
      </c>
      <c r="AR44" s="4">
        <f t="shared" si="23"/>
        <v>1.9514310494362475E-2</v>
      </c>
      <c r="AS44" s="4">
        <f t="shared" si="0"/>
        <v>4.3290043290045155E-4</v>
      </c>
      <c r="AT44" s="4">
        <f t="shared" si="1"/>
        <v>2.8169014084507005E-2</v>
      </c>
      <c r="AU44" s="4">
        <f t="shared" si="2"/>
        <v>1.4431239388794537E-2</v>
      </c>
      <c r="AV44" s="4">
        <f t="shared" si="3"/>
        <v>2.5662959794696683E-3</v>
      </c>
      <c r="AW44" s="4">
        <f t="shared" si="4"/>
        <v>1.3069139966273235E-2</v>
      </c>
      <c r="AX44" s="4">
        <f t="shared" si="5"/>
        <v>2.5175402393726731E-2</v>
      </c>
      <c r="AY44" s="4">
        <f t="shared" si="6"/>
        <v>8.6071987480438317E-3</v>
      </c>
      <c r="AZ44" s="4">
        <f t="shared" si="7"/>
        <v>7.5727381426862195E-3</v>
      </c>
      <c r="BA44" s="4">
        <f t="shared" si="8"/>
        <v>1.0101010101010055E-2</v>
      </c>
      <c r="BB44" s="4">
        <f t="shared" si="9"/>
        <v>3.2833400891771447E-2</v>
      </c>
      <c r="BC44" s="4">
        <f t="shared" si="10"/>
        <v>2.3743569449941049E-3</v>
      </c>
      <c r="BD44" s="4">
        <f t="shared" si="11"/>
        <v>4.6728971962616273E-3</v>
      </c>
      <c r="BE44" s="4">
        <f t="shared" si="12"/>
        <v>2.352487466255293E-2</v>
      </c>
      <c r="BF44" s="4">
        <f t="shared" si="13"/>
        <v>8.7853323147439877E-3</v>
      </c>
      <c r="BG44" s="4">
        <f t="shared" si="14"/>
        <v>3.8245219347581516E-2</v>
      </c>
      <c r="BH44" s="4">
        <f t="shared" si="15"/>
        <v>2.372393961179009E-2</v>
      </c>
      <c r="BI44" s="4">
        <f t="shared" si="16"/>
        <v>3.9639639639639235E-3</v>
      </c>
      <c r="BJ44" s="4">
        <f t="shared" si="17"/>
        <v>1.4577259475219151E-3</v>
      </c>
      <c r="BK44" s="4">
        <f t="shared" si="18"/>
        <v>1.6075995615637551E-2</v>
      </c>
      <c r="BL44" s="4">
        <f t="shared" si="19"/>
        <v>2.9728725380899768E-3</v>
      </c>
      <c r="BM44" s="4">
        <f t="shared" si="24"/>
        <v>1.3022557231981131E-2</v>
      </c>
      <c r="BN44" s="9">
        <f t="shared" si="25"/>
        <v>13630.218507556305</v>
      </c>
      <c r="BO44" s="10">
        <f t="shared" si="26"/>
        <v>13151.474424883852</v>
      </c>
      <c r="BP44">
        <v>13830</v>
      </c>
      <c r="BQ44">
        <v>13845</v>
      </c>
      <c r="BR44">
        <v>13825</v>
      </c>
      <c r="BS44">
        <v>13845</v>
      </c>
      <c r="BT44">
        <v>44638</v>
      </c>
      <c r="BU44" s="13">
        <f t="shared" si="20"/>
        <v>13838.333333333334</v>
      </c>
      <c r="BV44" s="13">
        <f t="shared" si="21"/>
        <v>617715523.33333337</v>
      </c>
      <c r="BW44" s="13">
        <f>SUM($BV$3:BV44)</f>
        <v>116654535610.00003</v>
      </c>
      <c r="BX44" s="13">
        <f>SUM($BT$3:BT44)</f>
        <v>8573641</v>
      </c>
      <c r="BY44" s="3">
        <f t="shared" si="22"/>
        <v>13606.183838348263</v>
      </c>
    </row>
    <row r="45" spans="1:77" x14ac:dyDescent="0.3">
      <c r="A45" s="3" t="s">
        <v>85</v>
      </c>
      <c r="B45" s="3">
        <v>11755</v>
      </c>
      <c r="C45" s="3">
        <v>11755</v>
      </c>
      <c r="D45" s="3">
        <v>11550</v>
      </c>
      <c r="E45" s="3">
        <v>11545</v>
      </c>
      <c r="F45" s="3">
        <v>11680</v>
      </c>
      <c r="G45" s="3">
        <v>11700</v>
      </c>
      <c r="H45" s="3">
        <v>11610</v>
      </c>
      <c r="I45" s="3">
        <v>11605</v>
      </c>
      <c r="J45" s="3">
        <v>11720</v>
      </c>
      <c r="K45" s="3">
        <v>11720</v>
      </c>
      <c r="L45" s="3">
        <v>12015</v>
      </c>
      <c r="M45" s="3">
        <v>12020</v>
      </c>
      <c r="N45" s="3">
        <v>12415</v>
      </c>
      <c r="O45" s="3">
        <v>12415</v>
      </c>
      <c r="P45" s="3">
        <v>12670</v>
      </c>
      <c r="Q45" s="3">
        <v>12635</v>
      </c>
      <c r="R45" s="3">
        <v>12640</v>
      </c>
      <c r="S45" s="3">
        <v>12620</v>
      </c>
      <c r="T45" s="3">
        <v>12245</v>
      </c>
      <c r="U45" s="3">
        <v>12265</v>
      </c>
      <c r="V45" s="3">
        <v>12735</v>
      </c>
      <c r="W45" s="3">
        <v>12730</v>
      </c>
      <c r="X45" s="3">
        <v>12600</v>
      </c>
      <c r="Y45" s="3">
        <v>12580</v>
      </c>
      <c r="Z45" s="3">
        <v>12780</v>
      </c>
      <c r="AA45" s="3">
        <v>12785</v>
      </c>
      <c r="AB45" s="3">
        <v>13265</v>
      </c>
      <c r="AC45" s="3">
        <v>13270</v>
      </c>
      <c r="AD45" s="3">
        <v>13210</v>
      </c>
      <c r="AE45" s="3">
        <v>13220</v>
      </c>
      <c r="AF45" s="3">
        <v>13845</v>
      </c>
      <c r="AG45" s="3">
        <v>13840</v>
      </c>
      <c r="AH45" s="3">
        <v>14240</v>
      </c>
      <c r="AI45" s="3">
        <v>14245</v>
      </c>
      <c r="AJ45" s="3">
        <v>13930</v>
      </c>
      <c r="AK45" s="3">
        <v>13915</v>
      </c>
      <c r="AL45" s="3">
        <v>13705</v>
      </c>
      <c r="AM45" s="3">
        <v>13720</v>
      </c>
      <c r="AN45" s="3">
        <v>13465</v>
      </c>
      <c r="AO45" s="3">
        <v>13480</v>
      </c>
      <c r="AP45" s="3">
        <v>13495</v>
      </c>
      <c r="AQ45" s="3">
        <v>13500</v>
      </c>
      <c r="AR45" s="4">
        <f t="shared" si="23"/>
        <v>1.9514310494362475E-2</v>
      </c>
      <c r="AS45" s="4">
        <f t="shared" si="0"/>
        <v>4.3290043290045155E-4</v>
      </c>
      <c r="AT45" s="4">
        <f t="shared" si="1"/>
        <v>2.9929577464788748E-2</v>
      </c>
      <c r="AU45" s="4">
        <f t="shared" si="2"/>
        <v>1.4855687606112E-2</v>
      </c>
      <c r="AV45" s="4">
        <f t="shared" si="3"/>
        <v>2.5662959794696683E-3</v>
      </c>
      <c r="AW45" s="4">
        <f t="shared" si="4"/>
        <v>1.3490725126475533E-2</v>
      </c>
      <c r="AX45" s="4">
        <f t="shared" si="5"/>
        <v>2.4762690879075455E-2</v>
      </c>
      <c r="AY45" s="4">
        <f t="shared" si="6"/>
        <v>1.1345852895148667E-2</v>
      </c>
      <c r="AZ45" s="4">
        <f t="shared" si="7"/>
        <v>5.9784774810680563E-3</v>
      </c>
      <c r="BA45" s="4">
        <f t="shared" si="8"/>
        <v>8.8888888888888351E-3</v>
      </c>
      <c r="BB45" s="4">
        <f t="shared" si="9"/>
        <v>3.2022699635184448E-2</v>
      </c>
      <c r="BC45" s="4">
        <f t="shared" si="10"/>
        <v>4.3529877324891553E-3</v>
      </c>
      <c r="BD45" s="4">
        <f t="shared" si="11"/>
        <v>4.2834890965731676E-3</v>
      </c>
      <c r="BE45" s="4">
        <f t="shared" si="12"/>
        <v>2.352487466255293E-2</v>
      </c>
      <c r="BF45" s="4">
        <f t="shared" si="13"/>
        <v>9.931245225362817E-3</v>
      </c>
      <c r="BG45" s="4">
        <f t="shared" si="14"/>
        <v>3.7870266216722959E-2</v>
      </c>
      <c r="BH45" s="4">
        <f t="shared" si="15"/>
        <v>2.4083393242271711E-2</v>
      </c>
      <c r="BI45" s="4">
        <f t="shared" si="16"/>
        <v>2.8828828828828534E-3</v>
      </c>
      <c r="BJ45" s="4">
        <f t="shared" si="17"/>
        <v>0</v>
      </c>
      <c r="BK45" s="4">
        <f t="shared" si="18"/>
        <v>1.4979905005480409E-2</v>
      </c>
      <c r="BL45" s="4">
        <f t="shared" si="19"/>
        <v>3.3444816053511683E-3</v>
      </c>
      <c r="BM45" s="4">
        <f t="shared" si="24"/>
        <v>1.3311885221863566E-2</v>
      </c>
      <c r="BN45" s="9">
        <f t="shared" si="25"/>
        <v>13634.111415660176</v>
      </c>
      <c r="BO45" s="10">
        <f t="shared" si="26"/>
        <v>13147.619129418668</v>
      </c>
      <c r="BP45">
        <v>13845</v>
      </c>
      <c r="BQ45">
        <v>13850</v>
      </c>
      <c r="BR45">
        <v>13840</v>
      </c>
      <c r="BS45">
        <v>13840</v>
      </c>
      <c r="BT45">
        <v>48155</v>
      </c>
      <c r="BU45" s="13">
        <f t="shared" si="20"/>
        <v>13843.333333333334</v>
      </c>
      <c r="BV45" s="13">
        <f t="shared" si="21"/>
        <v>666625716.66666675</v>
      </c>
      <c r="BW45" s="13">
        <f>SUM($BV$3:BV45)</f>
        <v>117321161326.6667</v>
      </c>
      <c r="BX45" s="13">
        <f>SUM($BT$3:BT45)</f>
        <v>8621796</v>
      </c>
      <c r="BY45" s="3">
        <f t="shared" si="22"/>
        <v>13607.508380697793</v>
      </c>
    </row>
    <row r="46" spans="1:77" x14ac:dyDescent="0.3">
      <c r="A46" s="3" t="s">
        <v>86</v>
      </c>
      <c r="B46" s="3">
        <v>11760</v>
      </c>
      <c r="C46" s="3">
        <v>11750</v>
      </c>
      <c r="D46" s="3">
        <v>11540</v>
      </c>
      <c r="E46" s="3">
        <v>11545</v>
      </c>
      <c r="F46" s="3">
        <v>11700</v>
      </c>
      <c r="G46" s="3">
        <v>11720</v>
      </c>
      <c r="H46" s="3">
        <v>11600</v>
      </c>
      <c r="I46" s="3">
        <v>11595</v>
      </c>
      <c r="J46" s="3">
        <v>11720</v>
      </c>
      <c r="K46" s="3">
        <v>11715</v>
      </c>
      <c r="L46" s="3">
        <v>12020</v>
      </c>
      <c r="M46" s="3">
        <v>12035</v>
      </c>
      <c r="N46" s="3">
        <v>12410</v>
      </c>
      <c r="O46" s="3">
        <v>12410</v>
      </c>
      <c r="P46" s="3">
        <v>12625</v>
      </c>
      <c r="Q46" s="3">
        <v>12660</v>
      </c>
      <c r="R46" s="3">
        <v>12620</v>
      </c>
      <c r="S46" s="3">
        <v>12615</v>
      </c>
      <c r="T46" s="3">
        <v>12265</v>
      </c>
      <c r="U46" s="3">
        <v>12260</v>
      </c>
      <c r="V46" s="3">
        <v>12730</v>
      </c>
      <c r="W46" s="3">
        <v>12695</v>
      </c>
      <c r="X46" s="3">
        <v>12580</v>
      </c>
      <c r="Y46" s="3">
        <v>12595</v>
      </c>
      <c r="Z46" s="3">
        <v>12790</v>
      </c>
      <c r="AA46" s="3">
        <v>12780</v>
      </c>
      <c r="AB46" s="3">
        <v>13265</v>
      </c>
      <c r="AC46" s="3">
        <v>13255</v>
      </c>
      <c r="AD46" s="3">
        <v>13220</v>
      </c>
      <c r="AE46" s="3">
        <v>13215</v>
      </c>
      <c r="AF46" s="3">
        <v>13845</v>
      </c>
      <c r="AG46" s="3">
        <v>13845</v>
      </c>
      <c r="AH46" s="3">
        <v>14245</v>
      </c>
      <c r="AI46" s="3">
        <v>14265</v>
      </c>
      <c r="AJ46" s="3">
        <v>13915</v>
      </c>
      <c r="AK46" s="3">
        <v>13920</v>
      </c>
      <c r="AL46" s="3">
        <v>13720</v>
      </c>
      <c r="AM46" s="3">
        <v>13790</v>
      </c>
      <c r="AN46" s="3">
        <v>13485</v>
      </c>
      <c r="AO46" s="3">
        <v>13530</v>
      </c>
      <c r="AP46" s="3">
        <v>13505</v>
      </c>
      <c r="AQ46" s="3">
        <v>13495</v>
      </c>
      <c r="AR46" s="4">
        <f t="shared" si="23"/>
        <v>1.9080659150043422E-2</v>
      </c>
      <c r="AS46" s="4">
        <f t="shared" si="0"/>
        <v>4.3290043290045155E-4</v>
      </c>
      <c r="AT46" s="4">
        <f t="shared" si="1"/>
        <v>3.1690140845070491E-2</v>
      </c>
      <c r="AU46" s="4">
        <f t="shared" si="2"/>
        <v>1.5704584040747038E-2</v>
      </c>
      <c r="AV46" s="4">
        <f t="shared" si="3"/>
        <v>2.1385799828914642E-3</v>
      </c>
      <c r="AW46" s="4">
        <f t="shared" si="4"/>
        <v>1.4755480607082649E-2</v>
      </c>
      <c r="AX46" s="4">
        <f t="shared" si="5"/>
        <v>2.4349979364424179E-2</v>
      </c>
      <c r="AY46" s="4">
        <f t="shared" si="6"/>
        <v>9.3896713615023719E-3</v>
      </c>
      <c r="AZ46" s="4">
        <f t="shared" si="7"/>
        <v>5.5799123156636821E-3</v>
      </c>
      <c r="BA46" s="4">
        <f t="shared" si="8"/>
        <v>9.2929292929292417E-3</v>
      </c>
      <c r="BB46" s="4">
        <f t="shared" si="9"/>
        <v>2.9185245237130175E-2</v>
      </c>
      <c r="BC46" s="4">
        <f t="shared" si="10"/>
        <v>3.1658092599921028E-3</v>
      </c>
      <c r="BD46" s="4">
        <f t="shared" si="11"/>
        <v>4.6728971962616273E-3</v>
      </c>
      <c r="BE46" s="4">
        <f t="shared" si="12"/>
        <v>2.2367913613575041E-2</v>
      </c>
      <c r="BF46" s="4">
        <f t="shared" si="13"/>
        <v>9.5492742551566145E-3</v>
      </c>
      <c r="BG46" s="4">
        <f t="shared" si="14"/>
        <v>3.8245219347581516E-2</v>
      </c>
      <c r="BH46" s="4">
        <f t="shared" si="15"/>
        <v>2.5521207764198417E-2</v>
      </c>
      <c r="BI46" s="4">
        <f t="shared" si="16"/>
        <v>3.2432432432432101E-3</v>
      </c>
      <c r="BJ46" s="4">
        <f t="shared" si="17"/>
        <v>5.1020408163264808E-3</v>
      </c>
      <c r="BK46" s="4">
        <f t="shared" si="18"/>
        <v>1.1326269638290087E-2</v>
      </c>
      <c r="BL46" s="4">
        <f t="shared" si="19"/>
        <v>2.9728725380899768E-3</v>
      </c>
      <c r="BM46" s="4">
        <f t="shared" si="24"/>
        <v>1.3019665557523366E-2</v>
      </c>
      <c r="BN46" s="9">
        <f t="shared" si="25"/>
        <v>13630.179600076477</v>
      </c>
      <c r="BO46" s="10">
        <f t="shared" si="26"/>
        <v>13151.512956446002</v>
      </c>
      <c r="BP46">
        <v>13845</v>
      </c>
      <c r="BQ46">
        <v>13855</v>
      </c>
      <c r="BR46">
        <v>13835</v>
      </c>
      <c r="BS46">
        <v>13845</v>
      </c>
      <c r="BT46">
        <v>32389</v>
      </c>
      <c r="BU46" s="13">
        <f t="shared" si="20"/>
        <v>13845</v>
      </c>
      <c r="BV46" s="13">
        <f t="shared" si="21"/>
        <v>448425705</v>
      </c>
      <c r="BW46" s="13">
        <f>SUM($BV$3:BV46)</f>
        <v>117769587031.6667</v>
      </c>
      <c r="BX46" s="13">
        <f>SUM($BT$3:BT46)</f>
        <v>8654185</v>
      </c>
      <c r="BY46" s="3">
        <f t="shared" si="22"/>
        <v>13608.397212639515</v>
      </c>
    </row>
    <row r="47" spans="1:77" x14ac:dyDescent="0.3">
      <c r="A47" s="3" t="s">
        <v>87</v>
      </c>
      <c r="B47" s="3">
        <v>11750</v>
      </c>
      <c r="C47" s="3">
        <v>11745</v>
      </c>
      <c r="D47" s="3">
        <v>11545</v>
      </c>
      <c r="E47" s="3">
        <v>11535</v>
      </c>
      <c r="F47" s="3">
        <v>11720</v>
      </c>
      <c r="G47" s="3">
        <v>11740</v>
      </c>
      <c r="H47" s="3">
        <v>11590</v>
      </c>
      <c r="I47" s="3">
        <v>11600</v>
      </c>
      <c r="J47" s="3">
        <v>11715</v>
      </c>
      <c r="K47" s="3">
        <v>11720</v>
      </c>
      <c r="L47" s="3">
        <v>12035</v>
      </c>
      <c r="M47" s="3">
        <v>12035</v>
      </c>
      <c r="N47" s="3">
        <v>12410</v>
      </c>
      <c r="O47" s="3">
        <v>12395</v>
      </c>
      <c r="P47" s="3">
        <v>12660</v>
      </c>
      <c r="Q47" s="3">
        <v>12665</v>
      </c>
      <c r="R47" s="3">
        <v>12620</v>
      </c>
      <c r="S47" s="3">
        <v>12640</v>
      </c>
      <c r="T47" s="3">
        <v>12255</v>
      </c>
      <c r="U47" s="3">
        <v>12270</v>
      </c>
      <c r="V47" s="3">
        <v>12690</v>
      </c>
      <c r="W47" s="3">
        <v>12680</v>
      </c>
      <c r="X47" s="3">
        <v>12595</v>
      </c>
      <c r="Y47" s="3">
        <v>12605</v>
      </c>
      <c r="Z47" s="3">
        <v>12775</v>
      </c>
      <c r="AA47" s="3">
        <v>12775</v>
      </c>
      <c r="AB47" s="3">
        <v>13255</v>
      </c>
      <c r="AC47" s="3">
        <v>13245</v>
      </c>
      <c r="AD47" s="3">
        <v>13210</v>
      </c>
      <c r="AE47" s="3">
        <v>13225</v>
      </c>
      <c r="AF47" s="3">
        <v>13845</v>
      </c>
      <c r="AG47" s="3">
        <v>13830</v>
      </c>
      <c r="AH47" s="3">
        <v>14265</v>
      </c>
      <c r="AI47" s="3">
        <v>14285</v>
      </c>
      <c r="AJ47" s="3">
        <v>13925</v>
      </c>
      <c r="AK47" s="3">
        <v>13930</v>
      </c>
      <c r="AL47" s="3">
        <v>13785</v>
      </c>
      <c r="AM47" s="3">
        <v>13785</v>
      </c>
      <c r="AN47" s="3">
        <v>13535</v>
      </c>
      <c r="AO47" s="3">
        <v>13550</v>
      </c>
      <c r="AP47" s="3">
        <v>13495</v>
      </c>
      <c r="AQ47" s="3">
        <v>13500</v>
      </c>
      <c r="AR47" s="4">
        <f t="shared" si="23"/>
        <v>1.8647007805724147E-2</v>
      </c>
      <c r="AS47" s="4">
        <f t="shared" si="0"/>
        <v>1.2987012987012436E-3</v>
      </c>
      <c r="AT47" s="4">
        <f t="shared" si="1"/>
        <v>3.3450704225352013E-2</v>
      </c>
      <c r="AU47" s="4">
        <f t="shared" si="2"/>
        <v>1.5280135823429575E-2</v>
      </c>
      <c r="AV47" s="4">
        <f t="shared" si="3"/>
        <v>2.5662959794696683E-3</v>
      </c>
      <c r="AW47" s="4">
        <f t="shared" si="4"/>
        <v>1.4755480607082649E-2</v>
      </c>
      <c r="AX47" s="4">
        <f t="shared" si="5"/>
        <v>2.3111844820470573E-2</v>
      </c>
      <c r="AY47" s="4">
        <f t="shared" si="6"/>
        <v>8.9984350547730463E-3</v>
      </c>
      <c r="AZ47" s="4">
        <f t="shared" si="7"/>
        <v>7.5727381426862195E-3</v>
      </c>
      <c r="BA47" s="4">
        <f t="shared" si="8"/>
        <v>8.4848484848485395E-3</v>
      </c>
      <c r="BB47" s="4">
        <f t="shared" si="9"/>
        <v>2.7969193352249677E-2</v>
      </c>
      <c r="BC47" s="4">
        <f t="shared" si="10"/>
        <v>2.3743569449941049E-3</v>
      </c>
      <c r="BD47" s="4">
        <f t="shared" si="11"/>
        <v>5.062305295950198E-3</v>
      </c>
      <c r="BE47" s="4">
        <f t="shared" si="12"/>
        <v>2.1596606247589634E-2</v>
      </c>
      <c r="BF47" s="4">
        <f t="shared" si="13"/>
        <v>1.0313216195569241E-2</v>
      </c>
      <c r="BG47" s="4">
        <f t="shared" si="14"/>
        <v>3.7120359955005622E-2</v>
      </c>
      <c r="BH47" s="4">
        <f t="shared" si="15"/>
        <v>2.6959022286125123E-2</v>
      </c>
      <c r="BI47" s="4">
        <f t="shared" si="16"/>
        <v>3.9639639639639235E-3</v>
      </c>
      <c r="BJ47" s="4">
        <f t="shared" si="17"/>
        <v>4.737609329446002E-3</v>
      </c>
      <c r="BK47" s="4">
        <f t="shared" si="18"/>
        <v>9.8648154914139363E-3</v>
      </c>
      <c r="BL47" s="4">
        <f t="shared" si="19"/>
        <v>3.3444816053511683E-3</v>
      </c>
      <c r="BM47" s="4">
        <f t="shared" si="24"/>
        <v>1.3059633033797599E-2</v>
      </c>
      <c r="BN47" s="9">
        <f t="shared" si="25"/>
        <v>13630.717362469746</v>
      </c>
      <c r="BO47" s="10">
        <f t="shared" si="26"/>
        <v>13150.980389824646</v>
      </c>
      <c r="BP47">
        <v>13845</v>
      </c>
      <c r="BQ47">
        <v>13855</v>
      </c>
      <c r="BR47">
        <v>13830</v>
      </c>
      <c r="BS47">
        <v>13830</v>
      </c>
      <c r="BT47">
        <v>93853</v>
      </c>
      <c r="BU47" s="13">
        <f t="shared" si="20"/>
        <v>13838.333333333334</v>
      </c>
      <c r="BV47" s="13">
        <f t="shared" si="21"/>
        <v>1298769098.3333335</v>
      </c>
      <c r="BW47" s="13">
        <f>SUM($BV$3:BV47)</f>
        <v>119068356130.00003</v>
      </c>
      <c r="BX47" s="13">
        <f>SUM($BT$3:BT47)</f>
        <v>8748038</v>
      </c>
      <c r="BY47" s="3">
        <f t="shared" si="22"/>
        <v>13610.864073750026</v>
      </c>
    </row>
    <row r="48" spans="1:77" x14ac:dyDescent="0.3">
      <c r="A48" s="3" t="s">
        <v>88</v>
      </c>
      <c r="B48" s="3">
        <v>11745</v>
      </c>
      <c r="C48" s="3">
        <v>11750</v>
      </c>
      <c r="D48" s="3">
        <v>11535</v>
      </c>
      <c r="E48" s="3">
        <v>11525</v>
      </c>
      <c r="F48" s="3">
        <v>11740</v>
      </c>
      <c r="G48" s="3">
        <v>11720</v>
      </c>
      <c r="H48" s="3">
        <v>11595</v>
      </c>
      <c r="I48" s="3">
        <v>11590</v>
      </c>
      <c r="J48" s="3">
        <v>11720</v>
      </c>
      <c r="K48" s="3">
        <v>11725</v>
      </c>
      <c r="L48" s="3">
        <v>12035</v>
      </c>
      <c r="M48" s="3">
        <v>11990</v>
      </c>
      <c r="N48" s="3">
        <v>12400</v>
      </c>
      <c r="O48" s="3">
        <v>12415</v>
      </c>
      <c r="P48" s="3">
        <v>12665</v>
      </c>
      <c r="Q48" s="3">
        <v>12650</v>
      </c>
      <c r="R48" s="3">
        <v>12635</v>
      </c>
      <c r="S48" s="3">
        <v>12630</v>
      </c>
      <c r="T48" s="3">
        <v>12265</v>
      </c>
      <c r="U48" s="3">
        <v>12265</v>
      </c>
      <c r="V48" s="3">
        <v>12680</v>
      </c>
      <c r="W48" s="3">
        <v>12685</v>
      </c>
      <c r="X48" s="3">
        <v>12605</v>
      </c>
      <c r="Y48" s="3">
        <v>12585</v>
      </c>
      <c r="Z48" s="3">
        <v>12770</v>
      </c>
      <c r="AA48" s="3">
        <v>12765</v>
      </c>
      <c r="AB48" s="3">
        <v>13240</v>
      </c>
      <c r="AC48" s="3">
        <v>13245</v>
      </c>
      <c r="AD48" s="3">
        <v>13225</v>
      </c>
      <c r="AE48" s="3">
        <v>13225</v>
      </c>
      <c r="AF48" s="3">
        <v>13830</v>
      </c>
      <c r="AG48" s="3">
        <v>13820</v>
      </c>
      <c r="AH48" s="3">
        <v>14285</v>
      </c>
      <c r="AI48" s="3">
        <v>14275</v>
      </c>
      <c r="AJ48" s="3">
        <v>13925</v>
      </c>
      <c r="AK48" s="3">
        <v>13925</v>
      </c>
      <c r="AL48" s="3">
        <v>13775</v>
      </c>
      <c r="AM48" s="3">
        <v>13800</v>
      </c>
      <c r="AN48" s="3">
        <v>13550</v>
      </c>
      <c r="AO48" s="3">
        <v>13550</v>
      </c>
      <c r="AP48" s="3">
        <v>13500</v>
      </c>
      <c r="AQ48" s="3">
        <v>13530</v>
      </c>
      <c r="AR48" s="4">
        <f t="shared" si="23"/>
        <v>1.9080659150043422E-2</v>
      </c>
      <c r="AS48" s="4">
        <f t="shared" si="0"/>
        <v>2.1645021645021467E-3</v>
      </c>
      <c r="AT48" s="4">
        <f t="shared" si="1"/>
        <v>3.1690140845070491E-2</v>
      </c>
      <c r="AU48" s="4">
        <f t="shared" si="2"/>
        <v>1.6129032258064502E-2</v>
      </c>
      <c r="AV48" s="4">
        <f t="shared" si="3"/>
        <v>2.9940119760478723E-3</v>
      </c>
      <c r="AW48" s="4">
        <f t="shared" si="4"/>
        <v>1.0961214165261302E-2</v>
      </c>
      <c r="AX48" s="4">
        <f t="shared" si="5"/>
        <v>2.4762690879075455E-2</v>
      </c>
      <c r="AY48" s="4">
        <f t="shared" si="6"/>
        <v>1.0172143974960912E-2</v>
      </c>
      <c r="AZ48" s="4">
        <f t="shared" si="7"/>
        <v>6.7756078118772489E-3</v>
      </c>
      <c r="BA48" s="4">
        <f t="shared" si="8"/>
        <v>8.8888888888888351E-3</v>
      </c>
      <c r="BB48" s="4">
        <f t="shared" si="9"/>
        <v>2.8374543980543177E-2</v>
      </c>
      <c r="BC48" s="4">
        <f t="shared" si="10"/>
        <v>3.9572615749901008E-3</v>
      </c>
      <c r="BD48" s="4">
        <f t="shared" si="11"/>
        <v>5.8411214953271173E-3</v>
      </c>
      <c r="BE48" s="4">
        <f t="shared" si="12"/>
        <v>2.1596606247589634E-2</v>
      </c>
      <c r="BF48" s="4">
        <f t="shared" si="13"/>
        <v>1.0313216195569241E-2</v>
      </c>
      <c r="BG48" s="4">
        <f t="shared" si="14"/>
        <v>3.6370453693288285E-2</v>
      </c>
      <c r="BH48" s="4">
        <f t="shared" si="15"/>
        <v>2.6240115025161659E-2</v>
      </c>
      <c r="BI48" s="4">
        <f t="shared" si="16"/>
        <v>3.6036036036035668E-3</v>
      </c>
      <c r="BJ48" s="4">
        <f t="shared" si="17"/>
        <v>5.8309037900874383E-3</v>
      </c>
      <c r="BK48" s="4">
        <f t="shared" si="18"/>
        <v>9.8648154914139363E-3</v>
      </c>
      <c r="BL48" s="4">
        <f t="shared" si="19"/>
        <v>5.5741360089185399E-3</v>
      </c>
      <c r="BM48" s="4">
        <f t="shared" si="24"/>
        <v>1.3187213032697718E-2</v>
      </c>
      <c r="BN48" s="9">
        <f t="shared" si="25"/>
        <v>13632.433951354948</v>
      </c>
      <c r="BO48" s="10">
        <f t="shared" si="26"/>
        <v>13149.280386339302</v>
      </c>
      <c r="BP48">
        <v>13830</v>
      </c>
      <c r="BQ48">
        <v>13850</v>
      </c>
      <c r="BR48">
        <v>13805</v>
      </c>
      <c r="BS48">
        <v>13820</v>
      </c>
      <c r="BT48">
        <v>95879</v>
      </c>
      <c r="BU48" s="13">
        <f t="shared" si="20"/>
        <v>13825</v>
      </c>
      <c r="BV48" s="13">
        <f t="shared" si="21"/>
        <v>1325527175</v>
      </c>
      <c r="BW48" s="13">
        <f>SUM($BV$3:BV48)</f>
        <v>120393883305.00003</v>
      </c>
      <c r="BX48" s="13">
        <f>SUM($BT$3:BT48)</f>
        <v>8843917</v>
      </c>
      <c r="BY48" s="3">
        <f t="shared" si="22"/>
        <v>13613.185572071745</v>
      </c>
    </row>
    <row r="49" spans="1:77" x14ac:dyDescent="0.3">
      <c r="A49" s="3" t="s">
        <v>89</v>
      </c>
      <c r="B49" s="3">
        <v>11750</v>
      </c>
      <c r="C49" s="3">
        <v>11760</v>
      </c>
      <c r="D49" s="3">
        <v>11530</v>
      </c>
      <c r="E49" s="3">
        <v>11525</v>
      </c>
      <c r="F49" s="3">
        <v>11725</v>
      </c>
      <c r="G49" s="3">
        <v>11690</v>
      </c>
      <c r="H49" s="3">
        <v>11590</v>
      </c>
      <c r="I49" s="3">
        <v>11565</v>
      </c>
      <c r="J49" s="3">
        <v>11725</v>
      </c>
      <c r="K49" s="3">
        <v>11730</v>
      </c>
      <c r="L49" s="3">
        <v>12000</v>
      </c>
      <c r="M49" s="3">
        <v>12025</v>
      </c>
      <c r="N49" s="3">
        <v>12420</v>
      </c>
      <c r="O49" s="3">
        <v>12440</v>
      </c>
      <c r="P49" s="3">
        <v>12650</v>
      </c>
      <c r="Q49" s="3">
        <v>12660</v>
      </c>
      <c r="R49" s="3">
        <v>12630</v>
      </c>
      <c r="S49" s="3">
        <v>12630</v>
      </c>
      <c r="T49" s="3">
        <v>12270</v>
      </c>
      <c r="U49" s="3">
        <v>12265</v>
      </c>
      <c r="V49" s="3">
        <v>12680</v>
      </c>
      <c r="W49" s="3">
        <v>12690</v>
      </c>
      <c r="X49" s="3">
        <v>12580</v>
      </c>
      <c r="Y49" s="3">
        <v>12605</v>
      </c>
      <c r="Z49" s="3">
        <v>12765</v>
      </c>
      <c r="AA49" s="3">
        <v>12765</v>
      </c>
      <c r="AB49" s="3">
        <v>13250</v>
      </c>
      <c r="AC49" s="3">
        <v>13250</v>
      </c>
      <c r="AD49" s="3">
        <v>13230</v>
      </c>
      <c r="AE49" s="3">
        <v>13230</v>
      </c>
      <c r="AF49" s="3">
        <v>13820</v>
      </c>
      <c r="AG49" s="3">
        <v>13815</v>
      </c>
      <c r="AH49" s="3">
        <v>14280</v>
      </c>
      <c r="AI49" s="3">
        <v>14295</v>
      </c>
      <c r="AJ49" s="3">
        <v>13925</v>
      </c>
      <c r="AK49" s="3">
        <v>13945</v>
      </c>
      <c r="AL49" s="3">
        <v>13800</v>
      </c>
      <c r="AM49" s="3">
        <v>13780</v>
      </c>
      <c r="AN49" s="3">
        <v>13550</v>
      </c>
      <c r="AO49" s="3">
        <v>13570</v>
      </c>
      <c r="AP49" s="3">
        <v>13535</v>
      </c>
      <c r="AQ49" s="3">
        <v>13625</v>
      </c>
      <c r="AR49" s="4">
        <f t="shared" si="23"/>
        <v>1.9947961838681749E-2</v>
      </c>
      <c r="AS49" s="4">
        <f t="shared" si="0"/>
        <v>2.1645021645021467E-3</v>
      </c>
      <c r="AT49" s="4">
        <f t="shared" si="1"/>
        <v>2.9049295774647987E-2</v>
      </c>
      <c r="AU49" s="4">
        <f t="shared" si="2"/>
        <v>1.825127334465193E-2</v>
      </c>
      <c r="AV49" s="4">
        <f t="shared" si="3"/>
        <v>3.4217279726260763E-3</v>
      </c>
      <c r="AW49" s="4">
        <f t="shared" si="4"/>
        <v>1.3912310286677831E-2</v>
      </c>
      <c r="AX49" s="4">
        <f t="shared" si="5"/>
        <v>2.6826248452331836E-2</v>
      </c>
      <c r="AY49" s="4">
        <f t="shared" si="6"/>
        <v>9.3896713615023719E-3</v>
      </c>
      <c r="AZ49" s="4">
        <f t="shared" si="7"/>
        <v>6.7756078118772489E-3</v>
      </c>
      <c r="BA49" s="4">
        <f t="shared" si="8"/>
        <v>8.8888888888888351E-3</v>
      </c>
      <c r="BB49" s="4">
        <f t="shared" si="9"/>
        <v>2.8779894608836676E-2</v>
      </c>
      <c r="BC49" s="4">
        <f t="shared" si="10"/>
        <v>2.3743569449941049E-3</v>
      </c>
      <c r="BD49" s="4">
        <f t="shared" si="11"/>
        <v>5.8411214953271173E-3</v>
      </c>
      <c r="BE49" s="4">
        <f t="shared" si="12"/>
        <v>2.1982259930582337E-2</v>
      </c>
      <c r="BF49" s="4">
        <f t="shared" si="13"/>
        <v>1.0695187165775444E-2</v>
      </c>
      <c r="BG49" s="4">
        <f t="shared" si="14"/>
        <v>3.5995500562429728E-2</v>
      </c>
      <c r="BH49" s="4">
        <f t="shared" si="15"/>
        <v>2.7677929547088365E-2</v>
      </c>
      <c r="BI49" s="4">
        <f t="shared" si="16"/>
        <v>5.0450450450449935E-3</v>
      </c>
      <c r="BJ49" s="4">
        <f t="shared" si="17"/>
        <v>4.3731778425655232E-3</v>
      </c>
      <c r="BK49" s="4">
        <f t="shared" si="18"/>
        <v>8.4033613445377853E-3</v>
      </c>
      <c r="BL49" s="4">
        <f t="shared" si="19"/>
        <v>1.263470828688229E-2</v>
      </c>
      <c r="BM49" s="4">
        <f t="shared" si="24"/>
        <v>1.3453739014515853E-2</v>
      </c>
      <c r="BN49" s="9">
        <f t="shared" si="25"/>
        <v>13636.020058440312</v>
      </c>
      <c r="BO49" s="10">
        <f t="shared" si="26"/>
        <v>13145.728927631577</v>
      </c>
      <c r="BP49">
        <v>13820</v>
      </c>
      <c r="BQ49">
        <v>13840</v>
      </c>
      <c r="BR49">
        <v>13815</v>
      </c>
      <c r="BS49">
        <v>13815</v>
      </c>
      <c r="BT49">
        <v>68652</v>
      </c>
      <c r="BU49" s="13">
        <f t="shared" si="20"/>
        <v>13823.333333333334</v>
      </c>
      <c r="BV49" s="13">
        <f t="shared" si="21"/>
        <v>948999480</v>
      </c>
      <c r="BW49" s="13">
        <f>SUM($BV$3:BV49)</f>
        <v>121342882785.00003</v>
      </c>
      <c r="BX49" s="13">
        <f>SUM($BT$3:BT49)</f>
        <v>8912569</v>
      </c>
      <c r="BY49" s="3">
        <f t="shared" si="22"/>
        <v>13614.804304460367</v>
      </c>
    </row>
    <row r="50" spans="1:77" x14ac:dyDescent="0.3">
      <c r="A50" s="3" t="s">
        <v>90</v>
      </c>
      <c r="B50" s="3">
        <v>11755</v>
      </c>
      <c r="C50" s="3">
        <v>11750</v>
      </c>
      <c r="D50" s="3">
        <v>11525</v>
      </c>
      <c r="E50" s="3">
        <v>11520</v>
      </c>
      <c r="F50" s="3">
        <v>11690</v>
      </c>
      <c r="G50" s="3">
        <v>11695</v>
      </c>
      <c r="H50" s="3">
        <v>11565</v>
      </c>
      <c r="I50" s="3">
        <v>11570</v>
      </c>
      <c r="J50" s="3">
        <v>11725</v>
      </c>
      <c r="K50" s="3">
        <v>11730</v>
      </c>
      <c r="L50" s="3">
        <v>12025</v>
      </c>
      <c r="M50" s="3">
        <v>12005</v>
      </c>
      <c r="N50" s="3">
        <v>12440</v>
      </c>
      <c r="O50" s="3">
        <v>12425</v>
      </c>
      <c r="P50" s="3">
        <v>12660</v>
      </c>
      <c r="Q50" s="3">
        <v>12665</v>
      </c>
      <c r="R50" s="3">
        <v>12630</v>
      </c>
      <c r="S50" s="3">
        <v>12640</v>
      </c>
      <c r="T50" s="3">
        <v>12265</v>
      </c>
      <c r="U50" s="3">
        <v>12275</v>
      </c>
      <c r="V50" s="3">
        <v>12690</v>
      </c>
      <c r="W50" s="3">
        <v>12710</v>
      </c>
      <c r="X50" s="3">
        <v>12605</v>
      </c>
      <c r="Y50" s="3">
        <v>12610</v>
      </c>
      <c r="Z50" s="3">
        <v>12775</v>
      </c>
      <c r="AA50" s="3">
        <v>12745</v>
      </c>
      <c r="AB50" s="3">
        <v>13250</v>
      </c>
      <c r="AC50" s="3">
        <v>13250</v>
      </c>
      <c r="AD50" s="3">
        <v>13230</v>
      </c>
      <c r="AE50" s="3">
        <v>13235</v>
      </c>
      <c r="AF50" s="3">
        <v>13815</v>
      </c>
      <c r="AG50" s="3">
        <v>13795</v>
      </c>
      <c r="AH50" s="3">
        <v>14300</v>
      </c>
      <c r="AI50" s="3">
        <v>14290</v>
      </c>
      <c r="AJ50" s="3">
        <v>13945</v>
      </c>
      <c r="AK50" s="3">
        <v>13970</v>
      </c>
      <c r="AL50" s="3">
        <v>13775</v>
      </c>
      <c r="AM50" s="3">
        <v>13775</v>
      </c>
      <c r="AN50" s="3">
        <v>13570</v>
      </c>
      <c r="AO50" s="3">
        <v>13560</v>
      </c>
      <c r="AP50" s="3">
        <v>13630</v>
      </c>
      <c r="AQ50" s="3">
        <v>13650</v>
      </c>
      <c r="AR50" s="4">
        <f t="shared" si="23"/>
        <v>1.9080659150043422E-2</v>
      </c>
      <c r="AS50" s="4">
        <f t="shared" si="0"/>
        <v>2.5974025974025983E-3</v>
      </c>
      <c r="AT50" s="4">
        <f t="shared" si="1"/>
        <v>2.9489436619718257E-2</v>
      </c>
      <c r="AU50" s="4">
        <f t="shared" si="2"/>
        <v>1.7826825127334467E-2</v>
      </c>
      <c r="AV50" s="4">
        <f t="shared" si="3"/>
        <v>3.4217279726260763E-3</v>
      </c>
      <c r="AW50" s="4">
        <f t="shared" si="4"/>
        <v>1.2225969645868418E-2</v>
      </c>
      <c r="AX50" s="4">
        <f t="shared" si="5"/>
        <v>2.5588113908378007E-2</v>
      </c>
      <c r="AY50" s="4">
        <f t="shared" si="6"/>
        <v>8.9984350547730463E-3</v>
      </c>
      <c r="AZ50" s="4">
        <f t="shared" si="7"/>
        <v>7.5727381426862195E-3</v>
      </c>
      <c r="BA50" s="4">
        <f t="shared" si="8"/>
        <v>8.0808080808081328E-3</v>
      </c>
      <c r="BB50" s="4">
        <f t="shared" si="9"/>
        <v>3.0401297122010451E-2</v>
      </c>
      <c r="BC50" s="4">
        <f t="shared" si="10"/>
        <v>1.9786307874950504E-3</v>
      </c>
      <c r="BD50" s="4">
        <f t="shared" si="11"/>
        <v>7.3987538940809561E-3</v>
      </c>
      <c r="BE50" s="4">
        <f t="shared" si="12"/>
        <v>2.1982259930582337E-2</v>
      </c>
      <c r="BF50" s="4">
        <f t="shared" si="13"/>
        <v>1.1077158135981646E-2</v>
      </c>
      <c r="BG50" s="4">
        <f t="shared" si="14"/>
        <v>3.4495688038995054E-2</v>
      </c>
      <c r="BH50" s="4">
        <f t="shared" si="15"/>
        <v>2.7318475916606744E-2</v>
      </c>
      <c r="BI50" s="4">
        <f t="shared" si="16"/>
        <v>6.8468468468467769E-3</v>
      </c>
      <c r="BJ50" s="4">
        <f t="shared" si="17"/>
        <v>4.0087463556850444E-3</v>
      </c>
      <c r="BK50" s="4">
        <f t="shared" si="18"/>
        <v>9.1340884179759163E-3</v>
      </c>
      <c r="BL50" s="4">
        <f t="shared" si="19"/>
        <v>1.449275362318847E-2</v>
      </c>
      <c r="BM50" s="4">
        <f t="shared" si="24"/>
        <v>1.3474254072838976E-2</v>
      </c>
      <c r="BN50" s="9">
        <f t="shared" si="25"/>
        <v>13636.296088550049</v>
      </c>
      <c r="BO50" s="10">
        <f t="shared" si="26"/>
        <v>13145.45556447942</v>
      </c>
      <c r="BP50">
        <v>13815</v>
      </c>
      <c r="BQ50">
        <v>13825</v>
      </c>
      <c r="BR50">
        <v>13790</v>
      </c>
      <c r="BS50">
        <v>13795</v>
      </c>
      <c r="BT50">
        <v>69611</v>
      </c>
      <c r="BU50" s="13">
        <f t="shared" si="20"/>
        <v>13803.333333333334</v>
      </c>
      <c r="BV50" s="13">
        <f t="shared" si="21"/>
        <v>960863836.66666675</v>
      </c>
      <c r="BW50" s="13">
        <f>SUM($BV$3:BV50)</f>
        <v>122303746621.6667</v>
      </c>
      <c r="BX50" s="13">
        <f>SUM($BT$3:BT50)</f>
        <v>8982180</v>
      </c>
      <c r="BY50" s="3">
        <f t="shared" si="22"/>
        <v>13616.265385648774</v>
      </c>
    </row>
    <row r="51" spans="1:77" x14ac:dyDescent="0.3">
      <c r="A51" s="3" t="s">
        <v>91</v>
      </c>
      <c r="B51" s="3">
        <v>11755</v>
      </c>
      <c r="C51" s="3">
        <v>11760</v>
      </c>
      <c r="D51" s="3">
        <v>11525</v>
      </c>
      <c r="E51" s="3">
        <v>11510</v>
      </c>
      <c r="F51" s="3">
        <v>11695</v>
      </c>
      <c r="G51" s="3">
        <v>11705</v>
      </c>
      <c r="H51" s="3">
        <v>11565</v>
      </c>
      <c r="I51" s="3">
        <v>11575</v>
      </c>
      <c r="J51" s="3">
        <v>11735</v>
      </c>
      <c r="K51" s="3">
        <v>11745</v>
      </c>
      <c r="L51" s="3">
        <v>12010</v>
      </c>
      <c r="M51" s="3">
        <v>12030</v>
      </c>
      <c r="N51" s="3">
        <v>12425</v>
      </c>
      <c r="O51" s="3">
        <v>12410</v>
      </c>
      <c r="P51" s="3">
        <v>12665</v>
      </c>
      <c r="Q51" s="3">
        <v>12655</v>
      </c>
      <c r="R51" s="3">
        <v>12635</v>
      </c>
      <c r="S51" s="3">
        <v>12640</v>
      </c>
      <c r="T51" s="3">
        <v>12270</v>
      </c>
      <c r="U51" s="3">
        <v>12260</v>
      </c>
      <c r="V51" s="3">
        <v>12715</v>
      </c>
      <c r="W51" s="3">
        <v>12720</v>
      </c>
      <c r="X51" s="3">
        <v>12610</v>
      </c>
      <c r="Y51" s="3">
        <v>12635</v>
      </c>
      <c r="Z51" s="3">
        <v>12745</v>
      </c>
      <c r="AA51" s="3">
        <v>12715</v>
      </c>
      <c r="AB51" s="3">
        <v>13250</v>
      </c>
      <c r="AC51" s="3">
        <v>13245</v>
      </c>
      <c r="AD51" s="3">
        <v>13230</v>
      </c>
      <c r="AE51" s="3">
        <v>13230</v>
      </c>
      <c r="AF51" s="3">
        <v>13795</v>
      </c>
      <c r="AG51" s="3">
        <v>13795</v>
      </c>
      <c r="AH51" s="3">
        <v>14290</v>
      </c>
      <c r="AI51" s="3">
        <v>14295</v>
      </c>
      <c r="AJ51" s="3">
        <v>13970</v>
      </c>
      <c r="AK51" s="3">
        <v>13970</v>
      </c>
      <c r="AL51" s="3">
        <v>13780</v>
      </c>
      <c r="AM51" s="3">
        <v>13770</v>
      </c>
      <c r="AN51" s="3">
        <v>13555</v>
      </c>
      <c r="AO51" s="3">
        <v>13565</v>
      </c>
      <c r="AP51" s="3">
        <v>13650</v>
      </c>
      <c r="AQ51" s="3">
        <v>13675</v>
      </c>
      <c r="AR51" s="4">
        <f t="shared" si="23"/>
        <v>1.9947961838681749E-2</v>
      </c>
      <c r="AS51" s="4">
        <f t="shared" si="0"/>
        <v>3.4632034632035014E-3</v>
      </c>
      <c r="AT51" s="4">
        <f t="shared" si="1"/>
        <v>3.0369718309859239E-2</v>
      </c>
      <c r="AU51" s="4">
        <f t="shared" si="2"/>
        <v>1.7402376910017003E-2</v>
      </c>
      <c r="AV51" s="4">
        <f t="shared" si="3"/>
        <v>4.7048759623609104E-3</v>
      </c>
      <c r="AW51" s="4">
        <f t="shared" si="4"/>
        <v>1.4333895446880351E-2</v>
      </c>
      <c r="AX51" s="4">
        <f t="shared" si="5"/>
        <v>2.4349979364424179E-2</v>
      </c>
      <c r="AY51" s="4">
        <f t="shared" si="6"/>
        <v>9.7809076682315865E-3</v>
      </c>
      <c r="AZ51" s="4">
        <f t="shared" si="7"/>
        <v>7.5727381426862195E-3</v>
      </c>
      <c r="BA51" s="4">
        <f t="shared" si="8"/>
        <v>9.2929292929292417E-3</v>
      </c>
      <c r="BB51" s="4">
        <f t="shared" si="9"/>
        <v>3.121199837859745E-2</v>
      </c>
      <c r="BC51" s="4">
        <f t="shared" si="10"/>
        <v>0</v>
      </c>
      <c r="BD51" s="4">
        <f t="shared" si="11"/>
        <v>9.7352024922118252E-3</v>
      </c>
      <c r="BE51" s="4">
        <f t="shared" si="12"/>
        <v>2.1596606247589634E-2</v>
      </c>
      <c r="BF51" s="4">
        <f t="shared" si="13"/>
        <v>1.0695187165775444E-2</v>
      </c>
      <c r="BG51" s="4">
        <f t="shared" si="14"/>
        <v>3.4495688038995054E-2</v>
      </c>
      <c r="BH51" s="4">
        <f t="shared" si="15"/>
        <v>2.7677929547088365E-2</v>
      </c>
      <c r="BI51" s="4">
        <f t="shared" si="16"/>
        <v>6.8468468468467769E-3</v>
      </c>
      <c r="BJ51" s="4">
        <f t="shared" si="17"/>
        <v>3.6443148688045657E-3</v>
      </c>
      <c r="BK51" s="4">
        <f t="shared" si="18"/>
        <v>8.7687248812567953E-3</v>
      </c>
      <c r="BL51" s="4">
        <f t="shared" si="19"/>
        <v>1.635079895949465E-2</v>
      </c>
      <c r="BM51" s="4">
        <f t="shared" si="24"/>
        <v>1.3893544203197614E-2</v>
      </c>
      <c r="BN51" s="9">
        <f t="shared" si="25"/>
        <v>13641.937637254023</v>
      </c>
      <c r="BO51" s="10">
        <f t="shared" si="26"/>
        <v>13139.868523492391</v>
      </c>
      <c r="BP51">
        <v>13795</v>
      </c>
      <c r="BQ51">
        <v>13805</v>
      </c>
      <c r="BR51">
        <v>13795</v>
      </c>
      <c r="BS51">
        <v>13795</v>
      </c>
      <c r="BT51">
        <v>50212</v>
      </c>
      <c r="BU51" s="13">
        <f t="shared" si="20"/>
        <v>13798.333333333334</v>
      </c>
      <c r="BV51" s="13">
        <f t="shared" si="21"/>
        <v>692841913.33333337</v>
      </c>
      <c r="BW51" s="13">
        <f>SUM($BV$3:BV51)</f>
        <v>122996588535.00003</v>
      </c>
      <c r="BX51" s="13">
        <f>SUM($BT$3:BT51)</f>
        <v>9032392</v>
      </c>
      <c r="BY51" s="3">
        <f t="shared" si="22"/>
        <v>13617.277520174061</v>
      </c>
    </row>
    <row r="52" spans="1:77" x14ac:dyDescent="0.3">
      <c r="A52" s="3" t="s">
        <v>92</v>
      </c>
      <c r="B52" s="3">
        <v>11760</v>
      </c>
      <c r="C52" s="3">
        <v>11750</v>
      </c>
      <c r="D52" s="3">
        <v>11510</v>
      </c>
      <c r="E52" s="3">
        <v>11505</v>
      </c>
      <c r="F52" s="3">
        <v>11700</v>
      </c>
      <c r="G52" s="3">
        <v>11725</v>
      </c>
      <c r="H52" s="3">
        <v>11570</v>
      </c>
      <c r="I52" s="3">
        <v>11570</v>
      </c>
      <c r="J52" s="3">
        <v>11745</v>
      </c>
      <c r="K52" s="3">
        <v>11750</v>
      </c>
      <c r="L52" s="3">
        <v>12035</v>
      </c>
      <c r="M52" s="3">
        <v>12035</v>
      </c>
      <c r="N52" s="3">
        <v>12410</v>
      </c>
      <c r="O52" s="3">
        <v>12425</v>
      </c>
      <c r="P52" s="3">
        <v>12650</v>
      </c>
      <c r="Q52" s="3">
        <v>12640</v>
      </c>
      <c r="R52" s="3">
        <v>12640</v>
      </c>
      <c r="S52" s="3">
        <v>12640</v>
      </c>
      <c r="T52" s="3">
        <v>12265</v>
      </c>
      <c r="U52" s="3">
        <v>12270</v>
      </c>
      <c r="V52" s="3">
        <v>12720</v>
      </c>
      <c r="W52" s="3">
        <v>12735</v>
      </c>
      <c r="X52" s="3">
        <v>12630</v>
      </c>
      <c r="Y52" s="3">
        <v>12645</v>
      </c>
      <c r="Z52" s="3">
        <v>12715</v>
      </c>
      <c r="AA52" s="3">
        <v>12710</v>
      </c>
      <c r="AB52" s="3">
        <v>13245</v>
      </c>
      <c r="AC52" s="3">
        <v>13260</v>
      </c>
      <c r="AD52" s="3">
        <v>13235</v>
      </c>
      <c r="AE52" s="3">
        <v>13250</v>
      </c>
      <c r="AF52" s="3">
        <v>13795</v>
      </c>
      <c r="AG52" s="3">
        <v>13765</v>
      </c>
      <c r="AH52" s="3">
        <v>14295</v>
      </c>
      <c r="AI52" s="3">
        <v>14265</v>
      </c>
      <c r="AJ52" s="3">
        <v>13970</v>
      </c>
      <c r="AK52" s="3">
        <v>13965</v>
      </c>
      <c r="AL52" s="3">
        <v>13775</v>
      </c>
      <c r="AM52" s="3">
        <v>13775</v>
      </c>
      <c r="AN52" s="3">
        <v>13565</v>
      </c>
      <c r="AO52" s="3">
        <v>13560</v>
      </c>
      <c r="AP52" s="3">
        <v>13670</v>
      </c>
      <c r="AQ52" s="3">
        <v>13645</v>
      </c>
      <c r="AR52" s="4">
        <f t="shared" si="23"/>
        <v>1.9080659150043422E-2</v>
      </c>
      <c r="AS52" s="4">
        <f t="shared" si="0"/>
        <v>3.8961038961038419E-3</v>
      </c>
      <c r="AT52" s="4">
        <f t="shared" si="1"/>
        <v>3.2130281690140761E-2</v>
      </c>
      <c r="AU52" s="4">
        <f t="shared" si="2"/>
        <v>1.7826825127334467E-2</v>
      </c>
      <c r="AV52" s="4">
        <f t="shared" si="3"/>
        <v>5.1325919589393365E-3</v>
      </c>
      <c r="AW52" s="4">
        <f t="shared" si="4"/>
        <v>1.4755480607082649E-2</v>
      </c>
      <c r="AX52" s="4">
        <f t="shared" si="5"/>
        <v>2.5588113908378007E-2</v>
      </c>
      <c r="AY52" s="4">
        <f t="shared" si="6"/>
        <v>1.0954616588419452E-2</v>
      </c>
      <c r="AZ52" s="4">
        <f t="shared" si="7"/>
        <v>7.5727381426862195E-3</v>
      </c>
      <c r="BA52" s="4">
        <f t="shared" si="8"/>
        <v>8.4848484848485395E-3</v>
      </c>
      <c r="BB52" s="4">
        <f t="shared" si="9"/>
        <v>3.2428050263477948E-2</v>
      </c>
      <c r="BC52" s="4">
        <f t="shared" si="10"/>
        <v>7.9145231499810897E-4</v>
      </c>
      <c r="BD52" s="4">
        <f t="shared" si="11"/>
        <v>1.0124610591900285E-2</v>
      </c>
      <c r="BE52" s="4">
        <f t="shared" si="12"/>
        <v>2.2753567296567745E-2</v>
      </c>
      <c r="BF52" s="4">
        <f t="shared" si="13"/>
        <v>1.2223071046600475E-2</v>
      </c>
      <c r="BG52" s="4">
        <f t="shared" si="14"/>
        <v>3.2245969253843265E-2</v>
      </c>
      <c r="BH52" s="4">
        <f t="shared" si="15"/>
        <v>2.5521207764198417E-2</v>
      </c>
      <c r="BI52" s="4">
        <f t="shared" si="16"/>
        <v>6.4864864864864202E-3</v>
      </c>
      <c r="BJ52" s="4">
        <f t="shared" si="17"/>
        <v>4.0087463556850444E-3</v>
      </c>
      <c r="BK52" s="4">
        <f t="shared" si="18"/>
        <v>9.1340884179759163E-3</v>
      </c>
      <c r="BL52" s="4">
        <f t="shared" si="19"/>
        <v>1.4121144555927057E-2</v>
      </c>
      <c r="BM52" s="4">
        <f t="shared" si="24"/>
        <v>1.4618739422676988E-2</v>
      </c>
      <c r="BN52" s="9">
        <f t="shared" si="25"/>
        <v>13651.695138932117</v>
      </c>
      <c r="BO52" s="10">
        <f t="shared" si="26"/>
        <v>13130.20529719283</v>
      </c>
      <c r="BP52">
        <v>13795</v>
      </c>
      <c r="BQ52">
        <v>13795</v>
      </c>
      <c r="BR52">
        <v>13760</v>
      </c>
      <c r="BS52">
        <v>13765</v>
      </c>
      <c r="BT52">
        <v>51999</v>
      </c>
      <c r="BU52" s="13">
        <f t="shared" si="20"/>
        <v>13773.333333333334</v>
      </c>
      <c r="BV52" s="13">
        <f t="shared" si="21"/>
        <v>716199560</v>
      </c>
      <c r="BW52" s="13">
        <f>SUM($BV$3:BV52)</f>
        <v>123712788095.00003</v>
      </c>
      <c r="BX52" s="13">
        <f>SUM($BT$3:BT52)</f>
        <v>9084391</v>
      </c>
      <c r="BY52" s="3">
        <f t="shared" si="22"/>
        <v>13618.170782719506</v>
      </c>
    </row>
    <row r="53" spans="1:77" x14ac:dyDescent="0.3">
      <c r="A53" s="3" t="s">
        <v>93</v>
      </c>
      <c r="B53" s="3">
        <v>11750</v>
      </c>
      <c r="C53" s="3">
        <v>11745</v>
      </c>
      <c r="D53" s="3">
        <v>11515</v>
      </c>
      <c r="E53" s="3">
        <v>11525</v>
      </c>
      <c r="F53" s="3">
        <v>11720</v>
      </c>
      <c r="G53" s="3">
        <v>11730</v>
      </c>
      <c r="H53" s="3">
        <v>11570</v>
      </c>
      <c r="I53" s="3">
        <v>11555</v>
      </c>
      <c r="J53" s="3">
        <v>11745</v>
      </c>
      <c r="K53" s="3">
        <v>11755</v>
      </c>
      <c r="L53" s="3">
        <v>12035</v>
      </c>
      <c r="M53" s="3">
        <v>12030</v>
      </c>
      <c r="N53" s="3">
        <v>12425</v>
      </c>
      <c r="O53" s="3">
        <v>12430</v>
      </c>
      <c r="P53" s="3">
        <v>12640</v>
      </c>
      <c r="Q53" s="3">
        <v>12660</v>
      </c>
      <c r="R53" s="3">
        <v>12640</v>
      </c>
      <c r="S53" s="3">
        <v>12645</v>
      </c>
      <c r="T53" s="3">
        <v>12265</v>
      </c>
      <c r="U53" s="3">
        <v>12290</v>
      </c>
      <c r="V53" s="3">
        <v>12740</v>
      </c>
      <c r="W53" s="3">
        <v>12760</v>
      </c>
      <c r="X53" s="3">
        <v>12640</v>
      </c>
      <c r="Y53" s="3">
        <v>12620</v>
      </c>
      <c r="Z53" s="3">
        <v>12710</v>
      </c>
      <c r="AA53" s="3">
        <v>12715</v>
      </c>
      <c r="AB53" s="3">
        <v>13260</v>
      </c>
      <c r="AC53" s="3">
        <v>13265</v>
      </c>
      <c r="AD53" s="3">
        <v>13250</v>
      </c>
      <c r="AE53" s="3">
        <v>13255</v>
      </c>
      <c r="AF53" s="3">
        <v>13765</v>
      </c>
      <c r="AG53" s="3">
        <v>13745</v>
      </c>
      <c r="AH53" s="3">
        <v>14260</v>
      </c>
      <c r="AI53" s="3">
        <v>14235</v>
      </c>
      <c r="AJ53" s="3">
        <v>13965</v>
      </c>
      <c r="AK53" s="3">
        <v>13985</v>
      </c>
      <c r="AL53" s="3">
        <v>13770</v>
      </c>
      <c r="AM53" s="3">
        <v>13780</v>
      </c>
      <c r="AN53" s="3">
        <v>13560</v>
      </c>
      <c r="AO53" s="3">
        <v>13545</v>
      </c>
      <c r="AP53" s="3">
        <v>13645</v>
      </c>
      <c r="AQ53" s="3">
        <v>13650</v>
      </c>
      <c r="AR53" s="4">
        <f t="shared" si="23"/>
        <v>1.8647007805724147E-2</v>
      </c>
      <c r="AS53" s="4">
        <f t="shared" si="0"/>
        <v>2.1645021645021467E-3</v>
      </c>
      <c r="AT53" s="4">
        <f t="shared" si="1"/>
        <v>3.2570422535211252E-2</v>
      </c>
      <c r="AU53" s="4">
        <f t="shared" si="2"/>
        <v>1.9100169779286968E-2</v>
      </c>
      <c r="AV53" s="4">
        <f t="shared" si="3"/>
        <v>5.5603079555175405E-3</v>
      </c>
      <c r="AW53" s="4">
        <f t="shared" si="4"/>
        <v>1.4333895446880351E-2</v>
      </c>
      <c r="AX53" s="4">
        <f t="shared" si="5"/>
        <v>2.6000825423029283E-2</v>
      </c>
      <c r="AY53" s="4">
        <f t="shared" si="6"/>
        <v>9.3896713615023719E-3</v>
      </c>
      <c r="AZ53" s="4">
        <f t="shared" si="7"/>
        <v>7.9713033080908158E-3</v>
      </c>
      <c r="BA53" s="4">
        <f t="shared" si="8"/>
        <v>6.8686868686869129E-3</v>
      </c>
      <c r="BB53" s="4">
        <f t="shared" si="9"/>
        <v>3.4454803404945222E-2</v>
      </c>
      <c r="BC53" s="4">
        <f t="shared" si="10"/>
        <v>1.1871784724970524E-3</v>
      </c>
      <c r="BD53" s="4">
        <f t="shared" si="11"/>
        <v>9.7352024922118252E-3</v>
      </c>
      <c r="BE53" s="4">
        <f t="shared" si="12"/>
        <v>2.3139220979560449E-2</v>
      </c>
      <c r="BF53" s="4">
        <f t="shared" si="13"/>
        <v>1.2605042016806678E-2</v>
      </c>
      <c r="BG53" s="4">
        <f t="shared" si="14"/>
        <v>3.0746156730408591E-2</v>
      </c>
      <c r="BH53" s="4">
        <f t="shared" si="15"/>
        <v>2.3364485981308469E-2</v>
      </c>
      <c r="BI53" s="4">
        <f t="shared" si="16"/>
        <v>7.927927927927847E-3</v>
      </c>
      <c r="BJ53" s="4">
        <f t="shared" si="17"/>
        <v>4.3731778425655232E-3</v>
      </c>
      <c r="BK53" s="4">
        <f t="shared" si="18"/>
        <v>1.0230179028132946E-2</v>
      </c>
      <c r="BL53" s="4">
        <f t="shared" si="19"/>
        <v>1.449275362318847E-2</v>
      </c>
      <c r="BM53" s="4">
        <f t="shared" si="24"/>
        <v>1.4648659443480634E-2</v>
      </c>
      <c r="BN53" s="9">
        <f t="shared" si="25"/>
        <v>13652.097712812032</v>
      </c>
      <c r="BO53" s="10">
        <f t="shared" si="26"/>
        <v>13129.806612915621</v>
      </c>
      <c r="BP53">
        <v>13765</v>
      </c>
      <c r="BQ53">
        <v>13775</v>
      </c>
      <c r="BR53">
        <v>13740</v>
      </c>
      <c r="BS53">
        <v>13745</v>
      </c>
      <c r="BT53">
        <v>74012</v>
      </c>
      <c r="BU53" s="13">
        <f t="shared" si="20"/>
        <v>13753.333333333334</v>
      </c>
      <c r="BV53" s="13">
        <f t="shared" si="21"/>
        <v>1017911706.6666667</v>
      </c>
      <c r="BW53" s="13">
        <f>SUM($BV$3:BV53)</f>
        <v>124730699801.6667</v>
      </c>
      <c r="BX53" s="13">
        <f>SUM($BT$3:BT53)</f>
        <v>9158403</v>
      </c>
      <c r="BY53" s="3">
        <f t="shared" si="22"/>
        <v>13619.263074759509</v>
      </c>
    </row>
    <row r="54" spans="1:77" x14ac:dyDescent="0.3">
      <c r="A54" s="3" t="s">
        <v>94</v>
      </c>
      <c r="B54" s="3">
        <v>11745</v>
      </c>
      <c r="C54" s="3">
        <v>11740</v>
      </c>
      <c r="D54" s="3">
        <v>11525</v>
      </c>
      <c r="E54" s="3">
        <v>11530</v>
      </c>
      <c r="F54" s="3">
        <v>11730</v>
      </c>
      <c r="G54" s="3">
        <v>11720</v>
      </c>
      <c r="H54" s="3">
        <v>11555</v>
      </c>
      <c r="I54" s="3">
        <v>11575</v>
      </c>
      <c r="J54" s="3">
        <v>11755</v>
      </c>
      <c r="K54" s="3">
        <v>11740</v>
      </c>
      <c r="L54" s="3">
        <v>12030</v>
      </c>
      <c r="M54" s="3">
        <v>12025</v>
      </c>
      <c r="N54" s="3">
        <v>12435</v>
      </c>
      <c r="O54" s="3">
        <v>12425</v>
      </c>
      <c r="P54" s="3">
        <v>12655</v>
      </c>
      <c r="Q54" s="3">
        <v>12645</v>
      </c>
      <c r="R54" s="3">
        <v>12650</v>
      </c>
      <c r="S54" s="3">
        <v>12655</v>
      </c>
      <c r="T54" s="3">
        <v>12295</v>
      </c>
      <c r="U54" s="3">
        <v>12305</v>
      </c>
      <c r="V54" s="3">
        <v>12760</v>
      </c>
      <c r="W54" s="3">
        <v>12740</v>
      </c>
      <c r="X54" s="3">
        <v>12625</v>
      </c>
      <c r="Y54" s="3">
        <v>12625</v>
      </c>
      <c r="Z54" s="3">
        <v>12715</v>
      </c>
      <c r="AA54" s="3">
        <v>12715</v>
      </c>
      <c r="AB54" s="3">
        <v>13270</v>
      </c>
      <c r="AC54" s="3">
        <v>13280</v>
      </c>
      <c r="AD54" s="3">
        <v>13255</v>
      </c>
      <c r="AE54" s="3">
        <v>13255</v>
      </c>
      <c r="AF54" s="3">
        <v>13750</v>
      </c>
      <c r="AG54" s="3">
        <v>13750</v>
      </c>
      <c r="AH54" s="3">
        <v>14235</v>
      </c>
      <c r="AI54" s="3">
        <v>14260</v>
      </c>
      <c r="AJ54" s="3">
        <v>13980</v>
      </c>
      <c r="AK54" s="3">
        <v>13985</v>
      </c>
      <c r="AL54" s="3">
        <v>13780</v>
      </c>
      <c r="AM54" s="3">
        <v>13795</v>
      </c>
      <c r="AN54" s="3">
        <v>13545</v>
      </c>
      <c r="AO54" s="3">
        <v>13555</v>
      </c>
      <c r="AP54" s="3">
        <v>13655</v>
      </c>
      <c r="AQ54" s="3">
        <v>13665</v>
      </c>
      <c r="AR54" s="4">
        <f t="shared" si="23"/>
        <v>1.8213356461405095E-2</v>
      </c>
      <c r="AS54" s="4">
        <f t="shared" si="0"/>
        <v>1.7316017316016952E-3</v>
      </c>
      <c r="AT54" s="4">
        <f t="shared" si="1"/>
        <v>3.1690140845070491E-2</v>
      </c>
      <c r="AU54" s="4">
        <f t="shared" si="2"/>
        <v>1.7402376910017003E-2</v>
      </c>
      <c r="AV54" s="4">
        <f t="shared" si="3"/>
        <v>4.2771599657827064E-3</v>
      </c>
      <c r="AW54" s="4">
        <f t="shared" si="4"/>
        <v>1.3912310286677831E-2</v>
      </c>
      <c r="AX54" s="4">
        <f t="shared" si="5"/>
        <v>2.5588113908378007E-2</v>
      </c>
      <c r="AY54" s="4">
        <f t="shared" si="6"/>
        <v>1.0563380281690127E-2</v>
      </c>
      <c r="AZ54" s="4">
        <f t="shared" si="7"/>
        <v>8.7684336389000084E-3</v>
      </c>
      <c r="BA54" s="4">
        <f t="shared" si="8"/>
        <v>5.656565656565693E-3</v>
      </c>
      <c r="BB54" s="4">
        <f t="shared" si="9"/>
        <v>3.2833400891771447E-2</v>
      </c>
      <c r="BC54" s="4">
        <f t="shared" si="10"/>
        <v>7.9145231499799795E-4</v>
      </c>
      <c r="BD54" s="4">
        <f t="shared" si="11"/>
        <v>9.7352024922118252E-3</v>
      </c>
      <c r="BE54" s="4">
        <f t="shared" si="12"/>
        <v>2.4296182028538338E-2</v>
      </c>
      <c r="BF54" s="4">
        <f t="shared" si="13"/>
        <v>1.2605042016806678E-2</v>
      </c>
      <c r="BG54" s="4">
        <f t="shared" si="14"/>
        <v>3.1121109861267371E-2</v>
      </c>
      <c r="BH54" s="4">
        <f t="shared" si="15"/>
        <v>2.5161754133716796E-2</v>
      </c>
      <c r="BI54" s="4">
        <f t="shared" si="16"/>
        <v>7.927927927927847E-3</v>
      </c>
      <c r="BJ54" s="4">
        <f t="shared" si="17"/>
        <v>5.4664723032069595E-3</v>
      </c>
      <c r="BK54" s="4">
        <f t="shared" si="18"/>
        <v>9.4994519546949263E-3</v>
      </c>
      <c r="BL54" s="4">
        <f t="shared" si="19"/>
        <v>1.5607580824972045E-2</v>
      </c>
      <c r="BM54" s="4">
        <f t="shared" si="24"/>
        <v>1.4275097354929276E-2</v>
      </c>
      <c r="BN54" s="9">
        <f t="shared" si="25"/>
        <v>13647.071434910573</v>
      </c>
      <c r="BO54" s="10">
        <f t="shared" si="26"/>
        <v>13134.784327745567</v>
      </c>
      <c r="BP54">
        <v>13750</v>
      </c>
      <c r="BQ54">
        <v>13760</v>
      </c>
      <c r="BR54">
        <v>13730</v>
      </c>
      <c r="BS54">
        <v>13750</v>
      </c>
      <c r="BT54">
        <v>67199</v>
      </c>
      <c r="BU54" s="13">
        <f t="shared" si="20"/>
        <v>13746.666666666666</v>
      </c>
      <c r="BV54" s="13">
        <f t="shared" si="21"/>
        <v>923762253.33333325</v>
      </c>
      <c r="BW54" s="13">
        <f>SUM($BV$3:BV54)</f>
        <v>125654462055.00003</v>
      </c>
      <c r="BX54" s="13">
        <f>SUM($BT$3:BT54)</f>
        <v>9225602</v>
      </c>
      <c r="BY54" s="3">
        <f t="shared" si="22"/>
        <v>13620.191078587612</v>
      </c>
    </row>
    <row r="55" spans="1:77" x14ac:dyDescent="0.3">
      <c r="A55" s="3" t="s">
        <v>95</v>
      </c>
      <c r="B55" s="3">
        <v>11740</v>
      </c>
      <c r="C55" s="3">
        <v>11740</v>
      </c>
      <c r="D55" s="3">
        <v>11530</v>
      </c>
      <c r="E55" s="3">
        <v>11535</v>
      </c>
      <c r="F55" s="3">
        <v>11720</v>
      </c>
      <c r="G55" s="3">
        <v>11735</v>
      </c>
      <c r="H55" s="3">
        <v>11575</v>
      </c>
      <c r="I55" s="3">
        <v>11585</v>
      </c>
      <c r="J55" s="3">
        <v>11740</v>
      </c>
      <c r="K55" s="3">
        <v>11730</v>
      </c>
      <c r="L55" s="3">
        <v>12025</v>
      </c>
      <c r="M55" s="3">
        <v>12025</v>
      </c>
      <c r="N55" s="3">
        <v>12425</v>
      </c>
      <c r="O55" s="3">
        <v>12430</v>
      </c>
      <c r="P55" s="3">
        <v>12645</v>
      </c>
      <c r="Q55" s="3">
        <v>12655</v>
      </c>
      <c r="R55" s="3">
        <v>12655</v>
      </c>
      <c r="S55" s="3">
        <v>12655</v>
      </c>
      <c r="T55" s="3">
        <v>12310</v>
      </c>
      <c r="U55" s="3">
        <v>12305</v>
      </c>
      <c r="V55" s="3">
        <v>12740</v>
      </c>
      <c r="W55" s="3">
        <v>12755</v>
      </c>
      <c r="X55" s="3">
        <v>12620</v>
      </c>
      <c r="Y55" s="3">
        <v>12640</v>
      </c>
      <c r="Z55" s="3">
        <v>12715</v>
      </c>
      <c r="AA55" s="3">
        <v>12700</v>
      </c>
      <c r="AB55" s="3">
        <v>13280</v>
      </c>
      <c r="AC55" s="3">
        <v>13285</v>
      </c>
      <c r="AD55" s="3">
        <v>13255</v>
      </c>
      <c r="AE55" s="3">
        <v>13260</v>
      </c>
      <c r="AF55" s="3">
        <v>13750</v>
      </c>
      <c r="AG55" s="3">
        <v>13775</v>
      </c>
      <c r="AH55" s="3">
        <v>14260</v>
      </c>
      <c r="AI55" s="3">
        <v>14270</v>
      </c>
      <c r="AJ55" s="3">
        <v>13985</v>
      </c>
      <c r="AK55" s="3">
        <v>13990</v>
      </c>
      <c r="AL55" s="3">
        <v>13795</v>
      </c>
      <c r="AM55" s="3">
        <v>13795</v>
      </c>
      <c r="AN55" s="3">
        <v>13555</v>
      </c>
      <c r="AO55" s="3">
        <v>13565</v>
      </c>
      <c r="AP55" s="3">
        <v>13665</v>
      </c>
      <c r="AQ55" s="3">
        <v>13680</v>
      </c>
      <c r="AR55" s="4">
        <f t="shared" si="23"/>
        <v>1.8213356461405095E-2</v>
      </c>
      <c r="AS55" s="4">
        <f t="shared" si="0"/>
        <v>1.2987012987012436E-3</v>
      </c>
      <c r="AT55" s="4">
        <f t="shared" si="1"/>
        <v>3.3010563380281743E-2</v>
      </c>
      <c r="AU55" s="4">
        <f t="shared" si="2"/>
        <v>1.6553480475381965E-2</v>
      </c>
      <c r="AV55" s="4">
        <f t="shared" si="3"/>
        <v>3.4217279726260763E-3</v>
      </c>
      <c r="AW55" s="4">
        <f t="shared" si="4"/>
        <v>1.3912310286677831E-2</v>
      </c>
      <c r="AX55" s="4">
        <f t="shared" si="5"/>
        <v>2.6000825423029283E-2</v>
      </c>
      <c r="AY55" s="4">
        <f t="shared" si="6"/>
        <v>9.7809076682315865E-3</v>
      </c>
      <c r="AZ55" s="4">
        <f t="shared" si="7"/>
        <v>8.7684336389000084E-3</v>
      </c>
      <c r="BA55" s="4">
        <f t="shared" si="8"/>
        <v>5.656565656565693E-3</v>
      </c>
      <c r="BB55" s="4">
        <f t="shared" si="9"/>
        <v>3.4049452776651723E-2</v>
      </c>
      <c r="BC55" s="4">
        <f t="shared" si="10"/>
        <v>3.9572615749894346E-4</v>
      </c>
      <c r="BD55" s="4">
        <f t="shared" si="11"/>
        <v>1.0903426791277204E-2</v>
      </c>
      <c r="BE55" s="4">
        <f t="shared" si="12"/>
        <v>2.4681835711531042E-2</v>
      </c>
      <c r="BF55" s="4">
        <f t="shared" si="13"/>
        <v>1.298701298701288E-2</v>
      </c>
      <c r="BG55" s="4">
        <f t="shared" si="14"/>
        <v>3.2995875515560602E-2</v>
      </c>
      <c r="BH55" s="4">
        <f t="shared" si="15"/>
        <v>2.5880661394680038E-2</v>
      </c>
      <c r="BI55" s="4">
        <f t="shared" si="16"/>
        <v>8.2882882882882036E-3</v>
      </c>
      <c r="BJ55" s="4">
        <f t="shared" si="17"/>
        <v>5.4664723032069595E-3</v>
      </c>
      <c r="BK55" s="4">
        <f t="shared" si="18"/>
        <v>8.7687248812567953E-3</v>
      </c>
      <c r="BL55" s="4">
        <f t="shared" si="19"/>
        <v>1.6722408026755842E-2</v>
      </c>
      <c r="BM55" s="4">
        <f t="shared" si="24"/>
        <v>1.4387212158883373E-2</v>
      </c>
      <c r="BN55" s="9">
        <f t="shared" si="25"/>
        <v>13648.579939597774</v>
      </c>
      <c r="BO55" s="10">
        <f t="shared" si="26"/>
        <v>13133.290397982879</v>
      </c>
      <c r="BP55">
        <v>13750</v>
      </c>
      <c r="BQ55">
        <v>13795</v>
      </c>
      <c r="BR55">
        <v>13750</v>
      </c>
      <c r="BS55">
        <v>13775</v>
      </c>
      <c r="BT55">
        <v>70740</v>
      </c>
      <c r="BU55" s="13">
        <f t="shared" si="20"/>
        <v>13773.333333333334</v>
      </c>
      <c r="BV55" s="13">
        <f t="shared" si="21"/>
        <v>974325600</v>
      </c>
      <c r="BW55" s="13">
        <f>SUM($BV$3:BV55)</f>
        <v>126628787655.00003</v>
      </c>
      <c r="BX55" s="13">
        <f>SUM($BT$3:BT55)</f>
        <v>9296342</v>
      </c>
      <c r="BY55" s="3">
        <f t="shared" si="22"/>
        <v>13621.356406100382</v>
      </c>
    </row>
    <row r="56" spans="1:77" x14ac:dyDescent="0.3">
      <c r="A56" s="3" t="s">
        <v>96</v>
      </c>
      <c r="B56" s="3">
        <v>11740</v>
      </c>
      <c r="C56" s="3">
        <v>11730</v>
      </c>
      <c r="D56" s="3">
        <v>11530</v>
      </c>
      <c r="E56" s="3">
        <v>11525</v>
      </c>
      <c r="F56" s="3">
        <v>11735</v>
      </c>
      <c r="G56" s="3">
        <v>11705</v>
      </c>
      <c r="H56" s="3">
        <v>11580</v>
      </c>
      <c r="I56" s="3">
        <v>11590</v>
      </c>
      <c r="J56" s="3">
        <v>11725</v>
      </c>
      <c r="K56" s="3">
        <v>11725</v>
      </c>
      <c r="L56" s="3">
        <v>12025</v>
      </c>
      <c r="M56" s="3">
        <v>12020</v>
      </c>
      <c r="N56" s="3">
        <v>12430</v>
      </c>
      <c r="O56" s="3">
        <v>12450</v>
      </c>
      <c r="P56" s="3">
        <v>12660</v>
      </c>
      <c r="Q56" s="3">
        <v>12670</v>
      </c>
      <c r="R56" s="3">
        <v>12655</v>
      </c>
      <c r="S56" s="3">
        <v>12665</v>
      </c>
      <c r="T56" s="3">
        <v>12305</v>
      </c>
      <c r="U56" s="3">
        <v>12310</v>
      </c>
      <c r="V56" s="3">
        <v>12755</v>
      </c>
      <c r="W56" s="3">
        <v>12745</v>
      </c>
      <c r="X56" s="3">
        <v>12640</v>
      </c>
      <c r="Y56" s="3">
        <v>12640</v>
      </c>
      <c r="Z56" s="3">
        <v>12695</v>
      </c>
      <c r="AA56" s="3">
        <v>12715</v>
      </c>
      <c r="AB56" s="3">
        <v>13285</v>
      </c>
      <c r="AC56" s="3">
        <v>13280</v>
      </c>
      <c r="AD56" s="3">
        <v>13255</v>
      </c>
      <c r="AE56" s="3">
        <v>13265</v>
      </c>
      <c r="AF56" s="3">
        <v>13775</v>
      </c>
      <c r="AG56" s="3">
        <v>13795</v>
      </c>
      <c r="AH56" s="3">
        <v>14275</v>
      </c>
      <c r="AI56" s="3">
        <v>14265</v>
      </c>
      <c r="AJ56" s="3">
        <v>13990</v>
      </c>
      <c r="AK56" s="3">
        <v>13990</v>
      </c>
      <c r="AL56" s="3">
        <v>13795</v>
      </c>
      <c r="AM56" s="3">
        <v>13775</v>
      </c>
      <c r="AN56" s="3">
        <v>13570</v>
      </c>
      <c r="AO56" s="3">
        <v>13595</v>
      </c>
      <c r="AP56" s="3">
        <v>13675</v>
      </c>
      <c r="AQ56" s="3">
        <v>13685</v>
      </c>
      <c r="AR56" s="4">
        <f t="shared" si="23"/>
        <v>1.7346053772766767E-2</v>
      </c>
      <c r="AS56" s="4">
        <f t="shared" si="0"/>
        <v>2.1645021645021467E-3</v>
      </c>
      <c r="AT56" s="4">
        <f t="shared" si="1"/>
        <v>3.0369718309859239E-2</v>
      </c>
      <c r="AU56" s="4">
        <f t="shared" si="2"/>
        <v>1.6129032258064502E-2</v>
      </c>
      <c r="AV56" s="4">
        <f t="shared" si="3"/>
        <v>2.9940119760478723E-3</v>
      </c>
      <c r="AW56" s="4">
        <f t="shared" si="4"/>
        <v>1.3490725126475533E-2</v>
      </c>
      <c r="AX56" s="4">
        <f t="shared" si="5"/>
        <v>2.7651671481634388E-2</v>
      </c>
      <c r="AY56" s="4">
        <f t="shared" si="6"/>
        <v>8.6071987480438317E-3</v>
      </c>
      <c r="AZ56" s="4">
        <f t="shared" si="7"/>
        <v>9.5655639697089789E-3</v>
      </c>
      <c r="BA56" s="4">
        <f t="shared" si="8"/>
        <v>5.2525252525252863E-3</v>
      </c>
      <c r="BB56" s="4">
        <f t="shared" si="9"/>
        <v>3.3238751520064946E-2</v>
      </c>
      <c r="BC56" s="4">
        <f t="shared" si="10"/>
        <v>3.9572615749894346E-4</v>
      </c>
      <c r="BD56" s="4">
        <f t="shared" si="11"/>
        <v>9.7352024922118252E-3</v>
      </c>
      <c r="BE56" s="4">
        <f t="shared" si="12"/>
        <v>2.4296182028538338E-2</v>
      </c>
      <c r="BF56" s="4">
        <f t="shared" si="13"/>
        <v>1.3368983957219305E-2</v>
      </c>
      <c r="BG56" s="4">
        <f t="shared" si="14"/>
        <v>3.4495688038995054E-2</v>
      </c>
      <c r="BH56" s="4">
        <f t="shared" si="15"/>
        <v>2.5521207764198417E-2</v>
      </c>
      <c r="BI56" s="4">
        <f t="shared" si="16"/>
        <v>8.2882882882882036E-3</v>
      </c>
      <c r="BJ56" s="4">
        <f t="shared" si="17"/>
        <v>4.0087463556850444E-3</v>
      </c>
      <c r="BK56" s="4">
        <f t="shared" si="18"/>
        <v>6.5765436609426242E-3</v>
      </c>
      <c r="BL56" s="4">
        <f t="shared" si="19"/>
        <v>1.7094017094017033E-2</v>
      </c>
      <c r="BM56" s="4">
        <f t="shared" si="24"/>
        <v>1.408998538874251E-2</v>
      </c>
      <c r="BN56" s="9">
        <f t="shared" si="25"/>
        <v>13644.580753405529</v>
      </c>
      <c r="BO56" s="10">
        <f t="shared" si="26"/>
        <v>13137.250944695006</v>
      </c>
      <c r="BP56">
        <v>13775</v>
      </c>
      <c r="BQ56">
        <v>13795</v>
      </c>
      <c r="BR56">
        <v>13775</v>
      </c>
      <c r="BS56">
        <v>13795</v>
      </c>
      <c r="BT56">
        <v>49143</v>
      </c>
      <c r="BU56" s="13">
        <f t="shared" si="20"/>
        <v>13788.333333333334</v>
      </c>
      <c r="BV56" s="13">
        <f t="shared" si="21"/>
        <v>677600065</v>
      </c>
      <c r="BW56" s="13">
        <f>SUM($BV$3:BV56)</f>
        <v>127306387720.00003</v>
      </c>
      <c r="BX56" s="13">
        <f>SUM($BT$3:BT56)</f>
        <v>9345485</v>
      </c>
      <c r="BY56" s="3">
        <f t="shared" si="22"/>
        <v>13622.234450111475</v>
      </c>
    </row>
    <row r="57" spans="1:77" x14ac:dyDescent="0.3">
      <c r="A57" s="3" t="s">
        <v>97</v>
      </c>
      <c r="B57" s="3">
        <v>11730</v>
      </c>
      <c r="C57" s="3">
        <v>11730</v>
      </c>
      <c r="D57" s="3">
        <v>11525</v>
      </c>
      <c r="E57" s="3">
        <v>11535</v>
      </c>
      <c r="F57" s="3">
        <v>11700</v>
      </c>
      <c r="G57" s="3">
        <v>11685</v>
      </c>
      <c r="H57" s="3">
        <v>11590</v>
      </c>
      <c r="I57" s="3">
        <v>11595</v>
      </c>
      <c r="J57" s="3">
        <v>11725</v>
      </c>
      <c r="K57" s="3">
        <v>11730</v>
      </c>
      <c r="L57" s="3">
        <v>12015</v>
      </c>
      <c r="M57" s="3">
        <v>12025</v>
      </c>
      <c r="N57" s="3">
        <v>12450</v>
      </c>
      <c r="O57" s="3">
        <v>12460</v>
      </c>
      <c r="P57" s="3">
        <v>12670</v>
      </c>
      <c r="Q57" s="3">
        <v>12670</v>
      </c>
      <c r="R57" s="3">
        <v>12660</v>
      </c>
      <c r="S57" s="3">
        <v>12660</v>
      </c>
      <c r="T57" s="3">
        <v>12310</v>
      </c>
      <c r="U57" s="3">
        <v>12310</v>
      </c>
      <c r="V57" s="3">
        <v>12745</v>
      </c>
      <c r="W57" s="3">
        <v>12755</v>
      </c>
      <c r="X57" s="3">
        <v>12640</v>
      </c>
      <c r="Y57" s="3">
        <v>12625</v>
      </c>
      <c r="Z57" s="3">
        <v>12720</v>
      </c>
      <c r="AA57" s="3">
        <v>12740</v>
      </c>
      <c r="AB57" s="3">
        <v>13280</v>
      </c>
      <c r="AC57" s="3">
        <v>13295</v>
      </c>
      <c r="AD57" s="3">
        <v>13260</v>
      </c>
      <c r="AE57" s="3">
        <v>13265</v>
      </c>
      <c r="AF57" s="3">
        <v>13795</v>
      </c>
      <c r="AG57" s="3">
        <v>13790</v>
      </c>
      <c r="AH57" s="3">
        <v>14260</v>
      </c>
      <c r="AI57" s="3">
        <v>14255</v>
      </c>
      <c r="AJ57" s="3">
        <v>13985</v>
      </c>
      <c r="AK57" s="3">
        <v>13980</v>
      </c>
      <c r="AL57" s="3">
        <v>13770</v>
      </c>
      <c r="AM57" s="3">
        <v>13785</v>
      </c>
      <c r="AN57" s="3">
        <v>13595</v>
      </c>
      <c r="AO57" s="3">
        <v>13595</v>
      </c>
      <c r="AP57" s="3">
        <v>13690</v>
      </c>
      <c r="AQ57" s="3">
        <v>13710</v>
      </c>
      <c r="AR57" s="4">
        <f t="shared" si="23"/>
        <v>1.7346053772766767E-2</v>
      </c>
      <c r="AS57" s="4">
        <f t="shared" si="0"/>
        <v>1.2987012987012436E-3</v>
      </c>
      <c r="AT57" s="4">
        <f t="shared" si="1"/>
        <v>2.8609154929577496E-2</v>
      </c>
      <c r="AU57" s="4">
        <f t="shared" si="2"/>
        <v>1.5704584040747038E-2</v>
      </c>
      <c r="AV57" s="4">
        <f t="shared" si="3"/>
        <v>3.4217279726260763E-3</v>
      </c>
      <c r="AW57" s="4">
        <f t="shared" si="4"/>
        <v>1.3912310286677831E-2</v>
      </c>
      <c r="AX57" s="4">
        <f t="shared" si="5"/>
        <v>2.847709451093694E-2</v>
      </c>
      <c r="AY57" s="4">
        <f t="shared" si="6"/>
        <v>8.6071987480438317E-3</v>
      </c>
      <c r="AZ57" s="4">
        <f t="shared" si="7"/>
        <v>9.1669988043046047E-3</v>
      </c>
      <c r="BA57" s="4">
        <f t="shared" si="8"/>
        <v>5.2525252525252863E-3</v>
      </c>
      <c r="BB57" s="4">
        <f t="shared" si="9"/>
        <v>3.4049452776651723E-2</v>
      </c>
      <c r="BC57" s="4">
        <f t="shared" si="10"/>
        <v>7.9145231499799795E-4</v>
      </c>
      <c r="BD57" s="4">
        <f t="shared" si="11"/>
        <v>7.7881619937694158E-3</v>
      </c>
      <c r="BE57" s="4">
        <f t="shared" si="12"/>
        <v>2.5453143077516449E-2</v>
      </c>
      <c r="BF57" s="4">
        <f t="shared" si="13"/>
        <v>1.3368983957219305E-2</v>
      </c>
      <c r="BG57" s="4">
        <f t="shared" si="14"/>
        <v>3.4120734908136496E-2</v>
      </c>
      <c r="BH57" s="4">
        <f t="shared" si="15"/>
        <v>2.4802300503235175E-2</v>
      </c>
      <c r="BI57" s="4">
        <f t="shared" si="16"/>
        <v>7.5675675675674903E-3</v>
      </c>
      <c r="BJ57" s="4">
        <f t="shared" si="17"/>
        <v>4.737609329446002E-3</v>
      </c>
      <c r="BK57" s="4">
        <f t="shared" si="18"/>
        <v>6.5765436609426242E-3</v>
      </c>
      <c r="BL57" s="4">
        <f t="shared" si="19"/>
        <v>1.8952062430323213E-2</v>
      </c>
      <c r="BM57" s="4">
        <f t="shared" si="24"/>
        <v>1.3992963568878232E-2</v>
      </c>
      <c r="BN57" s="9">
        <f t="shared" si="25"/>
        <v>13643.275324819257</v>
      </c>
      <c r="BO57" s="10">
        <f t="shared" si="26"/>
        <v>13138.543760444698</v>
      </c>
      <c r="BP57">
        <v>13795</v>
      </c>
      <c r="BQ57">
        <v>13805</v>
      </c>
      <c r="BR57">
        <v>13785</v>
      </c>
      <c r="BS57">
        <v>13790</v>
      </c>
      <c r="BT57">
        <v>74767</v>
      </c>
      <c r="BU57" s="13">
        <f t="shared" si="20"/>
        <v>13793.333333333334</v>
      </c>
      <c r="BV57" s="13">
        <f t="shared" si="21"/>
        <v>1031286153.3333334</v>
      </c>
      <c r="BW57" s="13">
        <f>SUM($BV$3:BV57)</f>
        <v>128337673873.33336</v>
      </c>
      <c r="BX57" s="13">
        <f>SUM($BT$3:BT57)</f>
        <v>9420252</v>
      </c>
      <c r="BY57" s="3">
        <f t="shared" si="22"/>
        <v>13623.592433974522</v>
      </c>
    </row>
    <row r="58" spans="1:77" x14ac:dyDescent="0.3">
      <c r="A58" s="3" t="s">
        <v>98</v>
      </c>
      <c r="B58" s="3">
        <v>11730</v>
      </c>
      <c r="C58" s="3">
        <v>11745</v>
      </c>
      <c r="D58" s="3">
        <v>11530</v>
      </c>
      <c r="E58" s="3">
        <v>11540</v>
      </c>
      <c r="F58" s="3">
        <v>11685</v>
      </c>
      <c r="G58" s="3">
        <v>11695</v>
      </c>
      <c r="H58" s="3">
        <v>11600</v>
      </c>
      <c r="I58" s="3">
        <v>11605</v>
      </c>
      <c r="J58" s="3">
        <v>11735</v>
      </c>
      <c r="K58" s="3">
        <v>11730</v>
      </c>
      <c r="L58" s="3">
        <v>12030</v>
      </c>
      <c r="M58" s="3">
        <v>12020</v>
      </c>
      <c r="N58" s="3">
        <v>12455</v>
      </c>
      <c r="O58" s="3">
        <v>12470</v>
      </c>
      <c r="P58" s="3">
        <v>12665</v>
      </c>
      <c r="Q58" s="3">
        <v>12665</v>
      </c>
      <c r="R58" s="3">
        <v>12660</v>
      </c>
      <c r="S58" s="3">
        <v>12665</v>
      </c>
      <c r="T58" s="3">
        <v>12310</v>
      </c>
      <c r="U58" s="3">
        <v>12305</v>
      </c>
      <c r="V58" s="3">
        <v>12760</v>
      </c>
      <c r="W58" s="3">
        <v>12775</v>
      </c>
      <c r="X58" s="3">
        <v>12625</v>
      </c>
      <c r="Y58" s="3">
        <v>12645</v>
      </c>
      <c r="Z58" s="3">
        <v>12740</v>
      </c>
      <c r="AA58" s="3">
        <v>12730</v>
      </c>
      <c r="AB58" s="3">
        <v>13290</v>
      </c>
      <c r="AC58" s="3">
        <v>13300</v>
      </c>
      <c r="AD58" s="3">
        <v>13265</v>
      </c>
      <c r="AE58" s="3">
        <v>13265</v>
      </c>
      <c r="AF58" s="3">
        <v>13795</v>
      </c>
      <c r="AG58" s="3">
        <v>13810</v>
      </c>
      <c r="AH58" s="3">
        <v>14255</v>
      </c>
      <c r="AI58" s="3">
        <v>14240</v>
      </c>
      <c r="AJ58" s="3">
        <v>13985</v>
      </c>
      <c r="AK58" s="3">
        <v>13960</v>
      </c>
      <c r="AL58" s="3">
        <v>13785</v>
      </c>
      <c r="AM58" s="3">
        <v>13780</v>
      </c>
      <c r="AN58" s="3">
        <v>13595</v>
      </c>
      <c r="AO58" s="3">
        <v>13595</v>
      </c>
      <c r="AP58" s="3">
        <v>13710</v>
      </c>
      <c r="AQ58" s="3">
        <v>13705</v>
      </c>
      <c r="AR58" s="4">
        <f t="shared" si="23"/>
        <v>1.8647007805724147E-2</v>
      </c>
      <c r="AS58" s="4">
        <f t="shared" si="0"/>
        <v>8.658008658009031E-4</v>
      </c>
      <c r="AT58" s="4">
        <f t="shared" si="1"/>
        <v>2.9489436619718257E-2</v>
      </c>
      <c r="AU58" s="4">
        <f t="shared" si="2"/>
        <v>1.4855687606112E-2</v>
      </c>
      <c r="AV58" s="4">
        <f t="shared" si="3"/>
        <v>3.4217279726260763E-3</v>
      </c>
      <c r="AW58" s="4">
        <f t="shared" si="4"/>
        <v>1.3490725126475533E-2</v>
      </c>
      <c r="AX58" s="4">
        <f t="shared" si="5"/>
        <v>2.930251754023927E-2</v>
      </c>
      <c r="AY58" s="4">
        <f t="shared" si="6"/>
        <v>8.9984350547730463E-3</v>
      </c>
      <c r="AZ58" s="4">
        <f t="shared" si="7"/>
        <v>9.5655639697089789E-3</v>
      </c>
      <c r="BA58" s="4">
        <f t="shared" si="8"/>
        <v>5.656565656565693E-3</v>
      </c>
      <c r="BB58" s="4">
        <f t="shared" si="9"/>
        <v>3.567085528982572E-2</v>
      </c>
      <c r="BC58" s="4">
        <f t="shared" si="10"/>
        <v>7.9145231499810897E-4</v>
      </c>
      <c r="BD58" s="4">
        <f t="shared" si="11"/>
        <v>8.5669781931464462E-3</v>
      </c>
      <c r="BE58" s="4">
        <f t="shared" si="12"/>
        <v>2.5838796760509153E-2</v>
      </c>
      <c r="BF58" s="4">
        <f t="shared" si="13"/>
        <v>1.3368983957219305E-2</v>
      </c>
      <c r="BG58" s="4">
        <f t="shared" si="14"/>
        <v>3.5620547431570948E-2</v>
      </c>
      <c r="BH58" s="4">
        <f t="shared" si="15"/>
        <v>2.372393961179009E-2</v>
      </c>
      <c r="BI58" s="4">
        <f t="shared" si="16"/>
        <v>6.1261261261260636E-3</v>
      </c>
      <c r="BJ58" s="4">
        <f t="shared" si="17"/>
        <v>4.3731778425655232E-3</v>
      </c>
      <c r="BK58" s="4">
        <f t="shared" si="18"/>
        <v>6.5765436609426242E-3</v>
      </c>
      <c r="BL58" s="4">
        <f t="shared" si="19"/>
        <v>1.8580453363062022E-2</v>
      </c>
      <c r="BM58" s="4">
        <f t="shared" si="24"/>
        <v>1.427739478055132E-2</v>
      </c>
      <c r="BN58" s="9">
        <f t="shared" si="25"/>
        <v>13647.102346772317</v>
      </c>
      <c r="BO58" s="10">
        <f t="shared" si="26"/>
        <v>13134.753714549153</v>
      </c>
      <c r="BP58">
        <v>13795</v>
      </c>
      <c r="BQ58">
        <v>13815</v>
      </c>
      <c r="BR58">
        <v>13795</v>
      </c>
      <c r="BS58">
        <v>13810</v>
      </c>
      <c r="BT58">
        <v>75242</v>
      </c>
      <c r="BU58" s="13">
        <f t="shared" si="20"/>
        <v>13806.666666666666</v>
      </c>
      <c r="BV58" s="13">
        <f t="shared" si="21"/>
        <v>1038841213.3333333</v>
      </c>
      <c r="BW58" s="13">
        <f>SUM($BV$3:BV58)</f>
        <v>129376515086.66669</v>
      </c>
      <c r="BX58" s="13">
        <f>SUM($BT$3:BT58)</f>
        <v>9495494</v>
      </c>
      <c r="BY58" s="3">
        <f t="shared" si="22"/>
        <v>13625.043108517228</v>
      </c>
    </row>
    <row r="59" spans="1:77" x14ac:dyDescent="0.3">
      <c r="A59" s="3" t="s">
        <v>99</v>
      </c>
      <c r="B59" s="3">
        <v>11745</v>
      </c>
      <c r="C59" s="3">
        <v>11740</v>
      </c>
      <c r="D59" s="3">
        <v>11540</v>
      </c>
      <c r="E59" s="3">
        <v>11540</v>
      </c>
      <c r="F59" s="3">
        <v>11700</v>
      </c>
      <c r="G59" s="3">
        <v>11710</v>
      </c>
      <c r="H59" s="3">
        <v>11600</v>
      </c>
      <c r="I59" s="3">
        <v>11615</v>
      </c>
      <c r="J59" s="3">
        <v>11725</v>
      </c>
      <c r="K59" s="3">
        <v>11715</v>
      </c>
      <c r="L59" s="3">
        <v>12025</v>
      </c>
      <c r="M59" s="3">
        <v>12030</v>
      </c>
      <c r="N59" s="3">
        <v>12465</v>
      </c>
      <c r="O59" s="3">
        <v>12455</v>
      </c>
      <c r="P59" s="3">
        <v>12660</v>
      </c>
      <c r="Q59" s="3">
        <v>12650</v>
      </c>
      <c r="R59" s="3">
        <v>12665</v>
      </c>
      <c r="S59" s="3">
        <v>12660</v>
      </c>
      <c r="T59" s="3">
        <v>12305</v>
      </c>
      <c r="U59" s="3">
        <v>12300</v>
      </c>
      <c r="V59" s="3">
        <v>12775</v>
      </c>
      <c r="W59" s="3">
        <v>12780</v>
      </c>
      <c r="X59" s="3">
        <v>12645</v>
      </c>
      <c r="Y59" s="3">
        <v>12660</v>
      </c>
      <c r="Z59" s="3">
        <v>12725</v>
      </c>
      <c r="AA59" s="3">
        <v>12725</v>
      </c>
      <c r="AB59" s="3">
        <v>13300</v>
      </c>
      <c r="AC59" s="3">
        <v>13305</v>
      </c>
      <c r="AD59" s="3">
        <v>13265</v>
      </c>
      <c r="AE59" s="3">
        <v>13245</v>
      </c>
      <c r="AF59" s="3">
        <v>13810</v>
      </c>
      <c r="AG59" s="3">
        <v>13810</v>
      </c>
      <c r="AH59" s="3">
        <v>14240</v>
      </c>
      <c r="AI59" s="3">
        <v>14235</v>
      </c>
      <c r="AJ59" s="3">
        <v>13960</v>
      </c>
      <c r="AK59" s="3">
        <v>13975</v>
      </c>
      <c r="AL59" s="3">
        <v>13780</v>
      </c>
      <c r="AM59" s="3">
        <v>13770</v>
      </c>
      <c r="AN59" s="3">
        <v>13595</v>
      </c>
      <c r="AO59" s="3">
        <v>13645</v>
      </c>
      <c r="AP59" s="3">
        <v>13705</v>
      </c>
      <c r="AQ59" s="3">
        <v>13695</v>
      </c>
      <c r="AR59" s="4">
        <f t="shared" si="23"/>
        <v>1.8213356461405095E-2</v>
      </c>
      <c r="AS59" s="4">
        <f t="shared" si="0"/>
        <v>8.658008658009031E-4</v>
      </c>
      <c r="AT59" s="4">
        <f t="shared" si="1"/>
        <v>3.0809859154929509E-2</v>
      </c>
      <c r="AU59" s="4">
        <f t="shared" si="2"/>
        <v>1.4006791171477073E-2</v>
      </c>
      <c r="AV59" s="4">
        <f t="shared" si="3"/>
        <v>2.1385799828914642E-3</v>
      </c>
      <c r="AW59" s="4">
        <f t="shared" si="4"/>
        <v>1.4333895446880351E-2</v>
      </c>
      <c r="AX59" s="4">
        <f t="shared" si="5"/>
        <v>2.8064382996285664E-2</v>
      </c>
      <c r="AY59" s="4">
        <f t="shared" si="6"/>
        <v>1.0172143974960912E-2</v>
      </c>
      <c r="AZ59" s="4">
        <f t="shared" si="7"/>
        <v>9.1669988043046047E-3</v>
      </c>
      <c r="BA59" s="4">
        <f t="shared" si="8"/>
        <v>6.0606060606060996E-3</v>
      </c>
      <c r="BB59" s="4">
        <f t="shared" si="9"/>
        <v>3.607620591811922E-2</v>
      </c>
      <c r="BC59" s="4">
        <f t="shared" si="10"/>
        <v>1.9786307874951614E-3</v>
      </c>
      <c r="BD59" s="4">
        <f t="shared" si="11"/>
        <v>8.9563862928349058E-3</v>
      </c>
      <c r="BE59" s="4">
        <f t="shared" si="12"/>
        <v>2.6224450443501635E-2</v>
      </c>
      <c r="BF59" s="4">
        <f t="shared" si="13"/>
        <v>1.1841100076394273E-2</v>
      </c>
      <c r="BG59" s="4">
        <f t="shared" si="14"/>
        <v>3.5620547431570948E-2</v>
      </c>
      <c r="BH59" s="4">
        <f t="shared" si="15"/>
        <v>2.3364485981308469E-2</v>
      </c>
      <c r="BI59" s="4">
        <f t="shared" si="16"/>
        <v>7.2072072072071336E-3</v>
      </c>
      <c r="BJ59" s="4">
        <f t="shared" si="17"/>
        <v>3.6443148688045657E-3</v>
      </c>
      <c r="BK59" s="4">
        <f t="shared" si="18"/>
        <v>2.9229082937523021E-3</v>
      </c>
      <c r="BL59" s="4">
        <f t="shared" si="19"/>
        <v>1.7837235228539638E-2</v>
      </c>
      <c r="BM59" s="4">
        <f t="shared" si="24"/>
        <v>1.4335416569748698E-2</v>
      </c>
      <c r="BN59" s="9">
        <f t="shared" si="25"/>
        <v>13647.883029945968</v>
      </c>
      <c r="BO59" s="10">
        <f t="shared" si="26"/>
        <v>13133.980574208099</v>
      </c>
      <c r="BP59">
        <v>13810</v>
      </c>
      <c r="BQ59">
        <v>13815</v>
      </c>
      <c r="BR59">
        <v>13805</v>
      </c>
      <c r="BS59">
        <v>13810</v>
      </c>
      <c r="BT59">
        <v>13291</v>
      </c>
      <c r="BU59" s="13">
        <f t="shared" si="20"/>
        <v>13810</v>
      </c>
      <c r="BV59" s="13">
        <f t="shared" si="21"/>
        <v>183548710</v>
      </c>
      <c r="BW59" s="13">
        <f>SUM($BV$3:BV59)</f>
        <v>129560063796.66669</v>
      </c>
      <c r="BX59" s="13">
        <f>SUM($BT$3:BT59)</f>
        <v>9508785</v>
      </c>
      <c r="BY59" s="3">
        <f t="shared" si="22"/>
        <v>13625.301633875062</v>
      </c>
    </row>
    <row r="60" spans="1:77" x14ac:dyDescent="0.3">
      <c r="A60" s="3" t="s">
        <v>100</v>
      </c>
      <c r="B60" s="3">
        <v>11745</v>
      </c>
      <c r="C60" s="3">
        <v>11745</v>
      </c>
      <c r="D60" s="3">
        <v>11545</v>
      </c>
      <c r="E60" s="3">
        <v>11535</v>
      </c>
      <c r="F60" s="3">
        <v>11705</v>
      </c>
      <c r="G60" s="3">
        <v>11715</v>
      </c>
      <c r="H60" s="3">
        <v>11615</v>
      </c>
      <c r="I60" s="3">
        <v>11620</v>
      </c>
      <c r="J60" s="3">
        <v>11715</v>
      </c>
      <c r="K60" s="3">
        <v>11725</v>
      </c>
      <c r="L60" s="3">
        <v>12030</v>
      </c>
      <c r="M60" s="3">
        <v>12035</v>
      </c>
      <c r="N60" s="3">
        <v>12455</v>
      </c>
      <c r="O60" s="3">
        <v>12465</v>
      </c>
      <c r="P60" s="3">
        <v>12655</v>
      </c>
      <c r="Q60" s="3">
        <v>12675</v>
      </c>
      <c r="R60" s="3">
        <v>12660</v>
      </c>
      <c r="S60" s="3">
        <v>12665</v>
      </c>
      <c r="T60" s="3">
        <v>12300</v>
      </c>
      <c r="U60" s="3">
        <v>12305</v>
      </c>
      <c r="V60" s="3">
        <v>12780</v>
      </c>
      <c r="W60" s="3">
        <v>12785</v>
      </c>
      <c r="X60" s="3">
        <v>12665</v>
      </c>
      <c r="Y60" s="3">
        <v>12665</v>
      </c>
      <c r="Z60" s="3">
        <v>12720</v>
      </c>
      <c r="AA60" s="3">
        <v>12715</v>
      </c>
      <c r="AB60" s="3">
        <v>13300</v>
      </c>
      <c r="AC60" s="3">
        <v>13290</v>
      </c>
      <c r="AD60" s="3">
        <v>13240</v>
      </c>
      <c r="AE60" s="3">
        <v>13245</v>
      </c>
      <c r="AF60" s="3">
        <v>13810</v>
      </c>
      <c r="AG60" s="3">
        <v>13800</v>
      </c>
      <c r="AH60" s="3">
        <v>14240</v>
      </c>
      <c r="AI60" s="3">
        <v>14225</v>
      </c>
      <c r="AJ60" s="3">
        <v>13975</v>
      </c>
      <c r="AK60" s="3">
        <v>13970</v>
      </c>
      <c r="AL60" s="3">
        <v>13770</v>
      </c>
      <c r="AM60" s="3">
        <v>13775</v>
      </c>
      <c r="AN60" s="3">
        <v>13650</v>
      </c>
      <c r="AO60" s="3">
        <v>13650</v>
      </c>
      <c r="AP60" s="3">
        <v>13695</v>
      </c>
      <c r="AQ60" s="3">
        <v>13710</v>
      </c>
      <c r="AR60" s="4">
        <f t="shared" si="23"/>
        <v>1.8647007805724147E-2</v>
      </c>
      <c r="AS60" s="4">
        <f t="shared" si="0"/>
        <v>1.2987012987012436E-3</v>
      </c>
      <c r="AT60" s="4">
        <f t="shared" si="1"/>
        <v>3.125E-2</v>
      </c>
      <c r="AU60" s="4">
        <f t="shared" si="2"/>
        <v>1.358234295415961E-2</v>
      </c>
      <c r="AV60" s="4">
        <f t="shared" si="3"/>
        <v>2.9940119760478723E-3</v>
      </c>
      <c r="AW60" s="4">
        <f t="shared" si="4"/>
        <v>1.4755480607082649E-2</v>
      </c>
      <c r="AX60" s="4">
        <f t="shared" si="5"/>
        <v>2.8889806025588216E-2</v>
      </c>
      <c r="AY60" s="4">
        <f t="shared" si="6"/>
        <v>8.215962441314506E-3</v>
      </c>
      <c r="AZ60" s="4">
        <f t="shared" si="7"/>
        <v>9.5655639697089789E-3</v>
      </c>
      <c r="BA60" s="4">
        <f t="shared" si="8"/>
        <v>5.656565656565693E-3</v>
      </c>
      <c r="BB60" s="4">
        <f t="shared" si="9"/>
        <v>3.6481556546412719E-2</v>
      </c>
      <c r="BC60" s="4">
        <f t="shared" si="10"/>
        <v>2.3743569449941049E-3</v>
      </c>
      <c r="BD60" s="4">
        <f t="shared" si="11"/>
        <v>9.7352024922118252E-3</v>
      </c>
      <c r="BE60" s="4">
        <f t="shared" si="12"/>
        <v>2.5067489394523745E-2</v>
      </c>
      <c r="BF60" s="4">
        <f t="shared" si="13"/>
        <v>1.1841100076394273E-2</v>
      </c>
      <c r="BG60" s="4">
        <f t="shared" si="14"/>
        <v>3.4870641169853833E-2</v>
      </c>
      <c r="BH60" s="4">
        <f t="shared" si="15"/>
        <v>2.2645578720345005E-2</v>
      </c>
      <c r="BI60" s="4">
        <f t="shared" si="16"/>
        <v>6.8468468468467769E-3</v>
      </c>
      <c r="BJ60" s="4">
        <f t="shared" si="17"/>
        <v>4.0087463556850444E-3</v>
      </c>
      <c r="BK60" s="4">
        <f t="shared" si="18"/>
        <v>2.5575447570332921E-3</v>
      </c>
      <c r="BL60" s="4">
        <f t="shared" si="19"/>
        <v>1.8952062430323213E-2</v>
      </c>
      <c r="BM60" s="4">
        <f t="shared" si="24"/>
        <v>1.4407724313121817E-2</v>
      </c>
      <c r="BN60" s="9">
        <f t="shared" si="25"/>
        <v>13648.855930633054</v>
      </c>
      <c r="BO60" s="10">
        <f t="shared" si="26"/>
        <v>13133.017073527653</v>
      </c>
      <c r="BP60">
        <v>13810</v>
      </c>
      <c r="BQ60">
        <v>13820</v>
      </c>
      <c r="BR60">
        <v>13785</v>
      </c>
      <c r="BS60">
        <v>13800</v>
      </c>
      <c r="BT60">
        <v>74217</v>
      </c>
      <c r="BU60" s="13">
        <f t="shared" si="20"/>
        <v>13801.666666666666</v>
      </c>
      <c r="BV60" s="13">
        <f t="shared" si="21"/>
        <v>1024318295</v>
      </c>
      <c r="BW60" s="13">
        <f>SUM($BV$3:BV60)</f>
        <v>130584382091.66669</v>
      </c>
      <c r="BX60" s="13">
        <f>SUM($BT$3:BT60)</f>
        <v>9583002</v>
      </c>
      <c r="BY60" s="3">
        <f t="shared" si="22"/>
        <v>13626.667519391804</v>
      </c>
    </row>
    <row r="61" spans="1:77" x14ac:dyDescent="0.3">
      <c r="A61" s="3" t="s">
        <v>101</v>
      </c>
      <c r="B61" s="3">
        <v>11750</v>
      </c>
      <c r="C61" s="3">
        <v>11745</v>
      </c>
      <c r="D61" s="3">
        <v>11540</v>
      </c>
      <c r="E61" s="3">
        <v>11535</v>
      </c>
      <c r="F61" s="3">
        <v>11715</v>
      </c>
      <c r="G61" s="3">
        <v>11720</v>
      </c>
      <c r="H61" s="3">
        <v>11620</v>
      </c>
      <c r="I61" s="3">
        <v>11645</v>
      </c>
      <c r="J61" s="3">
        <v>11725</v>
      </c>
      <c r="K61" s="3">
        <v>11735</v>
      </c>
      <c r="L61" s="3">
        <v>12040</v>
      </c>
      <c r="M61" s="3">
        <v>12020</v>
      </c>
      <c r="N61" s="3">
        <v>12470</v>
      </c>
      <c r="O61" s="3">
        <v>12470</v>
      </c>
      <c r="P61" s="3">
        <v>12680</v>
      </c>
      <c r="Q61" s="3">
        <v>12680</v>
      </c>
      <c r="R61" s="3">
        <v>12665</v>
      </c>
      <c r="S61" s="3">
        <v>12665</v>
      </c>
      <c r="T61" s="3">
        <v>12310</v>
      </c>
      <c r="U61" s="3">
        <v>12325</v>
      </c>
      <c r="V61" s="3">
        <v>12785</v>
      </c>
      <c r="W61" s="3">
        <v>12790</v>
      </c>
      <c r="X61" s="3">
        <v>12660</v>
      </c>
      <c r="Y61" s="3">
        <v>12640</v>
      </c>
      <c r="Z61" s="3">
        <v>12715</v>
      </c>
      <c r="AA61" s="3">
        <v>12705</v>
      </c>
      <c r="AB61" s="3">
        <v>13290</v>
      </c>
      <c r="AC61" s="3">
        <v>13280</v>
      </c>
      <c r="AD61" s="3">
        <v>13245</v>
      </c>
      <c r="AE61" s="3">
        <v>13225</v>
      </c>
      <c r="AF61" s="3">
        <v>13795</v>
      </c>
      <c r="AG61" s="3">
        <v>13800</v>
      </c>
      <c r="AH61" s="3">
        <v>14220</v>
      </c>
      <c r="AI61" s="3">
        <v>14230</v>
      </c>
      <c r="AJ61" s="3">
        <v>13970</v>
      </c>
      <c r="AK61" s="3">
        <v>13955</v>
      </c>
      <c r="AL61" s="3">
        <v>13775</v>
      </c>
      <c r="AM61" s="3">
        <v>13750</v>
      </c>
      <c r="AN61" s="3">
        <v>13655</v>
      </c>
      <c r="AO61" s="3">
        <v>13670</v>
      </c>
      <c r="AP61" s="3">
        <v>13710</v>
      </c>
      <c r="AQ61" s="3">
        <v>13670</v>
      </c>
      <c r="AR61" s="4">
        <f t="shared" si="23"/>
        <v>1.8647007805724147E-2</v>
      </c>
      <c r="AS61" s="4">
        <f t="shared" si="0"/>
        <v>1.2987012987012436E-3</v>
      </c>
      <c r="AT61" s="4">
        <f t="shared" si="1"/>
        <v>3.1690140845070491E-2</v>
      </c>
      <c r="AU61" s="4">
        <f t="shared" si="2"/>
        <v>1.1460101867572181E-2</v>
      </c>
      <c r="AV61" s="4">
        <f t="shared" si="3"/>
        <v>3.8494439692045024E-3</v>
      </c>
      <c r="AW61" s="4">
        <f t="shared" si="4"/>
        <v>1.3490725126475533E-2</v>
      </c>
      <c r="AX61" s="4">
        <f t="shared" si="5"/>
        <v>2.930251754023927E-2</v>
      </c>
      <c r="AY61" s="4">
        <f t="shared" si="6"/>
        <v>7.8247261345852914E-3</v>
      </c>
      <c r="AZ61" s="4">
        <f t="shared" si="7"/>
        <v>9.5655639697089789E-3</v>
      </c>
      <c r="BA61" s="4">
        <f t="shared" si="8"/>
        <v>4.0404040404040664E-3</v>
      </c>
      <c r="BB61" s="4">
        <f t="shared" si="9"/>
        <v>3.6886907174706218E-2</v>
      </c>
      <c r="BC61" s="4">
        <f t="shared" si="10"/>
        <v>3.9572615749894346E-4</v>
      </c>
      <c r="BD61" s="4">
        <f t="shared" si="11"/>
        <v>1.0514018691588745E-2</v>
      </c>
      <c r="BE61" s="4">
        <f t="shared" si="12"/>
        <v>2.4296182028538338E-2</v>
      </c>
      <c r="BF61" s="4">
        <f t="shared" si="13"/>
        <v>1.0313216195569241E-2</v>
      </c>
      <c r="BG61" s="4">
        <f t="shared" si="14"/>
        <v>3.4870641169853833E-2</v>
      </c>
      <c r="BH61" s="4">
        <f t="shared" si="15"/>
        <v>2.3005032350826848E-2</v>
      </c>
      <c r="BI61" s="4">
        <f t="shared" si="16"/>
        <v>5.7657657657657069E-3</v>
      </c>
      <c r="BJ61" s="4">
        <f t="shared" si="17"/>
        <v>2.1865889212828726E-3</v>
      </c>
      <c r="BK61" s="4">
        <f t="shared" si="18"/>
        <v>1.096090610157141E-3</v>
      </c>
      <c r="BL61" s="4">
        <f t="shared" si="19"/>
        <v>1.5979189892233459E-2</v>
      </c>
      <c r="BM61" s="4">
        <f t="shared" si="24"/>
        <v>1.3923455359990218E-2</v>
      </c>
      <c r="BN61" s="9">
        <f t="shared" si="25"/>
        <v>13642.340091868669</v>
      </c>
      <c r="BO61" s="10">
        <f t="shared" si="26"/>
        <v>13139.46995732813</v>
      </c>
      <c r="BP61">
        <v>13795</v>
      </c>
      <c r="BQ61">
        <v>13800</v>
      </c>
      <c r="BR61">
        <v>13785</v>
      </c>
      <c r="BS61">
        <v>13800</v>
      </c>
      <c r="BT61">
        <v>7824</v>
      </c>
      <c r="BU61" s="13">
        <f t="shared" si="20"/>
        <v>13795</v>
      </c>
      <c r="BV61" s="13">
        <f t="shared" si="21"/>
        <v>107932080</v>
      </c>
      <c r="BW61" s="13">
        <f>SUM($BV$3:BV61)</f>
        <v>130692314171.66669</v>
      </c>
      <c r="BX61" s="13">
        <f>SUM($BT$3:BT61)</f>
        <v>9590826</v>
      </c>
      <c r="BY61" s="3">
        <f t="shared" si="22"/>
        <v>13626.804841592026</v>
      </c>
    </row>
    <row r="62" spans="1:77" x14ac:dyDescent="0.3">
      <c r="A62" s="3" t="s">
        <v>102</v>
      </c>
      <c r="B62" s="3">
        <v>11745</v>
      </c>
      <c r="C62" s="3">
        <v>11750</v>
      </c>
      <c r="D62" s="3">
        <v>11535</v>
      </c>
      <c r="E62" s="3">
        <v>11525</v>
      </c>
      <c r="F62" s="3">
        <v>11720</v>
      </c>
      <c r="G62" s="3">
        <v>11725</v>
      </c>
      <c r="H62" s="3">
        <v>11645</v>
      </c>
      <c r="I62" s="3">
        <v>11650</v>
      </c>
      <c r="J62" s="3">
        <v>11735</v>
      </c>
      <c r="K62" s="3">
        <v>11735</v>
      </c>
      <c r="L62" s="3">
        <v>12020</v>
      </c>
      <c r="M62" s="3">
        <v>12025</v>
      </c>
      <c r="N62" s="3">
        <v>12470</v>
      </c>
      <c r="O62" s="3">
        <v>12475</v>
      </c>
      <c r="P62" s="3">
        <v>12680</v>
      </c>
      <c r="Q62" s="3">
        <v>12685</v>
      </c>
      <c r="R62" s="3">
        <v>12665</v>
      </c>
      <c r="S62" s="3">
        <v>12670</v>
      </c>
      <c r="T62" s="3">
        <v>12325</v>
      </c>
      <c r="U62" s="3">
        <v>12320</v>
      </c>
      <c r="V62" s="3">
        <v>12790</v>
      </c>
      <c r="W62" s="3">
        <v>12790</v>
      </c>
      <c r="X62" s="3">
        <v>12640</v>
      </c>
      <c r="Y62" s="3">
        <v>12650</v>
      </c>
      <c r="Z62" s="3">
        <v>12700</v>
      </c>
      <c r="AA62" s="3">
        <v>12700</v>
      </c>
      <c r="AB62" s="3">
        <v>13285</v>
      </c>
      <c r="AC62" s="3">
        <v>13270</v>
      </c>
      <c r="AD62" s="3">
        <v>13230</v>
      </c>
      <c r="AE62" s="3">
        <v>13220</v>
      </c>
      <c r="AF62" s="3">
        <v>13800</v>
      </c>
      <c r="AG62" s="3">
        <v>13795</v>
      </c>
      <c r="AH62" s="3">
        <v>14235</v>
      </c>
      <c r="AI62" s="3">
        <v>14215</v>
      </c>
      <c r="AJ62" s="3">
        <v>13955</v>
      </c>
      <c r="AK62" s="3">
        <v>13980</v>
      </c>
      <c r="AL62" s="3">
        <v>13750</v>
      </c>
      <c r="AM62" s="3">
        <v>13745</v>
      </c>
      <c r="AN62" s="3">
        <v>13670</v>
      </c>
      <c r="AO62" s="3">
        <v>13660</v>
      </c>
      <c r="AP62" s="3">
        <v>13675</v>
      </c>
      <c r="AQ62" s="3">
        <v>13680</v>
      </c>
      <c r="AR62" s="4">
        <f t="shared" si="23"/>
        <v>1.9080659150043422E-2</v>
      </c>
      <c r="AS62" s="4">
        <f t="shared" si="0"/>
        <v>2.1645021645021467E-3</v>
      </c>
      <c r="AT62" s="4">
        <f t="shared" si="1"/>
        <v>3.2130281690140761E-2</v>
      </c>
      <c r="AU62" s="4">
        <f t="shared" si="2"/>
        <v>1.1035653650254718E-2</v>
      </c>
      <c r="AV62" s="4">
        <f t="shared" si="3"/>
        <v>3.8494439692045024E-3</v>
      </c>
      <c r="AW62" s="4">
        <f t="shared" si="4"/>
        <v>1.3912310286677831E-2</v>
      </c>
      <c r="AX62" s="4">
        <f t="shared" si="5"/>
        <v>2.9715229054890546E-2</v>
      </c>
      <c r="AY62" s="4">
        <f t="shared" si="6"/>
        <v>7.4334898278560768E-3</v>
      </c>
      <c r="AZ62" s="4">
        <f t="shared" si="7"/>
        <v>9.9641291351135752E-3</v>
      </c>
      <c r="BA62" s="4">
        <f t="shared" si="8"/>
        <v>4.4444444444444731E-3</v>
      </c>
      <c r="BB62" s="4">
        <f t="shared" si="9"/>
        <v>3.6886907174706218E-2</v>
      </c>
      <c r="BC62" s="4">
        <f t="shared" si="10"/>
        <v>1.1871784724970524E-3</v>
      </c>
      <c r="BD62" s="4">
        <f t="shared" si="11"/>
        <v>1.0903426791277204E-2</v>
      </c>
      <c r="BE62" s="4">
        <f t="shared" si="12"/>
        <v>2.352487466255293E-2</v>
      </c>
      <c r="BF62" s="4">
        <f t="shared" si="13"/>
        <v>9.931245225362817E-3</v>
      </c>
      <c r="BG62" s="4">
        <f t="shared" si="14"/>
        <v>3.4495688038995054E-2</v>
      </c>
      <c r="BH62" s="4">
        <f t="shared" si="15"/>
        <v>2.1926671459381764E-2</v>
      </c>
      <c r="BI62" s="4">
        <f t="shared" si="16"/>
        <v>7.5675675675674903E-3</v>
      </c>
      <c r="BJ62" s="4">
        <f t="shared" si="17"/>
        <v>1.8221574344023939E-3</v>
      </c>
      <c r="BK62" s="4">
        <f t="shared" si="18"/>
        <v>1.8268176835951611E-3</v>
      </c>
      <c r="BL62" s="4">
        <f t="shared" si="19"/>
        <v>1.6722408026755842E-2</v>
      </c>
      <c r="BM62" s="4">
        <f t="shared" si="24"/>
        <v>1.407736546782006E-2</v>
      </c>
      <c r="BN62" s="9">
        <f t="shared" si="25"/>
        <v>13644.410952369521</v>
      </c>
      <c r="BO62" s="10">
        <f t="shared" si="26"/>
        <v>13137.419105141298</v>
      </c>
      <c r="BP62">
        <v>13800</v>
      </c>
      <c r="BQ62">
        <v>13815</v>
      </c>
      <c r="BR62">
        <v>13790</v>
      </c>
      <c r="BS62">
        <v>13795</v>
      </c>
      <c r="BT62">
        <v>32127</v>
      </c>
      <c r="BU62" s="13">
        <f t="shared" si="20"/>
        <v>13800</v>
      </c>
      <c r="BV62" s="13">
        <f t="shared" si="21"/>
        <v>443352600</v>
      </c>
      <c r="BW62" s="13">
        <f>SUM($BV$3:BV62)</f>
        <v>131135666771.66669</v>
      </c>
      <c r="BX62" s="13">
        <f>SUM($BT$3:BT62)</f>
        <v>9622953</v>
      </c>
      <c r="BY62" s="3">
        <f t="shared" si="22"/>
        <v>13627.383067512299</v>
      </c>
    </row>
    <row r="63" spans="1:77" x14ac:dyDescent="0.3">
      <c r="A63" s="3" t="s">
        <v>103</v>
      </c>
      <c r="B63" s="3">
        <v>11750</v>
      </c>
      <c r="C63" s="3">
        <v>11775</v>
      </c>
      <c r="D63" s="3">
        <v>11530</v>
      </c>
      <c r="E63" s="3">
        <v>11525</v>
      </c>
      <c r="F63" s="3">
        <v>11730</v>
      </c>
      <c r="G63" s="3">
        <v>11715</v>
      </c>
      <c r="H63" s="3">
        <v>11650</v>
      </c>
      <c r="I63" s="3">
        <v>11625</v>
      </c>
      <c r="J63" s="3">
        <v>11740</v>
      </c>
      <c r="K63" s="3">
        <v>11750</v>
      </c>
      <c r="L63" s="3">
        <v>12025</v>
      </c>
      <c r="M63" s="3">
        <v>12020</v>
      </c>
      <c r="N63" s="3">
        <v>12480</v>
      </c>
      <c r="O63" s="3">
        <v>12485</v>
      </c>
      <c r="P63" s="3">
        <v>12685</v>
      </c>
      <c r="Q63" s="3">
        <v>12670</v>
      </c>
      <c r="R63" s="3">
        <v>12675</v>
      </c>
      <c r="S63" s="3">
        <v>12665</v>
      </c>
      <c r="T63" s="3">
        <v>12320</v>
      </c>
      <c r="U63" s="3">
        <v>12340</v>
      </c>
      <c r="V63" s="3">
        <v>12790</v>
      </c>
      <c r="W63" s="3">
        <v>12795</v>
      </c>
      <c r="X63" s="3">
        <v>12650</v>
      </c>
      <c r="Y63" s="3">
        <v>12645</v>
      </c>
      <c r="Z63" s="3">
        <v>12700</v>
      </c>
      <c r="AA63" s="3">
        <v>12690</v>
      </c>
      <c r="AB63" s="3">
        <v>13265</v>
      </c>
      <c r="AC63" s="3">
        <v>13295</v>
      </c>
      <c r="AD63" s="3">
        <v>13215</v>
      </c>
      <c r="AE63" s="3">
        <v>13215</v>
      </c>
      <c r="AF63" s="3">
        <v>13795</v>
      </c>
      <c r="AG63" s="3">
        <v>13825</v>
      </c>
      <c r="AH63" s="3">
        <v>14215</v>
      </c>
      <c r="AI63" s="3">
        <v>14240</v>
      </c>
      <c r="AJ63" s="3">
        <v>13975</v>
      </c>
      <c r="AK63" s="3">
        <v>13975</v>
      </c>
      <c r="AL63" s="3">
        <v>13745</v>
      </c>
      <c r="AM63" s="3">
        <v>13755</v>
      </c>
      <c r="AN63" s="3">
        <v>13670</v>
      </c>
      <c r="AO63" s="3">
        <v>13660</v>
      </c>
      <c r="AP63" s="3">
        <v>13680</v>
      </c>
      <c r="AQ63" s="3">
        <v>13675</v>
      </c>
      <c r="AR63" s="4">
        <f t="shared" si="23"/>
        <v>2.1248915871639129E-2</v>
      </c>
      <c r="AS63" s="4">
        <f t="shared" si="0"/>
        <v>2.1645021645021467E-3</v>
      </c>
      <c r="AT63" s="4">
        <f t="shared" si="1"/>
        <v>3.125E-2</v>
      </c>
      <c r="AU63" s="4">
        <f t="shared" si="2"/>
        <v>1.3157894736842146E-2</v>
      </c>
      <c r="AV63" s="4">
        <f t="shared" si="3"/>
        <v>5.1325919589393365E-3</v>
      </c>
      <c r="AW63" s="4">
        <f t="shared" si="4"/>
        <v>1.3490725126475533E-2</v>
      </c>
      <c r="AX63" s="4">
        <f t="shared" si="5"/>
        <v>3.0540652084193098E-2</v>
      </c>
      <c r="AY63" s="4">
        <f t="shared" si="6"/>
        <v>8.6071987480438317E-3</v>
      </c>
      <c r="AZ63" s="4">
        <f t="shared" si="7"/>
        <v>9.5655639697089789E-3</v>
      </c>
      <c r="BA63" s="4">
        <f t="shared" si="8"/>
        <v>2.8282828282828465E-3</v>
      </c>
      <c r="BB63" s="4">
        <f t="shared" si="9"/>
        <v>3.7292257802999496E-2</v>
      </c>
      <c r="BC63" s="4">
        <f t="shared" si="10"/>
        <v>7.9145231499810897E-4</v>
      </c>
      <c r="BD63" s="4">
        <f t="shared" si="11"/>
        <v>1.1682242990654235E-2</v>
      </c>
      <c r="BE63" s="4">
        <f t="shared" si="12"/>
        <v>2.5453143077516449E-2</v>
      </c>
      <c r="BF63" s="4">
        <f t="shared" si="13"/>
        <v>9.5492742551566145E-3</v>
      </c>
      <c r="BG63" s="4">
        <f t="shared" si="14"/>
        <v>3.6745406824147064E-2</v>
      </c>
      <c r="BH63" s="4">
        <f t="shared" si="15"/>
        <v>2.372393961179009E-2</v>
      </c>
      <c r="BI63" s="4">
        <f t="shared" si="16"/>
        <v>7.2072072072071336E-3</v>
      </c>
      <c r="BJ63" s="4">
        <f t="shared" si="17"/>
        <v>2.5510204081633514E-3</v>
      </c>
      <c r="BK63" s="4">
        <f t="shared" si="18"/>
        <v>1.8268176835951611E-3</v>
      </c>
      <c r="BL63" s="4">
        <f t="shared" si="19"/>
        <v>1.635079895949465E-2</v>
      </c>
      <c r="BM63" s="4">
        <f t="shared" si="24"/>
        <v>1.4393270147022344E-2</v>
      </c>
      <c r="BN63" s="9">
        <f t="shared" si="25"/>
        <v>13648.661449828187</v>
      </c>
      <c r="BO63" s="10">
        <f t="shared" si="26"/>
        <v>13133.209675290927</v>
      </c>
      <c r="BP63">
        <v>13795</v>
      </c>
      <c r="BQ63">
        <v>13830</v>
      </c>
      <c r="BR63">
        <v>13795</v>
      </c>
      <c r="BS63">
        <v>13825</v>
      </c>
      <c r="BT63">
        <v>68765</v>
      </c>
      <c r="BU63" s="13">
        <f t="shared" si="20"/>
        <v>13816.666666666666</v>
      </c>
      <c r="BV63" s="13">
        <f t="shared" si="21"/>
        <v>950103083.33333325</v>
      </c>
      <c r="BW63" s="13">
        <f>SUM($BV$3:BV63)</f>
        <v>132085769855.00002</v>
      </c>
      <c r="BX63" s="13">
        <f>SUM($BT$3:BT63)</f>
        <v>9691718</v>
      </c>
      <c r="BY63" s="3">
        <f t="shared" si="22"/>
        <v>13628.726078802541</v>
      </c>
    </row>
    <row r="64" spans="1:77" x14ac:dyDescent="0.3">
      <c r="A64" s="3" t="s">
        <v>104</v>
      </c>
      <c r="B64" s="3">
        <v>11775</v>
      </c>
      <c r="C64" s="3">
        <v>11775</v>
      </c>
      <c r="D64" s="3">
        <v>11530</v>
      </c>
      <c r="E64" s="3">
        <v>11525</v>
      </c>
      <c r="F64" s="3">
        <v>11725</v>
      </c>
      <c r="G64" s="3">
        <v>11720</v>
      </c>
      <c r="H64" s="3">
        <v>11625</v>
      </c>
      <c r="I64" s="3">
        <v>11625</v>
      </c>
      <c r="J64" s="3">
        <v>11750</v>
      </c>
      <c r="K64" s="3">
        <v>11735</v>
      </c>
      <c r="L64" s="3">
        <v>12015</v>
      </c>
      <c r="M64" s="3">
        <v>12030</v>
      </c>
      <c r="N64" s="3">
        <v>12490</v>
      </c>
      <c r="O64" s="3">
        <v>12490</v>
      </c>
      <c r="P64" s="3">
        <v>12670</v>
      </c>
      <c r="Q64" s="3">
        <v>12685</v>
      </c>
      <c r="R64" s="3">
        <v>12665</v>
      </c>
      <c r="S64" s="3">
        <v>12655</v>
      </c>
      <c r="T64" s="3">
        <v>12340</v>
      </c>
      <c r="U64" s="3">
        <v>12350</v>
      </c>
      <c r="V64" s="3">
        <v>12795</v>
      </c>
      <c r="W64" s="3">
        <v>12805</v>
      </c>
      <c r="X64" s="3">
        <v>12650</v>
      </c>
      <c r="Y64" s="3">
        <v>12665</v>
      </c>
      <c r="Z64" s="3">
        <v>12695</v>
      </c>
      <c r="AA64" s="3">
        <v>12670</v>
      </c>
      <c r="AB64" s="3">
        <v>13295</v>
      </c>
      <c r="AC64" s="3">
        <v>13300</v>
      </c>
      <c r="AD64" s="3">
        <v>13220</v>
      </c>
      <c r="AE64" s="3">
        <v>13220</v>
      </c>
      <c r="AF64" s="3">
        <v>13825</v>
      </c>
      <c r="AG64" s="3">
        <v>13875</v>
      </c>
      <c r="AH64" s="3">
        <v>14235</v>
      </c>
      <c r="AI64" s="3">
        <v>14220</v>
      </c>
      <c r="AJ64" s="3">
        <v>13970</v>
      </c>
      <c r="AK64" s="3">
        <v>13905</v>
      </c>
      <c r="AL64" s="3">
        <v>13755</v>
      </c>
      <c r="AM64" s="3">
        <v>13710</v>
      </c>
      <c r="AN64" s="3">
        <v>13660</v>
      </c>
      <c r="AO64" s="3">
        <v>13645</v>
      </c>
      <c r="AP64" s="3">
        <v>13680</v>
      </c>
      <c r="AQ64" s="3">
        <v>13685</v>
      </c>
      <c r="AR64" s="4">
        <f t="shared" si="23"/>
        <v>2.1248915871639129E-2</v>
      </c>
      <c r="AS64" s="4">
        <f t="shared" si="0"/>
        <v>2.1645021645021467E-3</v>
      </c>
      <c r="AT64" s="4">
        <f t="shared" si="1"/>
        <v>3.1690140845070491E-2</v>
      </c>
      <c r="AU64" s="4">
        <f t="shared" si="2"/>
        <v>1.3157894736842146E-2</v>
      </c>
      <c r="AV64" s="4">
        <f t="shared" si="3"/>
        <v>3.8494439692045024E-3</v>
      </c>
      <c r="AW64" s="4">
        <f t="shared" si="4"/>
        <v>1.4333895446880351E-2</v>
      </c>
      <c r="AX64" s="4">
        <f t="shared" si="5"/>
        <v>3.0953363598844374E-2</v>
      </c>
      <c r="AY64" s="4">
        <f t="shared" si="6"/>
        <v>7.4334898278560768E-3</v>
      </c>
      <c r="AZ64" s="4">
        <f t="shared" si="7"/>
        <v>8.7684336389000084E-3</v>
      </c>
      <c r="BA64" s="4">
        <f t="shared" si="8"/>
        <v>2.0202020202020332E-3</v>
      </c>
      <c r="BB64" s="4">
        <f t="shared" si="9"/>
        <v>3.8102959059586494E-2</v>
      </c>
      <c r="BC64" s="4">
        <f t="shared" si="10"/>
        <v>2.3743569449941049E-3</v>
      </c>
      <c r="BD64" s="4">
        <f t="shared" si="11"/>
        <v>1.3239875389408073E-2</v>
      </c>
      <c r="BE64" s="4">
        <f t="shared" si="12"/>
        <v>2.5838796760509153E-2</v>
      </c>
      <c r="BF64" s="4">
        <f t="shared" si="13"/>
        <v>9.931245225362817E-3</v>
      </c>
      <c r="BG64" s="4">
        <f t="shared" si="14"/>
        <v>4.0494938132733305E-2</v>
      </c>
      <c r="BH64" s="4">
        <f t="shared" si="15"/>
        <v>2.2286125089863384E-2</v>
      </c>
      <c r="BI64" s="4">
        <f t="shared" si="16"/>
        <v>2.1621621621621401E-3</v>
      </c>
      <c r="BJ64" s="4">
        <f t="shared" si="17"/>
        <v>7.2886297376095754E-4</v>
      </c>
      <c r="BK64" s="4">
        <f t="shared" si="18"/>
        <v>2.9229082937523021E-3</v>
      </c>
      <c r="BL64" s="4">
        <f t="shared" si="19"/>
        <v>1.7094017094017033E-2</v>
      </c>
      <c r="BM64" s="4">
        <f t="shared" si="24"/>
        <v>1.456132854486877E-2</v>
      </c>
      <c r="BN64" s="9">
        <f t="shared" si="25"/>
        <v>13650.922675571208</v>
      </c>
      <c r="BO64" s="10">
        <f t="shared" si="26"/>
        <v>13130.970297139624</v>
      </c>
      <c r="BP64">
        <v>13825</v>
      </c>
      <c r="BQ64">
        <v>13875</v>
      </c>
      <c r="BR64">
        <v>13820</v>
      </c>
      <c r="BS64">
        <v>13875</v>
      </c>
      <c r="BT64">
        <v>269336</v>
      </c>
      <c r="BU64" s="13">
        <f t="shared" si="20"/>
        <v>13856.666666666666</v>
      </c>
      <c r="BV64" s="13">
        <f t="shared" si="21"/>
        <v>3732099173.333333</v>
      </c>
      <c r="BW64" s="13">
        <f>SUM($BV$3:BV64)</f>
        <v>135817869028.33334</v>
      </c>
      <c r="BX64" s="13">
        <f>SUM($BT$3:BT64)</f>
        <v>9961054</v>
      </c>
      <c r="BY64" s="3">
        <f t="shared" si="22"/>
        <v>13634.889342868068</v>
      </c>
    </row>
    <row r="65" spans="1:77" x14ac:dyDescent="0.3">
      <c r="A65" s="3" t="s">
        <v>105</v>
      </c>
      <c r="B65" s="3">
        <v>11770</v>
      </c>
      <c r="C65" s="3">
        <v>11760</v>
      </c>
      <c r="D65" s="3">
        <v>11525</v>
      </c>
      <c r="E65" s="3">
        <v>11530</v>
      </c>
      <c r="F65" s="3">
        <v>11725</v>
      </c>
      <c r="G65" s="3">
        <v>11735</v>
      </c>
      <c r="H65" s="3">
        <v>11620</v>
      </c>
      <c r="I65" s="3">
        <v>11620</v>
      </c>
      <c r="J65" s="3">
        <v>11735</v>
      </c>
      <c r="K65" s="3">
        <v>11720</v>
      </c>
      <c r="L65" s="3">
        <v>12030</v>
      </c>
      <c r="M65" s="3">
        <v>12035</v>
      </c>
      <c r="N65" s="3">
        <v>12490</v>
      </c>
      <c r="O65" s="3">
        <v>12480</v>
      </c>
      <c r="P65" s="3">
        <v>12685</v>
      </c>
      <c r="Q65" s="3">
        <v>12700</v>
      </c>
      <c r="R65" s="3">
        <v>12655</v>
      </c>
      <c r="S65" s="3">
        <v>12650</v>
      </c>
      <c r="T65" s="3">
        <v>12350</v>
      </c>
      <c r="U65" s="3">
        <v>12350</v>
      </c>
      <c r="V65" s="3">
        <v>12805</v>
      </c>
      <c r="W65" s="3">
        <v>12805</v>
      </c>
      <c r="X65" s="3">
        <v>12665</v>
      </c>
      <c r="Y65" s="3">
        <v>12675</v>
      </c>
      <c r="Z65" s="3">
        <v>12670</v>
      </c>
      <c r="AA65" s="3">
        <v>12655</v>
      </c>
      <c r="AB65" s="3">
        <v>13305</v>
      </c>
      <c r="AC65" s="3">
        <v>13305</v>
      </c>
      <c r="AD65" s="3">
        <v>13225</v>
      </c>
      <c r="AE65" s="3">
        <v>13215</v>
      </c>
      <c r="AF65" s="3">
        <v>13875</v>
      </c>
      <c r="AG65" s="3">
        <v>13875</v>
      </c>
      <c r="AH65" s="3">
        <v>14230</v>
      </c>
      <c r="AI65" s="3">
        <v>14195</v>
      </c>
      <c r="AJ65" s="3">
        <v>13905</v>
      </c>
      <c r="AK65" s="3">
        <v>13940</v>
      </c>
      <c r="AL65" s="3">
        <v>13720</v>
      </c>
      <c r="AM65" s="3">
        <v>13725</v>
      </c>
      <c r="AN65" s="3">
        <v>13645</v>
      </c>
      <c r="AO65" s="3">
        <v>13650</v>
      </c>
      <c r="AP65" s="3">
        <v>13690</v>
      </c>
      <c r="AQ65" s="3">
        <v>13685</v>
      </c>
      <c r="AR65" s="4">
        <f t="shared" si="23"/>
        <v>1.9947961838681749E-2</v>
      </c>
      <c r="AS65" s="4">
        <f t="shared" si="0"/>
        <v>1.7316017316016952E-3</v>
      </c>
      <c r="AT65" s="4">
        <f t="shared" si="1"/>
        <v>3.3010563380281743E-2</v>
      </c>
      <c r="AU65" s="4">
        <f t="shared" si="2"/>
        <v>1.358234295415961E-2</v>
      </c>
      <c r="AV65" s="4">
        <f t="shared" si="3"/>
        <v>2.5662959794696683E-3</v>
      </c>
      <c r="AW65" s="4">
        <f t="shared" si="4"/>
        <v>1.4755480607082649E-2</v>
      </c>
      <c r="AX65" s="4">
        <f t="shared" si="5"/>
        <v>3.0127940569541822E-2</v>
      </c>
      <c r="AY65" s="4">
        <f t="shared" si="6"/>
        <v>6.2597809076682109E-3</v>
      </c>
      <c r="AZ65" s="4">
        <f t="shared" si="7"/>
        <v>8.3698684734954121E-3</v>
      </c>
      <c r="BA65" s="4">
        <f t="shared" si="8"/>
        <v>2.0202020202020332E-3</v>
      </c>
      <c r="BB65" s="4">
        <f t="shared" si="9"/>
        <v>3.8102959059586494E-2</v>
      </c>
      <c r="BC65" s="4">
        <f t="shared" si="10"/>
        <v>3.1658092599919918E-3</v>
      </c>
      <c r="BD65" s="4">
        <f t="shared" si="11"/>
        <v>1.4408099688473563E-2</v>
      </c>
      <c r="BE65" s="4">
        <f t="shared" si="12"/>
        <v>2.6224450443501635E-2</v>
      </c>
      <c r="BF65" s="4">
        <f t="shared" si="13"/>
        <v>9.5492742551566145E-3</v>
      </c>
      <c r="BG65" s="4">
        <f t="shared" si="14"/>
        <v>4.0494938132733305E-2</v>
      </c>
      <c r="BH65" s="4">
        <f t="shared" si="15"/>
        <v>2.0488856937455058E-2</v>
      </c>
      <c r="BI65" s="4">
        <f t="shared" si="16"/>
        <v>4.6846846846846368E-3</v>
      </c>
      <c r="BJ65" s="4">
        <f t="shared" si="17"/>
        <v>3.6443148688047877E-4</v>
      </c>
      <c r="BK65" s="4">
        <f t="shared" si="18"/>
        <v>2.5575447570332921E-3</v>
      </c>
      <c r="BL65" s="4">
        <f t="shared" si="19"/>
        <v>1.7094017094017033E-2</v>
      </c>
      <c r="BM65" s="4">
        <f t="shared" si="24"/>
        <v>1.456247638072951E-2</v>
      </c>
      <c r="BN65" s="9">
        <f t="shared" si="25"/>
        <v>13650.938119702716</v>
      </c>
      <c r="BO65" s="10">
        <f t="shared" si="26"/>
        <v>13130.955002226779</v>
      </c>
      <c r="BP65">
        <v>13875</v>
      </c>
      <c r="BQ65">
        <v>13890</v>
      </c>
      <c r="BR65">
        <v>13870</v>
      </c>
      <c r="BS65">
        <v>13875</v>
      </c>
      <c r="BT65">
        <v>119815</v>
      </c>
      <c r="BU65" s="13">
        <f t="shared" si="20"/>
        <v>13878.333333333334</v>
      </c>
      <c r="BV65" s="13">
        <f t="shared" si="21"/>
        <v>1662832508.3333335</v>
      </c>
      <c r="BW65" s="13">
        <f>SUM($BV$3:BV65)</f>
        <v>137480701536.66669</v>
      </c>
      <c r="BX65" s="13">
        <f>SUM($BT$3:BT65)</f>
        <v>10080869</v>
      </c>
      <c r="BY65" s="3">
        <f t="shared" si="22"/>
        <v>13637.782768198524</v>
      </c>
    </row>
    <row r="66" spans="1:77" x14ac:dyDescent="0.3">
      <c r="A66" s="3" t="s">
        <v>106</v>
      </c>
      <c r="B66" s="3">
        <v>11760</v>
      </c>
      <c r="C66" s="3">
        <v>11765</v>
      </c>
      <c r="D66" s="3">
        <v>11530</v>
      </c>
      <c r="E66" s="3">
        <v>11540</v>
      </c>
      <c r="F66" s="3">
        <v>11740</v>
      </c>
      <c r="G66" s="3">
        <v>11765</v>
      </c>
      <c r="H66" s="3">
        <v>11615</v>
      </c>
      <c r="I66" s="3">
        <v>11650</v>
      </c>
      <c r="J66" s="3">
        <v>11720</v>
      </c>
      <c r="K66" s="3">
        <v>11715</v>
      </c>
      <c r="L66" s="3">
        <v>12035</v>
      </c>
      <c r="M66" s="3">
        <v>12070</v>
      </c>
      <c r="N66" s="3">
        <v>12480</v>
      </c>
      <c r="O66" s="3">
        <v>12485</v>
      </c>
      <c r="P66" s="3">
        <v>12700</v>
      </c>
      <c r="Q66" s="3">
        <v>12685</v>
      </c>
      <c r="R66" s="3">
        <v>12650</v>
      </c>
      <c r="S66" s="3">
        <v>12655</v>
      </c>
      <c r="T66" s="3">
        <v>12355</v>
      </c>
      <c r="U66" s="3">
        <v>12375</v>
      </c>
      <c r="V66" s="3">
        <v>12810</v>
      </c>
      <c r="W66" s="3">
        <v>12805</v>
      </c>
      <c r="X66" s="3">
        <v>12675</v>
      </c>
      <c r="Y66" s="3">
        <v>12660</v>
      </c>
      <c r="Z66" s="3">
        <v>12655</v>
      </c>
      <c r="AA66" s="3">
        <v>12675</v>
      </c>
      <c r="AB66" s="3">
        <v>13305</v>
      </c>
      <c r="AC66" s="3">
        <v>13295</v>
      </c>
      <c r="AD66" s="3">
        <v>13220</v>
      </c>
      <c r="AE66" s="3">
        <v>13230</v>
      </c>
      <c r="AF66" s="3">
        <v>13875</v>
      </c>
      <c r="AG66" s="3">
        <v>13840</v>
      </c>
      <c r="AH66" s="3">
        <v>14195</v>
      </c>
      <c r="AI66" s="3">
        <v>14200</v>
      </c>
      <c r="AJ66" s="3">
        <v>13935</v>
      </c>
      <c r="AK66" s="3">
        <v>13920</v>
      </c>
      <c r="AL66" s="3">
        <v>13725</v>
      </c>
      <c r="AM66" s="3">
        <v>13730</v>
      </c>
      <c r="AN66" s="3">
        <v>13645</v>
      </c>
      <c r="AO66" s="3">
        <v>13620</v>
      </c>
      <c r="AP66" s="3">
        <v>13690</v>
      </c>
      <c r="AQ66" s="3">
        <v>13665</v>
      </c>
      <c r="AR66" s="4">
        <f t="shared" si="23"/>
        <v>2.0381613183000802E-2</v>
      </c>
      <c r="AS66" s="4">
        <f t="shared" si="0"/>
        <v>8.658008658009031E-4</v>
      </c>
      <c r="AT66" s="4">
        <f t="shared" si="1"/>
        <v>3.5651408450704247E-2</v>
      </c>
      <c r="AU66" s="4">
        <f t="shared" si="2"/>
        <v>1.1035653650254718E-2</v>
      </c>
      <c r="AV66" s="4">
        <f t="shared" si="3"/>
        <v>2.1385799828914642E-3</v>
      </c>
      <c r="AW66" s="4">
        <f t="shared" si="4"/>
        <v>1.7706576728499179E-2</v>
      </c>
      <c r="AX66" s="4">
        <f t="shared" si="5"/>
        <v>3.0540652084193098E-2</v>
      </c>
      <c r="AY66" s="4">
        <f t="shared" si="6"/>
        <v>7.4334898278560768E-3</v>
      </c>
      <c r="AZ66" s="4">
        <f t="shared" si="7"/>
        <v>8.7684336389000084E-3</v>
      </c>
      <c r="BA66" s="4">
        <f t="shared" si="8"/>
        <v>0</v>
      </c>
      <c r="BB66" s="4">
        <f t="shared" si="9"/>
        <v>3.8102959059586494E-2</v>
      </c>
      <c r="BC66" s="4">
        <f t="shared" si="10"/>
        <v>1.9786307874951614E-3</v>
      </c>
      <c r="BD66" s="4">
        <f t="shared" si="11"/>
        <v>1.2850467289719614E-2</v>
      </c>
      <c r="BE66" s="4">
        <f t="shared" si="12"/>
        <v>2.5453143077516449E-2</v>
      </c>
      <c r="BF66" s="4">
        <f t="shared" si="13"/>
        <v>1.0695187165775444E-2</v>
      </c>
      <c r="BG66" s="4">
        <f t="shared" si="14"/>
        <v>3.7870266216722959E-2</v>
      </c>
      <c r="BH66" s="4">
        <f t="shared" si="15"/>
        <v>2.0848310567936679E-2</v>
      </c>
      <c r="BI66" s="4">
        <f t="shared" si="16"/>
        <v>3.2432432432432101E-3</v>
      </c>
      <c r="BJ66" s="4">
        <f t="shared" si="17"/>
        <v>7.2886297376095754E-4</v>
      </c>
      <c r="BK66" s="4">
        <f t="shared" si="18"/>
        <v>4.7497259773474632E-3</v>
      </c>
      <c r="BL66" s="4">
        <f t="shared" si="19"/>
        <v>1.5607580824972045E-2</v>
      </c>
      <c r="BM66" s="4">
        <f t="shared" si="24"/>
        <v>1.4515784472085205E-2</v>
      </c>
      <c r="BN66" s="9">
        <f t="shared" si="25"/>
        <v>13650.309880071905</v>
      </c>
      <c r="BO66" s="10">
        <f t="shared" si="26"/>
        <v>13131.577171909465</v>
      </c>
      <c r="BP66">
        <v>13875</v>
      </c>
      <c r="BQ66">
        <v>13875</v>
      </c>
      <c r="BR66">
        <v>13840</v>
      </c>
      <c r="BS66">
        <v>13840</v>
      </c>
      <c r="BT66">
        <v>135427</v>
      </c>
      <c r="BU66" s="13">
        <f t="shared" si="20"/>
        <v>13851.666666666666</v>
      </c>
      <c r="BV66" s="13">
        <f t="shared" si="21"/>
        <v>1875889661.6666665</v>
      </c>
      <c r="BW66" s="13">
        <f>SUM($BV$3:BV66)</f>
        <v>139356591198.33334</v>
      </c>
      <c r="BX66" s="13">
        <f>SUM($BT$3:BT66)</f>
        <v>10216296</v>
      </c>
      <c r="BY66" s="3">
        <f t="shared" si="22"/>
        <v>13640.618008555482</v>
      </c>
    </row>
    <row r="67" spans="1:77" x14ac:dyDescent="0.3">
      <c r="A67" s="3" t="s">
        <v>107</v>
      </c>
      <c r="B67" s="3">
        <v>11770</v>
      </c>
      <c r="C67" s="3">
        <v>11760</v>
      </c>
      <c r="D67" s="3">
        <v>11540</v>
      </c>
      <c r="E67" s="3">
        <v>11530</v>
      </c>
      <c r="F67" s="3">
        <v>11765</v>
      </c>
      <c r="G67" s="3">
        <v>11755</v>
      </c>
      <c r="H67" s="3">
        <v>11645</v>
      </c>
      <c r="I67" s="3">
        <v>11635</v>
      </c>
      <c r="J67" s="3">
        <v>11710</v>
      </c>
      <c r="K67" s="3">
        <v>11720</v>
      </c>
      <c r="L67" s="3">
        <v>12070</v>
      </c>
      <c r="M67" s="3">
        <v>12060</v>
      </c>
      <c r="N67" s="3">
        <v>12480</v>
      </c>
      <c r="O67" s="3">
        <v>12480</v>
      </c>
      <c r="P67" s="3">
        <v>12685</v>
      </c>
      <c r="Q67" s="3">
        <v>12700</v>
      </c>
      <c r="R67" s="3">
        <v>12650</v>
      </c>
      <c r="S67" s="3">
        <v>12650</v>
      </c>
      <c r="T67" s="3">
        <v>12375</v>
      </c>
      <c r="U67" s="3">
        <v>12400</v>
      </c>
      <c r="V67" s="3">
        <v>12805</v>
      </c>
      <c r="W67" s="3">
        <v>12800</v>
      </c>
      <c r="X67" s="3">
        <v>12660</v>
      </c>
      <c r="Y67" s="3">
        <v>12635</v>
      </c>
      <c r="Z67" s="3">
        <v>12670</v>
      </c>
      <c r="AA67" s="3">
        <v>12665</v>
      </c>
      <c r="AB67" s="3">
        <v>13295</v>
      </c>
      <c r="AC67" s="3">
        <v>13285</v>
      </c>
      <c r="AD67" s="3">
        <v>13230</v>
      </c>
      <c r="AE67" s="3">
        <v>13230</v>
      </c>
      <c r="AF67" s="3">
        <v>13840</v>
      </c>
      <c r="AG67" s="3">
        <v>13855</v>
      </c>
      <c r="AH67" s="3">
        <v>14205</v>
      </c>
      <c r="AI67" s="3">
        <v>14215</v>
      </c>
      <c r="AJ67" s="3">
        <v>13920</v>
      </c>
      <c r="AK67" s="3">
        <v>13910</v>
      </c>
      <c r="AL67" s="3">
        <v>13730</v>
      </c>
      <c r="AM67" s="3">
        <v>13695</v>
      </c>
      <c r="AN67" s="3">
        <v>13615</v>
      </c>
      <c r="AO67" s="3">
        <v>13630</v>
      </c>
      <c r="AP67" s="3">
        <v>13670</v>
      </c>
      <c r="AQ67" s="3">
        <v>13660</v>
      </c>
      <c r="AR67" s="4">
        <f t="shared" si="23"/>
        <v>1.9947961838681749E-2</v>
      </c>
      <c r="AS67" s="4">
        <f t="shared" si="0"/>
        <v>1.7316017316016952E-3</v>
      </c>
      <c r="AT67" s="4">
        <f t="shared" si="1"/>
        <v>3.4771126760563487E-2</v>
      </c>
      <c r="AU67" s="4">
        <f t="shared" si="2"/>
        <v>1.2308998302207108E-2</v>
      </c>
      <c r="AV67" s="4">
        <f t="shared" si="3"/>
        <v>2.5662959794696683E-3</v>
      </c>
      <c r="AW67" s="4">
        <f t="shared" si="4"/>
        <v>1.6863406408094361E-2</v>
      </c>
      <c r="AX67" s="4">
        <f t="shared" si="5"/>
        <v>3.0127940569541822E-2</v>
      </c>
      <c r="AY67" s="4">
        <f t="shared" si="6"/>
        <v>6.2597809076682109E-3</v>
      </c>
      <c r="AZ67" s="4">
        <f t="shared" si="7"/>
        <v>8.3698684734954121E-3</v>
      </c>
      <c r="BA67" s="4">
        <f t="shared" si="8"/>
        <v>2.0202020202020332E-3</v>
      </c>
      <c r="BB67" s="4">
        <f t="shared" si="9"/>
        <v>3.7697608431292995E-2</v>
      </c>
      <c r="BC67" s="4">
        <f t="shared" si="10"/>
        <v>0</v>
      </c>
      <c r="BD67" s="4">
        <f t="shared" si="11"/>
        <v>1.3629283489096533E-2</v>
      </c>
      <c r="BE67" s="4">
        <f t="shared" si="12"/>
        <v>2.4681835711531042E-2</v>
      </c>
      <c r="BF67" s="4">
        <f t="shared" si="13"/>
        <v>1.0695187165775444E-2</v>
      </c>
      <c r="BG67" s="4">
        <f t="shared" si="14"/>
        <v>3.8995125609298853E-2</v>
      </c>
      <c r="BH67" s="4">
        <f t="shared" si="15"/>
        <v>2.1926671459381764E-2</v>
      </c>
      <c r="BI67" s="4">
        <f t="shared" si="16"/>
        <v>2.5225225225224968E-3</v>
      </c>
      <c r="BJ67" s="4">
        <f t="shared" si="17"/>
        <v>1.8221574344022828E-3</v>
      </c>
      <c r="BK67" s="4">
        <f t="shared" si="18"/>
        <v>4.0189989039094431E-3</v>
      </c>
      <c r="BL67" s="4">
        <f t="shared" si="19"/>
        <v>1.5235971757710853E-2</v>
      </c>
      <c r="BM67" s="4">
        <f t="shared" si="24"/>
        <v>1.4408795425038558E-2</v>
      </c>
      <c r="BN67" s="9">
        <f t="shared" si="25"/>
        <v>13648.870342443894</v>
      </c>
      <c r="BO67" s="10">
        <f t="shared" si="26"/>
        <v>13133.002800961362</v>
      </c>
      <c r="BP67">
        <v>13840</v>
      </c>
      <c r="BQ67">
        <v>13865</v>
      </c>
      <c r="BR67">
        <v>13815</v>
      </c>
      <c r="BS67">
        <v>13855</v>
      </c>
      <c r="BT67">
        <v>74656</v>
      </c>
      <c r="BU67" s="13">
        <f t="shared" si="20"/>
        <v>13845</v>
      </c>
      <c r="BV67" s="13">
        <f t="shared" si="21"/>
        <v>1033612320</v>
      </c>
      <c r="BW67" s="13">
        <f>SUM($BV$3:BV67)</f>
        <v>140390203518.33334</v>
      </c>
      <c r="BX67" s="13">
        <f>SUM($BT$3:BT67)</f>
        <v>10290952</v>
      </c>
      <c r="BY67" s="3">
        <f t="shared" si="22"/>
        <v>13642.10070344642</v>
      </c>
    </row>
    <row r="68" spans="1:77" x14ac:dyDescent="0.3">
      <c r="A68" s="3" t="s">
        <v>108</v>
      </c>
      <c r="B68" s="3">
        <v>11765</v>
      </c>
      <c r="C68" s="3">
        <v>11770</v>
      </c>
      <c r="D68" s="3">
        <v>11530</v>
      </c>
      <c r="E68" s="3">
        <v>11515</v>
      </c>
      <c r="F68" s="3">
        <v>11765</v>
      </c>
      <c r="G68" s="3">
        <v>11775</v>
      </c>
      <c r="H68" s="3">
        <v>11625</v>
      </c>
      <c r="I68" s="3">
        <v>11595</v>
      </c>
      <c r="J68" s="3">
        <v>11720</v>
      </c>
      <c r="K68" s="3">
        <v>11715</v>
      </c>
      <c r="L68" s="3">
        <v>12060</v>
      </c>
      <c r="M68" s="3">
        <v>12055</v>
      </c>
      <c r="N68" s="3">
        <v>12480</v>
      </c>
      <c r="O68" s="3">
        <v>12465</v>
      </c>
      <c r="P68" s="3">
        <v>12700</v>
      </c>
      <c r="Q68" s="3">
        <v>12690</v>
      </c>
      <c r="R68" s="3">
        <v>12650</v>
      </c>
      <c r="S68" s="3">
        <v>12645</v>
      </c>
      <c r="T68" s="3">
        <v>12400</v>
      </c>
      <c r="U68" s="3">
        <v>12435</v>
      </c>
      <c r="V68" s="3">
        <v>12800</v>
      </c>
      <c r="W68" s="3">
        <v>12810</v>
      </c>
      <c r="X68" s="3">
        <v>12635</v>
      </c>
      <c r="Y68" s="3">
        <v>12635</v>
      </c>
      <c r="Z68" s="3">
        <v>12660</v>
      </c>
      <c r="AA68" s="3">
        <v>12675</v>
      </c>
      <c r="AB68" s="3">
        <v>13285</v>
      </c>
      <c r="AC68" s="3">
        <v>13305</v>
      </c>
      <c r="AD68" s="3">
        <v>13230</v>
      </c>
      <c r="AE68" s="3">
        <v>13230</v>
      </c>
      <c r="AF68" s="3">
        <v>13855</v>
      </c>
      <c r="AG68" s="3">
        <v>13850</v>
      </c>
      <c r="AH68" s="3">
        <v>14215</v>
      </c>
      <c r="AI68" s="3">
        <v>14220</v>
      </c>
      <c r="AJ68" s="3">
        <v>13905</v>
      </c>
      <c r="AK68" s="3">
        <v>13920</v>
      </c>
      <c r="AL68" s="3">
        <v>13690</v>
      </c>
      <c r="AM68" s="3">
        <v>13705</v>
      </c>
      <c r="AN68" s="3">
        <v>13640</v>
      </c>
      <c r="AO68" s="3">
        <v>13640</v>
      </c>
      <c r="AP68" s="3">
        <v>13660</v>
      </c>
      <c r="AQ68" s="3">
        <v>13670</v>
      </c>
      <c r="AR68" s="4">
        <f t="shared" si="23"/>
        <v>2.0815264527320076E-2</v>
      </c>
      <c r="AS68" s="4">
        <f t="shared" ref="AS68:AS131" si="27">ABS(E68/D$3-1)</f>
        <v>3.0303030303030498E-3</v>
      </c>
      <c r="AT68" s="4">
        <f t="shared" ref="AT68:AT131" si="28">ABS(G68/F$3-1)</f>
        <v>3.6531690140845008E-2</v>
      </c>
      <c r="AU68" s="4">
        <f t="shared" ref="AU68:AU131" si="29">ABS(I68/H$3-1)</f>
        <v>1.5704584040747038E-2</v>
      </c>
      <c r="AV68" s="4">
        <f t="shared" ref="AV68:AV131" si="30">ABS(K68/J$3-1)</f>
        <v>2.1385799828914642E-3</v>
      </c>
      <c r="AW68" s="4">
        <f t="shared" ref="AW68:AW131" si="31">ABS(M68/L$3-1)</f>
        <v>1.6441821247892063E-2</v>
      </c>
      <c r="AX68" s="4">
        <f t="shared" ref="AX68:AX131" si="32">ABS(O68/N$3-1)</f>
        <v>2.8889806025588216E-2</v>
      </c>
      <c r="AY68" s="4">
        <f t="shared" ref="AY68:AY131" si="33">ABS(Q68/P$3-1)</f>
        <v>7.0422535211267512E-3</v>
      </c>
      <c r="AZ68" s="4">
        <f t="shared" ref="AZ68:AZ131" si="34">ABS(S68/R$3-1)</f>
        <v>7.9713033080908158E-3</v>
      </c>
      <c r="BA68" s="4">
        <f t="shared" ref="BA68:BA131" si="35">ABS(U68/T$3-1)</f>
        <v>4.8484848484848797E-3</v>
      </c>
      <c r="BB68" s="4">
        <f t="shared" ref="BB68:BB131" si="36">ABS(W68/V$3-1)</f>
        <v>3.8508309687879994E-2</v>
      </c>
      <c r="BC68" s="4">
        <f t="shared" ref="BC68:BC131" si="37">ABS(Y68/X$3-1)</f>
        <v>0</v>
      </c>
      <c r="BD68" s="4">
        <f t="shared" ref="BD68:BD131" si="38">ABS(AA68/Z$3-1)</f>
        <v>1.2850467289719614E-2</v>
      </c>
      <c r="BE68" s="4">
        <f t="shared" ref="BE68:BE131" si="39">ABS(AC68/AB$3-1)</f>
        <v>2.6224450443501635E-2</v>
      </c>
      <c r="BF68" s="4">
        <f t="shared" ref="BF68:BF131" si="40">ABS(AE68/AD$3-1)</f>
        <v>1.0695187165775444E-2</v>
      </c>
      <c r="BG68" s="4">
        <f t="shared" ref="BG68:BG131" si="41">ABS(AG68/AF$3-1)</f>
        <v>3.8620172478440296E-2</v>
      </c>
      <c r="BH68" s="4">
        <f t="shared" ref="BH68:BH131" si="42">ABS(AI68/AH$3-1)</f>
        <v>2.2286125089863384E-2</v>
      </c>
      <c r="BI68" s="4">
        <f t="shared" ref="BI68:BI131" si="43">ABS(AK68/AJ$3-1)</f>
        <v>3.2432432432432101E-3</v>
      </c>
      <c r="BJ68" s="4">
        <f t="shared" ref="BJ68:BJ131" si="44">ABS(AM68/AL$3-1)</f>
        <v>1.0932944606414363E-3</v>
      </c>
      <c r="BK68" s="4">
        <f t="shared" ref="BK68:BK131" si="45">ABS(AO68/AN$3-1)</f>
        <v>3.2882718304713121E-3</v>
      </c>
      <c r="BL68" s="4">
        <f t="shared" ref="BL68:BL131" si="46">ABS(AQ68/AP$3-1)</f>
        <v>1.5979189892233459E-2</v>
      </c>
      <c r="BM68" s="4">
        <f t="shared" si="24"/>
        <v>1.5062660052346142E-2</v>
      </c>
      <c r="BN68" s="9">
        <f t="shared" si="25"/>
        <v>13657.668091004318</v>
      </c>
      <c r="BO68" s="10">
        <f t="shared" si="26"/>
        <v>13124.290054802488</v>
      </c>
      <c r="BP68">
        <v>13855</v>
      </c>
      <c r="BQ68">
        <v>13865</v>
      </c>
      <c r="BR68">
        <v>13845</v>
      </c>
      <c r="BS68">
        <v>13850</v>
      </c>
      <c r="BT68">
        <v>44539</v>
      </c>
      <c r="BU68" s="13">
        <f t="shared" ref="BU68:BU131" si="47">SUM(BQ68:BS68)/3</f>
        <v>13853.333333333334</v>
      </c>
      <c r="BV68" s="13">
        <f t="shared" ref="BV68:BV131" si="48">BU68*BT68</f>
        <v>617013613.33333337</v>
      </c>
      <c r="BW68" s="13">
        <f>SUM($BV$3:BV68)</f>
        <v>141007217131.66669</v>
      </c>
      <c r="BX68" s="13">
        <f>SUM($BT$3:BT68)</f>
        <v>10335491</v>
      </c>
      <c r="BY68" s="3">
        <f t="shared" ref="BY68:BY131" si="49">BW68/BX68</f>
        <v>13643.01097370862</v>
      </c>
    </row>
    <row r="69" spans="1:77" x14ac:dyDescent="0.3">
      <c r="A69" s="3" t="s">
        <v>109</v>
      </c>
      <c r="B69" s="3">
        <v>11770</v>
      </c>
      <c r="C69" s="3">
        <v>11760</v>
      </c>
      <c r="D69" s="3">
        <v>11515</v>
      </c>
      <c r="E69" s="3">
        <v>11505</v>
      </c>
      <c r="F69" s="3">
        <v>11775</v>
      </c>
      <c r="G69" s="3">
        <v>11765</v>
      </c>
      <c r="H69" s="3">
        <v>11595</v>
      </c>
      <c r="I69" s="3">
        <v>11605</v>
      </c>
      <c r="J69" s="3">
        <v>11720</v>
      </c>
      <c r="K69" s="3">
        <v>11720</v>
      </c>
      <c r="L69" s="3">
        <v>12055</v>
      </c>
      <c r="M69" s="3">
        <v>12055</v>
      </c>
      <c r="N69" s="3">
        <v>12465</v>
      </c>
      <c r="O69" s="3">
        <v>12465</v>
      </c>
      <c r="P69" s="3">
        <v>12690</v>
      </c>
      <c r="Q69" s="3">
        <v>12675</v>
      </c>
      <c r="R69" s="3">
        <v>12645</v>
      </c>
      <c r="S69" s="3">
        <v>12625</v>
      </c>
      <c r="T69" s="3">
        <v>12435</v>
      </c>
      <c r="U69" s="3">
        <v>12415</v>
      </c>
      <c r="V69" s="3">
        <v>12815</v>
      </c>
      <c r="W69" s="3">
        <v>12810</v>
      </c>
      <c r="X69" s="3">
        <v>12635</v>
      </c>
      <c r="Y69" s="3">
        <v>12635</v>
      </c>
      <c r="Z69" s="3">
        <v>12675</v>
      </c>
      <c r="AA69" s="3">
        <v>12675</v>
      </c>
      <c r="AB69" s="3">
        <v>13305</v>
      </c>
      <c r="AC69" s="3">
        <v>13310</v>
      </c>
      <c r="AD69" s="3">
        <v>13230</v>
      </c>
      <c r="AE69" s="3">
        <v>13230</v>
      </c>
      <c r="AF69" s="3">
        <v>13850</v>
      </c>
      <c r="AG69" s="3">
        <v>13880</v>
      </c>
      <c r="AH69" s="3">
        <v>14215</v>
      </c>
      <c r="AI69" s="3">
        <v>14205</v>
      </c>
      <c r="AJ69" s="3">
        <v>13920</v>
      </c>
      <c r="AK69" s="3">
        <v>13900</v>
      </c>
      <c r="AL69" s="3">
        <v>13700</v>
      </c>
      <c r="AM69" s="3">
        <v>13695</v>
      </c>
      <c r="AN69" s="3">
        <v>13640</v>
      </c>
      <c r="AO69" s="3">
        <v>13625</v>
      </c>
      <c r="AP69" s="3">
        <v>13675</v>
      </c>
      <c r="AQ69" s="3">
        <v>13675</v>
      </c>
      <c r="AR69" s="4">
        <f t="shared" ref="AR69:AR132" si="50">ABS(C69/B$3-1)</f>
        <v>1.9947961838681749E-2</v>
      </c>
      <c r="AS69" s="4">
        <f t="shared" si="27"/>
        <v>3.8961038961038419E-3</v>
      </c>
      <c r="AT69" s="4">
        <f t="shared" si="28"/>
        <v>3.5651408450704247E-2</v>
      </c>
      <c r="AU69" s="4">
        <f t="shared" si="29"/>
        <v>1.4855687606112E-2</v>
      </c>
      <c r="AV69" s="4">
        <f t="shared" si="30"/>
        <v>2.5662959794696683E-3</v>
      </c>
      <c r="AW69" s="4">
        <f t="shared" si="31"/>
        <v>1.6441821247892063E-2</v>
      </c>
      <c r="AX69" s="4">
        <f t="shared" si="32"/>
        <v>2.8889806025588216E-2</v>
      </c>
      <c r="AY69" s="4">
        <f t="shared" si="33"/>
        <v>8.215962441314506E-3</v>
      </c>
      <c r="AZ69" s="4">
        <f t="shared" si="34"/>
        <v>6.3770426464726526E-3</v>
      </c>
      <c r="BA69" s="4">
        <f t="shared" si="35"/>
        <v>3.2323232323232531E-3</v>
      </c>
      <c r="BB69" s="4">
        <f t="shared" si="36"/>
        <v>3.8508309687879994E-2</v>
      </c>
      <c r="BC69" s="4">
        <f t="shared" si="37"/>
        <v>0</v>
      </c>
      <c r="BD69" s="4">
        <f t="shared" si="38"/>
        <v>1.2850467289719614E-2</v>
      </c>
      <c r="BE69" s="4">
        <f t="shared" si="39"/>
        <v>2.6610104126494338E-2</v>
      </c>
      <c r="BF69" s="4">
        <f t="shared" si="40"/>
        <v>1.0695187165775444E-2</v>
      </c>
      <c r="BG69" s="4">
        <f t="shared" si="41"/>
        <v>4.0869891263592084E-2</v>
      </c>
      <c r="BH69" s="4">
        <f t="shared" si="42"/>
        <v>2.12077641984183E-2</v>
      </c>
      <c r="BI69" s="4">
        <f t="shared" si="43"/>
        <v>1.8018018018017834E-3</v>
      </c>
      <c r="BJ69" s="4">
        <f t="shared" si="44"/>
        <v>1.8221574344022828E-3</v>
      </c>
      <c r="BK69" s="4">
        <f t="shared" si="45"/>
        <v>4.3843624406284532E-3</v>
      </c>
      <c r="BL69" s="4">
        <f t="shared" si="46"/>
        <v>1.635079895949465E-2</v>
      </c>
      <c r="BM69" s="4">
        <f t="shared" ref="BM69:BM132" si="51">AVERAGE(AS69:BF69)</f>
        <v>1.4913608556846416E-2</v>
      </c>
      <c r="BN69" s="9">
        <f t="shared" ref="BN69:BN132" si="52">MAX($AP$3,$AO$383)*(1+BM69)</f>
        <v>13655.662603132369</v>
      </c>
      <c r="BO69" s="10">
        <f t="shared" ref="BO69:BO132" si="53">MIN($AP$3,$AO$383)*(1-BM69)</f>
        <v>13126.276165980022</v>
      </c>
      <c r="BP69">
        <v>13850</v>
      </c>
      <c r="BQ69">
        <v>13880</v>
      </c>
      <c r="BR69">
        <v>13850</v>
      </c>
      <c r="BS69">
        <v>13880</v>
      </c>
      <c r="BT69">
        <v>63994</v>
      </c>
      <c r="BU69" s="13">
        <f t="shared" si="47"/>
        <v>13870</v>
      </c>
      <c r="BV69" s="13">
        <f t="shared" si="48"/>
        <v>887596780</v>
      </c>
      <c r="BW69" s="13">
        <f>SUM($BV$3:BV69)</f>
        <v>141894813911.66669</v>
      </c>
      <c r="BX69" s="13">
        <f>SUM($BT$3:BT69)</f>
        <v>10399485</v>
      </c>
      <c r="BY69" s="3">
        <f t="shared" si="49"/>
        <v>13644.407767467974</v>
      </c>
    </row>
    <row r="70" spans="1:77" x14ac:dyDescent="0.3">
      <c r="A70" s="3" t="s">
        <v>110</v>
      </c>
      <c r="B70" s="3">
        <v>11765</v>
      </c>
      <c r="C70" s="3">
        <v>11760</v>
      </c>
      <c r="D70" s="3">
        <v>11500</v>
      </c>
      <c r="E70" s="3">
        <v>11525</v>
      </c>
      <c r="F70" s="3">
        <v>11760</v>
      </c>
      <c r="G70" s="3">
        <v>11720</v>
      </c>
      <c r="H70" s="3">
        <v>11605</v>
      </c>
      <c r="I70" s="3">
        <v>11610</v>
      </c>
      <c r="J70" s="3">
        <v>11720</v>
      </c>
      <c r="K70" s="3">
        <v>11720</v>
      </c>
      <c r="L70" s="3">
        <v>12060</v>
      </c>
      <c r="M70" s="3">
        <v>12035</v>
      </c>
      <c r="N70" s="3">
        <v>12460</v>
      </c>
      <c r="O70" s="3">
        <v>12465</v>
      </c>
      <c r="P70" s="3">
        <v>12680</v>
      </c>
      <c r="Q70" s="3">
        <v>12690</v>
      </c>
      <c r="R70" s="3">
        <v>12625</v>
      </c>
      <c r="S70" s="3">
        <v>12590</v>
      </c>
      <c r="T70" s="3">
        <v>12420</v>
      </c>
      <c r="U70" s="3">
        <v>12400</v>
      </c>
      <c r="V70" s="3">
        <v>12810</v>
      </c>
      <c r="W70" s="3">
        <v>12825</v>
      </c>
      <c r="X70" s="3">
        <v>12640</v>
      </c>
      <c r="Y70" s="3">
        <v>12650</v>
      </c>
      <c r="Z70" s="3">
        <v>12675</v>
      </c>
      <c r="AA70" s="3">
        <v>12680</v>
      </c>
      <c r="AB70" s="3">
        <v>13310</v>
      </c>
      <c r="AC70" s="3">
        <v>13310</v>
      </c>
      <c r="AD70" s="3">
        <v>13230</v>
      </c>
      <c r="AE70" s="3">
        <v>13225</v>
      </c>
      <c r="AF70" s="3">
        <v>13875</v>
      </c>
      <c r="AG70" s="3">
        <v>13870</v>
      </c>
      <c r="AH70" s="3">
        <v>14205</v>
      </c>
      <c r="AI70" s="3">
        <v>14195</v>
      </c>
      <c r="AJ70" s="3">
        <v>13900</v>
      </c>
      <c r="AK70" s="3">
        <v>13910</v>
      </c>
      <c r="AL70" s="3">
        <v>13690</v>
      </c>
      <c r="AM70" s="3">
        <v>13655</v>
      </c>
      <c r="AN70" s="3">
        <v>13625</v>
      </c>
      <c r="AO70" s="3">
        <v>13630</v>
      </c>
      <c r="AP70" s="3">
        <v>13680</v>
      </c>
      <c r="AQ70" s="3">
        <v>13680</v>
      </c>
      <c r="AR70" s="4">
        <f t="shared" si="50"/>
        <v>1.9947961838681749E-2</v>
      </c>
      <c r="AS70" s="4">
        <f t="shared" si="27"/>
        <v>2.1645021645021467E-3</v>
      </c>
      <c r="AT70" s="4">
        <f t="shared" si="28"/>
        <v>3.1690140845070491E-2</v>
      </c>
      <c r="AU70" s="4">
        <f t="shared" si="29"/>
        <v>1.4431239388794537E-2</v>
      </c>
      <c r="AV70" s="4">
        <f t="shared" si="30"/>
        <v>2.5662959794696683E-3</v>
      </c>
      <c r="AW70" s="4">
        <f t="shared" si="31"/>
        <v>1.4755480607082649E-2</v>
      </c>
      <c r="AX70" s="4">
        <f t="shared" si="32"/>
        <v>2.8889806025588216E-2</v>
      </c>
      <c r="AY70" s="4">
        <f t="shared" si="33"/>
        <v>7.0422535211267512E-3</v>
      </c>
      <c r="AZ70" s="4">
        <f t="shared" si="34"/>
        <v>3.5870864886409226E-3</v>
      </c>
      <c r="BA70" s="4">
        <f t="shared" si="35"/>
        <v>2.0202020202020332E-3</v>
      </c>
      <c r="BB70" s="4">
        <f t="shared" si="36"/>
        <v>3.9724361572760492E-2</v>
      </c>
      <c r="BC70" s="4">
        <f t="shared" si="37"/>
        <v>1.1871784724970524E-3</v>
      </c>
      <c r="BD70" s="4">
        <f t="shared" si="38"/>
        <v>1.2461059190031154E-2</v>
      </c>
      <c r="BE70" s="4">
        <f t="shared" si="39"/>
        <v>2.6610104126494338E-2</v>
      </c>
      <c r="BF70" s="4">
        <f t="shared" si="40"/>
        <v>1.0313216195569241E-2</v>
      </c>
      <c r="BG70" s="4">
        <f t="shared" si="41"/>
        <v>4.0119985001874747E-2</v>
      </c>
      <c r="BH70" s="4">
        <f t="shared" si="42"/>
        <v>2.0488856937455058E-2</v>
      </c>
      <c r="BI70" s="4">
        <f t="shared" si="43"/>
        <v>2.5225225225224968E-3</v>
      </c>
      <c r="BJ70" s="4">
        <f t="shared" si="44"/>
        <v>4.737609329446113E-3</v>
      </c>
      <c r="BK70" s="4">
        <f t="shared" si="45"/>
        <v>4.0189989039094431E-3</v>
      </c>
      <c r="BL70" s="4">
        <f t="shared" si="46"/>
        <v>1.6722408026755842E-2</v>
      </c>
      <c r="BM70" s="4">
        <f t="shared" si="51"/>
        <v>1.4103066185559263E-2</v>
      </c>
      <c r="BN70" s="9">
        <f t="shared" si="52"/>
        <v>13644.7567555267</v>
      </c>
      <c r="BO70" s="10">
        <f t="shared" si="53"/>
        <v>13137.076643077424</v>
      </c>
      <c r="BP70">
        <v>13875</v>
      </c>
      <c r="BQ70">
        <v>13890</v>
      </c>
      <c r="BR70">
        <v>13855</v>
      </c>
      <c r="BS70">
        <v>13870</v>
      </c>
      <c r="BT70">
        <v>50432</v>
      </c>
      <c r="BU70" s="13">
        <f t="shared" si="47"/>
        <v>13871.666666666666</v>
      </c>
      <c r="BV70" s="13">
        <f t="shared" si="48"/>
        <v>699575893.33333325</v>
      </c>
      <c r="BW70" s="13">
        <f>SUM($BV$3:BV70)</f>
        <v>142594389805.00003</v>
      </c>
      <c r="BX70" s="13">
        <f>SUM($BT$3:BT70)</f>
        <v>10449917</v>
      </c>
      <c r="BY70" s="3">
        <f t="shared" si="49"/>
        <v>13645.504534150848</v>
      </c>
    </row>
    <row r="71" spans="1:77" x14ac:dyDescent="0.3">
      <c r="A71" s="3" t="s">
        <v>111</v>
      </c>
      <c r="B71" s="3">
        <v>11760</v>
      </c>
      <c r="C71" s="3">
        <v>11760</v>
      </c>
      <c r="D71" s="3">
        <v>11525</v>
      </c>
      <c r="E71" s="3">
        <v>11520</v>
      </c>
      <c r="F71" s="3">
        <v>11720</v>
      </c>
      <c r="G71" s="3">
        <v>11730</v>
      </c>
      <c r="H71" s="3">
        <v>11610</v>
      </c>
      <c r="I71" s="3">
        <v>11595</v>
      </c>
      <c r="J71" s="3">
        <v>11715</v>
      </c>
      <c r="K71" s="3">
        <v>11690</v>
      </c>
      <c r="L71" s="3">
        <v>12035</v>
      </c>
      <c r="M71" s="3">
        <v>12030</v>
      </c>
      <c r="N71" s="3">
        <v>12470</v>
      </c>
      <c r="O71" s="3">
        <v>12465</v>
      </c>
      <c r="P71" s="3">
        <v>12695</v>
      </c>
      <c r="Q71" s="3">
        <v>12695</v>
      </c>
      <c r="R71" s="3">
        <v>12590</v>
      </c>
      <c r="S71" s="3">
        <v>12580</v>
      </c>
      <c r="T71" s="3">
        <v>12400</v>
      </c>
      <c r="U71" s="3">
        <v>12390</v>
      </c>
      <c r="V71" s="3">
        <v>12825</v>
      </c>
      <c r="W71" s="3">
        <v>12815</v>
      </c>
      <c r="X71" s="3">
        <v>12650</v>
      </c>
      <c r="Y71" s="3">
        <v>12655</v>
      </c>
      <c r="Z71" s="3">
        <v>12680</v>
      </c>
      <c r="AA71" s="3">
        <v>12705</v>
      </c>
      <c r="AB71" s="3">
        <v>13310</v>
      </c>
      <c r="AC71" s="3">
        <v>13305</v>
      </c>
      <c r="AD71" s="3">
        <v>13225</v>
      </c>
      <c r="AE71" s="3">
        <v>13235</v>
      </c>
      <c r="AF71" s="3">
        <v>13865</v>
      </c>
      <c r="AG71" s="3">
        <v>13865</v>
      </c>
      <c r="AH71" s="3">
        <v>14200</v>
      </c>
      <c r="AI71" s="3">
        <v>14210</v>
      </c>
      <c r="AJ71" s="3">
        <v>13905</v>
      </c>
      <c r="AK71" s="3">
        <v>13895</v>
      </c>
      <c r="AL71" s="3">
        <v>13655</v>
      </c>
      <c r="AM71" s="3">
        <v>13670</v>
      </c>
      <c r="AN71" s="3">
        <v>13635</v>
      </c>
      <c r="AO71" s="3">
        <v>13650</v>
      </c>
      <c r="AP71" s="3">
        <v>13675</v>
      </c>
      <c r="AQ71" s="3">
        <v>13675</v>
      </c>
      <c r="AR71" s="4">
        <f t="shared" si="50"/>
        <v>1.9947961838681749E-2</v>
      </c>
      <c r="AS71" s="4">
        <f t="shared" si="27"/>
        <v>2.5974025974025983E-3</v>
      </c>
      <c r="AT71" s="4">
        <f t="shared" si="28"/>
        <v>3.2570422535211252E-2</v>
      </c>
      <c r="AU71" s="4">
        <f t="shared" si="29"/>
        <v>1.5704584040747038E-2</v>
      </c>
      <c r="AV71" s="4">
        <f t="shared" si="30"/>
        <v>0</v>
      </c>
      <c r="AW71" s="4">
        <f t="shared" si="31"/>
        <v>1.4333895446880351E-2</v>
      </c>
      <c r="AX71" s="4">
        <f t="shared" si="32"/>
        <v>2.8889806025588216E-2</v>
      </c>
      <c r="AY71" s="4">
        <f t="shared" si="33"/>
        <v>6.6510172143975366E-3</v>
      </c>
      <c r="AZ71" s="4">
        <f t="shared" si="34"/>
        <v>2.78995615783173E-3</v>
      </c>
      <c r="BA71" s="4">
        <f t="shared" si="35"/>
        <v>1.2121212121212199E-3</v>
      </c>
      <c r="BB71" s="4">
        <f t="shared" si="36"/>
        <v>3.8913660316173493E-2</v>
      </c>
      <c r="BC71" s="4">
        <f t="shared" si="37"/>
        <v>1.5829046299959959E-3</v>
      </c>
      <c r="BD71" s="4">
        <f t="shared" si="38"/>
        <v>1.0514018691588745E-2</v>
      </c>
      <c r="BE71" s="4">
        <f t="shared" si="39"/>
        <v>2.6224450443501635E-2</v>
      </c>
      <c r="BF71" s="4">
        <f t="shared" si="40"/>
        <v>1.1077158135981646E-2</v>
      </c>
      <c r="BG71" s="4">
        <f t="shared" si="41"/>
        <v>3.974503187101619E-2</v>
      </c>
      <c r="BH71" s="4">
        <f t="shared" si="42"/>
        <v>2.1567217828900143E-2</v>
      </c>
      <c r="BI71" s="4">
        <f t="shared" si="43"/>
        <v>1.4414414414414267E-3</v>
      </c>
      <c r="BJ71" s="4">
        <f t="shared" si="44"/>
        <v>3.6443148688046767E-3</v>
      </c>
      <c r="BK71" s="4">
        <f t="shared" si="45"/>
        <v>2.5575447570332921E-3</v>
      </c>
      <c r="BL71" s="4">
        <f t="shared" si="46"/>
        <v>1.635079895949465E-2</v>
      </c>
      <c r="BM71" s="4">
        <f t="shared" si="51"/>
        <v>1.3790099817672961E-2</v>
      </c>
      <c r="BN71" s="9">
        <f t="shared" si="52"/>
        <v>13640.545793046789</v>
      </c>
      <c r="BO71" s="10">
        <f t="shared" si="53"/>
        <v>13141.246919929508</v>
      </c>
      <c r="BP71">
        <v>13865</v>
      </c>
      <c r="BQ71">
        <v>13865</v>
      </c>
      <c r="BR71">
        <v>13845</v>
      </c>
      <c r="BS71">
        <v>13865</v>
      </c>
      <c r="BT71">
        <v>29905</v>
      </c>
      <c r="BU71" s="13">
        <f t="shared" si="47"/>
        <v>13858.333333333334</v>
      </c>
      <c r="BV71" s="13">
        <f t="shared" si="48"/>
        <v>414433458.33333337</v>
      </c>
      <c r="BW71" s="13">
        <f>SUM($BV$3:BV71)</f>
        <v>143008823263.33337</v>
      </c>
      <c r="BX71" s="13">
        <f>SUM($BT$3:BT71)</f>
        <v>10479822</v>
      </c>
      <c r="BY71" s="3">
        <f t="shared" si="49"/>
        <v>13646.111857943139</v>
      </c>
    </row>
    <row r="72" spans="1:77" x14ac:dyDescent="0.3">
      <c r="A72" s="3" t="s">
        <v>112</v>
      </c>
      <c r="B72" s="3">
        <v>11760</v>
      </c>
      <c r="C72" s="3">
        <v>11755</v>
      </c>
      <c r="D72" s="3">
        <v>11515</v>
      </c>
      <c r="E72" s="3">
        <v>11510</v>
      </c>
      <c r="F72" s="3">
        <v>11735</v>
      </c>
      <c r="G72" s="3">
        <v>11700</v>
      </c>
      <c r="H72" s="3">
        <v>11595</v>
      </c>
      <c r="I72" s="3">
        <v>11590</v>
      </c>
      <c r="J72" s="3">
        <v>11695</v>
      </c>
      <c r="K72" s="3">
        <v>11690</v>
      </c>
      <c r="L72" s="3">
        <v>12025</v>
      </c>
      <c r="M72" s="3">
        <v>12030</v>
      </c>
      <c r="N72" s="3">
        <v>12465</v>
      </c>
      <c r="O72" s="3">
        <v>12455</v>
      </c>
      <c r="P72" s="3">
        <v>12695</v>
      </c>
      <c r="Q72" s="3">
        <v>12690</v>
      </c>
      <c r="R72" s="3">
        <v>12580</v>
      </c>
      <c r="S72" s="3">
        <v>12565</v>
      </c>
      <c r="T72" s="3">
        <v>12385</v>
      </c>
      <c r="U72" s="3">
        <v>12385</v>
      </c>
      <c r="V72" s="3">
        <v>12815</v>
      </c>
      <c r="W72" s="3">
        <v>12815</v>
      </c>
      <c r="X72" s="3">
        <v>12655</v>
      </c>
      <c r="Y72" s="3">
        <v>12645</v>
      </c>
      <c r="Z72" s="3">
        <v>12705</v>
      </c>
      <c r="AA72" s="3">
        <v>12690</v>
      </c>
      <c r="AB72" s="3">
        <v>13305</v>
      </c>
      <c r="AC72" s="3">
        <v>13315</v>
      </c>
      <c r="AD72" s="3">
        <v>13235</v>
      </c>
      <c r="AE72" s="3">
        <v>13230</v>
      </c>
      <c r="AF72" s="3">
        <v>13865</v>
      </c>
      <c r="AG72" s="3">
        <v>13865</v>
      </c>
      <c r="AH72" s="3">
        <v>14205</v>
      </c>
      <c r="AI72" s="3">
        <v>14190</v>
      </c>
      <c r="AJ72" s="3">
        <v>13895</v>
      </c>
      <c r="AK72" s="3">
        <v>13905</v>
      </c>
      <c r="AL72" s="3">
        <v>13665</v>
      </c>
      <c r="AM72" s="3">
        <v>13660</v>
      </c>
      <c r="AN72" s="3">
        <v>13650</v>
      </c>
      <c r="AO72" s="3">
        <v>13665</v>
      </c>
      <c r="AP72" s="3">
        <v>13670</v>
      </c>
      <c r="AQ72" s="3">
        <v>13665</v>
      </c>
      <c r="AR72" s="4">
        <f t="shared" si="50"/>
        <v>1.9514310494362475E-2</v>
      </c>
      <c r="AS72" s="4">
        <f t="shared" si="27"/>
        <v>3.4632034632035014E-3</v>
      </c>
      <c r="AT72" s="4">
        <f t="shared" si="28"/>
        <v>2.9929577464788748E-2</v>
      </c>
      <c r="AU72" s="4">
        <f t="shared" si="29"/>
        <v>1.6129032258064502E-2</v>
      </c>
      <c r="AV72" s="4">
        <f t="shared" si="30"/>
        <v>0</v>
      </c>
      <c r="AW72" s="4">
        <f t="shared" si="31"/>
        <v>1.4333895446880351E-2</v>
      </c>
      <c r="AX72" s="4">
        <f t="shared" si="32"/>
        <v>2.8064382996285664E-2</v>
      </c>
      <c r="AY72" s="4">
        <f t="shared" si="33"/>
        <v>7.0422535211267512E-3</v>
      </c>
      <c r="AZ72" s="4">
        <f t="shared" si="34"/>
        <v>1.5942606616181632E-3</v>
      </c>
      <c r="BA72" s="4">
        <f t="shared" si="35"/>
        <v>8.0808080808081328E-4</v>
      </c>
      <c r="BB72" s="4">
        <f t="shared" si="36"/>
        <v>3.8913660316173493E-2</v>
      </c>
      <c r="BC72" s="4">
        <f t="shared" si="37"/>
        <v>7.9145231499810897E-4</v>
      </c>
      <c r="BD72" s="4">
        <f t="shared" si="38"/>
        <v>1.1682242990654235E-2</v>
      </c>
      <c r="BE72" s="4">
        <f t="shared" si="39"/>
        <v>2.6995757809487042E-2</v>
      </c>
      <c r="BF72" s="4">
        <f t="shared" si="40"/>
        <v>1.0695187165775444E-2</v>
      </c>
      <c r="BG72" s="4">
        <f t="shared" si="41"/>
        <v>3.974503187101619E-2</v>
      </c>
      <c r="BH72" s="4">
        <f t="shared" si="42"/>
        <v>2.0129403306973437E-2</v>
      </c>
      <c r="BI72" s="4">
        <f t="shared" si="43"/>
        <v>2.1621621621621401E-3</v>
      </c>
      <c r="BJ72" s="4">
        <f t="shared" si="44"/>
        <v>4.3731778425656342E-3</v>
      </c>
      <c r="BK72" s="4">
        <f t="shared" si="45"/>
        <v>1.4614541468761511E-3</v>
      </c>
      <c r="BL72" s="4">
        <f t="shared" si="46"/>
        <v>1.5607580824972045E-2</v>
      </c>
      <c r="BM72" s="4">
        <f t="shared" si="51"/>
        <v>1.3603070515509772E-2</v>
      </c>
      <c r="BN72" s="9">
        <f t="shared" si="52"/>
        <v>13638.029313786183</v>
      </c>
      <c r="BO72" s="10">
        <f t="shared" si="53"/>
        <v>13143.739085380832</v>
      </c>
      <c r="BP72">
        <v>13865</v>
      </c>
      <c r="BQ72">
        <v>13870</v>
      </c>
      <c r="BR72">
        <v>13860</v>
      </c>
      <c r="BS72">
        <v>13865</v>
      </c>
      <c r="BT72">
        <v>28032</v>
      </c>
      <c r="BU72" s="13">
        <f t="shared" si="47"/>
        <v>13865</v>
      </c>
      <c r="BV72" s="13">
        <f t="shared" si="48"/>
        <v>388663680</v>
      </c>
      <c r="BW72" s="13">
        <f>SUM($BV$3:BV72)</f>
        <v>143397486943.33337</v>
      </c>
      <c r="BX72" s="13">
        <f>SUM($BT$3:BT72)</f>
        <v>10507854</v>
      </c>
      <c r="BY72" s="3">
        <f t="shared" si="49"/>
        <v>13646.69578996181</v>
      </c>
    </row>
    <row r="73" spans="1:77" x14ac:dyDescent="0.3">
      <c r="A73" s="3" t="s">
        <v>113</v>
      </c>
      <c r="B73" s="3">
        <v>11755</v>
      </c>
      <c r="C73" s="3">
        <v>11740</v>
      </c>
      <c r="D73" s="3">
        <v>11510</v>
      </c>
      <c r="E73" s="3">
        <v>11510</v>
      </c>
      <c r="F73" s="3">
        <v>11695</v>
      </c>
      <c r="G73" s="3">
        <v>11700</v>
      </c>
      <c r="H73" s="3">
        <v>11590</v>
      </c>
      <c r="I73" s="3">
        <v>11610</v>
      </c>
      <c r="J73" s="3">
        <v>11695</v>
      </c>
      <c r="K73" s="3">
        <v>11685</v>
      </c>
      <c r="L73" s="3">
        <v>12030</v>
      </c>
      <c r="M73" s="3">
        <v>12015</v>
      </c>
      <c r="N73" s="3">
        <v>12455</v>
      </c>
      <c r="O73" s="3">
        <v>12445</v>
      </c>
      <c r="P73" s="3">
        <v>12690</v>
      </c>
      <c r="Q73" s="3">
        <v>12680</v>
      </c>
      <c r="R73" s="3">
        <v>12570</v>
      </c>
      <c r="S73" s="3">
        <v>12545</v>
      </c>
      <c r="T73" s="3">
        <v>12390</v>
      </c>
      <c r="U73" s="3">
        <v>12420</v>
      </c>
      <c r="V73" s="3">
        <v>12810</v>
      </c>
      <c r="W73" s="3">
        <v>12795</v>
      </c>
      <c r="X73" s="3">
        <v>12640</v>
      </c>
      <c r="Y73" s="3">
        <v>12630</v>
      </c>
      <c r="Z73" s="3">
        <v>12695</v>
      </c>
      <c r="AA73" s="3">
        <v>12655</v>
      </c>
      <c r="AB73" s="3">
        <v>13315</v>
      </c>
      <c r="AC73" s="3">
        <v>13330</v>
      </c>
      <c r="AD73" s="3">
        <v>13235</v>
      </c>
      <c r="AE73" s="3">
        <v>13235</v>
      </c>
      <c r="AF73" s="3">
        <v>13865</v>
      </c>
      <c r="AG73" s="3">
        <v>13870</v>
      </c>
      <c r="AH73" s="3">
        <v>14190</v>
      </c>
      <c r="AI73" s="3">
        <v>14240</v>
      </c>
      <c r="AJ73" s="3">
        <v>13900</v>
      </c>
      <c r="AK73" s="3">
        <v>13920</v>
      </c>
      <c r="AL73" s="3">
        <v>13655</v>
      </c>
      <c r="AM73" s="3">
        <v>13650</v>
      </c>
      <c r="AN73" s="3">
        <v>13670</v>
      </c>
      <c r="AO73" s="3">
        <v>13680</v>
      </c>
      <c r="AP73" s="3">
        <v>13665</v>
      </c>
      <c r="AQ73" s="3">
        <v>13665</v>
      </c>
      <c r="AR73" s="4">
        <f t="shared" si="50"/>
        <v>1.8213356461405095E-2</v>
      </c>
      <c r="AS73" s="4">
        <f t="shared" si="27"/>
        <v>3.4632034632035014E-3</v>
      </c>
      <c r="AT73" s="4">
        <f t="shared" si="28"/>
        <v>2.9929577464788748E-2</v>
      </c>
      <c r="AU73" s="4">
        <f t="shared" si="29"/>
        <v>1.4431239388794537E-2</v>
      </c>
      <c r="AV73" s="4">
        <f t="shared" si="30"/>
        <v>4.2771599657831505E-4</v>
      </c>
      <c r="AW73" s="4">
        <f t="shared" si="31"/>
        <v>1.3069139966273235E-2</v>
      </c>
      <c r="AX73" s="4">
        <f t="shared" si="32"/>
        <v>2.7238959966983112E-2</v>
      </c>
      <c r="AY73" s="4">
        <f t="shared" si="33"/>
        <v>7.8247261345852914E-3</v>
      </c>
      <c r="AZ73" s="4">
        <f t="shared" si="34"/>
        <v>0</v>
      </c>
      <c r="BA73" s="4">
        <f t="shared" si="35"/>
        <v>3.6363636363636598E-3</v>
      </c>
      <c r="BB73" s="4">
        <f t="shared" si="36"/>
        <v>3.7292257802999496E-2</v>
      </c>
      <c r="BC73" s="4">
        <f t="shared" si="37"/>
        <v>3.9572615749905449E-4</v>
      </c>
      <c r="BD73" s="4">
        <f t="shared" si="38"/>
        <v>1.4408099688473563E-2</v>
      </c>
      <c r="BE73" s="4">
        <f t="shared" si="39"/>
        <v>2.8152718858465153E-2</v>
      </c>
      <c r="BF73" s="4">
        <f t="shared" si="40"/>
        <v>1.1077158135981646E-2</v>
      </c>
      <c r="BG73" s="4">
        <f t="shared" si="41"/>
        <v>4.0119985001874747E-2</v>
      </c>
      <c r="BH73" s="4">
        <f t="shared" si="42"/>
        <v>2.372393961179009E-2</v>
      </c>
      <c r="BI73" s="4">
        <f t="shared" si="43"/>
        <v>3.2432432432432101E-3</v>
      </c>
      <c r="BJ73" s="4">
        <f t="shared" si="44"/>
        <v>5.1020408163264808E-3</v>
      </c>
      <c r="BK73" s="4">
        <f t="shared" si="45"/>
        <v>3.6536353671901001E-4</v>
      </c>
      <c r="BL73" s="4">
        <f t="shared" si="46"/>
        <v>1.5607580824972045E-2</v>
      </c>
      <c r="BM73" s="4">
        <f t="shared" si="51"/>
        <v>1.3667634761499237E-2</v>
      </c>
      <c r="BN73" s="9">
        <f t="shared" si="52"/>
        <v>13638.898025715973</v>
      </c>
      <c r="BO73" s="10">
        <f t="shared" si="53"/>
        <v>13142.878766803022</v>
      </c>
      <c r="BP73">
        <v>13865</v>
      </c>
      <c r="BQ73">
        <v>13870</v>
      </c>
      <c r="BR73">
        <v>13850</v>
      </c>
      <c r="BS73">
        <v>13870</v>
      </c>
      <c r="BT73">
        <v>23980</v>
      </c>
      <c r="BU73" s="13">
        <f t="shared" si="47"/>
        <v>13863.333333333334</v>
      </c>
      <c r="BV73" s="13">
        <f t="shared" si="48"/>
        <v>332442733.33333337</v>
      </c>
      <c r="BW73" s="13">
        <f>SUM($BV$3:BV73)</f>
        <v>143729929676.66672</v>
      </c>
      <c r="BX73" s="13">
        <f>SUM($BT$3:BT73)</f>
        <v>10531834</v>
      </c>
      <c r="BY73" s="3">
        <f t="shared" si="49"/>
        <v>13647.189053365892</v>
      </c>
    </row>
    <row r="74" spans="1:77" x14ac:dyDescent="0.3">
      <c r="A74" s="3" t="s">
        <v>114</v>
      </c>
      <c r="B74" s="3">
        <v>11745</v>
      </c>
      <c r="C74" s="3">
        <v>11740</v>
      </c>
      <c r="D74" s="3">
        <v>11505</v>
      </c>
      <c r="E74" s="3">
        <v>11510</v>
      </c>
      <c r="F74" s="3">
        <v>11700</v>
      </c>
      <c r="G74" s="3">
        <v>11695</v>
      </c>
      <c r="H74" s="3">
        <v>11610</v>
      </c>
      <c r="I74" s="3">
        <v>11610</v>
      </c>
      <c r="J74" s="3">
        <v>11690</v>
      </c>
      <c r="K74" s="3">
        <v>11695</v>
      </c>
      <c r="L74" s="3">
        <v>12015</v>
      </c>
      <c r="M74" s="3">
        <v>12020</v>
      </c>
      <c r="N74" s="3">
        <v>12445</v>
      </c>
      <c r="O74" s="3">
        <v>12445</v>
      </c>
      <c r="P74" s="3">
        <v>12675</v>
      </c>
      <c r="Q74" s="3">
        <v>12680</v>
      </c>
      <c r="R74" s="3">
        <v>12545</v>
      </c>
      <c r="S74" s="3">
        <v>12530</v>
      </c>
      <c r="T74" s="3">
        <v>12420</v>
      </c>
      <c r="U74" s="3">
        <v>12425</v>
      </c>
      <c r="V74" s="3">
        <v>12795</v>
      </c>
      <c r="W74" s="3">
        <v>12790</v>
      </c>
      <c r="X74" s="3">
        <v>12630</v>
      </c>
      <c r="Y74" s="3">
        <v>12630</v>
      </c>
      <c r="Z74" s="3">
        <v>12655</v>
      </c>
      <c r="AA74" s="3">
        <v>12680</v>
      </c>
      <c r="AB74" s="3">
        <v>13335</v>
      </c>
      <c r="AC74" s="3">
        <v>13340</v>
      </c>
      <c r="AD74" s="3">
        <v>13235</v>
      </c>
      <c r="AE74" s="3">
        <v>13250</v>
      </c>
      <c r="AF74" s="3">
        <v>13870</v>
      </c>
      <c r="AG74" s="3">
        <v>13865</v>
      </c>
      <c r="AH74" s="3">
        <v>14235</v>
      </c>
      <c r="AI74" s="3">
        <v>14215</v>
      </c>
      <c r="AJ74" s="3">
        <v>13925</v>
      </c>
      <c r="AK74" s="3">
        <v>13920</v>
      </c>
      <c r="AL74" s="3">
        <v>13645</v>
      </c>
      <c r="AM74" s="3">
        <v>13660</v>
      </c>
      <c r="AN74" s="3">
        <v>13685</v>
      </c>
      <c r="AO74" s="3">
        <v>13705</v>
      </c>
      <c r="AP74" s="3">
        <v>13665</v>
      </c>
      <c r="AQ74" s="3">
        <v>13685</v>
      </c>
      <c r="AR74" s="4">
        <f t="shared" si="50"/>
        <v>1.8213356461405095E-2</v>
      </c>
      <c r="AS74" s="4">
        <f t="shared" si="27"/>
        <v>3.4632034632035014E-3</v>
      </c>
      <c r="AT74" s="4">
        <f t="shared" si="28"/>
        <v>2.9489436619718257E-2</v>
      </c>
      <c r="AU74" s="4">
        <f t="shared" si="29"/>
        <v>1.4431239388794537E-2</v>
      </c>
      <c r="AV74" s="4">
        <f t="shared" si="30"/>
        <v>4.2771599657820403E-4</v>
      </c>
      <c r="AW74" s="4">
        <f t="shared" si="31"/>
        <v>1.3490725126475533E-2</v>
      </c>
      <c r="AX74" s="4">
        <f t="shared" si="32"/>
        <v>2.7238959966983112E-2</v>
      </c>
      <c r="AY74" s="4">
        <f t="shared" si="33"/>
        <v>7.8247261345852914E-3</v>
      </c>
      <c r="AZ74" s="4">
        <f t="shared" si="34"/>
        <v>1.1956954962136779E-3</v>
      </c>
      <c r="BA74" s="4">
        <f t="shared" si="35"/>
        <v>4.0404040404040664E-3</v>
      </c>
      <c r="BB74" s="4">
        <f t="shared" si="36"/>
        <v>3.6886907174706218E-2</v>
      </c>
      <c r="BC74" s="4">
        <f t="shared" si="37"/>
        <v>3.9572615749905449E-4</v>
      </c>
      <c r="BD74" s="4">
        <f t="shared" si="38"/>
        <v>1.2461059190031154E-2</v>
      </c>
      <c r="BE74" s="4">
        <f t="shared" si="39"/>
        <v>2.8924026224450339E-2</v>
      </c>
      <c r="BF74" s="4">
        <f t="shared" si="40"/>
        <v>1.2223071046600475E-2</v>
      </c>
      <c r="BG74" s="4">
        <f t="shared" si="41"/>
        <v>3.974503187101619E-2</v>
      </c>
      <c r="BH74" s="4">
        <f t="shared" si="42"/>
        <v>2.1926671459381764E-2</v>
      </c>
      <c r="BI74" s="4">
        <f t="shared" si="43"/>
        <v>3.2432432432432101E-3</v>
      </c>
      <c r="BJ74" s="4">
        <f t="shared" si="44"/>
        <v>4.3731778425656342E-3</v>
      </c>
      <c r="BK74" s="4">
        <f t="shared" si="45"/>
        <v>1.46145414687604E-3</v>
      </c>
      <c r="BL74" s="4">
        <f t="shared" si="46"/>
        <v>1.7094017094017033E-2</v>
      </c>
      <c r="BM74" s="4">
        <f t="shared" si="51"/>
        <v>1.3749492573303101E-2</v>
      </c>
      <c r="BN74" s="9">
        <f t="shared" si="52"/>
        <v>13639.999422573792</v>
      </c>
      <c r="BO74" s="10">
        <f t="shared" si="53"/>
        <v>13141.788011460736</v>
      </c>
      <c r="BP74">
        <v>13870</v>
      </c>
      <c r="BQ74">
        <v>13880</v>
      </c>
      <c r="BR74">
        <v>13855</v>
      </c>
      <c r="BS74">
        <v>13865</v>
      </c>
      <c r="BT74">
        <v>13452</v>
      </c>
      <c r="BU74" s="13">
        <f t="shared" si="47"/>
        <v>13866.666666666666</v>
      </c>
      <c r="BV74" s="13">
        <f t="shared" si="48"/>
        <v>186534400</v>
      </c>
      <c r="BW74" s="13">
        <f>SUM($BV$3:BV74)</f>
        <v>143916464076.66672</v>
      </c>
      <c r="BX74" s="13">
        <f>SUM($BT$3:BT74)</f>
        <v>10545286</v>
      </c>
      <c r="BY74" s="3">
        <f t="shared" si="49"/>
        <v>13647.469028025102</v>
      </c>
    </row>
    <row r="75" spans="1:77" x14ac:dyDescent="0.3">
      <c r="A75" s="3" t="s">
        <v>115</v>
      </c>
      <c r="B75" s="3">
        <v>11740</v>
      </c>
      <c r="C75" s="3">
        <v>11740</v>
      </c>
      <c r="D75" s="3">
        <v>11510</v>
      </c>
      <c r="E75" s="3">
        <v>11500</v>
      </c>
      <c r="F75" s="3">
        <v>11695</v>
      </c>
      <c r="G75" s="3">
        <v>11715</v>
      </c>
      <c r="H75" s="3">
        <v>11610</v>
      </c>
      <c r="I75" s="3">
        <v>11620</v>
      </c>
      <c r="J75" s="3">
        <v>11690</v>
      </c>
      <c r="K75" s="3">
        <v>11685</v>
      </c>
      <c r="L75" s="3">
        <v>12020</v>
      </c>
      <c r="M75" s="3">
        <v>12030</v>
      </c>
      <c r="N75" s="3">
        <v>12440</v>
      </c>
      <c r="O75" s="3">
        <v>12455</v>
      </c>
      <c r="P75" s="3">
        <v>12680</v>
      </c>
      <c r="Q75" s="3">
        <v>12680</v>
      </c>
      <c r="R75" s="3">
        <v>12535</v>
      </c>
      <c r="S75" s="3">
        <v>12560</v>
      </c>
      <c r="T75" s="3">
        <v>12425</v>
      </c>
      <c r="U75" s="3">
        <v>12440</v>
      </c>
      <c r="V75" s="3">
        <v>12795</v>
      </c>
      <c r="W75" s="3">
        <v>12775</v>
      </c>
      <c r="X75" s="3">
        <v>12625</v>
      </c>
      <c r="Y75" s="3">
        <v>12620</v>
      </c>
      <c r="Z75" s="3">
        <v>12680</v>
      </c>
      <c r="AA75" s="3">
        <v>12680</v>
      </c>
      <c r="AB75" s="3">
        <v>13340</v>
      </c>
      <c r="AC75" s="3">
        <v>13330</v>
      </c>
      <c r="AD75" s="3">
        <v>13250</v>
      </c>
      <c r="AE75" s="3">
        <v>13240</v>
      </c>
      <c r="AF75" s="3">
        <v>13865</v>
      </c>
      <c r="AG75" s="3">
        <v>13845</v>
      </c>
      <c r="AH75" s="3">
        <v>14215</v>
      </c>
      <c r="AI75" s="3">
        <v>14190</v>
      </c>
      <c r="AJ75" s="3">
        <v>13925</v>
      </c>
      <c r="AK75" s="3">
        <v>13935</v>
      </c>
      <c r="AL75" s="3">
        <v>13655</v>
      </c>
      <c r="AM75" s="3">
        <v>13670</v>
      </c>
      <c r="AN75" s="3">
        <v>13705</v>
      </c>
      <c r="AO75" s="3">
        <v>13705</v>
      </c>
      <c r="AP75" s="3">
        <v>13690</v>
      </c>
      <c r="AQ75" s="3">
        <v>13675</v>
      </c>
      <c r="AR75" s="4">
        <f t="shared" si="50"/>
        <v>1.8213356461405095E-2</v>
      </c>
      <c r="AS75" s="4">
        <f t="shared" si="27"/>
        <v>4.3290043290042934E-3</v>
      </c>
      <c r="AT75" s="4">
        <f t="shared" si="28"/>
        <v>3.125E-2</v>
      </c>
      <c r="AU75" s="4">
        <f t="shared" si="29"/>
        <v>1.358234295415961E-2</v>
      </c>
      <c r="AV75" s="4">
        <f t="shared" si="30"/>
        <v>4.2771599657831505E-4</v>
      </c>
      <c r="AW75" s="4">
        <f t="shared" si="31"/>
        <v>1.4333895446880351E-2</v>
      </c>
      <c r="AX75" s="4">
        <f t="shared" si="32"/>
        <v>2.8064382996285664E-2</v>
      </c>
      <c r="AY75" s="4">
        <f t="shared" si="33"/>
        <v>7.8247261345852914E-3</v>
      </c>
      <c r="AZ75" s="4">
        <f t="shared" si="34"/>
        <v>1.1956954962135669E-3</v>
      </c>
      <c r="BA75" s="4">
        <f t="shared" si="35"/>
        <v>5.2525252525252863E-3</v>
      </c>
      <c r="BB75" s="4">
        <f t="shared" si="36"/>
        <v>3.567085528982572E-2</v>
      </c>
      <c r="BC75" s="4">
        <f t="shared" si="37"/>
        <v>1.1871784724970524E-3</v>
      </c>
      <c r="BD75" s="4">
        <f t="shared" si="38"/>
        <v>1.2461059190031154E-2</v>
      </c>
      <c r="BE75" s="4">
        <f t="shared" si="39"/>
        <v>2.8152718858465153E-2</v>
      </c>
      <c r="BF75" s="4">
        <f t="shared" si="40"/>
        <v>1.1459129106187849E-2</v>
      </c>
      <c r="BG75" s="4">
        <f t="shared" si="41"/>
        <v>3.8245219347581516E-2</v>
      </c>
      <c r="BH75" s="4">
        <f t="shared" si="42"/>
        <v>2.0129403306973437E-2</v>
      </c>
      <c r="BI75" s="4">
        <f t="shared" si="43"/>
        <v>4.3243243243242802E-3</v>
      </c>
      <c r="BJ75" s="4">
        <f t="shared" si="44"/>
        <v>3.6443148688046767E-3</v>
      </c>
      <c r="BK75" s="4">
        <f t="shared" si="45"/>
        <v>1.46145414687604E-3</v>
      </c>
      <c r="BL75" s="4">
        <f t="shared" si="46"/>
        <v>1.635079895949465E-2</v>
      </c>
      <c r="BM75" s="4">
        <f t="shared" si="51"/>
        <v>1.394223068023138E-2</v>
      </c>
      <c r="BN75" s="9">
        <f t="shared" si="52"/>
        <v>13642.592713802514</v>
      </c>
      <c r="BO75" s="10">
        <f t="shared" si="53"/>
        <v>13139.219776185917</v>
      </c>
      <c r="BP75">
        <v>13865</v>
      </c>
      <c r="BQ75">
        <v>13865</v>
      </c>
      <c r="BR75">
        <v>13845</v>
      </c>
      <c r="BS75">
        <v>13845</v>
      </c>
      <c r="BT75">
        <v>19560</v>
      </c>
      <c r="BU75" s="13">
        <f t="shared" si="47"/>
        <v>13851.666666666666</v>
      </c>
      <c r="BV75" s="13">
        <f t="shared" si="48"/>
        <v>270938600</v>
      </c>
      <c r="BW75" s="13">
        <f>SUM($BV$3:BV75)</f>
        <v>144187402676.66672</v>
      </c>
      <c r="BX75" s="13">
        <f>SUM($BT$3:BT75)</f>
        <v>10564846</v>
      </c>
      <c r="BY75" s="3">
        <f t="shared" si="49"/>
        <v>13647.847084251556</v>
      </c>
    </row>
    <row r="76" spans="1:77" x14ac:dyDescent="0.3">
      <c r="A76" s="3" t="s">
        <v>116</v>
      </c>
      <c r="B76" s="3">
        <v>11740</v>
      </c>
      <c r="C76" s="3">
        <v>11740</v>
      </c>
      <c r="D76" s="3">
        <v>11500</v>
      </c>
      <c r="E76" s="3">
        <v>11480</v>
      </c>
      <c r="F76" s="3">
        <v>11715</v>
      </c>
      <c r="G76" s="3">
        <v>11710</v>
      </c>
      <c r="H76" s="3">
        <v>11620</v>
      </c>
      <c r="I76" s="3">
        <v>11625</v>
      </c>
      <c r="J76" s="3">
        <v>11685</v>
      </c>
      <c r="K76" s="3">
        <v>11685</v>
      </c>
      <c r="L76" s="3">
        <v>12030</v>
      </c>
      <c r="M76" s="3">
        <v>12020</v>
      </c>
      <c r="N76" s="3">
        <v>12455</v>
      </c>
      <c r="O76" s="3">
        <v>12470</v>
      </c>
      <c r="P76" s="3">
        <v>12675</v>
      </c>
      <c r="Q76" s="3">
        <v>12675</v>
      </c>
      <c r="R76" s="3">
        <v>12560</v>
      </c>
      <c r="S76" s="3">
        <v>12555</v>
      </c>
      <c r="T76" s="3">
        <v>12435</v>
      </c>
      <c r="U76" s="3">
        <v>12410</v>
      </c>
      <c r="V76" s="3">
        <v>12770</v>
      </c>
      <c r="W76" s="3">
        <v>12785</v>
      </c>
      <c r="X76" s="3">
        <v>12625</v>
      </c>
      <c r="Y76" s="3">
        <v>12640</v>
      </c>
      <c r="Z76" s="3">
        <v>12680</v>
      </c>
      <c r="AA76" s="3">
        <v>12700</v>
      </c>
      <c r="AB76" s="3">
        <v>13330</v>
      </c>
      <c r="AC76" s="3">
        <v>13330</v>
      </c>
      <c r="AD76" s="3">
        <v>13235</v>
      </c>
      <c r="AE76" s="3">
        <v>13230</v>
      </c>
      <c r="AF76" s="3">
        <v>13850</v>
      </c>
      <c r="AG76" s="3">
        <v>13835</v>
      </c>
      <c r="AH76" s="3">
        <v>14190</v>
      </c>
      <c r="AI76" s="3">
        <v>14200</v>
      </c>
      <c r="AJ76" s="3">
        <v>13935</v>
      </c>
      <c r="AK76" s="3">
        <v>13935</v>
      </c>
      <c r="AL76" s="3">
        <v>13670</v>
      </c>
      <c r="AM76" s="3">
        <v>13670</v>
      </c>
      <c r="AN76" s="3">
        <v>13705</v>
      </c>
      <c r="AO76" s="3">
        <v>13720</v>
      </c>
      <c r="AP76" s="3">
        <v>13680</v>
      </c>
      <c r="AQ76" s="3">
        <v>13680</v>
      </c>
      <c r="AR76" s="4">
        <f t="shared" si="50"/>
        <v>1.8213356461405095E-2</v>
      </c>
      <c r="AS76" s="4">
        <f t="shared" si="27"/>
        <v>6.0606060606060996E-3</v>
      </c>
      <c r="AT76" s="4">
        <f t="shared" si="28"/>
        <v>3.0809859154929509E-2</v>
      </c>
      <c r="AU76" s="4">
        <f t="shared" si="29"/>
        <v>1.3157894736842146E-2</v>
      </c>
      <c r="AV76" s="4">
        <f t="shared" si="30"/>
        <v>4.2771599657831505E-4</v>
      </c>
      <c r="AW76" s="4">
        <f t="shared" si="31"/>
        <v>1.3490725126475533E-2</v>
      </c>
      <c r="AX76" s="4">
        <f t="shared" si="32"/>
        <v>2.930251754023927E-2</v>
      </c>
      <c r="AY76" s="4">
        <f t="shared" si="33"/>
        <v>8.215962441314506E-3</v>
      </c>
      <c r="AZ76" s="4">
        <f t="shared" si="34"/>
        <v>7.971303308091926E-4</v>
      </c>
      <c r="BA76" s="4">
        <f t="shared" si="35"/>
        <v>2.8282828282828465E-3</v>
      </c>
      <c r="BB76" s="4">
        <f t="shared" si="36"/>
        <v>3.6481556546412719E-2</v>
      </c>
      <c r="BC76" s="4">
        <f t="shared" si="37"/>
        <v>3.9572615749894346E-4</v>
      </c>
      <c r="BD76" s="4">
        <f t="shared" si="38"/>
        <v>1.0903426791277204E-2</v>
      </c>
      <c r="BE76" s="4">
        <f t="shared" si="39"/>
        <v>2.8152718858465153E-2</v>
      </c>
      <c r="BF76" s="4">
        <f t="shared" si="40"/>
        <v>1.0695187165775444E-2</v>
      </c>
      <c r="BG76" s="4">
        <f t="shared" si="41"/>
        <v>3.7495313085864179E-2</v>
      </c>
      <c r="BH76" s="4">
        <f t="shared" si="42"/>
        <v>2.0848310567936679E-2</v>
      </c>
      <c r="BI76" s="4">
        <f t="shared" si="43"/>
        <v>4.3243243243242802E-3</v>
      </c>
      <c r="BJ76" s="4">
        <f t="shared" si="44"/>
        <v>3.6443148688046767E-3</v>
      </c>
      <c r="BK76" s="4">
        <f t="shared" si="45"/>
        <v>2.5575447570331811E-3</v>
      </c>
      <c r="BL76" s="4">
        <f t="shared" si="46"/>
        <v>1.6722408026755842E-2</v>
      </c>
      <c r="BM76" s="4">
        <f t="shared" si="51"/>
        <v>1.3694236409679063E-2</v>
      </c>
      <c r="BN76" s="9">
        <f t="shared" si="52"/>
        <v>13639.255950892231</v>
      </c>
      <c r="BO76" s="10">
        <f t="shared" si="53"/>
        <v>13142.524299841027</v>
      </c>
      <c r="BP76">
        <v>13850</v>
      </c>
      <c r="BQ76">
        <v>13855</v>
      </c>
      <c r="BR76">
        <v>13835</v>
      </c>
      <c r="BS76">
        <v>13835</v>
      </c>
      <c r="BT76">
        <v>56643</v>
      </c>
      <c r="BU76" s="13">
        <f t="shared" si="47"/>
        <v>13841.666666666666</v>
      </c>
      <c r="BV76" s="13">
        <f t="shared" si="48"/>
        <v>784033525</v>
      </c>
      <c r="BW76" s="13">
        <f>SUM($BV$3:BV76)</f>
        <v>144971436201.66672</v>
      </c>
      <c r="BX76" s="13">
        <f>SUM($BT$3:BT76)</f>
        <v>10621489</v>
      </c>
      <c r="BY76" s="3">
        <f t="shared" si="49"/>
        <v>13648.88069852228</v>
      </c>
    </row>
    <row r="77" spans="1:77" x14ac:dyDescent="0.3">
      <c r="A77" s="3" t="s">
        <v>117</v>
      </c>
      <c r="B77" s="3">
        <v>11735</v>
      </c>
      <c r="C77" s="3">
        <v>11705</v>
      </c>
      <c r="D77" s="3">
        <v>11480</v>
      </c>
      <c r="E77" s="3">
        <v>11465</v>
      </c>
      <c r="F77" s="3">
        <v>11710</v>
      </c>
      <c r="G77" s="3">
        <v>11715</v>
      </c>
      <c r="H77" s="3">
        <v>11625</v>
      </c>
      <c r="I77" s="3">
        <v>11605</v>
      </c>
      <c r="J77" s="3">
        <v>11690</v>
      </c>
      <c r="K77" s="3">
        <v>11690</v>
      </c>
      <c r="L77" s="3">
        <v>12020</v>
      </c>
      <c r="M77" s="3">
        <v>12030</v>
      </c>
      <c r="N77" s="3">
        <v>12470</v>
      </c>
      <c r="O77" s="3">
        <v>12480</v>
      </c>
      <c r="P77" s="3">
        <v>12680</v>
      </c>
      <c r="Q77" s="3">
        <v>12695</v>
      </c>
      <c r="R77" s="3">
        <v>12565</v>
      </c>
      <c r="S77" s="3">
        <v>12545</v>
      </c>
      <c r="T77" s="3">
        <v>12415</v>
      </c>
      <c r="U77" s="3">
        <v>12385</v>
      </c>
      <c r="V77" s="3">
        <v>12785</v>
      </c>
      <c r="W77" s="3">
        <v>12765</v>
      </c>
      <c r="X77" s="3">
        <v>12640</v>
      </c>
      <c r="Y77" s="3">
        <v>12640</v>
      </c>
      <c r="Z77" s="3">
        <v>12695</v>
      </c>
      <c r="AA77" s="3">
        <v>12685</v>
      </c>
      <c r="AB77" s="3">
        <v>13330</v>
      </c>
      <c r="AC77" s="3">
        <v>13310</v>
      </c>
      <c r="AD77" s="3">
        <v>13230</v>
      </c>
      <c r="AE77" s="3">
        <v>13240</v>
      </c>
      <c r="AF77" s="3">
        <v>13845</v>
      </c>
      <c r="AG77" s="3">
        <v>13845</v>
      </c>
      <c r="AH77" s="3">
        <v>14200</v>
      </c>
      <c r="AI77" s="3">
        <v>14220</v>
      </c>
      <c r="AJ77" s="3">
        <v>13930</v>
      </c>
      <c r="AK77" s="3">
        <v>13940</v>
      </c>
      <c r="AL77" s="3">
        <v>13665</v>
      </c>
      <c r="AM77" s="3">
        <v>13670</v>
      </c>
      <c r="AN77" s="3">
        <v>13720</v>
      </c>
      <c r="AO77" s="3">
        <v>13700</v>
      </c>
      <c r="AP77" s="3">
        <v>13685</v>
      </c>
      <c r="AQ77" s="3">
        <v>13690</v>
      </c>
      <c r="AR77" s="4">
        <f t="shared" si="50"/>
        <v>1.5177797051170838E-2</v>
      </c>
      <c r="AS77" s="4">
        <f t="shared" si="27"/>
        <v>7.3593073593073433E-3</v>
      </c>
      <c r="AT77" s="4">
        <f t="shared" si="28"/>
        <v>3.125E-2</v>
      </c>
      <c r="AU77" s="4">
        <f t="shared" si="29"/>
        <v>1.4855687606112E-2</v>
      </c>
      <c r="AV77" s="4">
        <f t="shared" si="30"/>
        <v>0</v>
      </c>
      <c r="AW77" s="4">
        <f t="shared" si="31"/>
        <v>1.4333895446880351E-2</v>
      </c>
      <c r="AX77" s="4">
        <f t="shared" si="32"/>
        <v>3.0127940569541822E-2</v>
      </c>
      <c r="AY77" s="4">
        <f t="shared" si="33"/>
        <v>6.6510172143975366E-3</v>
      </c>
      <c r="AZ77" s="4">
        <f t="shared" si="34"/>
        <v>0</v>
      </c>
      <c r="BA77" s="4">
        <f t="shared" si="35"/>
        <v>8.0808080808081328E-4</v>
      </c>
      <c r="BB77" s="4">
        <f t="shared" si="36"/>
        <v>3.4860154033238722E-2</v>
      </c>
      <c r="BC77" s="4">
        <f t="shared" si="37"/>
        <v>3.9572615749894346E-4</v>
      </c>
      <c r="BD77" s="4">
        <f t="shared" si="38"/>
        <v>1.2071651090342694E-2</v>
      </c>
      <c r="BE77" s="4">
        <f t="shared" si="39"/>
        <v>2.6610104126494338E-2</v>
      </c>
      <c r="BF77" s="4">
        <f t="shared" si="40"/>
        <v>1.1459129106187849E-2</v>
      </c>
      <c r="BG77" s="4">
        <f t="shared" si="41"/>
        <v>3.8245219347581516E-2</v>
      </c>
      <c r="BH77" s="4">
        <f t="shared" si="42"/>
        <v>2.2286125089863384E-2</v>
      </c>
      <c r="BI77" s="4">
        <f t="shared" si="43"/>
        <v>4.6846846846846368E-3</v>
      </c>
      <c r="BJ77" s="4">
        <f t="shared" si="44"/>
        <v>3.6443148688046767E-3</v>
      </c>
      <c r="BK77" s="4">
        <f t="shared" si="45"/>
        <v>1.096090610157141E-3</v>
      </c>
      <c r="BL77" s="4">
        <f t="shared" si="46"/>
        <v>1.7465626161278225E-2</v>
      </c>
      <c r="BM77" s="4">
        <f t="shared" si="51"/>
        <v>1.3627335251291601E-2</v>
      </c>
      <c r="BN77" s="9">
        <f t="shared" si="52"/>
        <v>13638.35579580613</v>
      </c>
      <c r="BO77" s="10">
        <f t="shared" si="53"/>
        <v>13143.41575777654</v>
      </c>
      <c r="BP77">
        <v>13845</v>
      </c>
      <c r="BQ77">
        <v>13860</v>
      </c>
      <c r="BR77">
        <v>13840</v>
      </c>
      <c r="BS77">
        <v>13845</v>
      </c>
      <c r="BT77">
        <v>25441</v>
      </c>
      <c r="BU77" s="13">
        <f t="shared" si="47"/>
        <v>13848.333333333334</v>
      </c>
      <c r="BV77" s="13">
        <f t="shared" si="48"/>
        <v>352315448.33333337</v>
      </c>
      <c r="BW77" s="13">
        <f>SUM($BV$3:BV77)</f>
        <v>145323751650.00006</v>
      </c>
      <c r="BX77" s="13">
        <f>SUM($BT$3:BT77)</f>
        <v>10646930</v>
      </c>
      <c r="BY77" s="3">
        <f t="shared" si="49"/>
        <v>13649.357293604829</v>
      </c>
    </row>
    <row r="78" spans="1:77" x14ac:dyDescent="0.3">
      <c r="A78" s="3" t="s">
        <v>118</v>
      </c>
      <c r="B78" s="3">
        <v>11700</v>
      </c>
      <c r="C78" s="3">
        <v>11705</v>
      </c>
      <c r="D78" s="3">
        <v>11470</v>
      </c>
      <c r="E78" s="3">
        <v>11415</v>
      </c>
      <c r="F78" s="3">
        <v>11720</v>
      </c>
      <c r="G78" s="3">
        <v>11725</v>
      </c>
      <c r="H78" s="3">
        <v>11605</v>
      </c>
      <c r="I78" s="3">
        <v>11625</v>
      </c>
      <c r="J78" s="3">
        <v>11690</v>
      </c>
      <c r="K78" s="3">
        <v>11680</v>
      </c>
      <c r="L78" s="3">
        <v>12030</v>
      </c>
      <c r="M78" s="3">
        <v>12040</v>
      </c>
      <c r="N78" s="3">
        <v>12475</v>
      </c>
      <c r="O78" s="3">
        <v>12485</v>
      </c>
      <c r="P78" s="3">
        <v>12695</v>
      </c>
      <c r="Q78" s="3">
        <v>12705</v>
      </c>
      <c r="R78" s="3">
        <v>12545</v>
      </c>
      <c r="S78" s="3">
        <v>12535</v>
      </c>
      <c r="T78" s="3">
        <v>12390</v>
      </c>
      <c r="U78" s="3">
        <v>12420</v>
      </c>
      <c r="V78" s="3">
        <v>12770</v>
      </c>
      <c r="W78" s="3">
        <v>12755</v>
      </c>
      <c r="X78" s="3">
        <v>12645</v>
      </c>
      <c r="Y78" s="3">
        <v>12625</v>
      </c>
      <c r="Z78" s="3">
        <v>12680</v>
      </c>
      <c r="AA78" s="3">
        <v>12690</v>
      </c>
      <c r="AB78" s="3">
        <v>13310</v>
      </c>
      <c r="AC78" s="3">
        <v>13310</v>
      </c>
      <c r="AD78" s="3">
        <v>13240</v>
      </c>
      <c r="AE78" s="3">
        <v>13235</v>
      </c>
      <c r="AF78" s="3">
        <v>13850</v>
      </c>
      <c r="AG78" s="3">
        <v>13860</v>
      </c>
      <c r="AH78" s="3">
        <v>14220</v>
      </c>
      <c r="AI78" s="3">
        <v>14225</v>
      </c>
      <c r="AJ78" s="3">
        <v>13945</v>
      </c>
      <c r="AK78" s="3">
        <v>13935</v>
      </c>
      <c r="AL78" s="3">
        <v>13670</v>
      </c>
      <c r="AM78" s="3">
        <v>13670</v>
      </c>
      <c r="AN78" s="3">
        <v>13700</v>
      </c>
      <c r="AO78" s="3">
        <v>13690</v>
      </c>
      <c r="AP78" s="3">
        <v>13690</v>
      </c>
      <c r="AQ78" s="3">
        <v>13700</v>
      </c>
      <c r="AR78" s="4">
        <f t="shared" si="50"/>
        <v>1.5177797051170838E-2</v>
      </c>
      <c r="AS78" s="4">
        <f t="shared" si="27"/>
        <v>1.1688311688311637E-2</v>
      </c>
      <c r="AT78" s="4">
        <f t="shared" si="28"/>
        <v>3.2130281690140761E-2</v>
      </c>
      <c r="AU78" s="4">
        <f t="shared" si="29"/>
        <v>1.3157894736842146E-2</v>
      </c>
      <c r="AV78" s="4">
        <f t="shared" si="30"/>
        <v>8.5543199315651908E-4</v>
      </c>
      <c r="AW78" s="4">
        <f t="shared" si="31"/>
        <v>1.5177065767284947E-2</v>
      </c>
      <c r="AX78" s="4">
        <f t="shared" si="32"/>
        <v>3.0540652084193098E-2</v>
      </c>
      <c r="AY78" s="4">
        <f t="shared" si="33"/>
        <v>5.8685446009389963E-3</v>
      </c>
      <c r="AZ78" s="4">
        <f t="shared" si="34"/>
        <v>7.9713033080908158E-4</v>
      </c>
      <c r="BA78" s="4">
        <f t="shared" si="35"/>
        <v>3.6363636363636598E-3</v>
      </c>
      <c r="BB78" s="4">
        <f t="shared" si="36"/>
        <v>3.4049452776651723E-2</v>
      </c>
      <c r="BC78" s="4">
        <f t="shared" si="37"/>
        <v>7.9145231499799795E-4</v>
      </c>
      <c r="BD78" s="4">
        <f t="shared" si="38"/>
        <v>1.1682242990654235E-2</v>
      </c>
      <c r="BE78" s="4">
        <f t="shared" si="39"/>
        <v>2.6610104126494338E-2</v>
      </c>
      <c r="BF78" s="4">
        <f t="shared" si="40"/>
        <v>1.1077158135981646E-2</v>
      </c>
      <c r="BG78" s="4">
        <f t="shared" si="41"/>
        <v>3.937007874015741E-2</v>
      </c>
      <c r="BH78" s="4">
        <f t="shared" si="42"/>
        <v>2.2645578720345005E-2</v>
      </c>
      <c r="BI78" s="4">
        <f t="shared" si="43"/>
        <v>4.3243243243242802E-3</v>
      </c>
      <c r="BJ78" s="4">
        <f t="shared" si="44"/>
        <v>3.6443148688046767E-3</v>
      </c>
      <c r="BK78" s="4">
        <f t="shared" si="45"/>
        <v>3.6536353671912103E-4</v>
      </c>
      <c r="BL78" s="4">
        <f t="shared" si="46"/>
        <v>1.820884429580083E-2</v>
      </c>
      <c r="BM78" s="4">
        <f t="shared" si="51"/>
        <v>1.4147291919487199E-2</v>
      </c>
      <c r="BN78" s="9">
        <f t="shared" si="52"/>
        <v>13645.3518127767</v>
      </c>
      <c r="BO78" s="10">
        <f t="shared" si="53"/>
        <v>13136.487335172833</v>
      </c>
      <c r="BP78">
        <v>13850</v>
      </c>
      <c r="BQ78">
        <v>13860</v>
      </c>
      <c r="BR78">
        <v>13845</v>
      </c>
      <c r="BS78">
        <v>13860</v>
      </c>
      <c r="BT78">
        <v>16086</v>
      </c>
      <c r="BU78" s="13">
        <f t="shared" si="47"/>
        <v>13855</v>
      </c>
      <c r="BV78" s="13">
        <f t="shared" si="48"/>
        <v>222871530</v>
      </c>
      <c r="BW78" s="13">
        <f>SUM($BV$3:BV78)</f>
        <v>145546623180.00006</v>
      </c>
      <c r="BX78" s="13">
        <f>SUM($BT$3:BT78)</f>
        <v>10663016</v>
      </c>
      <c r="BY78" s="3">
        <f t="shared" si="49"/>
        <v>13649.667521834353</v>
      </c>
    </row>
    <row r="79" spans="1:77" x14ac:dyDescent="0.3">
      <c r="A79" s="3" t="s">
        <v>119</v>
      </c>
      <c r="B79" s="3">
        <v>11705</v>
      </c>
      <c r="C79" s="3">
        <v>11725</v>
      </c>
      <c r="D79" s="3">
        <v>11415</v>
      </c>
      <c r="E79" s="3">
        <v>11395</v>
      </c>
      <c r="F79" s="3">
        <v>11725</v>
      </c>
      <c r="G79" s="3">
        <v>11715</v>
      </c>
      <c r="H79" s="3">
        <v>11630</v>
      </c>
      <c r="I79" s="3">
        <v>11630</v>
      </c>
      <c r="J79" s="3">
        <v>11680</v>
      </c>
      <c r="K79" s="3">
        <v>11680</v>
      </c>
      <c r="L79" s="3">
        <v>12040</v>
      </c>
      <c r="M79" s="3">
        <v>12055</v>
      </c>
      <c r="N79" s="3">
        <v>12480</v>
      </c>
      <c r="O79" s="3">
        <v>12485</v>
      </c>
      <c r="P79" s="3">
        <v>12705</v>
      </c>
      <c r="Q79" s="3">
        <v>12705</v>
      </c>
      <c r="R79" s="3">
        <v>12535</v>
      </c>
      <c r="S79" s="3">
        <v>12565</v>
      </c>
      <c r="T79" s="3">
        <v>12415</v>
      </c>
      <c r="U79" s="3">
        <v>12395</v>
      </c>
      <c r="V79" s="3">
        <v>12755</v>
      </c>
      <c r="W79" s="3">
        <v>12700</v>
      </c>
      <c r="X79" s="3">
        <v>12625</v>
      </c>
      <c r="Y79" s="3">
        <v>12590</v>
      </c>
      <c r="Z79" s="3">
        <v>12690</v>
      </c>
      <c r="AA79" s="3">
        <v>12680</v>
      </c>
      <c r="AB79" s="3">
        <v>13310</v>
      </c>
      <c r="AC79" s="3">
        <v>13315</v>
      </c>
      <c r="AD79" s="3">
        <v>13230</v>
      </c>
      <c r="AE79" s="3">
        <v>13235</v>
      </c>
      <c r="AF79" s="3">
        <v>13855</v>
      </c>
      <c r="AG79" s="3">
        <v>13855</v>
      </c>
      <c r="AH79" s="3">
        <v>14220</v>
      </c>
      <c r="AI79" s="3">
        <v>14220</v>
      </c>
      <c r="AJ79" s="3">
        <v>13935</v>
      </c>
      <c r="AK79" s="3">
        <v>13930</v>
      </c>
      <c r="AL79" s="3">
        <v>13670</v>
      </c>
      <c r="AM79" s="3">
        <v>13680</v>
      </c>
      <c r="AN79" s="3">
        <v>13685</v>
      </c>
      <c r="AO79" s="3">
        <v>13695</v>
      </c>
      <c r="AP79" s="3">
        <v>13695</v>
      </c>
      <c r="AQ79" s="3">
        <v>13690</v>
      </c>
      <c r="AR79" s="4">
        <f t="shared" si="50"/>
        <v>1.6912402428447493E-2</v>
      </c>
      <c r="AS79" s="4">
        <f t="shared" si="27"/>
        <v>1.3419913419913443E-2</v>
      </c>
      <c r="AT79" s="4">
        <f t="shared" si="28"/>
        <v>3.125E-2</v>
      </c>
      <c r="AU79" s="4">
        <f t="shared" si="29"/>
        <v>1.2733446519524572E-2</v>
      </c>
      <c r="AV79" s="4">
        <f t="shared" si="30"/>
        <v>8.5543199315651908E-4</v>
      </c>
      <c r="AW79" s="4">
        <f t="shared" si="31"/>
        <v>1.6441821247892063E-2</v>
      </c>
      <c r="AX79" s="4">
        <f t="shared" si="32"/>
        <v>3.0540652084193098E-2</v>
      </c>
      <c r="AY79" s="4">
        <f t="shared" si="33"/>
        <v>5.8685446009389963E-3</v>
      </c>
      <c r="AZ79" s="4">
        <f t="shared" si="34"/>
        <v>1.5942606616181632E-3</v>
      </c>
      <c r="BA79" s="4">
        <f t="shared" si="35"/>
        <v>1.6161616161616266E-3</v>
      </c>
      <c r="BB79" s="4">
        <f t="shared" si="36"/>
        <v>2.9590595865423674E-2</v>
      </c>
      <c r="BC79" s="4">
        <f t="shared" si="37"/>
        <v>3.5615354174910463E-3</v>
      </c>
      <c r="BD79" s="4">
        <f t="shared" si="38"/>
        <v>1.2461059190031154E-2</v>
      </c>
      <c r="BE79" s="4">
        <f t="shared" si="39"/>
        <v>2.6995757809487042E-2</v>
      </c>
      <c r="BF79" s="4">
        <f t="shared" si="40"/>
        <v>1.1077158135981646E-2</v>
      </c>
      <c r="BG79" s="4">
        <f t="shared" si="41"/>
        <v>3.8995125609298853E-2</v>
      </c>
      <c r="BH79" s="4">
        <f t="shared" si="42"/>
        <v>2.2286125089863384E-2</v>
      </c>
      <c r="BI79" s="4">
        <f t="shared" si="43"/>
        <v>3.9639639639639235E-3</v>
      </c>
      <c r="BJ79" s="4">
        <f t="shared" si="44"/>
        <v>2.9154518950437192E-3</v>
      </c>
      <c r="BK79" s="4">
        <f t="shared" si="45"/>
        <v>7.3072707343802001E-4</v>
      </c>
      <c r="BL79" s="4">
        <f t="shared" si="46"/>
        <v>1.7465626161278225E-2</v>
      </c>
      <c r="BM79" s="4">
        <f t="shared" si="51"/>
        <v>1.414330989727236E-2</v>
      </c>
      <c r="BN79" s="9">
        <f t="shared" si="52"/>
        <v>13645.298234667798</v>
      </c>
      <c r="BO79" s="10">
        <f t="shared" si="53"/>
        <v>13136.540395618846</v>
      </c>
      <c r="BP79">
        <v>13855</v>
      </c>
      <c r="BQ79">
        <v>13865</v>
      </c>
      <c r="BR79">
        <v>13845</v>
      </c>
      <c r="BS79">
        <v>13855</v>
      </c>
      <c r="BT79">
        <v>17524</v>
      </c>
      <c r="BU79" s="13">
        <f t="shared" si="47"/>
        <v>13855</v>
      </c>
      <c r="BV79" s="13">
        <f t="shared" si="48"/>
        <v>242795020</v>
      </c>
      <c r="BW79" s="13">
        <f>SUM($BV$3:BV79)</f>
        <v>145789418200.00006</v>
      </c>
      <c r="BX79" s="13">
        <f>SUM($BT$3:BT79)</f>
        <v>10680540</v>
      </c>
      <c r="BY79" s="3">
        <f t="shared" si="49"/>
        <v>13650.004419252216</v>
      </c>
    </row>
    <row r="80" spans="1:77" x14ac:dyDescent="0.3">
      <c r="A80" s="3" t="s">
        <v>120</v>
      </c>
      <c r="B80" s="3">
        <v>11730</v>
      </c>
      <c r="C80" s="3">
        <v>11715</v>
      </c>
      <c r="D80" s="3">
        <v>11390</v>
      </c>
      <c r="E80" s="3">
        <v>11385</v>
      </c>
      <c r="F80" s="3">
        <v>11715</v>
      </c>
      <c r="G80" s="3">
        <v>11720</v>
      </c>
      <c r="H80" s="3">
        <v>11630</v>
      </c>
      <c r="I80" s="3">
        <v>11640</v>
      </c>
      <c r="J80" s="3">
        <v>11685</v>
      </c>
      <c r="K80" s="3">
        <v>11695</v>
      </c>
      <c r="L80" s="3">
        <v>12050</v>
      </c>
      <c r="M80" s="3">
        <v>12040</v>
      </c>
      <c r="N80" s="3">
        <v>12485</v>
      </c>
      <c r="O80" s="3">
        <v>12480</v>
      </c>
      <c r="P80" s="3">
        <v>12700</v>
      </c>
      <c r="Q80" s="3">
        <v>12725</v>
      </c>
      <c r="R80" s="3">
        <v>12555</v>
      </c>
      <c r="S80" s="3">
        <v>12560</v>
      </c>
      <c r="T80" s="3">
        <v>12395</v>
      </c>
      <c r="U80" s="3">
        <v>12370</v>
      </c>
      <c r="V80" s="3">
        <v>12700</v>
      </c>
      <c r="W80" s="3">
        <v>12715</v>
      </c>
      <c r="X80" s="3">
        <v>12595</v>
      </c>
      <c r="Y80" s="3">
        <v>12585</v>
      </c>
      <c r="Z80" s="3">
        <v>12680</v>
      </c>
      <c r="AA80" s="3">
        <v>12675</v>
      </c>
      <c r="AB80" s="3">
        <v>13310</v>
      </c>
      <c r="AC80" s="3">
        <v>13310</v>
      </c>
      <c r="AD80" s="3">
        <v>13230</v>
      </c>
      <c r="AE80" s="3">
        <v>13230</v>
      </c>
      <c r="AF80" s="3">
        <v>13850</v>
      </c>
      <c r="AG80" s="3">
        <v>13845</v>
      </c>
      <c r="AH80" s="3">
        <v>14220</v>
      </c>
      <c r="AI80" s="3">
        <v>14215</v>
      </c>
      <c r="AJ80" s="3">
        <v>13925</v>
      </c>
      <c r="AK80" s="3">
        <v>13920</v>
      </c>
      <c r="AL80" s="3">
        <v>13675</v>
      </c>
      <c r="AM80" s="3">
        <v>13670</v>
      </c>
      <c r="AN80" s="3">
        <v>13695</v>
      </c>
      <c r="AO80" s="3">
        <v>13705</v>
      </c>
      <c r="AP80" s="3">
        <v>13695</v>
      </c>
      <c r="AQ80" s="3">
        <v>13695</v>
      </c>
      <c r="AR80" s="4">
        <f t="shared" si="50"/>
        <v>1.6045099739809165E-2</v>
      </c>
      <c r="AS80" s="4">
        <f t="shared" si="27"/>
        <v>1.4285714285714235E-2</v>
      </c>
      <c r="AT80" s="4">
        <f t="shared" si="28"/>
        <v>3.1690140845070491E-2</v>
      </c>
      <c r="AU80" s="4">
        <f t="shared" si="29"/>
        <v>1.1884550084889645E-2</v>
      </c>
      <c r="AV80" s="4">
        <f t="shared" si="30"/>
        <v>4.2771599657820403E-4</v>
      </c>
      <c r="AW80" s="4">
        <f t="shared" si="31"/>
        <v>1.5177065767284947E-2</v>
      </c>
      <c r="AX80" s="4">
        <f t="shared" si="32"/>
        <v>3.0127940569541822E-2</v>
      </c>
      <c r="AY80" s="4">
        <f t="shared" si="33"/>
        <v>4.3035993740219158E-3</v>
      </c>
      <c r="AZ80" s="4">
        <f t="shared" si="34"/>
        <v>1.1956954962135669E-3</v>
      </c>
      <c r="BA80" s="4">
        <f t="shared" si="35"/>
        <v>4.0404040404040664E-4</v>
      </c>
      <c r="BB80" s="4">
        <f t="shared" si="36"/>
        <v>3.080664775030395E-2</v>
      </c>
      <c r="BC80" s="4">
        <f t="shared" si="37"/>
        <v>3.9572615749901008E-3</v>
      </c>
      <c r="BD80" s="4">
        <f t="shared" si="38"/>
        <v>1.2850467289719614E-2</v>
      </c>
      <c r="BE80" s="4">
        <f t="shared" si="39"/>
        <v>2.6610104126494338E-2</v>
      </c>
      <c r="BF80" s="4">
        <f t="shared" si="40"/>
        <v>1.0695187165775444E-2</v>
      </c>
      <c r="BG80" s="4">
        <f t="shared" si="41"/>
        <v>3.8245219347581516E-2</v>
      </c>
      <c r="BH80" s="4">
        <f t="shared" si="42"/>
        <v>2.1926671459381764E-2</v>
      </c>
      <c r="BI80" s="4">
        <f t="shared" si="43"/>
        <v>3.2432432432432101E-3</v>
      </c>
      <c r="BJ80" s="4">
        <f t="shared" si="44"/>
        <v>3.6443148688046767E-3</v>
      </c>
      <c r="BK80" s="4">
        <f t="shared" si="45"/>
        <v>1.46145414687604E-3</v>
      </c>
      <c r="BL80" s="4">
        <f t="shared" si="46"/>
        <v>1.7837235228539638E-2</v>
      </c>
      <c r="BM80" s="4">
        <f t="shared" si="51"/>
        <v>1.3886866480759905E-2</v>
      </c>
      <c r="BN80" s="9">
        <f t="shared" si="52"/>
        <v>13641.847788498624</v>
      </c>
      <c r="BO80" s="10">
        <f t="shared" si="53"/>
        <v>13139.957504143875</v>
      </c>
      <c r="BP80">
        <v>13850</v>
      </c>
      <c r="BQ80">
        <v>13855</v>
      </c>
      <c r="BR80">
        <v>13835</v>
      </c>
      <c r="BS80">
        <v>13845</v>
      </c>
      <c r="BT80">
        <v>12288</v>
      </c>
      <c r="BU80" s="13">
        <f t="shared" si="47"/>
        <v>13845</v>
      </c>
      <c r="BV80" s="13">
        <f t="shared" si="48"/>
        <v>170127360</v>
      </c>
      <c r="BW80" s="13">
        <f>SUM($BV$3:BV80)</f>
        <v>145959545560.00006</v>
      </c>
      <c r="BX80" s="13">
        <f>SUM($BT$3:BT80)</f>
        <v>10692828</v>
      </c>
      <c r="BY80" s="3">
        <f t="shared" si="49"/>
        <v>13650.228504564</v>
      </c>
    </row>
    <row r="81" spans="1:77" x14ac:dyDescent="0.3">
      <c r="A81" s="3" t="s">
        <v>121</v>
      </c>
      <c r="B81" s="3">
        <v>11720</v>
      </c>
      <c r="C81" s="3">
        <v>11740</v>
      </c>
      <c r="D81" s="3">
        <v>11385</v>
      </c>
      <c r="E81" s="3">
        <v>11370</v>
      </c>
      <c r="F81" s="3">
        <v>11720</v>
      </c>
      <c r="G81" s="3">
        <v>11715</v>
      </c>
      <c r="H81" s="3">
        <v>11640</v>
      </c>
      <c r="I81" s="3">
        <v>11645</v>
      </c>
      <c r="J81" s="3">
        <v>11690</v>
      </c>
      <c r="K81" s="3">
        <v>11690</v>
      </c>
      <c r="L81" s="3">
        <v>12045</v>
      </c>
      <c r="M81" s="3">
        <v>12030</v>
      </c>
      <c r="N81" s="3">
        <v>12470</v>
      </c>
      <c r="O81" s="3">
        <v>12470</v>
      </c>
      <c r="P81" s="3">
        <v>12725</v>
      </c>
      <c r="Q81" s="3">
        <v>12720</v>
      </c>
      <c r="R81" s="3">
        <v>12560</v>
      </c>
      <c r="S81" s="3">
        <v>12555</v>
      </c>
      <c r="T81" s="3">
        <v>12375</v>
      </c>
      <c r="U81" s="3">
        <v>12385</v>
      </c>
      <c r="V81" s="3">
        <v>12715</v>
      </c>
      <c r="W81" s="3">
        <v>12745</v>
      </c>
      <c r="X81" s="3">
        <v>12590</v>
      </c>
      <c r="Y81" s="3">
        <v>12585</v>
      </c>
      <c r="Z81" s="3">
        <v>12675</v>
      </c>
      <c r="AA81" s="3">
        <v>12680</v>
      </c>
      <c r="AB81" s="3">
        <v>13310</v>
      </c>
      <c r="AC81" s="3">
        <v>13315</v>
      </c>
      <c r="AD81" s="3">
        <v>13225</v>
      </c>
      <c r="AE81" s="3">
        <v>13245</v>
      </c>
      <c r="AF81" s="3">
        <v>13850</v>
      </c>
      <c r="AG81" s="3">
        <v>13840</v>
      </c>
      <c r="AH81" s="3">
        <v>14215</v>
      </c>
      <c r="AI81" s="3">
        <v>14225</v>
      </c>
      <c r="AJ81" s="3">
        <v>13925</v>
      </c>
      <c r="AK81" s="3">
        <v>13930</v>
      </c>
      <c r="AL81" s="3">
        <v>13675</v>
      </c>
      <c r="AM81" s="3">
        <v>13665</v>
      </c>
      <c r="AN81" s="3">
        <v>13700</v>
      </c>
      <c r="AO81" s="3">
        <v>13695</v>
      </c>
      <c r="AP81" s="3">
        <v>13695</v>
      </c>
      <c r="AQ81" s="3">
        <v>13700</v>
      </c>
      <c r="AR81" s="4">
        <f t="shared" si="50"/>
        <v>1.8213356461405095E-2</v>
      </c>
      <c r="AS81" s="4">
        <f t="shared" si="27"/>
        <v>1.558441558441559E-2</v>
      </c>
      <c r="AT81" s="4">
        <f t="shared" si="28"/>
        <v>3.125E-2</v>
      </c>
      <c r="AU81" s="4">
        <f t="shared" si="29"/>
        <v>1.1460101867572181E-2</v>
      </c>
      <c r="AV81" s="4">
        <f t="shared" si="30"/>
        <v>0</v>
      </c>
      <c r="AW81" s="4">
        <f t="shared" si="31"/>
        <v>1.4333895446880351E-2</v>
      </c>
      <c r="AX81" s="4">
        <f t="shared" si="32"/>
        <v>2.930251754023927E-2</v>
      </c>
      <c r="AY81" s="4">
        <f t="shared" si="33"/>
        <v>4.6948356807511304E-3</v>
      </c>
      <c r="AZ81" s="4">
        <f t="shared" si="34"/>
        <v>7.971303308091926E-4</v>
      </c>
      <c r="BA81" s="4">
        <f t="shared" si="35"/>
        <v>8.0808080808081328E-4</v>
      </c>
      <c r="BB81" s="4">
        <f t="shared" si="36"/>
        <v>3.3238751520064946E-2</v>
      </c>
      <c r="BC81" s="4">
        <f t="shared" si="37"/>
        <v>3.9572615749901008E-3</v>
      </c>
      <c r="BD81" s="4">
        <f t="shared" si="38"/>
        <v>1.2461059190031154E-2</v>
      </c>
      <c r="BE81" s="4">
        <f t="shared" si="39"/>
        <v>2.6995757809487042E-2</v>
      </c>
      <c r="BF81" s="4">
        <f t="shared" si="40"/>
        <v>1.1841100076394273E-2</v>
      </c>
      <c r="BG81" s="4">
        <f t="shared" si="41"/>
        <v>3.7870266216722959E-2</v>
      </c>
      <c r="BH81" s="4">
        <f t="shared" si="42"/>
        <v>2.2645578720345005E-2</v>
      </c>
      <c r="BI81" s="4">
        <f t="shared" si="43"/>
        <v>3.9639639639639235E-3</v>
      </c>
      <c r="BJ81" s="4">
        <f t="shared" si="44"/>
        <v>4.0087463556851555E-3</v>
      </c>
      <c r="BK81" s="4">
        <f t="shared" si="45"/>
        <v>7.3072707343802001E-4</v>
      </c>
      <c r="BL81" s="4">
        <f t="shared" si="46"/>
        <v>1.820884429580083E-2</v>
      </c>
      <c r="BM81" s="4">
        <f t="shared" si="51"/>
        <v>1.4051779102122575E-2</v>
      </c>
      <c r="BN81" s="9">
        <f t="shared" si="52"/>
        <v>13644.06668781906</v>
      </c>
      <c r="BO81" s="10">
        <f t="shared" si="53"/>
        <v>13137.760043464215</v>
      </c>
      <c r="BP81">
        <v>13850</v>
      </c>
      <c r="BQ81">
        <v>13850</v>
      </c>
      <c r="BR81">
        <v>13825</v>
      </c>
      <c r="BS81">
        <v>13840</v>
      </c>
      <c r="BT81">
        <v>30392</v>
      </c>
      <c r="BU81" s="13">
        <f t="shared" si="47"/>
        <v>13838.333333333334</v>
      </c>
      <c r="BV81" s="13">
        <f t="shared" si="48"/>
        <v>420574626.66666669</v>
      </c>
      <c r="BW81" s="13">
        <f>SUM($BV$3:BV81)</f>
        <v>146380120186.66672</v>
      </c>
      <c r="BX81" s="13">
        <f>SUM($BT$3:BT81)</f>
        <v>10723220</v>
      </c>
      <c r="BY81" s="3">
        <f t="shared" si="49"/>
        <v>13650.761635652978</v>
      </c>
    </row>
    <row r="82" spans="1:77" x14ac:dyDescent="0.3">
      <c r="A82" s="3" t="s">
        <v>122</v>
      </c>
      <c r="B82" s="3">
        <v>11740</v>
      </c>
      <c r="C82" s="3">
        <v>11740</v>
      </c>
      <c r="D82" s="3">
        <v>11360</v>
      </c>
      <c r="E82" s="3">
        <v>11380</v>
      </c>
      <c r="F82" s="3">
        <v>11715</v>
      </c>
      <c r="G82" s="3">
        <v>11720</v>
      </c>
      <c r="H82" s="3">
        <v>11650</v>
      </c>
      <c r="I82" s="3">
        <v>11630</v>
      </c>
      <c r="J82" s="3">
        <v>11685</v>
      </c>
      <c r="K82" s="3">
        <v>11700</v>
      </c>
      <c r="L82" s="3">
        <v>12035</v>
      </c>
      <c r="M82" s="3">
        <v>12050</v>
      </c>
      <c r="N82" s="3">
        <v>12470</v>
      </c>
      <c r="O82" s="3">
        <v>12475</v>
      </c>
      <c r="P82" s="3">
        <v>12720</v>
      </c>
      <c r="Q82" s="3">
        <v>12720</v>
      </c>
      <c r="R82" s="3">
        <v>12555</v>
      </c>
      <c r="S82" s="3">
        <v>12560</v>
      </c>
      <c r="T82" s="3">
        <v>12390</v>
      </c>
      <c r="U82" s="3">
        <v>12375</v>
      </c>
      <c r="V82" s="3">
        <v>12745</v>
      </c>
      <c r="W82" s="3">
        <v>12760</v>
      </c>
      <c r="X82" s="3">
        <v>12585</v>
      </c>
      <c r="Y82" s="3">
        <v>12585</v>
      </c>
      <c r="Z82" s="3">
        <v>12680</v>
      </c>
      <c r="AA82" s="3">
        <v>12670</v>
      </c>
      <c r="AB82" s="3">
        <v>13310</v>
      </c>
      <c r="AC82" s="3">
        <v>13300</v>
      </c>
      <c r="AD82" s="3">
        <v>13245</v>
      </c>
      <c r="AE82" s="3">
        <v>13240</v>
      </c>
      <c r="AF82" s="3">
        <v>13840</v>
      </c>
      <c r="AG82" s="3">
        <v>13850</v>
      </c>
      <c r="AH82" s="3">
        <v>14225</v>
      </c>
      <c r="AI82" s="3">
        <v>14230</v>
      </c>
      <c r="AJ82" s="3">
        <v>13930</v>
      </c>
      <c r="AK82" s="3">
        <v>13910</v>
      </c>
      <c r="AL82" s="3">
        <v>13670</v>
      </c>
      <c r="AM82" s="3">
        <v>13700</v>
      </c>
      <c r="AN82" s="3">
        <v>13690</v>
      </c>
      <c r="AO82" s="3">
        <v>13670</v>
      </c>
      <c r="AP82" s="3">
        <v>13700</v>
      </c>
      <c r="AQ82" s="3">
        <v>13695</v>
      </c>
      <c r="AR82" s="4">
        <f t="shared" si="50"/>
        <v>1.8213356461405095E-2</v>
      </c>
      <c r="AS82" s="4">
        <f t="shared" si="27"/>
        <v>1.4718614718614687E-2</v>
      </c>
      <c r="AT82" s="4">
        <f t="shared" si="28"/>
        <v>3.1690140845070491E-2</v>
      </c>
      <c r="AU82" s="4">
        <f t="shared" si="29"/>
        <v>1.2733446519524572E-2</v>
      </c>
      <c r="AV82" s="4">
        <f t="shared" si="30"/>
        <v>8.554319931566301E-4</v>
      </c>
      <c r="AW82" s="4">
        <f t="shared" si="31"/>
        <v>1.6020236087689765E-2</v>
      </c>
      <c r="AX82" s="4">
        <f t="shared" si="32"/>
        <v>2.9715229054890546E-2</v>
      </c>
      <c r="AY82" s="4">
        <f t="shared" si="33"/>
        <v>4.6948356807511304E-3</v>
      </c>
      <c r="AZ82" s="4">
        <f t="shared" si="34"/>
        <v>1.1956954962135669E-3</v>
      </c>
      <c r="BA82" s="4">
        <f t="shared" si="35"/>
        <v>0</v>
      </c>
      <c r="BB82" s="4">
        <f t="shared" si="36"/>
        <v>3.4454803404945222E-2</v>
      </c>
      <c r="BC82" s="4">
        <f t="shared" si="37"/>
        <v>3.9572615749901008E-3</v>
      </c>
      <c r="BD82" s="4">
        <f t="shared" si="38"/>
        <v>1.3239875389408073E-2</v>
      </c>
      <c r="BE82" s="4">
        <f t="shared" si="39"/>
        <v>2.5838796760509153E-2</v>
      </c>
      <c r="BF82" s="4">
        <f t="shared" si="40"/>
        <v>1.1459129106187849E-2</v>
      </c>
      <c r="BG82" s="4">
        <f t="shared" si="41"/>
        <v>3.8620172478440296E-2</v>
      </c>
      <c r="BH82" s="4">
        <f t="shared" si="42"/>
        <v>2.3005032350826848E-2</v>
      </c>
      <c r="BI82" s="4">
        <f t="shared" si="43"/>
        <v>2.5225225225224968E-3</v>
      </c>
      <c r="BJ82" s="4">
        <f t="shared" si="44"/>
        <v>1.4577259475219151E-3</v>
      </c>
      <c r="BK82" s="4">
        <f t="shared" si="45"/>
        <v>1.096090610157141E-3</v>
      </c>
      <c r="BL82" s="4">
        <f t="shared" si="46"/>
        <v>1.7837235228539638E-2</v>
      </c>
      <c r="BM82" s="4">
        <f t="shared" si="51"/>
        <v>1.4326678330853699E-2</v>
      </c>
      <c r="BN82" s="9">
        <f t="shared" si="52"/>
        <v>13647.765456941637</v>
      </c>
      <c r="BO82" s="10">
        <f t="shared" si="53"/>
        <v>13134.097011241374</v>
      </c>
      <c r="BP82">
        <v>13840</v>
      </c>
      <c r="BQ82">
        <v>13860</v>
      </c>
      <c r="BR82">
        <v>13830</v>
      </c>
      <c r="BS82">
        <v>13850</v>
      </c>
      <c r="BT82">
        <v>34614</v>
      </c>
      <c r="BU82" s="13">
        <f t="shared" si="47"/>
        <v>13846.666666666666</v>
      </c>
      <c r="BV82" s="13">
        <f t="shared" si="48"/>
        <v>479288520</v>
      </c>
      <c r="BW82" s="13">
        <f>SUM($BV$3:BV82)</f>
        <v>146859408706.66672</v>
      </c>
      <c r="BX82" s="13">
        <f>SUM($BT$3:BT82)</f>
        <v>10757834</v>
      </c>
      <c r="BY82" s="3">
        <f t="shared" si="49"/>
        <v>13651.391972274969</v>
      </c>
    </row>
    <row r="83" spans="1:77" x14ac:dyDescent="0.3">
      <c r="A83" s="3" t="s">
        <v>123</v>
      </c>
      <c r="B83" s="3">
        <v>11740</v>
      </c>
      <c r="C83" s="3">
        <v>11740</v>
      </c>
      <c r="D83" s="3">
        <v>11375</v>
      </c>
      <c r="E83" s="3">
        <v>11380</v>
      </c>
      <c r="F83" s="3">
        <v>11725</v>
      </c>
      <c r="G83" s="3">
        <v>11750</v>
      </c>
      <c r="H83" s="3">
        <v>11630</v>
      </c>
      <c r="I83" s="3">
        <v>11620</v>
      </c>
      <c r="J83" s="3">
        <v>11700</v>
      </c>
      <c r="K83" s="3">
        <v>11690</v>
      </c>
      <c r="L83" s="3">
        <v>12050</v>
      </c>
      <c r="M83" s="3">
        <v>12065</v>
      </c>
      <c r="N83" s="3">
        <v>12475</v>
      </c>
      <c r="O83" s="3">
        <v>12490</v>
      </c>
      <c r="P83" s="3">
        <v>12720</v>
      </c>
      <c r="Q83" s="3">
        <v>12695</v>
      </c>
      <c r="R83" s="3">
        <v>12560</v>
      </c>
      <c r="S83" s="3">
        <v>12545</v>
      </c>
      <c r="T83" s="3">
        <v>12375</v>
      </c>
      <c r="U83" s="3">
        <v>12375</v>
      </c>
      <c r="V83" s="3">
        <v>12765</v>
      </c>
      <c r="W83" s="3">
        <v>12775</v>
      </c>
      <c r="X83" s="3">
        <v>12590</v>
      </c>
      <c r="Y83" s="3">
        <v>12580</v>
      </c>
      <c r="Z83" s="3">
        <v>12665</v>
      </c>
      <c r="AA83" s="3">
        <v>12680</v>
      </c>
      <c r="AB83" s="3">
        <v>13300</v>
      </c>
      <c r="AC83" s="3">
        <v>13270</v>
      </c>
      <c r="AD83" s="3">
        <v>13240</v>
      </c>
      <c r="AE83" s="3">
        <v>13240</v>
      </c>
      <c r="AF83" s="3">
        <v>13850</v>
      </c>
      <c r="AG83" s="3">
        <v>13830</v>
      </c>
      <c r="AH83" s="3">
        <v>14235</v>
      </c>
      <c r="AI83" s="3">
        <v>14220</v>
      </c>
      <c r="AJ83" s="3">
        <v>13910</v>
      </c>
      <c r="AK83" s="3">
        <v>13915</v>
      </c>
      <c r="AL83" s="3">
        <v>13705</v>
      </c>
      <c r="AM83" s="3">
        <v>13700</v>
      </c>
      <c r="AN83" s="3">
        <v>13675</v>
      </c>
      <c r="AO83" s="3">
        <v>13685</v>
      </c>
      <c r="AP83" s="3">
        <v>13700</v>
      </c>
      <c r="AQ83" s="3">
        <v>13710</v>
      </c>
      <c r="AR83" s="4">
        <f t="shared" si="50"/>
        <v>1.8213356461405095E-2</v>
      </c>
      <c r="AS83" s="4">
        <f t="shared" si="27"/>
        <v>1.4718614718614687E-2</v>
      </c>
      <c r="AT83" s="4">
        <f t="shared" si="28"/>
        <v>3.4330985915492995E-2</v>
      </c>
      <c r="AU83" s="4">
        <f t="shared" si="29"/>
        <v>1.358234295415961E-2</v>
      </c>
      <c r="AV83" s="4">
        <f t="shared" si="30"/>
        <v>0</v>
      </c>
      <c r="AW83" s="4">
        <f t="shared" si="31"/>
        <v>1.7284991568296881E-2</v>
      </c>
      <c r="AX83" s="4">
        <f t="shared" si="32"/>
        <v>3.0953363598844374E-2</v>
      </c>
      <c r="AY83" s="4">
        <f t="shared" si="33"/>
        <v>6.6510172143975366E-3</v>
      </c>
      <c r="AZ83" s="4">
        <f t="shared" si="34"/>
        <v>0</v>
      </c>
      <c r="BA83" s="4">
        <f t="shared" si="35"/>
        <v>0</v>
      </c>
      <c r="BB83" s="4">
        <f t="shared" si="36"/>
        <v>3.567085528982572E-2</v>
      </c>
      <c r="BC83" s="4">
        <f t="shared" si="37"/>
        <v>4.3529877324891553E-3</v>
      </c>
      <c r="BD83" s="4">
        <f t="shared" si="38"/>
        <v>1.2461059190031154E-2</v>
      </c>
      <c r="BE83" s="4">
        <f t="shared" si="39"/>
        <v>2.352487466255293E-2</v>
      </c>
      <c r="BF83" s="4">
        <f t="shared" si="40"/>
        <v>1.1459129106187849E-2</v>
      </c>
      <c r="BG83" s="4">
        <f t="shared" si="41"/>
        <v>3.7120359955005622E-2</v>
      </c>
      <c r="BH83" s="4">
        <f t="shared" si="42"/>
        <v>2.2286125089863384E-2</v>
      </c>
      <c r="BI83" s="4">
        <f t="shared" si="43"/>
        <v>2.8828828828828534E-3</v>
      </c>
      <c r="BJ83" s="4">
        <f t="shared" si="44"/>
        <v>1.4577259475219151E-3</v>
      </c>
      <c r="BK83" s="4">
        <f t="shared" si="45"/>
        <v>0</v>
      </c>
      <c r="BL83" s="4">
        <f t="shared" si="46"/>
        <v>1.8952062430323213E-2</v>
      </c>
      <c r="BM83" s="4">
        <f t="shared" si="51"/>
        <v>1.4642158710778064E-2</v>
      </c>
      <c r="BN83" s="9">
        <f t="shared" si="52"/>
        <v>13652.010245453519</v>
      </c>
      <c r="BO83" s="10">
        <f t="shared" si="53"/>
        <v>13129.893235178881</v>
      </c>
      <c r="BP83">
        <v>13850</v>
      </c>
      <c r="BQ83">
        <v>13855</v>
      </c>
      <c r="BR83">
        <v>13830</v>
      </c>
      <c r="BS83">
        <v>13830</v>
      </c>
      <c r="BT83">
        <v>43804</v>
      </c>
      <c r="BU83" s="13">
        <f t="shared" si="47"/>
        <v>13838.333333333334</v>
      </c>
      <c r="BV83" s="13">
        <f t="shared" si="48"/>
        <v>606174353.33333337</v>
      </c>
      <c r="BW83" s="13">
        <f>SUM($BV$3:BV83)</f>
        <v>147465583060.00006</v>
      </c>
      <c r="BX83" s="13">
        <f>SUM($BT$3:BT83)</f>
        <v>10801638</v>
      </c>
      <c r="BY83" s="3">
        <f t="shared" si="49"/>
        <v>13652.150077608605</v>
      </c>
    </row>
    <row r="84" spans="1:77" x14ac:dyDescent="0.3">
      <c r="A84" s="3" t="s">
        <v>124</v>
      </c>
      <c r="B84" s="3">
        <v>11740</v>
      </c>
      <c r="C84" s="3">
        <v>11730</v>
      </c>
      <c r="D84" s="3">
        <v>11380</v>
      </c>
      <c r="E84" s="3">
        <v>11380</v>
      </c>
      <c r="F84" s="3">
        <v>11750</v>
      </c>
      <c r="G84" s="3">
        <v>11745</v>
      </c>
      <c r="H84" s="3">
        <v>11615</v>
      </c>
      <c r="I84" s="3">
        <v>11615</v>
      </c>
      <c r="J84" s="3">
        <v>11690</v>
      </c>
      <c r="K84" s="3">
        <v>11685</v>
      </c>
      <c r="L84" s="3">
        <v>12065</v>
      </c>
      <c r="M84" s="3">
        <v>12045</v>
      </c>
      <c r="N84" s="3">
        <v>12485</v>
      </c>
      <c r="O84" s="3">
        <v>12490</v>
      </c>
      <c r="P84" s="3">
        <v>12695</v>
      </c>
      <c r="Q84" s="3">
        <v>12705</v>
      </c>
      <c r="R84" s="3">
        <v>12545</v>
      </c>
      <c r="S84" s="3">
        <v>12545</v>
      </c>
      <c r="T84" s="3">
        <v>12370</v>
      </c>
      <c r="U84" s="3">
        <v>12365</v>
      </c>
      <c r="V84" s="3">
        <v>12775</v>
      </c>
      <c r="W84" s="3">
        <v>12775</v>
      </c>
      <c r="X84" s="3">
        <v>12575</v>
      </c>
      <c r="Y84" s="3">
        <v>12570</v>
      </c>
      <c r="Z84" s="3">
        <v>12680</v>
      </c>
      <c r="AA84" s="3">
        <v>12675</v>
      </c>
      <c r="AB84" s="3">
        <v>13270</v>
      </c>
      <c r="AC84" s="3">
        <v>13290</v>
      </c>
      <c r="AD84" s="3">
        <v>13235</v>
      </c>
      <c r="AE84" s="3">
        <v>13230</v>
      </c>
      <c r="AF84" s="3">
        <v>13830</v>
      </c>
      <c r="AG84" s="3">
        <v>13830</v>
      </c>
      <c r="AH84" s="3">
        <v>14225</v>
      </c>
      <c r="AI84" s="3">
        <v>14210</v>
      </c>
      <c r="AJ84" s="3">
        <v>13910</v>
      </c>
      <c r="AK84" s="3">
        <v>13895</v>
      </c>
      <c r="AL84" s="3">
        <v>13695</v>
      </c>
      <c r="AM84" s="3">
        <v>13720</v>
      </c>
      <c r="AN84" s="3">
        <v>13685</v>
      </c>
      <c r="AO84" s="3">
        <v>13695</v>
      </c>
      <c r="AP84" s="3">
        <v>13710</v>
      </c>
      <c r="AQ84" s="3">
        <v>13700</v>
      </c>
      <c r="AR84" s="4">
        <f t="shared" si="50"/>
        <v>1.7346053772766767E-2</v>
      </c>
      <c r="AS84" s="4">
        <f t="shared" si="27"/>
        <v>1.4718614718614687E-2</v>
      </c>
      <c r="AT84" s="4">
        <f t="shared" si="28"/>
        <v>3.3890845070422504E-2</v>
      </c>
      <c r="AU84" s="4">
        <f t="shared" si="29"/>
        <v>1.4006791171477073E-2</v>
      </c>
      <c r="AV84" s="4">
        <f t="shared" si="30"/>
        <v>4.2771599657831505E-4</v>
      </c>
      <c r="AW84" s="4">
        <f t="shared" si="31"/>
        <v>1.5598650927487245E-2</v>
      </c>
      <c r="AX84" s="4">
        <f t="shared" si="32"/>
        <v>3.0953363598844374E-2</v>
      </c>
      <c r="AY84" s="4">
        <f t="shared" si="33"/>
        <v>5.8685446009389963E-3</v>
      </c>
      <c r="AZ84" s="4">
        <f t="shared" si="34"/>
        <v>0</v>
      </c>
      <c r="BA84" s="4">
        <f t="shared" si="35"/>
        <v>8.0808080808081328E-4</v>
      </c>
      <c r="BB84" s="4">
        <f t="shared" si="36"/>
        <v>3.567085528982572E-2</v>
      </c>
      <c r="BC84" s="4">
        <f t="shared" si="37"/>
        <v>5.1444400474871532E-3</v>
      </c>
      <c r="BD84" s="4">
        <f t="shared" si="38"/>
        <v>1.2850467289719614E-2</v>
      </c>
      <c r="BE84" s="4">
        <f t="shared" si="39"/>
        <v>2.5067489394523745E-2</v>
      </c>
      <c r="BF84" s="4">
        <f t="shared" si="40"/>
        <v>1.0695187165775444E-2</v>
      </c>
      <c r="BG84" s="4">
        <f t="shared" si="41"/>
        <v>3.7120359955005622E-2</v>
      </c>
      <c r="BH84" s="4">
        <f t="shared" si="42"/>
        <v>2.1567217828900143E-2</v>
      </c>
      <c r="BI84" s="4">
        <f t="shared" si="43"/>
        <v>1.4414414414414267E-3</v>
      </c>
      <c r="BJ84" s="4">
        <f t="shared" si="44"/>
        <v>0</v>
      </c>
      <c r="BK84" s="4">
        <f t="shared" si="45"/>
        <v>7.3072707343802001E-4</v>
      </c>
      <c r="BL84" s="4">
        <f t="shared" si="46"/>
        <v>1.820884429580083E-2</v>
      </c>
      <c r="BM84" s="4">
        <f t="shared" si="51"/>
        <v>1.4692931862841121E-2</v>
      </c>
      <c r="BN84" s="9">
        <f t="shared" si="52"/>
        <v>13652.693398214526</v>
      </c>
      <c r="BO84" s="10">
        <f t="shared" si="53"/>
        <v>13129.216682927641</v>
      </c>
      <c r="BP84">
        <v>13830</v>
      </c>
      <c r="BQ84">
        <v>13830</v>
      </c>
      <c r="BR84">
        <v>13815</v>
      </c>
      <c r="BS84">
        <v>13830</v>
      </c>
      <c r="BT84">
        <v>39173</v>
      </c>
      <c r="BU84" s="13">
        <f t="shared" si="47"/>
        <v>13825</v>
      </c>
      <c r="BV84" s="13">
        <f t="shared" si="48"/>
        <v>541566725</v>
      </c>
      <c r="BW84" s="13">
        <f>SUM($BV$3:BV84)</f>
        <v>148007149785.00006</v>
      </c>
      <c r="BX84" s="13">
        <f>SUM($BT$3:BT84)</f>
        <v>10840811</v>
      </c>
      <c r="BY84" s="3">
        <f t="shared" si="49"/>
        <v>13652.77466648944</v>
      </c>
    </row>
    <row r="85" spans="1:77" x14ac:dyDescent="0.3">
      <c r="A85" s="3" t="s">
        <v>125</v>
      </c>
      <c r="B85" s="3">
        <v>11730</v>
      </c>
      <c r="C85" s="3">
        <v>11740</v>
      </c>
      <c r="D85" s="3">
        <v>11380</v>
      </c>
      <c r="E85" s="3">
        <v>11400</v>
      </c>
      <c r="F85" s="3">
        <v>11750</v>
      </c>
      <c r="G85" s="3">
        <v>11730</v>
      </c>
      <c r="H85" s="3">
        <v>11615</v>
      </c>
      <c r="I85" s="3">
        <v>11650</v>
      </c>
      <c r="J85" s="3">
        <v>11690</v>
      </c>
      <c r="K85" s="3">
        <v>11690</v>
      </c>
      <c r="L85" s="3">
        <v>12045</v>
      </c>
      <c r="M85" s="3">
        <v>12030</v>
      </c>
      <c r="N85" s="3">
        <v>12490</v>
      </c>
      <c r="O85" s="3">
        <v>12495</v>
      </c>
      <c r="P85" s="3">
        <v>12710</v>
      </c>
      <c r="Q85" s="3">
        <v>12715</v>
      </c>
      <c r="R85" s="3">
        <v>12545</v>
      </c>
      <c r="S85" s="3">
        <v>12540</v>
      </c>
      <c r="T85" s="3">
        <v>12360</v>
      </c>
      <c r="U85" s="3">
        <v>12360</v>
      </c>
      <c r="V85" s="3">
        <v>12775</v>
      </c>
      <c r="W85" s="3">
        <v>12780</v>
      </c>
      <c r="X85" s="3">
        <v>12565</v>
      </c>
      <c r="Y85" s="3">
        <v>12550</v>
      </c>
      <c r="Z85" s="3">
        <v>12680</v>
      </c>
      <c r="AA85" s="3">
        <v>12690</v>
      </c>
      <c r="AB85" s="3">
        <v>13285</v>
      </c>
      <c r="AC85" s="3">
        <v>13280</v>
      </c>
      <c r="AD85" s="3">
        <v>13225</v>
      </c>
      <c r="AE85" s="3">
        <v>13230</v>
      </c>
      <c r="AF85" s="3">
        <v>13830</v>
      </c>
      <c r="AG85" s="3">
        <v>13785</v>
      </c>
      <c r="AH85" s="3">
        <v>14210</v>
      </c>
      <c r="AI85" s="3">
        <v>14215</v>
      </c>
      <c r="AJ85" s="3">
        <v>13895</v>
      </c>
      <c r="AK85" s="3">
        <v>13905</v>
      </c>
      <c r="AL85" s="3">
        <v>13720</v>
      </c>
      <c r="AM85" s="3">
        <v>13725</v>
      </c>
      <c r="AN85" s="3">
        <v>13695</v>
      </c>
      <c r="AO85" s="3">
        <v>13675</v>
      </c>
      <c r="AP85" s="3">
        <v>13700</v>
      </c>
      <c r="AQ85" s="3">
        <v>13720</v>
      </c>
      <c r="AR85" s="4">
        <f t="shared" si="50"/>
        <v>1.8213356461405095E-2</v>
      </c>
      <c r="AS85" s="4">
        <f t="shared" si="27"/>
        <v>1.2987012987012991E-2</v>
      </c>
      <c r="AT85" s="4">
        <f t="shared" si="28"/>
        <v>3.2570422535211252E-2</v>
      </c>
      <c r="AU85" s="4">
        <f t="shared" si="29"/>
        <v>1.1035653650254718E-2</v>
      </c>
      <c r="AV85" s="4">
        <f t="shared" si="30"/>
        <v>0</v>
      </c>
      <c r="AW85" s="4">
        <f t="shared" si="31"/>
        <v>1.4333895446880351E-2</v>
      </c>
      <c r="AX85" s="4">
        <f t="shared" si="32"/>
        <v>3.1366075113495651E-2</v>
      </c>
      <c r="AY85" s="4">
        <f t="shared" si="33"/>
        <v>5.0860719874804561E-3</v>
      </c>
      <c r="AZ85" s="4">
        <f t="shared" si="34"/>
        <v>3.985651654045963E-4</v>
      </c>
      <c r="BA85" s="4">
        <f t="shared" si="35"/>
        <v>1.2121212121212199E-3</v>
      </c>
      <c r="BB85" s="4">
        <f t="shared" si="36"/>
        <v>3.607620591811922E-2</v>
      </c>
      <c r="BC85" s="4">
        <f t="shared" si="37"/>
        <v>6.7273446774831491E-3</v>
      </c>
      <c r="BD85" s="4">
        <f t="shared" si="38"/>
        <v>1.1682242990654235E-2</v>
      </c>
      <c r="BE85" s="4">
        <f t="shared" si="39"/>
        <v>2.4296182028538338E-2</v>
      </c>
      <c r="BF85" s="4">
        <f t="shared" si="40"/>
        <v>1.0695187165775444E-2</v>
      </c>
      <c r="BG85" s="4">
        <f t="shared" si="41"/>
        <v>3.3745781777277939E-2</v>
      </c>
      <c r="BH85" s="4">
        <f t="shared" si="42"/>
        <v>2.1926671459381764E-2</v>
      </c>
      <c r="BI85" s="4">
        <f t="shared" si="43"/>
        <v>2.1621621621621401E-3</v>
      </c>
      <c r="BJ85" s="4">
        <f t="shared" si="44"/>
        <v>3.6443148688047877E-4</v>
      </c>
      <c r="BK85" s="4">
        <f t="shared" si="45"/>
        <v>7.3072707343802001E-4</v>
      </c>
      <c r="BL85" s="4">
        <f t="shared" si="46"/>
        <v>1.9695280564845818E-2</v>
      </c>
      <c r="BM85" s="4">
        <f t="shared" si="51"/>
        <v>1.4176212919887974E-2</v>
      </c>
      <c r="BN85" s="9">
        <f t="shared" si="52"/>
        <v>13645.740944837093</v>
      </c>
      <c r="BO85" s="10">
        <f t="shared" si="53"/>
        <v>13136.101962842493</v>
      </c>
      <c r="BP85">
        <v>13830</v>
      </c>
      <c r="BQ85">
        <v>13830</v>
      </c>
      <c r="BR85">
        <v>13780</v>
      </c>
      <c r="BS85">
        <v>13785</v>
      </c>
      <c r="BT85">
        <v>91342</v>
      </c>
      <c r="BU85" s="13">
        <f t="shared" si="47"/>
        <v>13798.333333333334</v>
      </c>
      <c r="BV85" s="13">
        <f t="shared" si="48"/>
        <v>1260367363.3333335</v>
      </c>
      <c r="BW85" s="13">
        <f>SUM($BV$3:BV85)</f>
        <v>149267517148.3334</v>
      </c>
      <c r="BX85" s="13">
        <f>SUM($BT$3:BT85)</f>
        <v>10932153</v>
      </c>
      <c r="BY85" s="3">
        <f t="shared" si="49"/>
        <v>13653.990860568216</v>
      </c>
    </row>
    <row r="86" spans="1:77" x14ac:dyDescent="0.3">
      <c r="A86" s="3" t="s">
        <v>126</v>
      </c>
      <c r="B86" s="3">
        <v>11740</v>
      </c>
      <c r="C86" s="3">
        <v>11735</v>
      </c>
      <c r="D86" s="3">
        <v>11400</v>
      </c>
      <c r="E86" s="3">
        <v>11405</v>
      </c>
      <c r="F86" s="3">
        <v>11730</v>
      </c>
      <c r="G86" s="3">
        <v>11725</v>
      </c>
      <c r="H86" s="3">
        <v>11650</v>
      </c>
      <c r="I86" s="3">
        <v>11630</v>
      </c>
      <c r="J86" s="3">
        <v>11690</v>
      </c>
      <c r="K86" s="3">
        <v>11685</v>
      </c>
      <c r="L86" s="3">
        <v>12030</v>
      </c>
      <c r="M86" s="3">
        <v>12035</v>
      </c>
      <c r="N86" s="3">
        <v>12490</v>
      </c>
      <c r="O86" s="3">
        <v>12495</v>
      </c>
      <c r="P86" s="3">
        <v>12720</v>
      </c>
      <c r="Q86" s="3">
        <v>12720</v>
      </c>
      <c r="R86" s="3">
        <v>12535</v>
      </c>
      <c r="S86" s="3">
        <v>12520</v>
      </c>
      <c r="T86" s="3">
        <v>12360</v>
      </c>
      <c r="U86" s="3">
        <v>12345</v>
      </c>
      <c r="V86" s="3">
        <v>12780</v>
      </c>
      <c r="W86" s="3">
        <v>12775</v>
      </c>
      <c r="X86" s="3">
        <v>12550</v>
      </c>
      <c r="Y86" s="3">
        <v>12515</v>
      </c>
      <c r="Z86" s="3">
        <v>12690</v>
      </c>
      <c r="AA86" s="3">
        <v>12665</v>
      </c>
      <c r="AB86" s="3">
        <v>13285</v>
      </c>
      <c r="AC86" s="3">
        <v>13275</v>
      </c>
      <c r="AD86" s="3">
        <v>13220</v>
      </c>
      <c r="AE86" s="3">
        <v>13205</v>
      </c>
      <c r="AF86" s="3">
        <v>13780</v>
      </c>
      <c r="AG86" s="3">
        <v>13805</v>
      </c>
      <c r="AH86" s="3">
        <v>14215</v>
      </c>
      <c r="AI86" s="3">
        <v>14210</v>
      </c>
      <c r="AJ86" s="3">
        <v>13905</v>
      </c>
      <c r="AK86" s="3">
        <v>13910</v>
      </c>
      <c r="AL86" s="3">
        <v>13725</v>
      </c>
      <c r="AM86" s="3">
        <v>13735</v>
      </c>
      <c r="AN86" s="3">
        <v>13675</v>
      </c>
      <c r="AO86" s="3">
        <v>13685</v>
      </c>
      <c r="AP86" s="3">
        <v>13720</v>
      </c>
      <c r="AQ86" s="3">
        <v>13745</v>
      </c>
      <c r="AR86" s="4">
        <f t="shared" si="50"/>
        <v>1.777970511708582E-2</v>
      </c>
      <c r="AS86" s="4">
        <f t="shared" si="27"/>
        <v>1.255411255411254E-2</v>
      </c>
      <c r="AT86" s="4">
        <f t="shared" si="28"/>
        <v>3.2130281690140761E-2</v>
      </c>
      <c r="AU86" s="4">
        <f t="shared" si="29"/>
        <v>1.2733446519524572E-2</v>
      </c>
      <c r="AV86" s="4">
        <f t="shared" si="30"/>
        <v>4.2771599657831505E-4</v>
      </c>
      <c r="AW86" s="4">
        <f t="shared" si="31"/>
        <v>1.4755480607082649E-2</v>
      </c>
      <c r="AX86" s="4">
        <f t="shared" si="32"/>
        <v>3.1366075113495651E-2</v>
      </c>
      <c r="AY86" s="4">
        <f t="shared" si="33"/>
        <v>4.6948356807511304E-3</v>
      </c>
      <c r="AZ86" s="4">
        <f t="shared" si="34"/>
        <v>1.9928258270227595E-3</v>
      </c>
      <c r="BA86" s="4">
        <f t="shared" si="35"/>
        <v>2.4242424242424399E-3</v>
      </c>
      <c r="BB86" s="4">
        <f t="shared" si="36"/>
        <v>3.567085528982572E-2</v>
      </c>
      <c r="BC86" s="4">
        <f t="shared" si="37"/>
        <v>9.4974277799763085E-3</v>
      </c>
      <c r="BD86" s="4">
        <f t="shared" si="38"/>
        <v>1.3629283489096533E-2</v>
      </c>
      <c r="BE86" s="4">
        <f t="shared" si="39"/>
        <v>2.3910528345545634E-2</v>
      </c>
      <c r="BF86" s="4">
        <f t="shared" si="40"/>
        <v>8.7853323147439877E-3</v>
      </c>
      <c r="BG86" s="4">
        <f t="shared" si="41"/>
        <v>3.5245594300712391E-2</v>
      </c>
      <c r="BH86" s="4">
        <f t="shared" si="42"/>
        <v>2.1567217828900143E-2</v>
      </c>
      <c r="BI86" s="4">
        <f t="shared" si="43"/>
        <v>2.5225225225224968E-3</v>
      </c>
      <c r="BJ86" s="4">
        <f t="shared" si="44"/>
        <v>1.0932944606414363E-3</v>
      </c>
      <c r="BK86" s="4">
        <f t="shared" si="45"/>
        <v>0</v>
      </c>
      <c r="BL86" s="4">
        <f t="shared" si="46"/>
        <v>2.1553325901151998E-2</v>
      </c>
      <c r="BM86" s="4">
        <f t="shared" si="51"/>
        <v>1.4612317402295643E-2</v>
      </c>
      <c r="BN86" s="9">
        <f t="shared" si="52"/>
        <v>13651.608730647888</v>
      </c>
      <c r="BO86" s="10">
        <f t="shared" si="53"/>
        <v>13130.29087061441</v>
      </c>
      <c r="BP86">
        <v>13780</v>
      </c>
      <c r="BQ86">
        <v>13805</v>
      </c>
      <c r="BR86">
        <v>13775</v>
      </c>
      <c r="BS86">
        <v>13805</v>
      </c>
      <c r="BT86">
        <v>50106</v>
      </c>
      <c r="BU86" s="13">
        <f t="shared" si="47"/>
        <v>13795</v>
      </c>
      <c r="BV86" s="13">
        <f t="shared" si="48"/>
        <v>691212270</v>
      </c>
      <c r="BW86" s="13">
        <f>SUM($BV$3:BV86)</f>
        <v>149958729418.3334</v>
      </c>
      <c r="BX86" s="13">
        <f>SUM($BT$3:BT86)</f>
        <v>10982259</v>
      </c>
      <c r="BY86" s="3">
        <f t="shared" si="49"/>
        <v>13654.634207619161</v>
      </c>
    </row>
    <row r="87" spans="1:77" x14ac:dyDescent="0.3">
      <c r="A87" s="3" t="s">
        <v>127</v>
      </c>
      <c r="B87" s="3">
        <v>11735</v>
      </c>
      <c r="C87" s="3">
        <v>11740</v>
      </c>
      <c r="D87" s="3">
        <v>11405</v>
      </c>
      <c r="E87" s="3">
        <v>11395</v>
      </c>
      <c r="F87" s="3">
        <v>11725</v>
      </c>
      <c r="G87" s="3">
        <v>11715</v>
      </c>
      <c r="H87" s="3">
        <v>11630</v>
      </c>
      <c r="I87" s="3">
        <v>11640</v>
      </c>
      <c r="J87" s="3">
        <v>11685</v>
      </c>
      <c r="K87" s="3">
        <v>11685</v>
      </c>
      <c r="L87" s="3">
        <v>12035</v>
      </c>
      <c r="M87" s="3">
        <v>12050</v>
      </c>
      <c r="N87" s="3">
        <v>12500</v>
      </c>
      <c r="O87" s="3">
        <v>12495</v>
      </c>
      <c r="P87" s="3">
        <v>12720</v>
      </c>
      <c r="Q87" s="3">
        <v>12715</v>
      </c>
      <c r="R87" s="3">
        <v>12520</v>
      </c>
      <c r="S87" s="3">
        <v>12505</v>
      </c>
      <c r="T87" s="3">
        <v>12345</v>
      </c>
      <c r="U87" s="3">
        <v>12350</v>
      </c>
      <c r="V87" s="3">
        <v>12775</v>
      </c>
      <c r="W87" s="3">
        <v>12770</v>
      </c>
      <c r="X87" s="3">
        <v>12515</v>
      </c>
      <c r="Y87" s="3">
        <v>12525</v>
      </c>
      <c r="Z87" s="3">
        <v>12665</v>
      </c>
      <c r="AA87" s="3">
        <v>12690</v>
      </c>
      <c r="AB87" s="3">
        <v>13280</v>
      </c>
      <c r="AC87" s="3">
        <v>13290</v>
      </c>
      <c r="AD87" s="3">
        <v>13210</v>
      </c>
      <c r="AE87" s="3">
        <v>13210</v>
      </c>
      <c r="AF87" s="3">
        <v>13805</v>
      </c>
      <c r="AG87" s="3">
        <v>13795</v>
      </c>
      <c r="AH87" s="3">
        <v>14210</v>
      </c>
      <c r="AI87" s="3">
        <v>14200</v>
      </c>
      <c r="AJ87" s="3">
        <v>13910</v>
      </c>
      <c r="AK87" s="3">
        <v>13885</v>
      </c>
      <c r="AL87" s="3">
        <v>13735</v>
      </c>
      <c r="AM87" s="3">
        <v>13725</v>
      </c>
      <c r="AN87" s="3">
        <v>13685</v>
      </c>
      <c r="AO87" s="3">
        <v>13695</v>
      </c>
      <c r="AP87" s="3">
        <v>13745</v>
      </c>
      <c r="AQ87" s="3">
        <v>13750</v>
      </c>
      <c r="AR87" s="4">
        <f t="shared" si="50"/>
        <v>1.8213356461405095E-2</v>
      </c>
      <c r="AS87" s="4">
        <f t="shared" si="27"/>
        <v>1.3419913419913443E-2</v>
      </c>
      <c r="AT87" s="4">
        <f t="shared" si="28"/>
        <v>3.125E-2</v>
      </c>
      <c r="AU87" s="4">
        <f t="shared" si="29"/>
        <v>1.1884550084889645E-2</v>
      </c>
      <c r="AV87" s="4">
        <f t="shared" si="30"/>
        <v>4.2771599657831505E-4</v>
      </c>
      <c r="AW87" s="4">
        <f t="shared" si="31"/>
        <v>1.6020236087689765E-2</v>
      </c>
      <c r="AX87" s="4">
        <f t="shared" si="32"/>
        <v>3.1366075113495651E-2</v>
      </c>
      <c r="AY87" s="4">
        <f t="shared" si="33"/>
        <v>5.0860719874804561E-3</v>
      </c>
      <c r="AZ87" s="4">
        <f t="shared" si="34"/>
        <v>3.1885213232363263E-3</v>
      </c>
      <c r="BA87" s="4">
        <f t="shared" si="35"/>
        <v>2.0202020202020332E-3</v>
      </c>
      <c r="BB87" s="4">
        <f t="shared" si="36"/>
        <v>3.5265504661532221E-2</v>
      </c>
      <c r="BC87" s="4">
        <f t="shared" si="37"/>
        <v>8.7059754649781995E-3</v>
      </c>
      <c r="BD87" s="4">
        <f t="shared" si="38"/>
        <v>1.1682242990654235E-2</v>
      </c>
      <c r="BE87" s="4">
        <f t="shared" si="39"/>
        <v>2.5067489394523745E-2</v>
      </c>
      <c r="BF87" s="4">
        <f t="shared" si="40"/>
        <v>9.1673032849504121E-3</v>
      </c>
      <c r="BG87" s="4">
        <f t="shared" si="41"/>
        <v>3.4495688038995054E-2</v>
      </c>
      <c r="BH87" s="4">
        <f t="shared" si="42"/>
        <v>2.0848310567936679E-2</v>
      </c>
      <c r="BI87" s="4">
        <f t="shared" si="43"/>
        <v>7.2072072072071336E-4</v>
      </c>
      <c r="BJ87" s="4">
        <f t="shared" si="44"/>
        <v>3.6443148688047877E-4</v>
      </c>
      <c r="BK87" s="4">
        <f t="shared" si="45"/>
        <v>7.3072707343802001E-4</v>
      </c>
      <c r="BL87" s="4">
        <f t="shared" si="46"/>
        <v>2.192493496841319E-2</v>
      </c>
      <c r="BM87" s="4">
        <f t="shared" si="51"/>
        <v>1.4610842987866033E-2</v>
      </c>
      <c r="BN87" s="9">
        <f t="shared" si="52"/>
        <v>13651.588892401736</v>
      </c>
      <c r="BO87" s="10">
        <f t="shared" si="53"/>
        <v>13130.310517186685</v>
      </c>
      <c r="BP87">
        <v>13805</v>
      </c>
      <c r="BQ87">
        <v>13810</v>
      </c>
      <c r="BR87">
        <v>13795</v>
      </c>
      <c r="BS87">
        <v>13795</v>
      </c>
      <c r="BT87">
        <v>22358</v>
      </c>
      <c r="BU87" s="13">
        <f t="shared" si="47"/>
        <v>13800</v>
      </c>
      <c r="BV87" s="13">
        <f t="shared" si="48"/>
        <v>308540400</v>
      </c>
      <c r="BW87" s="13">
        <f>SUM($BV$3:BV87)</f>
        <v>150267269818.3334</v>
      </c>
      <c r="BX87" s="13">
        <f>SUM($BT$3:BT87)</f>
        <v>11004617</v>
      </c>
      <c r="BY87" s="3">
        <f t="shared" si="49"/>
        <v>13654.929546238038</v>
      </c>
    </row>
    <row r="88" spans="1:77" x14ac:dyDescent="0.3">
      <c r="A88" s="3" t="s">
        <v>128</v>
      </c>
      <c r="B88" s="3">
        <v>11735</v>
      </c>
      <c r="C88" s="3">
        <v>11740</v>
      </c>
      <c r="D88" s="3">
        <v>11395</v>
      </c>
      <c r="E88" s="3">
        <v>11390</v>
      </c>
      <c r="F88" s="3">
        <v>11710</v>
      </c>
      <c r="G88" s="3">
        <v>11725</v>
      </c>
      <c r="H88" s="3">
        <v>11640</v>
      </c>
      <c r="I88" s="3">
        <v>11655</v>
      </c>
      <c r="J88" s="3">
        <v>11680</v>
      </c>
      <c r="K88" s="3">
        <v>11675</v>
      </c>
      <c r="L88" s="3">
        <v>12050</v>
      </c>
      <c r="M88" s="3">
        <v>12040</v>
      </c>
      <c r="N88" s="3">
        <v>12495</v>
      </c>
      <c r="O88" s="3">
        <v>12500</v>
      </c>
      <c r="P88" s="3">
        <v>12715</v>
      </c>
      <c r="Q88" s="3">
        <v>12715</v>
      </c>
      <c r="R88" s="3">
        <v>12510</v>
      </c>
      <c r="S88" s="3">
        <v>12490</v>
      </c>
      <c r="T88" s="3">
        <v>12350</v>
      </c>
      <c r="U88" s="3">
        <v>12355</v>
      </c>
      <c r="V88" s="3">
        <v>12775</v>
      </c>
      <c r="W88" s="3">
        <v>12795</v>
      </c>
      <c r="X88" s="3">
        <v>12530</v>
      </c>
      <c r="Y88" s="3">
        <v>12540</v>
      </c>
      <c r="Z88" s="3">
        <v>12685</v>
      </c>
      <c r="AA88" s="3">
        <v>12685</v>
      </c>
      <c r="AB88" s="3">
        <v>13290</v>
      </c>
      <c r="AC88" s="3">
        <v>13305</v>
      </c>
      <c r="AD88" s="3">
        <v>13210</v>
      </c>
      <c r="AE88" s="3">
        <v>13210</v>
      </c>
      <c r="AF88" s="3">
        <v>13790</v>
      </c>
      <c r="AG88" s="3">
        <v>13805</v>
      </c>
      <c r="AH88" s="3">
        <v>14200</v>
      </c>
      <c r="AI88" s="3">
        <v>14190</v>
      </c>
      <c r="AJ88" s="3">
        <v>13880</v>
      </c>
      <c r="AK88" s="3">
        <v>13890</v>
      </c>
      <c r="AL88" s="3">
        <v>13730</v>
      </c>
      <c r="AM88" s="3">
        <v>13730</v>
      </c>
      <c r="AN88" s="3">
        <v>13700</v>
      </c>
      <c r="AO88" s="3">
        <v>13695</v>
      </c>
      <c r="AP88" s="3">
        <v>13750</v>
      </c>
      <c r="AQ88" s="3">
        <v>13770</v>
      </c>
      <c r="AR88" s="4">
        <f t="shared" si="50"/>
        <v>1.8213356461405095E-2</v>
      </c>
      <c r="AS88" s="4">
        <f t="shared" si="27"/>
        <v>1.3852813852813894E-2</v>
      </c>
      <c r="AT88" s="4">
        <f t="shared" si="28"/>
        <v>3.2130281690140761E-2</v>
      </c>
      <c r="AU88" s="4">
        <f t="shared" si="29"/>
        <v>1.0611205432937143E-2</v>
      </c>
      <c r="AV88" s="4">
        <f t="shared" si="30"/>
        <v>1.2831479897348341E-3</v>
      </c>
      <c r="AW88" s="4">
        <f t="shared" si="31"/>
        <v>1.5177065767284947E-2</v>
      </c>
      <c r="AX88" s="4">
        <f t="shared" si="32"/>
        <v>3.1778786628146927E-2</v>
      </c>
      <c r="AY88" s="4">
        <f t="shared" si="33"/>
        <v>5.0860719874804561E-3</v>
      </c>
      <c r="AZ88" s="4">
        <f t="shared" si="34"/>
        <v>4.3842168194500042E-3</v>
      </c>
      <c r="BA88" s="4">
        <f t="shared" si="35"/>
        <v>1.6161616161616266E-3</v>
      </c>
      <c r="BB88" s="4">
        <f t="shared" si="36"/>
        <v>3.7292257802999496E-2</v>
      </c>
      <c r="BC88" s="4">
        <f t="shared" si="37"/>
        <v>7.5187969924812581E-3</v>
      </c>
      <c r="BD88" s="4">
        <f t="shared" si="38"/>
        <v>1.2071651090342694E-2</v>
      </c>
      <c r="BE88" s="4">
        <f t="shared" si="39"/>
        <v>2.6224450443501635E-2</v>
      </c>
      <c r="BF88" s="4">
        <f t="shared" si="40"/>
        <v>9.1673032849504121E-3</v>
      </c>
      <c r="BG88" s="4">
        <f t="shared" si="41"/>
        <v>3.5245594300712391E-2</v>
      </c>
      <c r="BH88" s="4">
        <f t="shared" si="42"/>
        <v>2.0129403306973437E-2</v>
      </c>
      <c r="BI88" s="4">
        <f t="shared" si="43"/>
        <v>1.08108108108107E-3</v>
      </c>
      <c r="BJ88" s="4">
        <f t="shared" si="44"/>
        <v>7.2886297376095754E-4</v>
      </c>
      <c r="BK88" s="4">
        <f t="shared" si="45"/>
        <v>7.3072707343802001E-4</v>
      </c>
      <c r="BL88" s="4">
        <f t="shared" si="46"/>
        <v>2.3411371237458178E-2</v>
      </c>
      <c r="BM88" s="4">
        <f t="shared" si="51"/>
        <v>1.4871015099887577E-2</v>
      </c>
      <c r="BN88" s="9">
        <f t="shared" si="52"/>
        <v>13655.089508168989</v>
      </c>
      <c r="BO88" s="10">
        <f t="shared" si="53"/>
        <v>13126.843723793998</v>
      </c>
      <c r="BP88">
        <v>13790</v>
      </c>
      <c r="BQ88">
        <v>13810</v>
      </c>
      <c r="BR88">
        <v>13780</v>
      </c>
      <c r="BS88">
        <v>13805</v>
      </c>
      <c r="BT88">
        <v>27111</v>
      </c>
      <c r="BU88" s="13">
        <f t="shared" si="47"/>
        <v>13798.333333333334</v>
      </c>
      <c r="BV88" s="13">
        <f t="shared" si="48"/>
        <v>374086615</v>
      </c>
      <c r="BW88" s="13">
        <f>SUM($BV$3:BV88)</f>
        <v>150641356433.3334</v>
      </c>
      <c r="BX88" s="13">
        <f>SUM($BT$3:BT88)</f>
        <v>11031728</v>
      </c>
      <c r="BY88" s="3">
        <f t="shared" si="49"/>
        <v>13655.28196791413</v>
      </c>
    </row>
    <row r="89" spans="1:77" x14ac:dyDescent="0.3">
      <c r="A89" s="3" t="s">
        <v>129</v>
      </c>
      <c r="B89" s="3">
        <v>11740</v>
      </c>
      <c r="C89" s="3">
        <v>11750</v>
      </c>
      <c r="D89" s="3">
        <v>11390</v>
      </c>
      <c r="E89" s="3">
        <v>11400</v>
      </c>
      <c r="F89" s="3">
        <v>11730</v>
      </c>
      <c r="G89" s="3">
        <v>11700</v>
      </c>
      <c r="H89" s="3">
        <v>11655</v>
      </c>
      <c r="I89" s="3">
        <v>11650</v>
      </c>
      <c r="J89" s="3">
        <v>11675</v>
      </c>
      <c r="K89" s="3">
        <v>11670</v>
      </c>
      <c r="L89" s="3">
        <v>12040</v>
      </c>
      <c r="M89" s="3">
        <v>12045</v>
      </c>
      <c r="N89" s="3">
        <v>12500</v>
      </c>
      <c r="O89" s="3">
        <v>12495</v>
      </c>
      <c r="P89" s="3">
        <v>12715</v>
      </c>
      <c r="Q89" s="3">
        <v>12715</v>
      </c>
      <c r="R89" s="3">
        <v>12490</v>
      </c>
      <c r="S89" s="3">
        <v>12505</v>
      </c>
      <c r="T89" s="3">
        <v>12360</v>
      </c>
      <c r="U89" s="3">
        <v>12355</v>
      </c>
      <c r="V89" s="3">
        <v>12800</v>
      </c>
      <c r="W89" s="3">
        <v>12795</v>
      </c>
      <c r="X89" s="3">
        <v>12545</v>
      </c>
      <c r="Y89" s="3">
        <v>12540</v>
      </c>
      <c r="Z89" s="3">
        <v>12690</v>
      </c>
      <c r="AA89" s="3">
        <v>12670</v>
      </c>
      <c r="AB89" s="3">
        <v>13305</v>
      </c>
      <c r="AC89" s="3">
        <v>13300</v>
      </c>
      <c r="AD89" s="3">
        <v>13205</v>
      </c>
      <c r="AE89" s="3">
        <v>13175</v>
      </c>
      <c r="AF89" s="3">
        <v>13805</v>
      </c>
      <c r="AG89" s="3">
        <v>13805</v>
      </c>
      <c r="AH89" s="3">
        <v>14185</v>
      </c>
      <c r="AI89" s="3">
        <v>14195</v>
      </c>
      <c r="AJ89" s="3">
        <v>13895</v>
      </c>
      <c r="AK89" s="3">
        <v>13905</v>
      </c>
      <c r="AL89" s="3">
        <v>13730</v>
      </c>
      <c r="AM89" s="3">
        <v>13735</v>
      </c>
      <c r="AN89" s="3">
        <v>13690</v>
      </c>
      <c r="AO89" s="3">
        <v>13680</v>
      </c>
      <c r="AP89" s="3">
        <v>13770</v>
      </c>
      <c r="AQ89" s="3">
        <v>13800</v>
      </c>
      <c r="AR89" s="4">
        <f t="shared" si="50"/>
        <v>1.9080659150043422E-2</v>
      </c>
      <c r="AS89" s="4">
        <f t="shared" si="27"/>
        <v>1.2987012987012991E-2</v>
      </c>
      <c r="AT89" s="4">
        <f t="shared" si="28"/>
        <v>2.9929577464788748E-2</v>
      </c>
      <c r="AU89" s="4">
        <f t="shared" si="29"/>
        <v>1.1035653650254718E-2</v>
      </c>
      <c r="AV89" s="4">
        <f t="shared" si="30"/>
        <v>1.7108639863130382E-3</v>
      </c>
      <c r="AW89" s="4">
        <f t="shared" si="31"/>
        <v>1.5598650927487245E-2</v>
      </c>
      <c r="AX89" s="4">
        <f t="shared" si="32"/>
        <v>3.1366075113495651E-2</v>
      </c>
      <c r="AY89" s="4">
        <f t="shared" si="33"/>
        <v>5.0860719874804561E-3</v>
      </c>
      <c r="AZ89" s="4">
        <f t="shared" si="34"/>
        <v>3.1885213232363263E-3</v>
      </c>
      <c r="BA89" s="4">
        <f t="shared" si="35"/>
        <v>1.6161616161616266E-3</v>
      </c>
      <c r="BB89" s="4">
        <f t="shared" si="36"/>
        <v>3.7292257802999496E-2</v>
      </c>
      <c r="BC89" s="4">
        <f t="shared" si="37"/>
        <v>7.5187969924812581E-3</v>
      </c>
      <c r="BD89" s="4">
        <f t="shared" si="38"/>
        <v>1.3239875389408073E-2</v>
      </c>
      <c r="BE89" s="4">
        <f t="shared" si="39"/>
        <v>2.5838796760509153E-2</v>
      </c>
      <c r="BF89" s="4">
        <f t="shared" si="40"/>
        <v>6.4935064935065512E-3</v>
      </c>
      <c r="BG89" s="4">
        <f t="shared" si="41"/>
        <v>3.5245594300712391E-2</v>
      </c>
      <c r="BH89" s="4">
        <f t="shared" si="42"/>
        <v>2.0488856937455058E-2</v>
      </c>
      <c r="BI89" s="4">
        <f t="shared" si="43"/>
        <v>2.1621621621621401E-3</v>
      </c>
      <c r="BJ89" s="4">
        <f t="shared" si="44"/>
        <v>1.0932944606414363E-3</v>
      </c>
      <c r="BK89" s="4">
        <f t="shared" si="45"/>
        <v>3.6536353671901001E-4</v>
      </c>
      <c r="BL89" s="4">
        <f t="shared" si="46"/>
        <v>2.564102564102555E-2</v>
      </c>
      <c r="BM89" s="4">
        <f t="shared" si="51"/>
        <v>1.4492987321081095E-2</v>
      </c>
      <c r="BN89" s="9">
        <f t="shared" si="52"/>
        <v>13650.003144405146</v>
      </c>
      <c r="BO89" s="10">
        <f t="shared" si="53"/>
        <v>13131.880943946595</v>
      </c>
      <c r="BP89">
        <v>13805</v>
      </c>
      <c r="BQ89">
        <v>13820</v>
      </c>
      <c r="BR89">
        <v>13795</v>
      </c>
      <c r="BS89">
        <v>13805</v>
      </c>
      <c r="BT89">
        <v>32746</v>
      </c>
      <c r="BU89" s="13">
        <f t="shared" si="47"/>
        <v>13806.666666666666</v>
      </c>
      <c r="BV89" s="13">
        <f t="shared" si="48"/>
        <v>452113106.66666663</v>
      </c>
      <c r="BW89" s="13">
        <f>SUM($BV$3:BV89)</f>
        <v>151093469540.00006</v>
      </c>
      <c r="BX89" s="13">
        <f>SUM($BT$3:BT89)</f>
        <v>11064474</v>
      </c>
      <c r="BY89" s="3">
        <f t="shared" si="49"/>
        <v>13655.730000359716</v>
      </c>
    </row>
    <row r="90" spans="1:77" x14ac:dyDescent="0.3">
      <c r="A90" s="3" t="s">
        <v>130</v>
      </c>
      <c r="B90" s="3">
        <v>11750</v>
      </c>
      <c r="C90" s="3">
        <v>11740</v>
      </c>
      <c r="D90" s="3">
        <v>11405</v>
      </c>
      <c r="E90" s="3">
        <v>11400</v>
      </c>
      <c r="F90" s="3">
        <v>11695</v>
      </c>
      <c r="G90" s="3">
        <v>11695</v>
      </c>
      <c r="H90" s="3">
        <v>11650</v>
      </c>
      <c r="I90" s="3">
        <v>11650</v>
      </c>
      <c r="J90" s="3">
        <v>11675</v>
      </c>
      <c r="K90" s="3">
        <v>11680</v>
      </c>
      <c r="L90" s="3">
        <v>12045</v>
      </c>
      <c r="M90" s="3">
        <v>12055</v>
      </c>
      <c r="N90" s="3">
        <v>12495</v>
      </c>
      <c r="O90" s="3">
        <v>12495</v>
      </c>
      <c r="P90" s="3">
        <v>12720</v>
      </c>
      <c r="Q90" s="3">
        <v>12775</v>
      </c>
      <c r="R90" s="3">
        <v>12505</v>
      </c>
      <c r="S90" s="3">
        <v>12505</v>
      </c>
      <c r="T90" s="3">
        <v>12360</v>
      </c>
      <c r="U90" s="3">
        <v>12370</v>
      </c>
      <c r="V90" s="3">
        <v>12795</v>
      </c>
      <c r="W90" s="3">
        <v>12790</v>
      </c>
      <c r="X90" s="3">
        <v>12540</v>
      </c>
      <c r="Y90" s="3">
        <v>12545</v>
      </c>
      <c r="Z90" s="3">
        <v>12670</v>
      </c>
      <c r="AA90" s="3">
        <v>12675</v>
      </c>
      <c r="AB90" s="3">
        <v>13300</v>
      </c>
      <c r="AC90" s="3">
        <v>13295</v>
      </c>
      <c r="AD90" s="3">
        <v>13175</v>
      </c>
      <c r="AE90" s="3">
        <v>13185</v>
      </c>
      <c r="AF90" s="3">
        <v>13805</v>
      </c>
      <c r="AG90" s="3">
        <v>13810</v>
      </c>
      <c r="AH90" s="3">
        <v>14195</v>
      </c>
      <c r="AI90" s="3">
        <v>14195</v>
      </c>
      <c r="AJ90" s="3">
        <v>13905</v>
      </c>
      <c r="AK90" s="3">
        <v>13905</v>
      </c>
      <c r="AL90" s="3">
        <v>13740</v>
      </c>
      <c r="AM90" s="3">
        <v>13730</v>
      </c>
      <c r="AN90" s="3">
        <v>13680</v>
      </c>
      <c r="AO90" s="3">
        <v>13675</v>
      </c>
      <c r="AP90" s="3">
        <v>13795</v>
      </c>
      <c r="AQ90" s="3">
        <v>13805</v>
      </c>
      <c r="AR90" s="4">
        <f t="shared" si="50"/>
        <v>1.8213356461405095E-2</v>
      </c>
      <c r="AS90" s="4">
        <f t="shared" si="27"/>
        <v>1.2987012987012991E-2</v>
      </c>
      <c r="AT90" s="4">
        <f t="shared" si="28"/>
        <v>2.9489436619718257E-2</v>
      </c>
      <c r="AU90" s="4">
        <f t="shared" si="29"/>
        <v>1.1035653650254718E-2</v>
      </c>
      <c r="AV90" s="4">
        <f t="shared" si="30"/>
        <v>8.5543199315651908E-4</v>
      </c>
      <c r="AW90" s="4">
        <f t="shared" si="31"/>
        <v>1.6441821247892063E-2</v>
      </c>
      <c r="AX90" s="4">
        <f t="shared" si="32"/>
        <v>3.1366075113495651E-2</v>
      </c>
      <c r="AY90" s="4">
        <f t="shared" si="33"/>
        <v>3.9123630672921461E-4</v>
      </c>
      <c r="AZ90" s="4">
        <f t="shared" si="34"/>
        <v>3.1885213232363263E-3</v>
      </c>
      <c r="BA90" s="4">
        <f t="shared" si="35"/>
        <v>4.0404040404040664E-4</v>
      </c>
      <c r="BB90" s="4">
        <f t="shared" si="36"/>
        <v>3.6886907174706218E-2</v>
      </c>
      <c r="BC90" s="4">
        <f t="shared" si="37"/>
        <v>7.1230708349822036E-3</v>
      </c>
      <c r="BD90" s="4">
        <f t="shared" si="38"/>
        <v>1.2850467289719614E-2</v>
      </c>
      <c r="BE90" s="4">
        <f t="shared" si="39"/>
        <v>2.5453143077516449E-2</v>
      </c>
      <c r="BF90" s="4">
        <f t="shared" si="40"/>
        <v>7.257448433918956E-3</v>
      </c>
      <c r="BG90" s="4">
        <f t="shared" si="41"/>
        <v>3.5620547431570948E-2</v>
      </c>
      <c r="BH90" s="4">
        <f t="shared" si="42"/>
        <v>2.0488856937455058E-2</v>
      </c>
      <c r="BI90" s="4">
        <f t="shared" si="43"/>
        <v>2.1621621621621401E-3</v>
      </c>
      <c r="BJ90" s="4">
        <f t="shared" si="44"/>
        <v>7.2886297376095754E-4</v>
      </c>
      <c r="BK90" s="4">
        <f t="shared" si="45"/>
        <v>7.3072707343802001E-4</v>
      </c>
      <c r="BL90" s="4">
        <f t="shared" si="46"/>
        <v>2.6012634708286964E-2</v>
      </c>
      <c r="BM90" s="4">
        <f t="shared" si="51"/>
        <v>1.3980733318312828E-2</v>
      </c>
      <c r="BN90" s="9">
        <f t="shared" si="52"/>
        <v>13643.110766797899</v>
      </c>
      <c r="BO90" s="10">
        <f t="shared" si="53"/>
        <v>13138.706728533482</v>
      </c>
      <c r="BP90">
        <v>13805</v>
      </c>
      <c r="BQ90">
        <v>13810</v>
      </c>
      <c r="BR90">
        <v>13790</v>
      </c>
      <c r="BS90">
        <v>13810</v>
      </c>
      <c r="BT90">
        <v>19030</v>
      </c>
      <c r="BU90" s="13">
        <f t="shared" si="47"/>
        <v>13803.333333333334</v>
      </c>
      <c r="BV90" s="13">
        <f t="shared" si="48"/>
        <v>262677433.33333334</v>
      </c>
      <c r="BW90" s="13">
        <f>SUM($BV$3:BV90)</f>
        <v>151356146973.3334</v>
      </c>
      <c r="BX90" s="13">
        <f>SUM($BT$3:BT90)</f>
        <v>11083504</v>
      </c>
      <c r="BY90" s="3">
        <f t="shared" si="49"/>
        <v>13655.983430270193</v>
      </c>
    </row>
    <row r="91" spans="1:77" x14ac:dyDescent="0.3">
      <c r="A91" s="3" t="s">
        <v>131</v>
      </c>
      <c r="B91" s="3">
        <v>11745</v>
      </c>
      <c r="C91" s="3">
        <v>11735</v>
      </c>
      <c r="D91" s="3">
        <v>11400</v>
      </c>
      <c r="E91" s="3">
        <v>11410</v>
      </c>
      <c r="F91" s="3">
        <v>11690</v>
      </c>
      <c r="G91" s="3">
        <v>11695</v>
      </c>
      <c r="H91" s="3">
        <v>11650</v>
      </c>
      <c r="I91" s="3">
        <v>11655</v>
      </c>
      <c r="J91" s="3">
        <v>11680</v>
      </c>
      <c r="K91" s="3">
        <v>11665</v>
      </c>
      <c r="L91" s="3">
        <v>12055</v>
      </c>
      <c r="M91" s="3">
        <v>12045</v>
      </c>
      <c r="N91" s="3">
        <v>12495</v>
      </c>
      <c r="O91" s="3">
        <v>12495</v>
      </c>
      <c r="P91" s="3">
        <v>12770</v>
      </c>
      <c r="Q91" s="3">
        <v>12765</v>
      </c>
      <c r="R91" s="3">
        <v>12505</v>
      </c>
      <c r="S91" s="3">
        <v>12520</v>
      </c>
      <c r="T91" s="3">
        <v>12370</v>
      </c>
      <c r="U91" s="3">
        <v>12390</v>
      </c>
      <c r="V91" s="3">
        <v>12790</v>
      </c>
      <c r="W91" s="3">
        <v>12790</v>
      </c>
      <c r="X91" s="3">
        <v>12545</v>
      </c>
      <c r="Y91" s="3">
        <v>12550</v>
      </c>
      <c r="Z91" s="3">
        <v>12670</v>
      </c>
      <c r="AA91" s="3">
        <v>12680</v>
      </c>
      <c r="AB91" s="3">
        <v>13290</v>
      </c>
      <c r="AC91" s="3">
        <v>13285</v>
      </c>
      <c r="AD91" s="3">
        <v>13185</v>
      </c>
      <c r="AE91" s="3">
        <v>13185</v>
      </c>
      <c r="AF91" s="3">
        <v>13810</v>
      </c>
      <c r="AG91" s="3">
        <v>13800</v>
      </c>
      <c r="AH91" s="3">
        <v>14190</v>
      </c>
      <c r="AI91" s="3">
        <v>14195</v>
      </c>
      <c r="AJ91" s="3">
        <v>13910</v>
      </c>
      <c r="AK91" s="3">
        <v>13895</v>
      </c>
      <c r="AL91" s="3">
        <v>13725</v>
      </c>
      <c r="AM91" s="3">
        <v>13715</v>
      </c>
      <c r="AN91" s="3">
        <v>13680</v>
      </c>
      <c r="AO91" s="3">
        <v>13685</v>
      </c>
      <c r="AP91" s="3">
        <v>13805</v>
      </c>
      <c r="AQ91" s="3">
        <v>13795</v>
      </c>
      <c r="AR91" s="4">
        <f t="shared" si="50"/>
        <v>1.777970511708582E-2</v>
      </c>
      <c r="AS91" s="4">
        <f t="shared" si="27"/>
        <v>1.2121212121212088E-2</v>
      </c>
      <c r="AT91" s="4">
        <f t="shared" si="28"/>
        <v>2.9489436619718257E-2</v>
      </c>
      <c r="AU91" s="4">
        <f t="shared" si="29"/>
        <v>1.0611205432937143E-2</v>
      </c>
      <c r="AV91" s="4">
        <f t="shared" si="30"/>
        <v>2.1385799828913532E-3</v>
      </c>
      <c r="AW91" s="4">
        <f t="shared" si="31"/>
        <v>1.5598650927487245E-2</v>
      </c>
      <c r="AX91" s="4">
        <f t="shared" si="32"/>
        <v>3.1366075113495651E-2</v>
      </c>
      <c r="AY91" s="4">
        <f t="shared" si="33"/>
        <v>1.1737089201877549E-3</v>
      </c>
      <c r="AZ91" s="4">
        <f t="shared" si="34"/>
        <v>1.9928258270227595E-3</v>
      </c>
      <c r="BA91" s="4">
        <f t="shared" si="35"/>
        <v>1.2121212121212199E-3</v>
      </c>
      <c r="BB91" s="4">
        <f t="shared" si="36"/>
        <v>3.6886907174706218E-2</v>
      </c>
      <c r="BC91" s="4">
        <f t="shared" si="37"/>
        <v>6.7273446774831491E-3</v>
      </c>
      <c r="BD91" s="4">
        <f t="shared" si="38"/>
        <v>1.2461059190031154E-2</v>
      </c>
      <c r="BE91" s="4">
        <f t="shared" si="39"/>
        <v>2.4681835711531042E-2</v>
      </c>
      <c r="BF91" s="4">
        <f t="shared" si="40"/>
        <v>7.257448433918956E-3</v>
      </c>
      <c r="BG91" s="4">
        <f t="shared" si="41"/>
        <v>3.4870641169853833E-2</v>
      </c>
      <c r="BH91" s="4">
        <f t="shared" si="42"/>
        <v>2.0488856937455058E-2</v>
      </c>
      <c r="BI91" s="4">
        <f t="shared" si="43"/>
        <v>1.4414414414414267E-3</v>
      </c>
      <c r="BJ91" s="4">
        <f t="shared" si="44"/>
        <v>3.6443148688047877E-4</v>
      </c>
      <c r="BK91" s="4">
        <f t="shared" si="45"/>
        <v>0</v>
      </c>
      <c r="BL91" s="4">
        <f t="shared" si="46"/>
        <v>2.5269416573764358E-2</v>
      </c>
      <c r="BM91" s="4">
        <f t="shared" si="51"/>
        <v>1.3837029381767427E-2</v>
      </c>
      <c r="BN91" s="9">
        <f t="shared" si="52"/>
        <v>13641.177230331679</v>
      </c>
      <c r="BO91" s="10">
        <f t="shared" si="53"/>
        <v>13140.621583487949</v>
      </c>
      <c r="BP91">
        <v>13810</v>
      </c>
      <c r="BQ91">
        <v>13815</v>
      </c>
      <c r="BR91">
        <v>13790</v>
      </c>
      <c r="BS91">
        <v>13800</v>
      </c>
      <c r="BT91">
        <v>19754</v>
      </c>
      <c r="BU91" s="13">
        <f t="shared" si="47"/>
        <v>13801.666666666666</v>
      </c>
      <c r="BV91" s="13">
        <f t="shared" si="48"/>
        <v>272638123.33333331</v>
      </c>
      <c r="BW91" s="13">
        <f>SUM($BV$3:BV91)</f>
        <v>151628785096.66675</v>
      </c>
      <c r="BX91" s="13">
        <f>SUM($BT$3:BT91)</f>
        <v>11103258</v>
      </c>
      <c r="BY91" s="3">
        <f t="shared" si="49"/>
        <v>13656.242617857457</v>
      </c>
    </row>
    <row r="92" spans="1:77" x14ac:dyDescent="0.3">
      <c r="A92" s="3" t="s">
        <v>132</v>
      </c>
      <c r="B92" s="3">
        <v>11740</v>
      </c>
      <c r="C92" s="3">
        <v>11740</v>
      </c>
      <c r="D92" s="3">
        <v>11410</v>
      </c>
      <c r="E92" s="3">
        <v>11410</v>
      </c>
      <c r="F92" s="3">
        <v>11690</v>
      </c>
      <c r="G92" s="3">
        <v>11665</v>
      </c>
      <c r="H92" s="3">
        <v>11655</v>
      </c>
      <c r="I92" s="3">
        <v>11660</v>
      </c>
      <c r="J92" s="3">
        <v>11670</v>
      </c>
      <c r="K92" s="3">
        <v>11675</v>
      </c>
      <c r="L92" s="3">
        <v>12045</v>
      </c>
      <c r="M92" s="3">
        <v>12045</v>
      </c>
      <c r="N92" s="3">
        <v>12495</v>
      </c>
      <c r="O92" s="3">
        <v>12500</v>
      </c>
      <c r="P92" s="3">
        <v>12770</v>
      </c>
      <c r="Q92" s="3">
        <v>12750</v>
      </c>
      <c r="R92" s="3">
        <v>12520</v>
      </c>
      <c r="S92" s="3">
        <v>12515</v>
      </c>
      <c r="T92" s="3">
        <v>12390</v>
      </c>
      <c r="U92" s="3">
        <v>12375</v>
      </c>
      <c r="V92" s="3">
        <v>12790</v>
      </c>
      <c r="W92" s="3">
        <v>12800</v>
      </c>
      <c r="X92" s="3">
        <v>12545</v>
      </c>
      <c r="Y92" s="3">
        <v>12545</v>
      </c>
      <c r="Z92" s="3">
        <v>12675</v>
      </c>
      <c r="AA92" s="3">
        <v>12660</v>
      </c>
      <c r="AB92" s="3">
        <v>13285</v>
      </c>
      <c r="AC92" s="3">
        <v>13270</v>
      </c>
      <c r="AD92" s="3">
        <v>13185</v>
      </c>
      <c r="AE92" s="3">
        <v>13185</v>
      </c>
      <c r="AF92" s="3">
        <v>13800</v>
      </c>
      <c r="AG92" s="3">
        <v>13800</v>
      </c>
      <c r="AH92" s="3">
        <v>14200</v>
      </c>
      <c r="AI92" s="3">
        <v>14185</v>
      </c>
      <c r="AJ92" s="3">
        <v>13895</v>
      </c>
      <c r="AK92" s="3">
        <v>13900</v>
      </c>
      <c r="AL92" s="3">
        <v>13715</v>
      </c>
      <c r="AM92" s="3">
        <v>13730</v>
      </c>
      <c r="AN92" s="3">
        <v>13690</v>
      </c>
      <c r="AO92" s="3">
        <v>13675</v>
      </c>
      <c r="AP92" s="3">
        <v>13795</v>
      </c>
      <c r="AQ92" s="3">
        <v>13785</v>
      </c>
      <c r="AR92" s="4">
        <f t="shared" si="50"/>
        <v>1.8213356461405095E-2</v>
      </c>
      <c r="AS92" s="4">
        <f t="shared" si="27"/>
        <v>1.2121212121212088E-2</v>
      </c>
      <c r="AT92" s="4">
        <f t="shared" si="28"/>
        <v>2.6848591549295753E-2</v>
      </c>
      <c r="AU92" s="4">
        <f t="shared" si="29"/>
        <v>1.018675721561968E-2</v>
      </c>
      <c r="AV92" s="4">
        <f t="shared" si="30"/>
        <v>1.2831479897348341E-3</v>
      </c>
      <c r="AW92" s="4">
        <f t="shared" si="31"/>
        <v>1.5598650927487245E-2</v>
      </c>
      <c r="AX92" s="4">
        <f t="shared" si="32"/>
        <v>3.1778786628146927E-2</v>
      </c>
      <c r="AY92" s="4">
        <f t="shared" si="33"/>
        <v>2.3474178403756207E-3</v>
      </c>
      <c r="AZ92" s="4">
        <f t="shared" si="34"/>
        <v>2.3913909924272447E-3</v>
      </c>
      <c r="BA92" s="4">
        <f t="shared" si="35"/>
        <v>0</v>
      </c>
      <c r="BB92" s="4">
        <f t="shared" si="36"/>
        <v>3.7697608431292995E-2</v>
      </c>
      <c r="BC92" s="4">
        <f t="shared" si="37"/>
        <v>7.1230708349822036E-3</v>
      </c>
      <c r="BD92" s="4">
        <f t="shared" si="38"/>
        <v>1.4018691588784993E-2</v>
      </c>
      <c r="BE92" s="4">
        <f t="shared" si="39"/>
        <v>2.352487466255293E-2</v>
      </c>
      <c r="BF92" s="4">
        <f t="shared" si="40"/>
        <v>7.257448433918956E-3</v>
      </c>
      <c r="BG92" s="4">
        <f t="shared" si="41"/>
        <v>3.4870641169853833E-2</v>
      </c>
      <c r="BH92" s="4">
        <f t="shared" si="42"/>
        <v>1.9769949676491816E-2</v>
      </c>
      <c r="BI92" s="4">
        <f t="shared" si="43"/>
        <v>1.8018018018017834E-3</v>
      </c>
      <c r="BJ92" s="4">
        <f t="shared" si="44"/>
        <v>7.2886297376095754E-4</v>
      </c>
      <c r="BK92" s="4">
        <f t="shared" si="45"/>
        <v>7.3072707343802001E-4</v>
      </c>
      <c r="BL92" s="4">
        <f t="shared" si="46"/>
        <v>2.4526198439241975E-2</v>
      </c>
      <c r="BM92" s="4">
        <f t="shared" si="51"/>
        <v>1.3726974943987962E-2</v>
      </c>
      <c r="BN92" s="9">
        <f t="shared" si="52"/>
        <v>13639.696447871356</v>
      </c>
      <c r="BO92" s="10">
        <f t="shared" si="53"/>
        <v>13142.088058871361</v>
      </c>
      <c r="BP92">
        <v>13800</v>
      </c>
      <c r="BQ92">
        <v>13805</v>
      </c>
      <c r="BR92">
        <v>13790</v>
      </c>
      <c r="BS92">
        <v>13800</v>
      </c>
      <c r="BT92">
        <v>4789</v>
      </c>
      <c r="BU92" s="13">
        <f t="shared" si="47"/>
        <v>13798.333333333334</v>
      </c>
      <c r="BV92" s="13">
        <f t="shared" si="48"/>
        <v>66080218.333333336</v>
      </c>
      <c r="BW92" s="13">
        <f>SUM($BV$3:BV92)</f>
        <v>151694865315.00009</v>
      </c>
      <c r="BX92" s="13">
        <f>SUM($BT$3:BT92)</f>
        <v>11108047</v>
      </c>
      <c r="BY92" s="3">
        <f t="shared" si="49"/>
        <v>13656.303877270244</v>
      </c>
    </row>
    <row r="93" spans="1:77" x14ac:dyDescent="0.3">
      <c r="A93" s="3" t="s">
        <v>133</v>
      </c>
      <c r="B93" s="3">
        <v>11740</v>
      </c>
      <c r="C93" s="3">
        <v>11740</v>
      </c>
      <c r="D93" s="3">
        <v>11410</v>
      </c>
      <c r="E93" s="3">
        <v>11420</v>
      </c>
      <c r="F93" s="3">
        <v>11665</v>
      </c>
      <c r="G93" s="3">
        <v>11670</v>
      </c>
      <c r="H93" s="3">
        <v>11660</v>
      </c>
      <c r="I93" s="3">
        <v>11665</v>
      </c>
      <c r="J93" s="3">
        <v>11680</v>
      </c>
      <c r="K93" s="3">
        <v>11680</v>
      </c>
      <c r="L93" s="3">
        <v>12045</v>
      </c>
      <c r="M93" s="3">
        <v>12060</v>
      </c>
      <c r="N93" s="3">
        <v>12500</v>
      </c>
      <c r="O93" s="3">
        <v>12495</v>
      </c>
      <c r="P93" s="3">
        <v>12750</v>
      </c>
      <c r="Q93" s="3">
        <v>12760</v>
      </c>
      <c r="R93" s="3">
        <v>12515</v>
      </c>
      <c r="S93" s="3">
        <v>12510</v>
      </c>
      <c r="T93" s="3">
        <v>12375</v>
      </c>
      <c r="U93" s="3">
        <v>12365</v>
      </c>
      <c r="V93" s="3">
        <v>12800</v>
      </c>
      <c r="W93" s="3">
        <v>12820</v>
      </c>
      <c r="X93" s="3">
        <v>12545</v>
      </c>
      <c r="Y93" s="3">
        <v>12520</v>
      </c>
      <c r="Z93" s="3">
        <v>12660</v>
      </c>
      <c r="AA93" s="3">
        <v>12620</v>
      </c>
      <c r="AB93" s="3">
        <v>13265</v>
      </c>
      <c r="AC93" s="3">
        <v>13295</v>
      </c>
      <c r="AD93" s="3">
        <v>13180</v>
      </c>
      <c r="AE93" s="3">
        <v>13185</v>
      </c>
      <c r="AF93" s="3">
        <v>13800</v>
      </c>
      <c r="AG93" s="3">
        <v>13800</v>
      </c>
      <c r="AH93" s="3">
        <v>14185</v>
      </c>
      <c r="AI93" s="3">
        <v>14200</v>
      </c>
      <c r="AJ93" s="3">
        <v>13905</v>
      </c>
      <c r="AK93" s="3">
        <v>13910</v>
      </c>
      <c r="AL93" s="3">
        <v>13730</v>
      </c>
      <c r="AM93" s="3">
        <v>13715</v>
      </c>
      <c r="AN93" s="3">
        <v>13670</v>
      </c>
      <c r="AO93" s="3">
        <v>13660</v>
      </c>
      <c r="AP93" s="3">
        <v>13780</v>
      </c>
      <c r="AQ93" s="3">
        <v>13780</v>
      </c>
      <c r="AR93" s="4">
        <f t="shared" si="50"/>
        <v>1.8213356461405095E-2</v>
      </c>
      <c r="AS93" s="4">
        <f t="shared" si="27"/>
        <v>1.1255411255411296E-2</v>
      </c>
      <c r="AT93" s="4">
        <f t="shared" si="28"/>
        <v>2.7288732394366244E-2</v>
      </c>
      <c r="AU93" s="4">
        <f t="shared" si="29"/>
        <v>9.762308998302216E-3</v>
      </c>
      <c r="AV93" s="4">
        <f t="shared" si="30"/>
        <v>8.5543199315651908E-4</v>
      </c>
      <c r="AW93" s="4">
        <f t="shared" si="31"/>
        <v>1.6863406408094361E-2</v>
      </c>
      <c r="AX93" s="4">
        <f t="shared" si="32"/>
        <v>3.1366075113495651E-2</v>
      </c>
      <c r="AY93" s="4">
        <f t="shared" si="33"/>
        <v>1.5649452269170805E-3</v>
      </c>
      <c r="AZ93" s="4">
        <f t="shared" si="34"/>
        <v>2.789956157831841E-3</v>
      </c>
      <c r="BA93" s="4">
        <f t="shared" si="35"/>
        <v>8.0808080808081328E-4</v>
      </c>
      <c r="BB93" s="4">
        <f t="shared" si="36"/>
        <v>3.9319010944466992E-2</v>
      </c>
      <c r="BC93" s="4">
        <f t="shared" si="37"/>
        <v>9.101701622477254E-3</v>
      </c>
      <c r="BD93" s="4">
        <f t="shared" si="38"/>
        <v>1.7133956386292781E-2</v>
      </c>
      <c r="BE93" s="4">
        <f t="shared" si="39"/>
        <v>2.5453143077516449E-2</v>
      </c>
      <c r="BF93" s="4">
        <f t="shared" si="40"/>
        <v>7.257448433918956E-3</v>
      </c>
      <c r="BG93" s="4">
        <f t="shared" si="41"/>
        <v>3.4870641169853833E-2</v>
      </c>
      <c r="BH93" s="4">
        <f t="shared" si="42"/>
        <v>2.0848310567936679E-2</v>
      </c>
      <c r="BI93" s="4">
        <f t="shared" si="43"/>
        <v>2.5225225225224968E-3</v>
      </c>
      <c r="BJ93" s="4">
        <f t="shared" si="44"/>
        <v>3.6443148688047877E-4</v>
      </c>
      <c r="BK93" s="4">
        <f t="shared" si="45"/>
        <v>1.8268176835951611E-3</v>
      </c>
      <c r="BL93" s="4">
        <f t="shared" si="46"/>
        <v>2.4154589371980784E-2</v>
      </c>
      <c r="BM93" s="4">
        <f t="shared" si="51"/>
        <v>1.4344257772880604E-2</v>
      </c>
      <c r="BN93" s="9">
        <f t="shared" si="52"/>
        <v>13648.001988334106</v>
      </c>
      <c r="BO93" s="10">
        <f t="shared" si="53"/>
        <v>13133.862765176365</v>
      </c>
      <c r="BP93">
        <v>13800</v>
      </c>
      <c r="BQ93">
        <v>13805</v>
      </c>
      <c r="BR93">
        <v>13790</v>
      </c>
      <c r="BS93">
        <v>13800</v>
      </c>
      <c r="BT93">
        <v>19543</v>
      </c>
      <c r="BU93" s="13">
        <f t="shared" si="47"/>
        <v>13798.333333333334</v>
      </c>
      <c r="BV93" s="13">
        <f t="shared" si="48"/>
        <v>269660828.33333337</v>
      </c>
      <c r="BW93" s="13">
        <f>SUM($BV$3:BV93)</f>
        <v>151964526143.33344</v>
      </c>
      <c r="BX93" s="13">
        <f>SUM($BT$3:BT93)</f>
        <v>11127590</v>
      </c>
      <c r="BY93" s="3">
        <f t="shared" si="49"/>
        <v>13656.553318673085</v>
      </c>
    </row>
    <row r="94" spans="1:77" x14ac:dyDescent="0.3">
      <c r="A94" s="3" t="s">
        <v>134</v>
      </c>
      <c r="B94" s="3">
        <v>11735</v>
      </c>
      <c r="C94" s="3">
        <v>11720</v>
      </c>
      <c r="D94" s="3">
        <v>11420</v>
      </c>
      <c r="E94" s="3">
        <v>11425</v>
      </c>
      <c r="F94" s="3">
        <v>11670</v>
      </c>
      <c r="G94" s="3">
        <v>11655</v>
      </c>
      <c r="H94" s="3">
        <v>11665</v>
      </c>
      <c r="I94" s="3">
        <v>11655</v>
      </c>
      <c r="J94" s="3">
        <v>11685</v>
      </c>
      <c r="K94" s="3">
        <v>11655</v>
      </c>
      <c r="L94" s="3">
        <v>12055</v>
      </c>
      <c r="M94" s="3">
        <v>12055</v>
      </c>
      <c r="N94" s="3">
        <v>12495</v>
      </c>
      <c r="O94" s="3">
        <v>12485</v>
      </c>
      <c r="P94" s="3">
        <v>12765</v>
      </c>
      <c r="Q94" s="3">
        <v>12760</v>
      </c>
      <c r="R94" s="3">
        <v>12510</v>
      </c>
      <c r="S94" s="3">
        <v>12485</v>
      </c>
      <c r="T94" s="3">
        <v>12370</v>
      </c>
      <c r="U94" s="3">
        <v>12355</v>
      </c>
      <c r="V94" s="3">
        <v>12820</v>
      </c>
      <c r="W94" s="3">
        <v>12785</v>
      </c>
      <c r="X94" s="3">
        <v>12520</v>
      </c>
      <c r="Y94" s="3">
        <v>12535</v>
      </c>
      <c r="Z94" s="3">
        <v>12620</v>
      </c>
      <c r="AA94" s="3">
        <v>12605</v>
      </c>
      <c r="AB94" s="3">
        <v>13295</v>
      </c>
      <c r="AC94" s="3">
        <v>13285</v>
      </c>
      <c r="AD94" s="3">
        <v>13180</v>
      </c>
      <c r="AE94" s="3">
        <v>13190</v>
      </c>
      <c r="AF94" s="3">
        <v>13795</v>
      </c>
      <c r="AG94" s="3">
        <v>13780</v>
      </c>
      <c r="AH94" s="3">
        <v>14205</v>
      </c>
      <c r="AI94" s="3">
        <v>14185</v>
      </c>
      <c r="AJ94" s="3">
        <v>13905</v>
      </c>
      <c r="AK94" s="3">
        <v>13925</v>
      </c>
      <c r="AL94" s="3">
        <v>13715</v>
      </c>
      <c r="AM94" s="3">
        <v>13705</v>
      </c>
      <c r="AN94" s="3">
        <v>13660</v>
      </c>
      <c r="AO94" s="3">
        <v>13660</v>
      </c>
      <c r="AP94" s="3">
        <v>13780</v>
      </c>
      <c r="AQ94" s="3">
        <v>13765</v>
      </c>
      <c r="AR94" s="4">
        <f t="shared" si="50"/>
        <v>1.647875108412844E-2</v>
      </c>
      <c r="AS94" s="4">
        <f t="shared" si="27"/>
        <v>1.0822510822510845E-2</v>
      </c>
      <c r="AT94" s="4">
        <f t="shared" si="28"/>
        <v>2.5968309859154992E-2</v>
      </c>
      <c r="AU94" s="4">
        <f t="shared" si="29"/>
        <v>1.0611205432937143E-2</v>
      </c>
      <c r="AV94" s="4">
        <f t="shared" si="30"/>
        <v>2.9940119760478723E-3</v>
      </c>
      <c r="AW94" s="4">
        <f t="shared" si="31"/>
        <v>1.6441821247892063E-2</v>
      </c>
      <c r="AX94" s="4">
        <f t="shared" si="32"/>
        <v>3.0540652084193098E-2</v>
      </c>
      <c r="AY94" s="4">
        <f t="shared" si="33"/>
        <v>1.5649452269170805E-3</v>
      </c>
      <c r="AZ94" s="4">
        <f t="shared" si="34"/>
        <v>4.7827819848544895E-3</v>
      </c>
      <c r="BA94" s="4">
        <f t="shared" si="35"/>
        <v>1.6161616161616266E-3</v>
      </c>
      <c r="BB94" s="4">
        <f t="shared" si="36"/>
        <v>3.6481556546412719E-2</v>
      </c>
      <c r="BC94" s="4">
        <f t="shared" si="37"/>
        <v>7.9145231499802016E-3</v>
      </c>
      <c r="BD94" s="4">
        <f t="shared" si="38"/>
        <v>1.8302180685358271E-2</v>
      </c>
      <c r="BE94" s="4">
        <f t="shared" si="39"/>
        <v>2.4681835711531042E-2</v>
      </c>
      <c r="BF94" s="4">
        <f t="shared" si="40"/>
        <v>7.6394194041253805E-3</v>
      </c>
      <c r="BG94" s="4">
        <f t="shared" si="41"/>
        <v>3.3370828646419159E-2</v>
      </c>
      <c r="BH94" s="4">
        <f t="shared" si="42"/>
        <v>1.9769949676491816E-2</v>
      </c>
      <c r="BI94" s="4">
        <f t="shared" si="43"/>
        <v>3.6036036036035668E-3</v>
      </c>
      <c r="BJ94" s="4">
        <f t="shared" si="44"/>
        <v>1.0932944606414363E-3</v>
      </c>
      <c r="BK94" s="4">
        <f t="shared" si="45"/>
        <v>1.8268176835951611E-3</v>
      </c>
      <c r="BL94" s="4">
        <f t="shared" si="46"/>
        <v>2.3039762170196987E-2</v>
      </c>
      <c r="BM94" s="4">
        <f t="shared" si="51"/>
        <v>1.4311565410576916E-2</v>
      </c>
      <c r="BN94" s="9">
        <f t="shared" si="52"/>
        <v>13647.562112599313</v>
      </c>
      <c r="BO94" s="10">
        <f t="shared" si="53"/>
        <v>13134.298390904063</v>
      </c>
      <c r="BP94">
        <v>13795</v>
      </c>
      <c r="BQ94">
        <v>13800</v>
      </c>
      <c r="BR94">
        <v>13770</v>
      </c>
      <c r="BS94">
        <v>13780</v>
      </c>
      <c r="BT94">
        <v>27105</v>
      </c>
      <c r="BU94" s="13">
        <f t="shared" si="47"/>
        <v>13783.333333333334</v>
      </c>
      <c r="BV94" s="13">
        <f t="shared" si="48"/>
        <v>373597250</v>
      </c>
      <c r="BW94" s="13">
        <f>SUM($BV$3:BV94)</f>
        <v>152338123393.33344</v>
      </c>
      <c r="BX94" s="13">
        <f>SUM($BT$3:BT94)</f>
        <v>11154695</v>
      </c>
      <c r="BY94" s="3">
        <f t="shared" si="49"/>
        <v>13656.861383779067</v>
      </c>
    </row>
    <row r="95" spans="1:77" x14ac:dyDescent="0.3">
      <c r="A95" s="3" t="s">
        <v>135</v>
      </c>
      <c r="B95" s="3">
        <v>11720</v>
      </c>
      <c r="C95" s="3">
        <v>11725</v>
      </c>
      <c r="D95" s="3">
        <v>11420</v>
      </c>
      <c r="E95" s="3">
        <v>11415</v>
      </c>
      <c r="F95" s="3">
        <v>11655</v>
      </c>
      <c r="G95" s="3">
        <v>11640</v>
      </c>
      <c r="H95" s="3">
        <v>11655</v>
      </c>
      <c r="I95" s="3">
        <v>11660</v>
      </c>
      <c r="J95" s="3">
        <v>11660</v>
      </c>
      <c r="K95" s="3">
        <v>11675</v>
      </c>
      <c r="L95" s="3">
        <v>12055</v>
      </c>
      <c r="M95" s="3">
        <v>12065</v>
      </c>
      <c r="N95" s="3">
        <v>12490</v>
      </c>
      <c r="O95" s="3">
        <v>12475</v>
      </c>
      <c r="P95" s="3">
        <v>12760</v>
      </c>
      <c r="Q95" s="3">
        <v>12740</v>
      </c>
      <c r="R95" s="3">
        <v>12490</v>
      </c>
      <c r="S95" s="3">
        <v>12490</v>
      </c>
      <c r="T95" s="3">
        <v>12350</v>
      </c>
      <c r="U95" s="3">
        <v>12360</v>
      </c>
      <c r="V95" s="3">
        <v>12790</v>
      </c>
      <c r="W95" s="3">
        <v>12800</v>
      </c>
      <c r="X95" s="3">
        <v>12530</v>
      </c>
      <c r="Y95" s="3">
        <v>12535</v>
      </c>
      <c r="Z95" s="3">
        <v>12605</v>
      </c>
      <c r="AA95" s="3">
        <v>12575</v>
      </c>
      <c r="AB95" s="3">
        <v>13285</v>
      </c>
      <c r="AC95" s="3">
        <v>13275</v>
      </c>
      <c r="AD95" s="3">
        <v>13185</v>
      </c>
      <c r="AE95" s="3">
        <v>13185</v>
      </c>
      <c r="AF95" s="3">
        <v>13780</v>
      </c>
      <c r="AG95" s="3">
        <v>13760</v>
      </c>
      <c r="AH95" s="3">
        <v>14190</v>
      </c>
      <c r="AI95" s="3">
        <v>14190</v>
      </c>
      <c r="AJ95" s="3">
        <v>13925</v>
      </c>
      <c r="AK95" s="3">
        <v>13925</v>
      </c>
      <c r="AL95" s="3">
        <v>13700</v>
      </c>
      <c r="AM95" s="3">
        <v>13680</v>
      </c>
      <c r="AN95" s="3">
        <v>13665</v>
      </c>
      <c r="AO95" s="3">
        <v>13665</v>
      </c>
      <c r="AP95" s="3">
        <v>13765</v>
      </c>
      <c r="AQ95" s="3">
        <v>13745</v>
      </c>
      <c r="AR95" s="4">
        <f t="shared" si="50"/>
        <v>1.6912402428447493E-2</v>
      </c>
      <c r="AS95" s="4">
        <f t="shared" si="27"/>
        <v>1.1688311688311637E-2</v>
      </c>
      <c r="AT95" s="4">
        <f t="shared" si="28"/>
        <v>2.464788732394374E-2</v>
      </c>
      <c r="AU95" s="4">
        <f t="shared" si="29"/>
        <v>1.018675721561968E-2</v>
      </c>
      <c r="AV95" s="4">
        <f t="shared" si="30"/>
        <v>1.2831479897348341E-3</v>
      </c>
      <c r="AW95" s="4">
        <f t="shared" si="31"/>
        <v>1.7284991568296881E-2</v>
      </c>
      <c r="AX95" s="4">
        <f t="shared" si="32"/>
        <v>2.9715229054890546E-2</v>
      </c>
      <c r="AY95" s="4">
        <f t="shared" si="33"/>
        <v>3.129890453834161E-3</v>
      </c>
      <c r="AZ95" s="4">
        <f t="shared" si="34"/>
        <v>4.3842168194500042E-3</v>
      </c>
      <c r="BA95" s="4">
        <f t="shared" si="35"/>
        <v>1.2121212121212199E-3</v>
      </c>
      <c r="BB95" s="4">
        <f t="shared" si="36"/>
        <v>3.7697608431292995E-2</v>
      </c>
      <c r="BC95" s="4">
        <f t="shared" si="37"/>
        <v>7.9145231499802016E-3</v>
      </c>
      <c r="BD95" s="4">
        <f t="shared" si="38"/>
        <v>2.063862928348914E-2</v>
      </c>
      <c r="BE95" s="4">
        <f t="shared" si="39"/>
        <v>2.3910528345545634E-2</v>
      </c>
      <c r="BF95" s="4">
        <f t="shared" si="40"/>
        <v>7.257448433918956E-3</v>
      </c>
      <c r="BG95" s="4">
        <f t="shared" si="41"/>
        <v>3.1871016122984708E-2</v>
      </c>
      <c r="BH95" s="4">
        <f t="shared" si="42"/>
        <v>2.0129403306973437E-2</v>
      </c>
      <c r="BI95" s="4">
        <f t="shared" si="43"/>
        <v>3.6036036036035668E-3</v>
      </c>
      <c r="BJ95" s="4">
        <f t="shared" si="44"/>
        <v>2.9154518950437192E-3</v>
      </c>
      <c r="BK95" s="4">
        <f t="shared" si="45"/>
        <v>1.4614541468761511E-3</v>
      </c>
      <c r="BL95" s="4">
        <f t="shared" si="46"/>
        <v>2.1553325901151998E-2</v>
      </c>
      <c r="BM95" s="4">
        <f t="shared" si="51"/>
        <v>1.4353663640744974E-2</v>
      </c>
      <c r="BN95" s="9">
        <f t="shared" si="52"/>
        <v>13648.128544286223</v>
      </c>
      <c r="BO95" s="10">
        <f t="shared" si="53"/>
        <v>13133.737431987072</v>
      </c>
      <c r="BP95">
        <v>13780</v>
      </c>
      <c r="BQ95">
        <v>13780</v>
      </c>
      <c r="BR95">
        <v>13760</v>
      </c>
      <c r="BS95">
        <v>13760</v>
      </c>
      <c r="BT95">
        <v>37705</v>
      </c>
      <c r="BU95" s="13">
        <f t="shared" si="47"/>
        <v>13766.666666666666</v>
      </c>
      <c r="BV95" s="13">
        <f t="shared" si="48"/>
        <v>519072166.66666663</v>
      </c>
      <c r="BW95" s="13">
        <f>SUM($BV$3:BV95)</f>
        <v>152857195560.00009</v>
      </c>
      <c r="BX95" s="13">
        <f>SUM($BT$3:BT95)</f>
        <v>11192400</v>
      </c>
      <c r="BY95" s="3">
        <f t="shared" si="49"/>
        <v>13657.23129623674</v>
      </c>
    </row>
    <row r="96" spans="1:77" x14ac:dyDescent="0.3">
      <c r="A96" s="3" t="s">
        <v>136</v>
      </c>
      <c r="B96" s="3">
        <v>11725</v>
      </c>
      <c r="C96" s="3">
        <v>11695</v>
      </c>
      <c r="D96" s="3">
        <v>11415</v>
      </c>
      <c r="E96" s="3">
        <v>11425</v>
      </c>
      <c r="F96" s="3">
        <v>11645</v>
      </c>
      <c r="G96" s="3">
        <v>11655</v>
      </c>
      <c r="H96" s="3">
        <v>11665</v>
      </c>
      <c r="I96" s="3">
        <v>11655</v>
      </c>
      <c r="J96" s="3">
        <v>11675</v>
      </c>
      <c r="K96" s="3">
        <v>11680</v>
      </c>
      <c r="L96" s="3">
        <v>12065</v>
      </c>
      <c r="M96" s="3">
        <v>12075</v>
      </c>
      <c r="N96" s="3">
        <v>12480</v>
      </c>
      <c r="O96" s="3">
        <v>12470</v>
      </c>
      <c r="P96" s="3">
        <v>12740</v>
      </c>
      <c r="Q96" s="3">
        <v>12750</v>
      </c>
      <c r="R96" s="3">
        <v>12495</v>
      </c>
      <c r="S96" s="3">
        <v>12505</v>
      </c>
      <c r="T96" s="3">
        <v>12360</v>
      </c>
      <c r="U96" s="3">
        <v>12375</v>
      </c>
      <c r="V96" s="3">
        <v>12800</v>
      </c>
      <c r="W96" s="3">
        <v>12810</v>
      </c>
      <c r="X96" s="3">
        <v>12530</v>
      </c>
      <c r="Y96" s="3">
        <v>12535</v>
      </c>
      <c r="Z96" s="3">
        <v>12575</v>
      </c>
      <c r="AA96" s="3">
        <v>12600</v>
      </c>
      <c r="AB96" s="3">
        <v>13275</v>
      </c>
      <c r="AC96" s="3">
        <v>13315</v>
      </c>
      <c r="AD96" s="3">
        <v>13185</v>
      </c>
      <c r="AE96" s="3">
        <v>13195</v>
      </c>
      <c r="AF96" s="3">
        <v>13755</v>
      </c>
      <c r="AG96" s="3">
        <v>13760</v>
      </c>
      <c r="AH96" s="3">
        <v>14195</v>
      </c>
      <c r="AI96" s="3">
        <v>14205</v>
      </c>
      <c r="AJ96" s="3">
        <v>13925</v>
      </c>
      <c r="AK96" s="3">
        <v>13925</v>
      </c>
      <c r="AL96" s="3">
        <v>13680</v>
      </c>
      <c r="AM96" s="3">
        <v>13685</v>
      </c>
      <c r="AN96" s="3">
        <v>13665</v>
      </c>
      <c r="AO96" s="3">
        <v>13635</v>
      </c>
      <c r="AP96" s="3">
        <v>13750</v>
      </c>
      <c r="AQ96" s="3">
        <v>13760</v>
      </c>
      <c r="AR96" s="4">
        <f t="shared" si="50"/>
        <v>1.4310494362532511E-2</v>
      </c>
      <c r="AS96" s="4">
        <f t="shared" si="27"/>
        <v>1.0822510822510845E-2</v>
      </c>
      <c r="AT96" s="4">
        <f t="shared" si="28"/>
        <v>2.5968309859154992E-2</v>
      </c>
      <c r="AU96" s="4">
        <f t="shared" si="29"/>
        <v>1.0611205432937143E-2</v>
      </c>
      <c r="AV96" s="4">
        <f t="shared" si="30"/>
        <v>8.5543199315651908E-4</v>
      </c>
      <c r="AW96" s="4">
        <f t="shared" si="31"/>
        <v>1.8128161888701477E-2</v>
      </c>
      <c r="AX96" s="4">
        <f t="shared" si="32"/>
        <v>2.930251754023927E-2</v>
      </c>
      <c r="AY96" s="4">
        <f t="shared" si="33"/>
        <v>2.3474178403756207E-3</v>
      </c>
      <c r="AZ96" s="4">
        <f t="shared" si="34"/>
        <v>3.1885213232363263E-3</v>
      </c>
      <c r="BA96" s="4">
        <f t="shared" si="35"/>
        <v>0</v>
      </c>
      <c r="BB96" s="4">
        <f t="shared" si="36"/>
        <v>3.8508309687879994E-2</v>
      </c>
      <c r="BC96" s="4">
        <f t="shared" si="37"/>
        <v>7.9145231499802016E-3</v>
      </c>
      <c r="BD96" s="4">
        <f t="shared" si="38"/>
        <v>1.8691588785046731E-2</v>
      </c>
      <c r="BE96" s="4">
        <f t="shared" si="39"/>
        <v>2.6995757809487042E-2</v>
      </c>
      <c r="BF96" s="4">
        <f t="shared" si="40"/>
        <v>8.0213903743315829E-3</v>
      </c>
      <c r="BG96" s="4">
        <f t="shared" si="41"/>
        <v>3.1871016122984708E-2</v>
      </c>
      <c r="BH96" s="4">
        <f t="shared" si="42"/>
        <v>2.12077641984183E-2</v>
      </c>
      <c r="BI96" s="4">
        <f t="shared" si="43"/>
        <v>3.6036036036035668E-3</v>
      </c>
      <c r="BJ96" s="4">
        <f t="shared" si="44"/>
        <v>2.5510204081632404E-3</v>
      </c>
      <c r="BK96" s="4">
        <f t="shared" si="45"/>
        <v>3.6536353671903221E-3</v>
      </c>
      <c r="BL96" s="4">
        <f t="shared" si="46"/>
        <v>2.2668153102935795E-2</v>
      </c>
      <c r="BM96" s="4">
        <f t="shared" si="51"/>
        <v>1.4382546179074125E-2</v>
      </c>
      <c r="BN96" s="9">
        <f t="shared" si="52"/>
        <v>13648.517158839442</v>
      </c>
      <c r="BO96" s="10">
        <f t="shared" si="53"/>
        <v>13133.352572163838</v>
      </c>
      <c r="BP96">
        <v>13755</v>
      </c>
      <c r="BQ96">
        <v>13770</v>
      </c>
      <c r="BR96">
        <v>13755</v>
      </c>
      <c r="BS96">
        <v>13760</v>
      </c>
      <c r="BT96">
        <v>24830</v>
      </c>
      <c r="BU96" s="13">
        <f t="shared" si="47"/>
        <v>13761.666666666666</v>
      </c>
      <c r="BV96" s="13">
        <f t="shared" si="48"/>
        <v>341702183.33333331</v>
      </c>
      <c r="BW96" s="13">
        <f>SUM($BV$3:BV96)</f>
        <v>153198897743.33344</v>
      </c>
      <c r="BX96" s="13">
        <f>SUM($BT$3:BT96)</f>
        <v>11217230</v>
      </c>
      <c r="BY96" s="3">
        <f t="shared" si="49"/>
        <v>13657.46247008695</v>
      </c>
    </row>
    <row r="97" spans="1:77" x14ac:dyDescent="0.3">
      <c r="A97" s="3" t="s">
        <v>137</v>
      </c>
      <c r="B97" s="3">
        <v>11700</v>
      </c>
      <c r="C97" s="3">
        <v>11715</v>
      </c>
      <c r="D97" s="3">
        <v>11425</v>
      </c>
      <c r="E97" s="3">
        <v>11425</v>
      </c>
      <c r="F97" s="3">
        <v>11650</v>
      </c>
      <c r="G97" s="3">
        <v>11680</v>
      </c>
      <c r="H97" s="3">
        <v>11650</v>
      </c>
      <c r="I97" s="3">
        <v>11660</v>
      </c>
      <c r="J97" s="3">
        <v>11680</v>
      </c>
      <c r="K97" s="3">
        <v>11670</v>
      </c>
      <c r="L97" s="3">
        <v>12075</v>
      </c>
      <c r="M97" s="3">
        <v>12090</v>
      </c>
      <c r="N97" s="3">
        <v>12470</v>
      </c>
      <c r="O97" s="3">
        <v>12475</v>
      </c>
      <c r="P97" s="3">
        <v>12745</v>
      </c>
      <c r="Q97" s="3">
        <v>12765</v>
      </c>
      <c r="R97" s="3">
        <v>12505</v>
      </c>
      <c r="S97" s="3">
        <v>12510</v>
      </c>
      <c r="T97" s="3">
        <v>12370</v>
      </c>
      <c r="U97" s="3">
        <v>12370</v>
      </c>
      <c r="V97" s="3">
        <v>12810</v>
      </c>
      <c r="W97" s="3">
        <v>12815</v>
      </c>
      <c r="X97" s="3">
        <v>12535</v>
      </c>
      <c r="Y97" s="3">
        <v>12545</v>
      </c>
      <c r="Z97" s="3">
        <v>12595</v>
      </c>
      <c r="AA97" s="3">
        <v>12635</v>
      </c>
      <c r="AB97" s="3">
        <v>13315</v>
      </c>
      <c r="AC97" s="3">
        <v>13295</v>
      </c>
      <c r="AD97" s="3">
        <v>13190</v>
      </c>
      <c r="AE97" s="3">
        <v>13200</v>
      </c>
      <c r="AF97" s="3">
        <v>13760</v>
      </c>
      <c r="AG97" s="3">
        <v>13775</v>
      </c>
      <c r="AH97" s="3">
        <v>14205</v>
      </c>
      <c r="AI97" s="3">
        <v>14190</v>
      </c>
      <c r="AJ97" s="3">
        <v>13925</v>
      </c>
      <c r="AK97" s="3">
        <v>13900</v>
      </c>
      <c r="AL97" s="3">
        <v>13685</v>
      </c>
      <c r="AM97" s="3">
        <v>13685</v>
      </c>
      <c r="AN97" s="3">
        <v>13635</v>
      </c>
      <c r="AO97" s="3">
        <v>13610</v>
      </c>
      <c r="AP97" s="3">
        <v>13755</v>
      </c>
      <c r="AQ97" s="3">
        <v>13675</v>
      </c>
      <c r="AR97" s="4">
        <f t="shared" si="50"/>
        <v>1.6045099739809165E-2</v>
      </c>
      <c r="AS97" s="4">
        <f t="shared" si="27"/>
        <v>1.0822510822510845E-2</v>
      </c>
      <c r="AT97" s="4">
        <f t="shared" si="28"/>
        <v>2.8169014084507005E-2</v>
      </c>
      <c r="AU97" s="4">
        <f t="shared" si="29"/>
        <v>1.018675721561968E-2</v>
      </c>
      <c r="AV97" s="4">
        <f t="shared" si="30"/>
        <v>1.7108639863130382E-3</v>
      </c>
      <c r="AW97" s="4">
        <f t="shared" si="31"/>
        <v>1.9392917369308593E-2</v>
      </c>
      <c r="AX97" s="4">
        <f t="shared" si="32"/>
        <v>2.9715229054890546E-2</v>
      </c>
      <c r="AY97" s="4">
        <f t="shared" si="33"/>
        <v>1.1737089201877549E-3</v>
      </c>
      <c r="AZ97" s="4">
        <f t="shared" si="34"/>
        <v>2.789956157831841E-3</v>
      </c>
      <c r="BA97" s="4">
        <f t="shared" si="35"/>
        <v>4.0404040404040664E-4</v>
      </c>
      <c r="BB97" s="4">
        <f t="shared" si="36"/>
        <v>3.8913660316173493E-2</v>
      </c>
      <c r="BC97" s="4">
        <f t="shared" si="37"/>
        <v>7.1230708349822036E-3</v>
      </c>
      <c r="BD97" s="4">
        <f t="shared" si="38"/>
        <v>1.5965732087227402E-2</v>
      </c>
      <c r="BE97" s="4">
        <f t="shared" si="39"/>
        <v>2.5453143077516449E-2</v>
      </c>
      <c r="BF97" s="4">
        <f t="shared" si="40"/>
        <v>8.4033613445377853E-3</v>
      </c>
      <c r="BG97" s="4">
        <f t="shared" si="41"/>
        <v>3.2995875515560602E-2</v>
      </c>
      <c r="BH97" s="4">
        <f t="shared" si="42"/>
        <v>2.0129403306973437E-2</v>
      </c>
      <c r="BI97" s="4">
        <f t="shared" si="43"/>
        <v>1.8018018018017834E-3</v>
      </c>
      <c r="BJ97" s="4">
        <f t="shared" si="44"/>
        <v>2.5510204081632404E-3</v>
      </c>
      <c r="BK97" s="4">
        <f t="shared" si="45"/>
        <v>5.4804530507854832E-3</v>
      </c>
      <c r="BL97" s="4">
        <f t="shared" si="46"/>
        <v>1.635079895949465E-2</v>
      </c>
      <c r="BM97" s="4">
        <f t="shared" si="51"/>
        <v>1.4301711833974788E-2</v>
      </c>
      <c r="BN97" s="9">
        <f t="shared" si="52"/>
        <v>13647.42953272613</v>
      </c>
      <c r="BO97" s="10">
        <f t="shared" si="53"/>
        <v>13134.429689812287</v>
      </c>
      <c r="BP97">
        <v>13760</v>
      </c>
      <c r="BQ97">
        <v>13780</v>
      </c>
      <c r="BR97">
        <v>13760</v>
      </c>
      <c r="BS97">
        <v>13775</v>
      </c>
      <c r="BT97">
        <v>36403</v>
      </c>
      <c r="BU97" s="13">
        <f t="shared" si="47"/>
        <v>13771.666666666666</v>
      </c>
      <c r="BV97" s="13">
        <f t="shared" si="48"/>
        <v>501329981.66666663</v>
      </c>
      <c r="BW97" s="13">
        <f>SUM($BV$3:BV97)</f>
        <v>153700227725.00009</v>
      </c>
      <c r="BX97" s="13">
        <f>SUM($BT$3:BT97)</f>
        <v>11253633</v>
      </c>
      <c r="BY97" s="3">
        <f t="shared" si="49"/>
        <v>13657.831895264408</v>
      </c>
    </row>
    <row r="98" spans="1:77" x14ac:dyDescent="0.3">
      <c r="A98" s="3" t="s">
        <v>138</v>
      </c>
      <c r="B98" s="3">
        <v>11710</v>
      </c>
      <c r="C98" s="3">
        <v>11710</v>
      </c>
      <c r="D98" s="3">
        <v>11430</v>
      </c>
      <c r="E98" s="3">
        <v>11430</v>
      </c>
      <c r="F98" s="3">
        <v>11680</v>
      </c>
      <c r="G98" s="3">
        <v>11675</v>
      </c>
      <c r="H98" s="3">
        <v>11655</v>
      </c>
      <c r="I98" s="3">
        <v>11645</v>
      </c>
      <c r="J98" s="3">
        <v>11675</v>
      </c>
      <c r="K98" s="3">
        <v>11650</v>
      </c>
      <c r="L98" s="3">
        <v>12090</v>
      </c>
      <c r="M98" s="3">
        <v>12095</v>
      </c>
      <c r="N98" s="3">
        <v>12475</v>
      </c>
      <c r="O98" s="3">
        <v>12480</v>
      </c>
      <c r="P98" s="3">
        <v>12765</v>
      </c>
      <c r="Q98" s="3">
        <v>12760</v>
      </c>
      <c r="R98" s="3">
        <v>12510</v>
      </c>
      <c r="S98" s="3">
        <v>12500</v>
      </c>
      <c r="T98" s="3">
        <v>12375</v>
      </c>
      <c r="U98" s="3">
        <v>12355</v>
      </c>
      <c r="V98" s="3">
        <v>12810</v>
      </c>
      <c r="W98" s="3">
        <v>12820</v>
      </c>
      <c r="X98" s="3">
        <v>12550</v>
      </c>
      <c r="Y98" s="3">
        <v>12530</v>
      </c>
      <c r="Z98" s="3">
        <v>12640</v>
      </c>
      <c r="AA98" s="3">
        <v>12625</v>
      </c>
      <c r="AB98" s="3">
        <v>13290</v>
      </c>
      <c r="AC98" s="3">
        <v>13290</v>
      </c>
      <c r="AD98" s="3">
        <v>13200</v>
      </c>
      <c r="AE98" s="3">
        <v>13200</v>
      </c>
      <c r="AF98" s="3">
        <v>13775</v>
      </c>
      <c r="AG98" s="3">
        <v>13800</v>
      </c>
      <c r="AH98" s="3">
        <v>14185</v>
      </c>
      <c r="AI98" s="3">
        <v>14230</v>
      </c>
      <c r="AJ98" s="3">
        <v>13900</v>
      </c>
      <c r="AK98" s="3">
        <v>13890</v>
      </c>
      <c r="AL98" s="3">
        <v>13680</v>
      </c>
      <c r="AM98" s="3">
        <v>13695</v>
      </c>
      <c r="AN98" s="3">
        <v>13605</v>
      </c>
      <c r="AO98" s="3">
        <v>13585</v>
      </c>
      <c r="AP98" s="3">
        <v>13670</v>
      </c>
      <c r="AQ98" s="3">
        <v>13670</v>
      </c>
      <c r="AR98" s="4">
        <f t="shared" si="50"/>
        <v>1.5611448395490113E-2</v>
      </c>
      <c r="AS98" s="4">
        <f t="shared" si="27"/>
        <v>1.0389610389610393E-2</v>
      </c>
      <c r="AT98" s="4">
        <f t="shared" si="28"/>
        <v>2.7728873239436513E-2</v>
      </c>
      <c r="AU98" s="4">
        <f t="shared" si="29"/>
        <v>1.1460101867572181E-2</v>
      </c>
      <c r="AV98" s="4">
        <f t="shared" si="30"/>
        <v>3.4217279726261873E-3</v>
      </c>
      <c r="AW98" s="4">
        <f t="shared" si="31"/>
        <v>1.9814502529510891E-2</v>
      </c>
      <c r="AX98" s="4">
        <f t="shared" si="32"/>
        <v>3.0127940569541822E-2</v>
      </c>
      <c r="AY98" s="4">
        <f t="shared" si="33"/>
        <v>1.5649452269170805E-3</v>
      </c>
      <c r="AZ98" s="4">
        <f t="shared" si="34"/>
        <v>3.5870864886409226E-3</v>
      </c>
      <c r="BA98" s="4">
        <f t="shared" si="35"/>
        <v>1.6161616161616266E-3</v>
      </c>
      <c r="BB98" s="4">
        <f t="shared" si="36"/>
        <v>3.9319010944466992E-2</v>
      </c>
      <c r="BC98" s="4">
        <f t="shared" si="37"/>
        <v>8.3102493074792561E-3</v>
      </c>
      <c r="BD98" s="4">
        <f t="shared" si="38"/>
        <v>1.6744548286604322E-2</v>
      </c>
      <c r="BE98" s="4">
        <f t="shared" si="39"/>
        <v>2.5067489394523745E-2</v>
      </c>
      <c r="BF98" s="4">
        <f t="shared" si="40"/>
        <v>8.4033613445377853E-3</v>
      </c>
      <c r="BG98" s="4">
        <f t="shared" si="41"/>
        <v>3.4870641169853833E-2</v>
      </c>
      <c r="BH98" s="4">
        <f t="shared" si="42"/>
        <v>2.3005032350826848E-2</v>
      </c>
      <c r="BI98" s="4">
        <f t="shared" si="43"/>
        <v>1.08108108108107E-3</v>
      </c>
      <c r="BJ98" s="4">
        <f t="shared" si="44"/>
        <v>1.8221574344022828E-3</v>
      </c>
      <c r="BK98" s="4">
        <f t="shared" si="45"/>
        <v>7.3072707343807553E-3</v>
      </c>
      <c r="BL98" s="4">
        <f t="shared" si="46"/>
        <v>1.5979189892233459E-2</v>
      </c>
      <c r="BM98" s="4">
        <f t="shared" si="51"/>
        <v>1.482540065554498E-2</v>
      </c>
      <c r="BN98" s="9">
        <f t="shared" si="52"/>
        <v>13654.475765820358</v>
      </c>
      <c r="BO98" s="10">
        <f t="shared" si="53"/>
        <v>13127.451536264864</v>
      </c>
      <c r="BP98">
        <v>13775</v>
      </c>
      <c r="BQ98">
        <v>13800</v>
      </c>
      <c r="BR98">
        <v>13765</v>
      </c>
      <c r="BS98">
        <v>13800</v>
      </c>
      <c r="BT98">
        <v>35363</v>
      </c>
      <c r="BU98" s="13">
        <f t="shared" si="47"/>
        <v>13788.333333333334</v>
      </c>
      <c r="BV98" s="13">
        <f t="shared" si="48"/>
        <v>487596831.66666669</v>
      </c>
      <c r="BW98" s="13">
        <f>SUM($BV$3:BV98)</f>
        <v>154187824556.66675</v>
      </c>
      <c r="BX98" s="13">
        <f>SUM($BT$3:BT98)</f>
        <v>11288996</v>
      </c>
      <c r="BY98" s="3">
        <f t="shared" si="49"/>
        <v>13658.240693562719</v>
      </c>
    </row>
    <row r="99" spans="1:77" x14ac:dyDescent="0.3">
      <c r="A99" s="3" t="s">
        <v>139</v>
      </c>
      <c r="B99" s="3">
        <v>11710</v>
      </c>
      <c r="C99" s="3">
        <v>11710</v>
      </c>
      <c r="D99" s="3">
        <v>11425</v>
      </c>
      <c r="E99" s="3">
        <v>11395</v>
      </c>
      <c r="F99" s="3">
        <v>11675</v>
      </c>
      <c r="G99" s="3">
        <v>11660</v>
      </c>
      <c r="H99" s="3">
        <v>11645</v>
      </c>
      <c r="I99" s="3">
        <v>11635</v>
      </c>
      <c r="J99" s="3">
        <v>11650</v>
      </c>
      <c r="K99" s="3">
        <v>11650</v>
      </c>
      <c r="L99" s="3">
        <v>12095</v>
      </c>
      <c r="M99" s="3">
        <v>12095</v>
      </c>
      <c r="N99" s="3">
        <v>12480</v>
      </c>
      <c r="O99" s="3">
        <v>12490</v>
      </c>
      <c r="P99" s="3">
        <v>12760</v>
      </c>
      <c r="Q99" s="3">
        <v>12745</v>
      </c>
      <c r="R99" s="3">
        <v>12500</v>
      </c>
      <c r="S99" s="3">
        <v>12495</v>
      </c>
      <c r="T99" s="3">
        <v>12355</v>
      </c>
      <c r="U99" s="3">
        <v>12360</v>
      </c>
      <c r="V99" s="3">
        <v>12820</v>
      </c>
      <c r="W99" s="3">
        <v>12830</v>
      </c>
      <c r="X99" s="3">
        <v>12530</v>
      </c>
      <c r="Y99" s="3">
        <v>12545</v>
      </c>
      <c r="Z99" s="3">
        <v>12625</v>
      </c>
      <c r="AA99" s="3">
        <v>12625</v>
      </c>
      <c r="AB99" s="3">
        <v>13295</v>
      </c>
      <c r="AC99" s="3">
        <v>13310</v>
      </c>
      <c r="AD99" s="3">
        <v>13195</v>
      </c>
      <c r="AE99" s="3">
        <v>13175</v>
      </c>
      <c r="AF99" s="3">
        <v>13800</v>
      </c>
      <c r="AG99" s="3">
        <v>13815</v>
      </c>
      <c r="AH99" s="3">
        <v>14225</v>
      </c>
      <c r="AI99" s="3">
        <v>14220</v>
      </c>
      <c r="AJ99" s="3">
        <v>13885</v>
      </c>
      <c r="AK99" s="3">
        <v>13895</v>
      </c>
      <c r="AL99" s="3">
        <v>13695</v>
      </c>
      <c r="AM99" s="3">
        <v>13690</v>
      </c>
      <c r="AN99" s="3">
        <v>13585</v>
      </c>
      <c r="AO99" s="3">
        <v>13610</v>
      </c>
      <c r="AP99" s="3">
        <v>13680</v>
      </c>
      <c r="AQ99" s="3">
        <v>13645</v>
      </c>
      <c r="AR99" s="4">
        <f t="shared" si="50"/>
        <v>1.5611448395490113E-2</v>
      </c>
      <c r="AS99" s="4">
        <f t="shared" si="27"/>
        <v>1.3419913419913443E-2</v>
      </c>
      <c r="AT99" s="4">
        <f t="shared" si="28"/>
        <v>2.6408450704225261E-2</v>
      </c>
      <c r="AU99" s="4">
        <f t="shared" si="29"/>
        <v>1.2308998302207108E-2</v>
      </c>
      <c r="AV99" s="4">
        <f t="shared" si="30"/>
        <v>3.4217279726261873E-3</v>
      </c>
      <c r="AW99" s="4">
        <f t="shared" si="31"/>
        <v>1.9814502529510891E-2</v>
      </c>
      <c r="AX99" s="4">
        <f t="shared" si="32"/>
        <v>3.0953363598844374E-2</v>
      </c>
      <c r="AY99" s="4">
        <f t="shared" si="33"/>
        <v>2.7386541471048353E-3</v>
      </c>
      <c r="AZ99" s="4">
        <f t="shared" si="34"/>
        <v>3.9856516540454079E-3</v>
      </c>
      <c r="BA99" s="4">
        <f t="shared" si="35"/>
        <v>1.2121212121212199E-3</v>
      </c>
      <c r="BB99" s="4">
        <f t="shared" si="36"/>
        <v>4.0129712201053991E-2</v>
      </c>
      <c r="BC99" s="4">
        <f t="shared" si="37"/>
        <v>7.1230708349822036E-3</v>
      </c>
      <c r="BD99" s="4">
        <f t="shared" si="38"/>
        <v>1.6744548286604322E-2</v>
      </c>
      <c r="BE99" s="4">
        <f t="shared" si="39"/>
        <v>2.6610104126494338E-2</v>
      </c>
      <c r="BF99" s="4">
        <f t="shared" si="40"/>
        <v>6.4935064935065512E-3</v>
      </c>
      <c r="BG99" s="4">
        <f t="shared" si="41"/>
        <v>3.5995500562429728E-2</v>
      </c>
      <c r="BH99" s="4">
        <f t="shared" si="42"/>
        <v>2.2286125089863384E-2</v>
      </c>
      <c r="BI99" s="4">
        <f t="shared" si="43"/>
        <v>1.4414414414414267E-3</v>
      </c>
      <c r="BJ99" s="4">
        <f t="shared" si="44"/>
        <v>2.1865889212827616E-3</v>
      </c>
      <c r="BK99" s="4">
        <f t="shared" si="45"/>
        <v>5.4804530507854832E-3</v>
      </c>
      <c r="BL99" s="4">
        <f t="shared" si="46"/>
        <v>1.4121144555927057E-2</v>
      </c>
      <c r="BM99" s="4">
        <f t="shared" si="51"/>
        <v>1.5097451820231438E-2</v>
      </c>
      <c r="BN99" s="9">
        <f t="shared" si="52"/>
        <v>13658.136214241213</v>
      </c>
      <c r="BO99" s="10">
        <f t="shared" si="53"/>
        <v>13123.826454495416</v>
      </c>
      <c r="BP99">
        <v>13800</v>
      </c>
      <c r="BQ99">
        <v>13815</v>
      </c>
      <c r="BR99">
        <v>13795</v>
      </c>
      <c r="BS99">
        <v>13815</v>
      </c>
      <c r="BT99">
        <v>31013</v>
      </c>
      <c r="BU99" s="13">
        <f t="shared" si="47"/>
        <v>13808.333333333334</v>
      </c>
      <c r="BV99" s="13">
        <f t="shared" si="48"/>
        <v>428237841.66666669</v>
      </c>
      <c r="BW99" s="13">
        <f>SUM($BV$3:BV99)</f>
        <v>154616062398.3334</v>
      </c>
      <c r="BX99" s="13">
        <f>SUM($BT$3:BT99)</f>
        <v>11320009</v>
      </c>
      <c r="BY99" s="3">
        <f t="shared" si="49"/>
        <v>13658.651896684305</v>
      </c>
    </row>
    <row r="100" spans="1:77" x14ac:dyDescent="0.3">
      <c r="A100" s="3" t="s">
        <v>140</v>
      </c>
      <c r="B100" s="3">
        <v>11705</v>
      </c>
      <c r="C100" s="3">
        <v>11715</v>
      </c>
      <c r="D100" s="3">
        <v>11395</v>
      </c>
      <c r="E100" s="3">
        <v>11415</v>
      </c>
      <c r="F100" s="3">
        <v>11660</v>
      </c>
      <c r="G100" s="3">
        <v>11675</v>
      </c>
      <c r="H100" s="3">
        <v>11640</v>
      </c>
      <c r="I100" s="3">
        <v>11645</v>
      </c>
      <c r="J100" s="3">
        <v>11650</v>
      </c>
      <c r="K100" s="3">
        <v>11655</v>
      </c>
      <c r="L100" s="3">
        <v>12095</v>
      </c>
      <c r="M100" s="3">
        <v>12080</v>
      </c>
      <c r="N100" s="3">
        <v>12490</v>
      </c>
      <c r="O100" s="3">
        <v>12495</v>
      </c>
      <c r="P100" s="3">
        <v>12745</v>
      </c>
      <c r="Q100" s="3">
        <v>12730</v>
      </c>
      <c r="R100" s="3">
        <v>12495</v>
      </c>
      <c r="S100" s="3">
        <v>12510</v>
      </c>
      <c r="T100" s="3">
        <v>12360</v>
      </c>
      <c r="U100" s="3">
        <v>12365</v>
      </c>
      <c r="V100" s="3">
        <v>12830</v>
      </c>
      <c r="W100" s="3">
        <v>12825</v>
      </c>
      <c r="X100" s="3">
        <v>12545</v>
      </c>
      <c r="Y100" s="3">
        <v>12555</v>
      </c>
      <c r="Z100" s="3">
        <v>12625</v>
      </c>
      <c r="AA100" s="3">
        <v>12645</v>
      </c>
      <c r="AB100" s="3">
        <v>13310</v>
      </c>
      <c r="AC100" s="3">
        <v>13305</v>
      </c>
      <c r="AD100" s="3">
        <v>13165</v>
      </c>
      <c r="AE100" s="3">
        <v>13170</v>
      </c>
      <c r="AF100" s="3">
        <v>13815</v>
      </c>
      <c r="AG100" s="3">
        <v>13815</v>
      </c>
      <c r="AH100" s="3">
        <v>14220</v>
      </c>
      <c r="AI100" s="3">
        <v>14240</v>
      </c>
      <c r="AJ100" s="3">
        <v>13895</v>
      </c>
      <c r="AK100" s="3">
        <v>13880</v>
      </c>
      <c r="AL100" s="3">
        <v>13690</v>
      </c>
      <c r="AM100" s="3">
        <v>13680</v>
      </c>
      <c r="AN100" s="3">
        <v>13610</v>
      </c>
      <c r="AO100" s="3">
        <v>13605</v>
      </c>
      <c r="AP100" s="3">
        <v>13645</v>
      </c>
      <c r="AQ100" s="3">
        <v>13670</v>
      </c>
      <c r="AR100" s="4">
        <f t="shared" si="50"/>
        <v>1.6045099739809165E-2</v>
      </c>
      <c r="AS100" s="4">
        <f t="shared" si="27"/>
        <v>1.1688311688311637E-2</v>
      </c>
      <c r="AT100" s="4">
        <f t="shared" si="28"/>
        <v>2.7728873239436513E-2</v>
      </c>
      <c r="AU100" s="4">
        <f t="shared" si="29"/>
        <v>1.1460101867572181E-2</v>
      </c>
      <c r="AV100" s="4">
        <f t="shared" si="30"/>
        <v>2.9940119760478723E-3</v>
      </c>
      <c r="AW100" s="4">
        <f t="shared" si="31"/>
        <v>1.8549747048903775E-2</v>
      </c>
      <c r="AX100" s="4">
        <f t="shared" si="32"/>
        <v>3.1366075113495651E-2</v>
      </c>
      <c r="AY100" s="4">
        <f t="shared" si="33"/>
        <v>3.9123630672925902E-3</v>
      </c>
      <c r="AZ100" s="4">
        <f t="shared" si="34"/>
        <v>2.789956157831841E-3</v>
      </c>
      <c r="BA100" s="4">
        <f t="shared" si="35"/>
        <v>8.0808080808081328E-4</v>
      </c>
      <c r="BB100" s="4">
        <f t="shared" si="36"/>
        <v>3.9724361572760492E-2</v>
      </c>
      <c r="BC100" s="4">
        <f t="shared" si="37"/>
        <v>6.3316185199842057E-3</v>
      </c>
      <c r="BD100" s="4">
        <f t="shared" si="38"/>
        <v>1.5186915887850483E-2</v>
      </c>
      <c r="BE100" s="4">
        <f t="shared" si="39"/>
        <v>2.6224450443501635E-2</v>
      </c>
      <c r="BF100" s="4">
        <f t="shared" si="40"/>
        <v>6.1115355233001267E-3</v>
      </c>
      <c r="BG100" s="4">
        <f t="shared" si="41"/>
        <v>3.5995500562429728E-2</v>
      </c>
      <c r="BH100" s="4">
        <f t="shared" si="42"/>
        <v>2.372393961179009E-2</v>
      </c>
      <c r="BI100" s="4">
        <f t="shared" si="43"/>
        <v>3.6036036036035668E-4</v>
      </c>
      <c r="BJ100" s="4">
        <f t="shared" si="44"/>
        <v>2.9154518950437192E-3</v>
      </c>
      <c r="BK100" s="4">
        <f t="shared" si="45"/>
        <v>5.8458165875046042E-3</v>
      </c>
      <c r="BL100" s="4">
        <f t="shared" si="46"/>
        <v>1.5979189892233459E-2</v>
      </c>
      <c r="BM100" s="4">
        <f t="shared" si="51"/>
        <v>1.4634028779597843E-2</v>
      </c>
      <c r="BN100" s="9">
        <f t="shared" si="52"/>
        <v>13651.90085722949</v>
      </c>
      <c r="BO100" s="10">
        <f t="shared" si="53"/>
        <v>13130.001566511859</v>
      </c>
      <c r="BP100">
        <v>13815</v>
      </c>
      <c r="BQ100">
        <v>13820</v>
      </c>
      <c r="BR100">
        <v>13805</v>
      </c>
      <c r="BS100">
        <v>13815</v>
      </c>
      <c r="BT100">
        <v>49237</v>
      </c>
      <c r="BU100" s="13">
        <f t="shared" si="47"/>
        <v>13813.333333333334</v>
      </c>
      <c r="BV100" s="13">
        <f t="shared" si="48"/>
        <v>680127093.33333337</v>
      </c>
      <c r="BW100" s="13">
        <f>SUM($BV$3:BV100)</f>
        <v>155296189491.66675</v>
      </c>
      <c r="BX100" s="13">
        <f>SUM($BT$3:BT100)</f>
        <v>11369246</v>
      </c>
      <c r="BY100" s="3">
        <f t="shared" si="49"/>
        <v>13659.321778389416</v>
      </c>
    </row>
    <row r="101" spans="1:77" x14ac:dyDescent="0.3">
      <c r="A101" s="3" t="s">
        <v>141</v>
      </c>
      <c r="B101" s="3">
        <v>11720</v>
      </c>
      <c r="C101" s="3">
        <v>11720</v>
      </c>
      <c r="D101" s="3">
        <v>11420</v>
      </c>
      <c r="E101" s="3">
        <v>11405</v>
      </c>
      <c r="F101" s="3">
        <v>11675</v>
      </c>
      <c r="G101" s="3">
        <v>11680</v>
      </c>
      <c r="H101" s="3">
        <v>11640</v>
      </c>
      <c r="I101" s="3">
        <v>11625</v>
      </c>
      <c r="J101" s="3">
        <v>11655</v>
      </c>
      <c r="K101" s="3">
        <v>11665</v>
      </c>
      <c r="L101" s="3">
        <v>12080</v>
      </c>
      <c r="M101" s="3">
        <v>12125</v>
      </c>
      <c r="N101" s="3">
        <v>12495</v>
      </c>
      <c r="O101" s="3">
        <v>12515</v>
      </c>
      <c r="P101" s="3">
        <v>12730</v>
      </c>
      <c r="Q101" s="3">
        <v>12750</v>
      </c>
      <c r="R101" s="3">
        <v>12505</v>
      </c>
      <c r="S101" s="3">
        <v>12520</v>
      </c>
      <c r="T101" s="3">
        <v>12365</v>
      </c>
      <c r="U101" s="3">
        <v>12365</v>
      </c>
      <c r="V101" s="3">
        <v>12825</v>
      </c>
      <c r="W101" s="3">
        <v>12820</v>
      </c>
      <c r="X101" s="3">
        <v>12555</v>
      </c>
      <c r="Y101" s="3">
        <v>12560</v>
      </c>
      <c r="Z101" s="3">
        <v>12645</v>
      </c>
      <c r="AA101" s="3">
        <v>12625</v>
      </c>
      <c r="AB101" s="3">
        <v>13305</v>
      </c>
      <c r="AC101" s="3">
        <v>13310</v>
      </c>
      <c r="AD101" s="3">
        <v>13170</v>
      </c>
      <c r="AE101" s="3">
        <v>13175</v>
      </c>
      <c r="AF101" s="3">
        <v>13810</v>
      </c>
      <c r="AG101" s="3">
        <v>13810</v>
      </c>
      <c r="AH101" s="3">
        <v>14240</v>
      </c>
      <c r="AI101" s="3">
        <v>14230</v>
      </c>
      <c r="AJ101" s="3">
        <v>13885</v>
      </c>
      <c r="AK101" s="3">
        <v>13885</v>
      </c>
      <c r="AL101" s="3">
        <v>13680</v>
      </c>
      <c r="AM101" s="3">
        <v>13680</v>
      </c>
      <c r="AN101" s="3">
        <v>13595</v>
      </c>
      <c r="AO101" s="3">
        <v>13620</v>
      </c>
      <c r="AP101" s="3">
        <v>13670</v>
      </c>
      <c r="AQ101" s="3">
        <v>13675</v>
      </c>
      <c r="AR101" s="4">
        <f t="shared" si="50"/>
        <v>1.647875108412844E-2</v>
      </c>
      <c r="AS101" s="4">
        <f t="shared" si="27"/>
        <v>1.255411255411254E-2</v>
      </c>
      <c r="AT101" s="4">
        <f t="shared" si="28"/>
        <v>2.8169014084507005E-2</v>
      </c>
      <c r="AU101" s="4">
        <f t="shared" si="29"/>
        <v>1.3157894736842146E-2</v>
      </c>
      <c r="AV101" s="4">
        <f t="shared" si="30"/>
        <v>2.1385799828913532E-3</v>
      </c>
      <c r="AW101" s="4">
        <f t="shared" si="31"/>
        <v>2.2344013490725123E-2</v>
      </c>
      <c r="AX101" s="4">
        <f t="shared" si="32"/>
        <v>3.3016921172100755E-2</v>
      </c>
      <c r="AY101" s="4">
        <f t="shared" si="33"/>
        <v>2.3474178403756207E-3</v>
      </c>
      <c r="AZ101" s="4">
        <f t="shared" si="34"/>
        <v>1.9928258270227595E-3</v>
      </c>
      <c r="BA101" s="4">
        <f t="shared" si="35"/>
        <v>8.0808080808081328E-4</v>
      </c>
      <c r="BB101" s="4">
        <f t="shared" si="36"/>
        <v>3.9319010944466992E-2</v>
      </c>
      <c r="BC101" s="4">
        <f t="shared" si="37"/>
        <v>5.9358923624851512E-3</v>
      </c>
      <c r="BD101" s="4">
        <f t="shared" si="38"/>
        <v>1.6744548286604322E-2</v>
      </c>
      <c r="BE101" s="4">
        <f t="shared" si="39"/>
        <v>2.6610104126494338E-2</v>
      </c>
      <c r="BF101" s="4">
        <f t="shared" si="40"/>
        <v>6.4935064935065512E-3</v>
      </c>
      <c r="BG101" s="4">
        <f t="shared" si="41"/>
        <v>3.5620547431570948E-2</v>
      </c>
      <c r="BH101" s="4">
        <f t="shared" si="42"/>
        <v>2.3005032350826848E-2</v>
      </c>
      <c r="BI101" s="4">
        <f t="shared" si="43"/>
        <v>7.2072072072071336E-4</v>
      </c>
      <c r="BJ101" s="4">
        <f t="shared" si="44"/>
        <v>2.9154518950437192E-3</v>
      </c>
      <c r="BK101" s="4">
        <f t="shared" si="45"/>
        <v>4.7497259773474632E-3</v>
      </c>
      <c r="BL101" s="4">
        <f t="shared" si="46"/>
        <v>1.635079895949465E-2</v>
      </c>
      <c r="BM101" s="4">
        <f t="shared" si="51"/>
        <v>1.5116565907872534E-2</v>
      </c>
      <c r="BN101" s="9">
        <f t="shared" si="52"/>
        <v>13658.393394290424</v>
      </c>
      <c r="BO101" s="10">
        <f t="shared" si="53"/>
        <v>13123.571759277598</v>
      </c>
      <c r="BP101">
        <v>13810</v>
      </c>
      <c r="BQ101">
        <v>13815</v>
      </c>
      <c r="BR101">
        <v>13800</v>
      </c>
      <c r="BS101">
        <v>13810</v>
      </c>
      <c r="BT101">
        <v>20290</v>
      </c>
      <c r="BU101" s="13">
        <f t="shared" si="47"/>
        <v>13808.333333333334</v>
      </c>
      <c r="BV101" s="13">
        <f t="shared" si="48"/>
        <v>280171083.33333337</v>
      </c>
      <c r="BW101" s="13">
        <f>SUM($BV$3:BV101)</f>
        <v>155576360575.00009</v>
      </c>
      <c r="BX101" s="13">
        <f>SUM($BT$3:BT101)</f>
        <v>11389536</v>
      </c>
      <c r="BY101" s="3">
        <f t="shared" si="49"/>
        <v>13659.58723647742</v>
      </c>
    </row>
    <row r="102" spans="1:77" x14ac:dyDescent="0.3">
      <c r="A102" s="3" t="s">
        <v>142</v>
      </c>
      <c r="B102" s="3">
        <v>11720</v>
      </c>
      <c r="C102" s="3">
        <v>11725</v>
      </c>
      <c r="D102" s="3">
        <v>11405</v>
      </c>
      <c r="E102" s="3">
        <v>11405</v>
      </c>
      <c r="F102" s="3">
        <v>11675</v>
      </c>
      <c r="G102" s="3">
        <v>11670</v>
      </c>
      <c r="H102" s="3">
        <v>11625</v>
      </c>
      <c r="I102" s="3">
        <v>11635</v>
      </c>
      <c r="J102" s="3">
        <v>11670</v>
      </c>
      <c r="K102" s="3">
        <v>11665</v>
      </c>
      <c r="L102" s="3">
        <v>12125</v>
      </c>
      <c r="M102" s="3">
        <v>12130</v>
      </c>
      <c r="N102" s="3">
        <v>12515</v>
      </c>
      <c r="O102" s="3">
        <v>12520</v>
      </c>
      <c r="P102" s="3">
        <v>12750</v>
      </c>
      <c r="Q102" s="3">
        <v>12725</v>
      </c>
      <c r="R102" s="3">
        <v>12525</v>
      </c>
      <c r="S102" s="3">
        <v>12515</v>
      </c>
      <c r="T102" s="3">
        <v>12365</v>
      </c>
      <c r="U102" s="3">
        <v>12370</v>
      </c>
      <c r="V102" s="3">
        <v>12825</v>
      </c>
      <c r="W102" s="3">
        <v>12820</v>
      </c>
      <c r="X102" s="3">
        <v>12560</v>
      </c>
      <c r="Y102" s="3">
        <v>12550</v>
      </c>
      <c r="Z102" s="3">
        <v>12625</v>
      </c>
      <c r="AA102" s="3">
        <v>12620</v>
      </c>
      <c r="AB102" s="3">
        <v>13315</v>
      </c>
      <c r="AC102" s="3">
        <v>13325</v>
      </c>
      <c r="AD102" s="3">
        <v>13175</v>
      </c>
      <c r="AE102" s="3">
        <v>13175</v>
      </c>
      <c r="AF102" s="3">
        <v>13815</v>
      </c>
      <c r="AG102" s="3">
        <v>13815</v>
      </c>
      <c r="AH102" s="3">
        <v>14230</v>
      </c>
      <c r="AI102" s="3">
        <v>14230</v>
      </c>
      <c r="AJ102" s="3">
        <v>13885</v>
      </c>
      <c r="AK102" s="3">
        <v>13870</v>
      </c>
      <c r="AL102" s="3">
        <v>13680</v>
      </c>
      <c r="AM102" s="3">
        <v>13675</v>
      </c>
      <c r="AN102" s="3">
        <v>13620</v>
      </c>
      <c r="AO102" s="3">
        <v>13625</v>
      </c>
      <c r="AP102" s="3">
        <v>13680</v>
      </c>
      <c r="AQ102" s="3">
        <v>13680</v>
      </c>
      <c r="AR102" s="4">
        <f t="shared" si="50"/>
        <v>1.6912402428447493E-2</v>
      </c>
      <c r="AS102" s="4">
        <f t="shared" si="27"/>
        <v>1.255411255411254E-2</v>
      </c>
      <c r="AT102" s="4">
        <f t="shared" si="28"/>
        <v>2.7288732394366244E-2</v>
      </c>
      <c r="AU102" s="4">
        <f t="shared" si="29"/>
        <v>1.2308998302207108E-2</v>
      </c>
      <c r="AV102" s="4">
        <f t="shared" si="30"/>
        <v>2.1385799828913532E-3</v>
      </c>
      <c r="AW102" s="4">
        <f t="shared" si="31"/>
        <v>2.2765598650927421E-2</v>
      </c>
      <c r="AX102" s="4">
        <f t="shared" si="32"/>
        <v>3.3429632686752031E-2</v>
      </c>
      <c r="AY102" s="4">
        <f t="shared" si="33"/>
        <v>4.3035993740219158E-3</v>
      </c>
      <c r="AZ102" s="4">
        <f t="shared" si="34"/>
        <v>2.3913909924272447E-3</v>
      </c>
      <c r="BA102" s="4">
        <f t="shared" si="35"/>
        <v>4.0404040404040664E-4</v>
      </c>
      <c r="BB102" s="4">
        <f t="shared" si="36"/>
        <v>3.9319010944466992E-2</v>
      </c>
      <c r="BC102" s="4">
        <f t="shared" si="37"/>
        <v>6.7273446774831491E-3</v>
      </c>
      <c r="BD102" s="4">
        <f t="shared" si="38"/>
        <v>1.7133956386292781E-2</v>
      </c>
      <c r="BE102" s="4">
        <f t="shared" si="39"/>
        <v>2.776706517547245E-2</v>
      </c>
      <c r="BF102" s="4">
        <f t="shared" si="40"/>
        <v>6.4935064935065512E-3</v>
      </c>
      <c r="BG102" s="4">
        <f t="shared" si="41"/>
        <v>3.5995500562429728E-2</v>
      </c>
      <c r="BH102" s="4">
        <f t="shared" si="42"/>
        <v>2.3005032350826848E-2</v>
      </c>
      <c r="BI102" s="4">
        <f t="shared" si="43"/>
        <v>3.6036036036035668E-4</v>
      </c>
      <c r="BJ102" s="4">
        <f t="shared" si="44"/>
        <v>3.2798833819241979E-3</v>
      </c>
      <c r="BK102" s="4">
        <f t="shared" si="45"/>
        <v>4.3843624406284532E-3</v>
      </c>
      <c r="BL102" s="4">
        <f t="shared" si="46"/>
        <v>1.6722408026755842E-2</v>
      </c>
      <c r="BM102" s="4">
        <f t="shared" si="51"/>
        <v>1.5358969215640585E-2</v>
      </c>
      <c r="BN102" s="9">
        <f t="shared" si="52"/>
        <v>13661.654930796445</v>
      </c>
      <c r="BO102" s="10">
        <f t="shared" si="53"/>
        <v>13120.341735201589</v>
      </c>
      <c r="BP102">
        <v>13815</v>
      </c>
      <c r="BQ102">
        <v>13815</v>
      </c>
      <c r="BR102">
        <v>13805</v>
      </c>
      <c r="BS102">
        <v>13815</v>
      </c>
      <c r="BT102">
        <v>12840</v>
      </c>
      <c r="BU102" s="13">
        <f t="shared" si="47"/>
        <v>13811.666666666666</v>
      </c>
      <c r="BV102" s="13">
        <f t="shared" si="48"/>
        <v>177341800</v>
      </c>
      <c r="BW102" s="13">
        <f>SUM($BV$3:BV102)</f>
        <v>155753702375.00009</v>
      </c>
      <c r="BX102" s="13">
        <f>SUM($BT$3:BT102)</f>
        <v>11402376</v>
      </c>
      <c r="BY102" s="3">
        <f t="shared" si="49"/>
        <v>13659.758490248005</v>
      </c>
    </row>
    <row r="103" spans="1:77" x14ac:dyDescent="0.3">
      <c r="A103" s="3" t="s">
        <v>143</v>
      </c>
      <c r="B103" s="3">
        <v>11725</v>
      </c>
      <c r="C103" s="3">
        <v>11725</v>
      </c>
      <c r="D103" s="3">
        <v>11405</v>
      </c>
      <c r="E103" s="3">
        <v>11420</v>
      </c>
      <c r="F103" s="3">
        <v>11665</v>
      </c>
      <c r="G103" s="3">
        <v>11665</v>
      </c>
      <c r="H103" s="3">
        <v>11635</v>
      </c>
      <c r="I103" s="3">
        <v>11615</v>
      </c>
      <c r="J103" s="3">
        <v>11665</v>
      </c>
      <c r="K103" s="3">
        <v>11660</v>
      </c>
      <c r="L103" s="3">
        <v>12130</v>
      </c>
      <c r="M103" s="3">
        <v>12125</v>
      </c>
      <c r="N103" s="3">
        <v>12525</v>
      </c>
      <c r="O103" s="3">
        <v>12530</v>
      </c>
      <c r="P103" s="3">
        <v>12725</v>
      </c>
      <c r="Q103" s="3">
        <v>12710</v>
      </c>
      <c r="R103" s="3">
        <v>12515</v>
      </c>
      <c r="S103" s="3">
        <v>12510</v>
      </c>
      <c r="T103" s="3">
        <v>12370</v>
      </c>
      <c r="U103" s="3">
        <v>12370</v>
      </c>
      <c r="V103" s="3">
        <v>12820</v>
      </c>
      <c r="W103" s="3">
        <v>12820</v>
      </c>
      <c r="X103" s="3">
        <v>12555</v>
      </c>
      <c r="Y103" s="3">
        <v>12565</v>
      </c>
      <c r="Z103" s="3">
        <v>12620</v>
      </c>
      <c r="AA103" s="3">
        <v>12630</v>
      </c>
      <c r="AB103" s="3">
        <v>13320</v>
      </c>
      <c r="AC103" s="3">
        <v>13310</v>
      </c>
      <c r="AD103" s="3">
        <v>13175</v>
      </c>
      <c r="AE103" s="3">
        <v>13200</v>
      </c>
      <c r="AF103" s="3">
        <v>13810</v>
      </c>
      <c r="AG103" s="3">
        <v>13785</v>
      </c>
      <c r="AH103" s="3">
        <v>14230</v>
      </c>
      <c r="AI103" s="3">
        <v>14240</v>
      </c>
      <c r="AJ103" s="3">
        <v>13870</v>
      </c>
      <c r="AK103" s="3">
        <v>13880</v>
      </c>
      <c r="AL103" s="3">
        <v>13670</v>
      </c>
      <c r="AM103" s="3">
        <v>13680</v>
      </c>
      <c r="AN103" s="3">
        <v>13620</v>
      </c>
      <c r="AO103" s="3">
        <v>13610</v>
      </c>
      <c r="AP103" s="3">
        <v>13680</v>
      </c>
      <c r="AQ103" s="3">
        <v>13670</v>
      </c>
      <c r="AR103" s="4">
        <f t="shared" si="50"/>
        <v>1.6912402428447493E-2</v>
      </c>
      <c r="AS103" s="4">
        <f t="shared" si="27"/>
        <v>1.1255411255411296E-2</v>
      </c>
      <c r="AT103" s="4">
        <f t="shared" si="28"/>
        <v>2.6848591549295753E-2</v>
      </c>
      <c r="AU103" s="4">
        <f t="shared" si="29"/>
        <v>1.4006791171477073E-2</v>
      </c>
      <c r="AV103" s="4">
        <f t="shared" si="30"/>
        <v>2.5662959794696683E-3</v>
      </c>
      <c r="AW103" s="4">
        <f t="shared" si="31"/>
        <v>2.2344013490725123E-2</v>
      </c>
      <c r="AX103" s="4">
        <f t="shared" si="32"/>
        <v>3.4255055716054583E-2</v>
      </c>
      <c r="AY103" s="4">
        <f t="shared" si="33"/>
        <v>5.4773082942096707E-3</v>
      </c>
      <c r="AZ103" s="4">
        <f t="shared" si="34"/>
        <v>2.789956157831841E-3</v>
      </c>
      <c r="BA103" s="4">
        <f t="shared" si="35"/>
        <v>4.0404040404040664E-4</v>
      </c>
      <c r="BB103" s="4">
        <f t="shared" si="36"/>
        <v>3.9319010944466992E-2</v>
      </c>
      <c r="BC103" s="4">
        <f t="shared" si="37"/>
        <v>5.5401662049860967E-3</v>
      </c>
      <c r="BD103" s="4">
        <f t="shared" si="38"/>
        <v>1.6355140186915862E-2</v>
      </c>
      <c r="BE103" s="4">
        <f t="shared" si="39"/>
        <v>2.6610104126494338E-2</v>
      </c>
      <c r="BF103" s="4">
        <f t="shared" si="40"/>
        <v>8.4033613445377853E-3</v>
      </c>
      <c r="BG103" s="4">
        <f t="shared" si="41"/>
        <v>3.3745781777277939E-2</v>
      </c>
      <c r="BH103" s="4">
        <f t="shared" si="42"/>
        <v>2.372393961179009E-2</v>
      </c>
      <c r="BI103" s="4">
        <f t="shared" si="43"/>
        <v>3.6036036036035668E-4</v>
      </c>
      <c r="BJ103" s="4">
        <f t="shared" si="44"/>
        <v>2.9154518950437192E-3</v>
      </c>
      <c r="BK103" s="4">
        <f t="shared" si="45"/>
        <v>5.4804530507854832E-3</v>
      </c>
      <c r="BL103" s="4">
        <f t="shared" si="46"/>
        <v>1.5979189892233459E-2</v>
      </c>
      <c r="BM103" s="4">
        <f t="shared" si="51"/>
        <v>1.5441089058994035E-2</v>
      </c>
      <c r="BN103" s="9">
        <f t="shared" si="52"/>
        <v>13662.759853288764</v>
      </c>
      <c r="BO103" s="10">
        <f t="shared" si="53"/>
        <v>13119.247488288906</v>
      </c>
      <c r="BP103">
        <v>13810</v>
      </c>
      <c r="BQ103">
        <v>13815</v>
      </c>
      <c r="BR103">
        <v>13785</v>
      </c>
      <c r="BS103">
        <v>13785</v>
      </c>
      <c r="BT103">
        <v>30595</v>
      </c>
      <c r="BU103" s="13">
        <f t="shared" si="47"/>
        <v>13795</v>
      </c>
      <c r="BV103" s="13">
        <f t="shared" si="48"/>
        <v>422058025</v>
      </c>
      <c r="BW103" s="13">
        <f>SUM($BV$3:BV103)</f>
        <v>156175760400.00009</v>
      </c>
      <c r="BX103" s="13">
        <f>SUM($BT$3:BT103)</f>
        <v>11432971</v>
      </c>
      <c r="BY103" s="3">
        <f t="shared" si="49"/>
        <v>13660.120400900176</v>
      </c>
    </row>
    <row r="104" spans="1:77" x14ac:dyDescent="0.3">
      <c r="A104" s="3" t="s">
        <v>144</v>
      </c>
      <c r="B104" s="3">
        <v>11730</v>
      </c>
      <c r="C104" s="3">
        <v>11710</v>
      </c>
      <c r="D104" s="3">
        <v>11420</v>
      </c>
      <c r="E104" s="3">
        <v>11430</v>
      </c>
      <c r="F104" s="3">
        <v>11670</v>
      </c>
      <c r="G104" s="3">
        <v>11670</v>
      </c>
      <c r="H104" s="3">
        <v>11615</v>
      </c>
      <c r="I104" s="3">
        <v>11600</v>
      </c>
      <c r="J104" s="3">
        <v>11660</v>
      </c>
      <c r="K104" s="3">
        <v>11655</v>
      </c>
      <c r="L104" s="3">
        <v>12120</v>
      </c>
      <c r="M104" s="3">
        <v>12115</v>
      </c>
      <c r="N104" s="3">
        <v>12530</v>
      </c>
      <c r="O104" s="3">
        <v>12535</v>
      </c>
      <c r="P104" s="3">
        <v>12710</v>
      </c>
      <c r="Q104" s="3">
        <v>12735</v>
      </c>
      <c r="R104" s="3">
        <v>12510</v>
      </c>
      <c r="S104" s="3">
        <v>12510</v>
      </c>
      <c r="T104" s="3">
        <v>12365</v>
      </c>
      <c r="U104" s="3">
        <v>12405</v>
      </c>
      <c r="V104" s="3">
        <v>12825</v>
      </c>
      <c r="W104" s="3">
        <v>12830</v>
      </c>
      <c r="X104" s="3">
        <v>12565</v>
      </c>
      <c r="Y104" s="3">
        <v>12575</v>
      </c>
      <c r="Z104" s="3">
        <v>12625</v>
      </c>
      <c r="AA104" s="3">
        <v>12610</v>
      </c>
      <c r="AB104" s="3">
        <v>13310</v>
      </c>
      <c r="AC104" s="3">
        <v>13315</v>
      </c>
      <c r="AD104" s="3">
        <v>13195</v>
      </c>
      <c r="AE104" s="3">
        <v>13180</v>
      </c>
      <c r="AF104" s="3">
        <v>13790</v>
      </c>
      <c r="AG104" s="3">
        <v>13805</v>
      </c>
      <c r="AH104" s="3">
        <v>14240</v>
      </c>
      <c r="AI104" s="3">
        <v>14250</v>
      </c>
      <c r="AJ104" s="3">
        <v>13875</v>
      </c>
      <c r="AK104" s="3">
        <v>13875</v>
      </c>
      <c r="AL104" s="3">
        <v>13680</v>
      </c>
      <c r="AM104" s="3">
        <v>13700</v>
      </c>
      <c r="AN104" s="3">
        <v>13605</v>
      </c>
      <c r="AO104" s="3">
        <v>13595</v>
      </c>
      <c r="AP104" s="3">
        <v>13675</v>
      </c>
      <c r="AQ104" s="3">
        <v>13680</v>
      </c>
      <c r="AR104" s="4">
        <f t="shared" si="50"/>
        <v>1.5611448395490113E-2</v>
      </c>
      <c r="AS104" s="4">
        <f t="shared" si="27"/>
        <v>1.0389610389610393E-2</v>
      </c>
      <c r="AT104" s="4">
        <f t="shared" si="28"/>
        <v>2.7288732394366244E-2</v>
      </c>
      <c r="AU104" s="4">
        <f t="shared" si="29"/>
        <v>1.5280135823429575E-2</v>
      </c>
      <c r="AV104" s="4">
        <f t="shared" si="30"/>
        <v>2.9940119760478723E-3</v>
      </c>
      <c r="AW104" s="4">
        <f t="shared" si="31"/>
        <v>2.1500843170320305E-2</v>
      </c>
      <c r="AX104" s="4">
        <f t="shared" si="32"/>
        <v>3.4667767230705637E-2</v>
      </c>
      <c r="AY104" s="4">
        <f t="shared" si="33"/>
        <v>3.5211267605633756E-3</v>
      </c>
      <c r="AZ104" s="4">
        <f t="shared" si="34"/>
        <v>2.789956157831841E-3</v>
      </c>
      <c r="BA104" s="4">
        <f t="shared" si="35"/>
        <v>2.4242424242424399E-3</v>
      </c>
      <c r="BB104" s="4">
        <f t="shared" si="36"/>
        <v>4.0129712201053991E-2</v>
      </c>
      <c r="BC104" s="4">
        <f t="shared" si="37"/>
        <v>4.7487138899880987E-3</v>
      </c>
      <c r="BD104" s="4">
        <f t="shared" si="38"/>
        <v>1.7912772585669812E-2</v>
      </c>
      <c r="BE104" s="4">
        <f t="shared" si="39"/>
        <v>2.6995757809487042E-2</v>
      </c>
      <c r="BF104" s="4">
        <f t="shared" si="40"/>
        <v>6.8754774637127536E-3</v>
      </c>
      <c r="BG104" s="4">
        <f t="shared" si="41"/>
        <v>3.5245594300712391E-2</v>
      </c>
      <c r="BH104" s="4">
        <f t="shared" si="42"/>
        <v>2.4442846872753332E-2</v>
      </c>
      <c r="BI104" s="4">
        <f t="shared" si="43"/>
        <v>0</v>
      </c>
      <c r="BJ104" s="4">
        <f t="shared" si="44"/>
        <v>1.4577259475219151E-3</v>
      </c>
      <c r="BK104" s="4">
        <f t="shared" si="45"/>
        <v>6.5765436609426242E-3</v>
      </c>
      <c r="BL104" s="4">
        <f t="shared" si="46"/>
        <v>1.6722408026755842E-2</v>
      </c>
      <c r="BM104" s="4">
        <f t="shared" si="51"/>
        <v>1.5537061448359242E-2</v>
      </c>
      <c r="BN104" s="9">
        <f t="shared" si="52"/>
        <v>13664.051161787673</v>
      </c>
      <c r="BO104" s="10">
        <f t="shared" si="53"/>
        <v>13117.968656200614</v>
      </c>
      <c r="BP104">
        <v>13790</v>
      </c>
      <c r="BQ104">
        <v>13810</v>
      </c>
      <c r="BR104">
        <v>13785</v>
      </c>
      <c r="BS104">
        <v>13805</v>
      </c>
      <c r="BT104">
        <v>14078</v>
      </c>
      <c r="BU104" s="13">
        <f t="shared" si="47"/>
        <v>13800</v>
      </c>
      <c r="BV104" s="13">
        <f t="shared" si="48"/>
        <v>194276400</v>
      </c>
      <c r="BW104" s="13">
        <f>SUM($BV$3:BV104)</f>
        <v>156370036800.00009</v>
      </c>
      <c r="BX104" s="13">
        <f>SUM($BT$3:BT104)</f>
        <v>11447049</v>
      </c>
      <c r="BY104" s="3">
        <f t="shared" si="49"/>
        <v>13660.292429952915</v>
      </c>
    </row>
    <row r="105" spans="1:77" x14ac:dyDescent="0.3">
      <c r="A105" s="3" t="s">
        <v>145</v>
      </c>
      <c r="B105" s="3">
        <v>11720</v>
      </c>
      <c r="C105" s="3">
        <v>11720</v>
      </c>
      <c r="D105" s="3">
        <v>11430</v>
      </c>
      <c r="E105" s="3">
        <v>11430</v>
      </c>
      <c r="F105" s="3">
        <v>11665</v>
      </c>
      <c r="G105" s="3">
        <v>11665</v>
      </c>
      <c r="H105" s="3">
        <v>11600</v>
      </c>
      <c r="I105" s="3">
        <v>11530</v>
      </c>
      <c r="J105" s="3">
        <v>11655</v>
      </c>
      <c r="K105" s="3">
        <v>11625</v>
      </c>
      <c r="L105" s="3">
        <v>12120</v>
      </c>
      <c r="M105" s="3">
        <v>12120</v>
      </c>
      <c r="N105" s="3">
        <v>12540</v>
      </c>
      <c r="O105" s="3">
        <v>12540</v>
      </c>
      <c r="P105" s="3">
        <v>12740</v>
      </c>
      <c r="Q105" s="3">
        <v>12725</v>
      </c>
      <c r="R105" s="3">
        <v>12515</v>
      </c>
      <c r="S105" s="3">
        <v>12510</v>
      </c>
      <c r="T105" s="3">
        <v>12405</v>
      </c>
      <c r="U105" s="3">
        <v>12400</v>
      </c>
      <c r="V105" s="3">
        <v>12825</v>
      </c>
      <c r="W105" s="3">
        <v>12820</v>
      </c>
      <c r="X105" s="3">
        <v>12575</v>
      </c>
      <c r="Y105" s="3">
        <v>12585</v>
      </c>
      <c r="Z105" s="3">
        <v>12615</v>
      </c>
      <c r="AA105" s="3">
        <v>12615</v>
      </c>
      <c r="AB105" s="3">
        <v>13315</v>
      </c>
      <c r="AC105" s="3">
        <v>13310</v>
      </c>
      <c r="AD105" s="3">
        <v>13180</v>
      </c>
      <c r="AE105" s="3">
        <v>13175</v>
      </c>
      <c r="AF105" s="3">
        <v>13805</v>
      </c>
      <c r="AG105" s="3">
        <v>13805</v>
      </c>
      <c r="AH105" s="3">
        <v>14250</v>
      </c>
      <c r="AI105" s="3">
        <v>14255</v>
      </c>
      <c r="AJ105" s="3">
        <v>13875</v>
      </c>
      <c r="AK105" s="3">
        <v>13870</v>
      </c>
      <c r="AL105" s="3">
        <v>13700</v>
      </c>
      <c r="AM105" s="3">
        <v>13700</v>
      </c>
      <c r="AN105" s="3">
        <v>13595</v>
      </c>
      <c r="AO105" s="3">
        <v>13595</v>
      </c>
      <c r="AP105" s="3">
        <v>13685</v>
      </c>
      <c r="AQ105" s="3">
        <v>13670</v>
      </c>
      <c r="AR105" s="4">
        <f t="shared" si="50"/>
        <v>1.647875108412844E-2</v>
      </c>
      <c r="AS105" s="4">
        <f t="shared" si="27"/>
        <v>1.0389610389610393E-2</v>
      </c>
      <c r="AT105" s="4">
        <f t="shared" si="28"/>
        <v>2.6848591549295753E-2</v>
      </c>
      <c r="AU105" s="4">
        <f t="shared" si="29"/>
        <v>2.1222410865874397E-2</v>
      </c>
      <c r="AV105" s="4">
        <f t="shared" si="30"/>
        <v>5.5603079555175405E-3</v>
      </c>
      <c r="AW105" s="4">
        <f t="shared" si="31"/>
        <v>2.1922428330522825E-2</v>
      </c>
      <c r="AX105" s="4">
        <f t="shared" si="32"/>
        <v>3.5080478745356913E-2</v>
      </c>
      <c r="AY105" s="4">
        <f t="shared" si="33"/>
        <v>4.3035993740219158E-3</v>
      </c>
      <c r="AZ105" s="4">
        <f t="shared" si="34"/>
        <v>2.789956157831841E-3</v>
      </c>
      <c r="BA105" s="4">
        <f t="shared" si="35"/>
        <v>2.0202020202020332E-3</v>
      </c>
      <c r="BB105" s="4">
        <f t="shared" si="36"/>
        <v>3.9319010944466992E-2</v>
      </c>
      <c r="BC105" s="4">
        <f t="shared" si="37"/>
        <v>3.9572615749901008E-3</v>
      </c>
      <c r="BD105" s="4">
        <f t="shared" si="38"/>
        <v>1.7523364485981352E-2</v>
      </c>
      <c r="BE105" s="4">
        <f t="shared" si="39"/>
        <v>2.6610104126494338E-2</v>
      </c>
      <c r="BF105" s="4">
        <f t="shared" si="40"/>
        <v>6.4935064935065512E-3</v>
      </c>
      <c r="BG105" s="4">
        <f t="shared" si="41"/>
        <v>3.5245594300712391E-2</v>
      </c>
      <c r="BH105" s="4">
        <f t="shared" si="42"/>
        <v>2.4802300503235175E-2</v>
      </c>
      <c r="BI105" s="4">
        <f t="shared" si="43"/>
        <v>3.6036036036035668E-4</v>
      </c>
      <c r="BJ105" s="4">
        <f t="shared" si="44"/>
        <v>1.4577259475219151E-3</v>
      </c>
      <c r="BK105" s="4">
        <f t="shared" si="45"/>
        <v>6.5765436609426242E-3</v>
      </c>
      <c r="BL105" s="4">
        <f t="shared" si="46"/>
        <v>1.5979189892233459E-2</v>
      </c>
      <c r="BM105" s="4">
        <f t="shared" si="51"/>
        <v>1.600291664383378E-2</v>
      </c>
      <c r="BN105" s="9">
        <f t="shared" si="52"/>
        <v>13670.319243442784</v>
      </c>
      <c r="BO105" s="10">
        <f t="shared" si="53"/>
        <v>13111.761135720915</v>
      </c>
      <c r="BP105">
        <v>13805</v>
      </c>
      <c r="BQ105">
        <v>13810</v>
      </c>
      <c r="BR105">
        <v>13790</v>
      </c>
      <c r="BS105">
        <v>13805</v>
      </c>
      <c r="BT105">
        <v>13909</v>
      </c>
      <c r="BU105" s="13">
        <f t="shared" si="47"/>
        <v>13801.666666666666</v>
      </c>
      <c r="BV105" s="13">
        <f t="shared" si="48"/>
        <v>191967381.66666666</v>
      </c>
      <c r="BW105" s="13">
        <f>SUM($BV$3:BV105)</f>
        <v>156562004181.66675</v>
      </c>
      <c r="BX105" s="13">
        <f>SUM($BT$3:BT105)</f>
        <v>11460958</v>
      </c>
      <c r="BY105" s="3">
        <f t="shared" si="49"/>
        <v>13660.464001496799</v>
      </c>
    </row>
    <row r="106" spans="1:77" x14ac:dyDescent="0.3">
      <c r="A106" s="3" t="s">
        <v>146</v>
      </c>
      <c r="B106" s="3">
        <v>11720</v>
      </c>
      <c r="C106" s="3">
        <v>11720</v>
      </c>
      <c r="D106" s="3">
        <v>11430</v>
      </c>
      <c r="E106" s="3">
        <v>11450</v>
      </c>
      <c r="F106" s="3">
        <v>11670</v>
      </c>
      <c r="G106" s="3">
        <v>11670</v>
      </c>
      <c r="H106" s="3">
        <v>11530</v>
      </c>
      <c r="I106" s="3">
        <v>11530</v>
      </c>
      <c r="J106" s="3">
        <v>11620</v>
      </c>
      <c r="K106" s="3">
        <v>11615</v>
      </c>
      <c r="L106" s="3">
        <v>12120</v>
      </c>
      <c r="M106" s="3">
        <v>12130</v>
      </c>
      <c r="N106" s="3">
        <v>12540</v>
      </c>
      <c r="O106" s="3">
        <v>12560</v>
      </c>
      <c r="P106" s="3">
        <v>12720</v>
      </c>
      <c r="Q106" s="3">
        <v>12725</v>
      </c>
      <c r="R106" s="3">
        <v>12515</v>
      </c>
      <c r="S106" s="3">
        <v>12525</v>
      </c>
      <c r="T106" s="3">
        <v>12400</v>
      </c>
      <c r="U106" s="3">
        <v>12390</v>
      </c>
      <c r="V106" s="3">
        <v>12820</v>
      </c>
      <c r="W106" s="3">
        <v>12815</v>
      </c>
      <c r="X106" s="3">
        <v>12580</v>
      </c>
      <c r="Y106" s="3">
        <v>12595</v>
      </c>
      <c r="Z106" s="3">
        <v>12610</v>
      </c>
      <c r="AA106" s="3">
        <v>12620</v>
      </c>
      <c r="AB106" s="3">
        <v>13315</v>
      </c>
      <c r="AC106" s="3">
        <v>13330</v>
      </c>
      <c r="AD106" s="3">
        <v>13170</v>
      </c>
      <c r="AE106" s="3">
        <v>13175</v>
      </c>
      <c r="AF106" s="3">
        <v>13800</v>
      </c>
      <c r="AG106" s="3">
        <v>13785</v>
      </c>
      <c r="AH106" s="3">
        <v>14260</v>
      </c>
      <c r="AI106" s="3">
        <v>14245</v>
      </c>
      <c r="AJ106" s="3">
        <v>13870</v>
      </c>
      <c r="AK106" s="3">
        <v>13855</v>
      </c>
      <c r="AL106" s="3">
        <v>13700</v>
      </c>
      <c r="AM106" s="3">
        <v>13720</v>
      </c>
      <c r="AN106" s="3">
        <v>13595</v>
      </c>
      <c r="AO106" s="3">
        <v>13600</v>
      </c>
      <c r="AP106" s="3">
        <v>13675</v>
      </c>
      <c r="AQ106" s="3">
        <v>13650</v>
      </c>
      <c r="AR106" s="4">
        <f t="shared" si="50"/>
        <v>1.647875108412844E-2</v>
      </c>
      <c r="AS106" s="4">
        <f t="shared" si="27"/>
        <v>8.6580086580086979E-3</v>
      </c>
      <c r="AT106" s="4">
        <f t="shared" si="28"/>
        <v>2.7288732394366244E-2</v>
      </c>
      <c r="AU106" s="4">
        <f t="shared" si="29"/>
        <v>2.1222410865874397E-2</v>
      </c>
      <c r="AV106" s="4">
        <f t="shared" si="30"/>
        <v>6.4157399486740596E-3</v>
      </c>
      <c r="AW106" s="4">
        <f t="shared" si="31"/>
        <v>2.2765598650927421E-2</v>
      </c>
      <c r="AX106" s="4">
        <f t="shared" si="32"/>
        <v>3.6731324803962018E-2</v>
      </c>
      <c r="AY106" s="4">
        <f t="shared" si="33"/>
        <v>4.3035993740219158E-3</v>
      </c>
      <c r="AZ106" s="4">
        <f t="shared" si="34"/>
        <v>1.5942606616181632E-3</v>
      </c>
      <c r="BA106" s="4">
        <f t="shared" si="35"/>
        <v>1.2121212121212199E-3</v>
      </c>
      <c r="BB106" s="4">
        <f t="shared" si="36"/>
        <v>3.8913660316173493E-2</v>
      </c>
      <c r="BC106" s="4">
        <f t="shared" si="37"/>
        <v>3.1658092599921028E-3</v>
      </c>
      <c r="BD106" s="4">
        <f t="shared" si="38"/>
        <v>1.7133956386292781E-2</v>
      </c>
      <c r="BE106" s="4">
        <f t="shared" si="39"/>
        <v>2.8152718858465153E-2</v>
      </c>
      <c r="BF106" s="4">
        <f t="shared" si="40"/>
        <v>6.4935064935065512E-3</v>
      </c>
      <c r="BG106" s="4">
        <f t="shared" si="41"/>
        <v>3.3745781777277939E-2</v>
      </c>
      <c r="BH106" s="4">
        <f t="shared" si="42"/>
        <v>2.4083393242271711E-2</v>
      </c>
      <c r="BI106" s="4">
        <f t="shared" si="43"/>
        <v>1.4414414414414267E-3</v>
      </c>
      <c r="BJ106" s="4">
        <f t="shared" si="44"/>
        <v>0</v>
      </c>
      <c r="BK106" s="4">
        <f t="shared" si="45"/>
        <v>6.2111801242236142E-3</v>
      </c>
      <c r="BL106" s="4">
        <f t="shared" si="46"/>
        <v>1.449275362318847E-2</v>
      </c>
      <c r="BM106" s="4">
        <f t="shared" si="51"/>
        <v>1.6003674848857445E-2</v>
      </c>
      <c r="BN106" s="9">
        <f t="shared" si="52"/>
        <v>13670.329445091376</v>
      </c>
      <c r="BO106" s="10">
        <f t="shared" si="53"/>
        <v>13111.751032638975</v>
      </c>
      <c r="BP106">
        <v>13800</v>
      </c>
      <c r="BQ106">
        <v>13800</v>
      </c>
      <c r="BR106">
        <v>13760</v>
      </c>
      <c r="BS106">
        <v>13785</v>
      </c>
      <c r="BT106">
        <v>288135</v>
      </c>
      <c r="BU106" s="13">
        <f t="shared" si="47"/>
        <v>13781.666666666666</v>
      </c>
      <c r="BV106" s="13">
        <f t="shared" si="48"/>
        <v>3970980525</v>
      </c>
      <c r="BW106" s="13">
        <f>SUM($BV$3:BV106)</f>
        <v>160532984706.66675</v>
      </c>
      <c r="BX106" s="13">
        <f>SUM($BT$3:BT106)</f>
        <v>11749093</v>
      </c>
      <c r="BY106" s="3">
        <f t="shared" si="49"/>
        <v>13663.436378166956</v>
      </c>
    </row>
    <row r="107" spans="1:77" x14ac:dyDescent="0.3">
      <c r="A107" s="3" t="s">
        <v>147</v>
      </c>
      <c r="B107" s="3">
        <v>11720</v>
      </c>
      <c r="C107" s="3">
        <v>11710</v>
      </c>
      <c r="D107" s="3">
        <v>11445</v>
      </c>
      <c r="E107" s="3">
        <v>11455</v>
      </c>
      <c r="F107" s="3">
        <v>11670</v>
      </c>
      <c r="G107" s="3">
        <v>11665</v>
      </c>
      <c r="H107" s="3">
        <v>11530</v>
      </c>
      <c r="I107" s="3">
        <v>11550</v>
      </c>
      <c r="J107" s="3">
        <v>11620</v>
      </c>
      <c r="K107" s="3">
        <v>11635</v>
      </c>
      <c r="L107" s="3">
        <v>12125</v>
      </c>
      <c r="M107" s="3">
        <v>12125</v>
      </c>
      <c r="N107" s="3">
        <v>12560</v>
      </c>
      <c r="O107" s="3">
        <v>12555</v>
      </c>
      <c r="P107" s="3">
        <v>12725</v>
      </c>
      <c r="Q107" s="3">
        <v>12740</v>
      </c>
      <c r="R107" s="3">
        <v>12525</v>
      </c>
      <c r="S107" s="3">
        <v>12510</v>
      </c>
      <c r="T107" s="3">
        <v>12390</v>
      </c>
      <c r="U107" s="3">
        <v>12395</v>
      </c>
      <c r="V107" s="3">
        <v>12815</v>
      </c>
      <c r="W107" s="3">
        <v>12805</v>
      </c>
      <c r="X107" s="3">
        <v>12595</v>
      </c>
      <c r="Y107" s="3">
        <v>12600</v>
      </c>
      <c r="Z107" s="3">
        <v>12625</v>
      </c>
      <c r="AA107" s="3">
        <v>12635</v>
      </c>
      <c r="AB107" s="3">
        <v>13330</v>
      </c>
      <c r="AC107" s="3">
        <v>13330</v>
      </c>
      <c r="AD107" s="3">
        <v>13170</v>
      </c>
      <c r="AE107" s="3">
        <v>13160</v>
      </c>
      <c r="AF107" s="3">
        <v>13790</v>
      </c>
      <c r="AG107" s="3">
        <v>13790</v>
      </c>
      <c r="AH107" s="3">
        <v>14250</v>
      </c>
      <c r="AI107" s="3">
        <v>14270</v>
      </c>
      <c r="AJ107" s="3">
        <v>13855</v>
      </c>
      <c r="AK107" s="3">
        <v>13835</v>
      </c>
      <c r="AL107" s="3">
        <v>13720</v>
      </c>
      <c r="AM107" s="3">
        <v>13720</v>
      </c>
      <c r="AN107" s="3">
        <v>13600</v>
      </c>
      <c r="AO107" s="3">
        <v>13605</v>
      </c>
      <c r="AP107" s="3">
        <v>13645</v>
      </c>
      <c r="AQ107" s="3">
        <v>13630</v>
      </c>
      <c r="AR107" s="4">
        <f t="shared" si="50"/>
        <v>1.5611448395490113E-2</v>
      </c>
      <c r="AS107" s="4">
        <f t="shared" si="27"/>
        <v>8.2251082251082464E-3</v>
      </c>
      <c r="AT107" s="4">
        <f t="shared" si="28"/>
        <v>2.6848591549295753E-2</v>
      </c>
      <c r="AU107" s="4">
        <f t="shared" si="29"/>
        <v>1.9524617996604432E-2</v>
      </c>
      <c r="AV107" s="4">
        <f t="shared" si="30"/>
        <v>4.7048759623610215E-3</v>
      </c>
      <c r="AW107" s="4">
        <f t="shared" si="31"/>
        <v>2.2344013490725123E-2</v>
      </c>
      <c r="AX107" s="4">
        <f t="shared" si="32"/>
        <v>3.6318613289310742E-2</v>
      </c>
      <c r="AY107" s="4">
        <f t="shared" si="33"/>
        <v>3.129890453834161E-3</v>
      </c>
      <c r="AZ107" s="4">
        <f t="shared" si="34"/>
        <v>2.789956157831841E-3</v>
      </c>
      <c r="BA107" s="4">
        <f t="shared" si="35"/>
        <v>1.6161616161616266E-3</v>
      </c>
      <c r="BB107" s="4">
        <f t="shared" si="36"/>
        <v>3.8102959059586494E-2</v>
      </c>
      <c r="BC107" s="4">
        <f t="shared" si="37"/>
        <v>2.7700831024930483E-3</v>
      </c>
      <c r="BD107" s="4">
        <f t="shared" si="38"/>
        <v>1.5965732087227402E-2</v>
      </c>
      <c r="BE107" s="4">
        <f t="shared" si="39"/>
        <v>2.8152718858465153E-2</v>
      </c>
      <c r="BF107" s="4">
        <f t="shared" si="40"/>
        <v>5.3475935828877219E-3</v>
      </c>
      <c r="BG107" s="4">
        <f t="shared" si="41"/>
        <v>3.4120734908136496E-2</v>
      </c>
      <c r="BH107" s="4">
        <f t="shared" si="42"/>
        <v>2.5880661394680038E-2</v>
      </c>
      <c r="BI107" s="4">
        <f t="shared" si="43"/>
        <v>2.8828828828828534E-3</v>
      </c>
      <c r="BJ107" s="4">
        <f t="shared" si="44"/>
        <v>0</v>
      </c>
      <c r="BK107" s="4">
        <f t="shared" si="45"/>
        <v>5.8458165875046042E-3</v>
      </c>
      <c r="BL107" s="4">
        <f t="shared" si="46"/>
        <v>1.3006317354143482E-2</v>
      </c>
      <c r="BM107" s="4">
        <f t="shared" si="51"/>
        <v>1.5417208245135197E-2</v>
      </c>
      <c r="BN107" s="9">
        <f t="shared" si="52"/>
        <v>13662.438536938293</v>
      </c>
      <c r="BO107" s="10">
        <f t="shared" si="53"/>
        <v>13119.565700133575</v>
      </c>
      <c r="BP107">
        <v>13790</v>
      </c>
      <c r="BQ107">
        <v>13805</v>
      </c>
      <c r="BR107">
        <v>13785</v>
      </c>
      <c r="BS107">
        <v>13790</v>
      </c>
      <c r="BT107">
        <v>53128</v>
      </c>
      <c r="BU107" s="13">
        <f t="shared" si="47"/>
        <v>13793.333333333334</v>
      </c>
      <c r="BV107" s="13">
        <f t="shared" si="48"/>
        <v>732812213.33333337</v>
      </c>
      <c r="BW107" s="13">
        <f>SUM($BV$3:BV107)</f>
        <v>161265796920.00009</v>
      </c>
      <c r="BX107" s="13">
        <f>SUM($BT$3:BT107)</f>
        <v>11802221</v>
      </c>
      <c r="BY107" s="3">
        <f t="shared" si="49"/>
        <v>13664.02111263635</v>
      </c>
    </row>
    <row r="108" spans="1:77" x14ac:dyDescent="0.3">
      <c r="A108" s="3" t="s">
        <v>148</v>
      </c>
      <c r="B108" s="3">
        <v>11715</v>
      </c>
      <c r="C108" s="3">
        <v>11715</v>
      </c>
      <c r="D108" s="3">
        <v>11455</v>
      </c>
      <c r="E108" s="3">
        <v>11440</v>
      </c>
      <c r="F108" s="3">
        <v>11660</v>
      </c>
      <c r="G108" s="3">
        <v>11680</v>
      </c>
      <c r="H108" s="3">
        <v>11550</v>
      </c>
      <c r="I108" s="3">
        <v>11550</v>
      </c>
      <c r="J108" s="3">
        <v>11635</v>
      </c>
      <c r="K108" s="3">
        <v>11645</v>
      </c>
      <c r="L108" s="3">
        <v>12130</v>
      </c>
      <c r="M108" s="3">
        <v>12135</v>
      </c>
      <c r="N108" s="3">
        <v>12560</v>
      </c>
      <c r="O108" s="3">
        <v>12550</v>
      </c>
      <c r="P108" s="3">
        <v>12745</v>
      </c>
      <c r="Q108" s="3">
        <v>12715</v>
      </c>
      <c r="R108" s="3">
        <v>12505</v>
      </c>
      <c r="S108" s="3">
        <v>12505</v>
      </c>
      <c r="T108" s="3">
        <v>12395</v>
      </c>
      <c r="U108" s="3">
        <v>12385</v>
      </c>
      <c r="V108" s="3">
        <v>12805</v>
      </c>
      <c r="W108" s="3">
        <v>12820</v>
      </c>
      <c r="X108" s="3">
        <v>12600</v>
      </c>
      <c r="Y108" s="3">
        <v>12585</v>
      </c>
      <c r="Z108" s="3">
        <v>12635</v>
      </c>
      <c r="AA108" s="3">
        <v>12635</v>
      </c>
      <c r="AB108" s="3">
        <v>13325</v>
      </c>
      <c r="AC108" s="3">
        <v>13315</v>
      </c>
      <c r="AD108" s="3">
        <v>13165</v>
      </c>
      <c r="AE108" s="3">
        <v>13170</v>
      </c>
      <c r="AF108" s="3">
        <v>13785</v>
      </c>
      <c r="AG108" s="3">
        <v>13795</v>
      </c>
      <c r="AH108" s="3">
        <v>14270</v>
      </c>
      <c r="AI108" s="3">
        <v>14285</v>
      </c>
      <c r="AJ108" s="3">
        <v>13835</v>
      </c>
      <c r="AK108" s="3">
        <v>13830</v>
      </c>
      <c r="AL108" s="3">
        <v>13725</v>
      </c>
      <c r="AM108" s="3">
        <v>13740</v>
      </c>
      <c r="AN108" s="3">
        <v>13605</v>
      </c>
      <c r="AO108" s="3">
        <v>13600</v>
      </c>
      <c r="AP108" s="3">
        <v>13625</v>
      </c>
      <c r="AQ108" s="3">
        <v>13630</v>
      </c>
      <c r="AR108" s="4">
        <f t="shared" si="50"/>
        <v>1.6045099739809165E-2</v>
      </c>
      <c r="AS108" s="4">
        <f t="shared" si="27"/>
        <v>9.52380952380949E-3</v>
      </c>
      <c r="AT108" s="4">
        <f t="shared" si="28"/>
        <v>2.8169014084507005E-2</v>
      </c>
      <c r="AU108" s="4">
        <f t="shared" si="29"/>
        <v>1.9524617996604432E-2</v>
      </c>
      <c r="AV108" s="4">
        <f t="shared" si="30"/>
        <v>3.8494439692045024E-3</v>
      </c>
      <c r="AW108" s="4">
        <f t="shared" si="31"/>
        <v>2.3187183811129941E-2</v>
      </c>
      <c r="AX108" s="4">
        <f t="shared" si="32"/>
        <v>3.5905901774659466E-2</v>
      </c>
      <c r="AY108" s="4">
        <f t="shared" si="33"/>
        <v>5.0860719874804561E-3</v>
      </c>
      <c r="AZ108" s="4">
        <f t="shared" si="34"/>
        <v>3.1885213232363263E-3</v>
      </c>
      <c r="BA108" s="4">
        <f t="shared" si="35"/>
        <v>8.0808080808081328E-4</v>
      </c>
      <c r="BB108" s="4">
        <f t="shared" si="36"/>
        <v>3.9319010944466992E-2</v>
      </c>
      <c r="BC108" s="4">
        <f t="shared" si="37"/>
        <v>3.9572615749901008E-3</v>
      </c>
      <c r="BD108" s="4">
        <f t="shared" si="38"/>
        <v>1.5965732087227402E-2</v>
      </c>
      <c r="BE108" s="4">
        <f t="shared" si="39"/>
        <v>2.6995757809487042E-2</v>
      </c>
      <c r="BF108" s="4">
        <f t="shared" si="40"/>
        <v>6.1115355233001267E-3</v>
      </c>
      <c r="BG108" s="4">
        <f t="shared" si="41"/>
        <v>3.4495688038995054E-2</v>
      </c>
      <c r="BH108" s="4">
        <f t="shared" si="42"/>
        <v>2.6959022286125123E-2</v>
      </c>
      <c r="BI108" s="4">
        <f t="shared" si="43"/>
        <v>3.2432432432432101E-3</v>
      </c>
      <c r="BJ108" s="4">
        <f t="shared" si="44"/>
        <v>1.4577259475219151E-3</v>
      </c>
      <c r="BK108" s="4">
        <f t="shared" si="45"/>
        <v>6.2111801242236142E-3</v>
      </c>
      <c r="BL108" s="4">
        <f t="shared" si="46"/>
        <v>1.3006317354143482E-2</v>
      </c>
      <c r="BM108" s="4">
        <f t="shared" si="51"/>
        <v>1.5827995944156008E-2</v>
      </c>
      <c r="BN108" s="9">
        <f t="shared" si="52"/>
        <v>13667.96568542862</v>
      </c>
      <c r="BO108" s="10">
        <f t="shared" si="53"/>
        <v>13114.091954044121</v>
      </c>
      <c r="BP108">
        <v>13785</v>
      </c>
      <c r="BQ108">
        <v>13800</v>
      </c>
      <c r="BR108">
        <v>13780</v>
      </c>
      <c r="BS108">
        <v>13795</v>
      </c>
      <c r="BT108">
        <v>16495</v>
      </c>
      <c r="BU108" s="13">
        <f t="shared" si="47"/>
        <v>13791.666666666666</v>
      </c>
      <c r="BV108" s="13">
        <f t="shared" si="48"/>
        <v>227493541.66666666</v>
      </c>
      <c r="BW108" s="13">
        <f>SUM($BV$3:BV108)</f>
        <v>161493290461.66675</v>
      </c>
      <c r="BX108" s="13">
        <f>SUM($BT$3:BT108)</f>
        <v>11818716</v>
      </c>
      <c r="BY108" s="3">
        <f t="shared" si="49"/>
        <v>13664.19926341125</v>
      </c>
    </row>
    <row r="109" spans="1:77" x14ac:dyDescent="0.3">
      <c r="A109" s="3" t="s">
        <v>149</v>
      </c>
      <c r="B109" s="3">
        <v>11720</v>
      </c>
      <c r="C109" s="3">
        <v>11725</v>
      </c>
      <c r="D109" s="3">
        <v>11440</v>
      </c>
      <c r="E109" s="3">
        <v>11445</v>
      </c>
      <c r="F109" s="3">
        <v>11680</v>
      </c>
      <c r="G109" s="3">
        <v>11690</v>
      </c>
      <c r="H109" s="3">
        <v>11555</v>
      </c>
      <c r="I109" s="3">
        <v>11555</v>
      </c>
      <c r="J109" s="3">
        <v>11645</v>
      </c>
      <c r="K109" s="3">
        <v>11645</v>
      </c>
      <c r="L109" s="3">
        <v>12135</v>
      </c>
      <c r="M109" s="3">
        <v>12120</v>
      </c>
      <c r="N109" s="3">
        <v>12550</v>
      </c>
      <c r="O109" s="3">
        <v>12565</v>
      </c>
      <c r="P109" s="3">
        <v>12720</v>
      </c>
      <c r="Q109" s="3">
        <v>12720</v>
      </c>
      <c r="R109" s="3">
        <v>12505</v>
      </c>
      <c r="S109" s="3">
        <v>12495</v>
      </c>
      <c r="T109" s="3">
        <v>12385</v>
      </c>
      <c r="U109" s="3">
        <v>12370</v>
      </c>
      <c r="V109" s="3">
        <v>12815</v>
      </c>
      <c r="W109" s="3">
        <v>12825</v>
      </c>
      <c r="X109" s="3">
        <v>12580</v>
      </c>
      <c r="Y109" s="3">
        <v>12570</v>
      </c>
      <c r="Z109" s="3">
        <v>12635</v>
      </c>
      <c r="AA109" s="3">
        <v>12640</v>
      </c>
      <c r="AB109" s="3">
        <v>13320</v>
      </c>
      <c r="AC109" s="3">
        <v>13325</v>
      </c>
      <c r="AD109" s="3">
        <v>13165</v>
      </c>
      <c r="AE109" s="3">
        <v>13170</v>
      </c>
      <c r="AF109" s="3">
        <v>13785</v>
      </c>
      <c r="AG109" s="3">
        <v>13800</v>
      </c>
      <c r="AH109" s="3">
        <v>14285</v>
      </c>
      <c r="AI109" s="3">
        <v>14270</v>
      </c>
      <c r="AJ109" s="3">
        <v>13825</v>
      </c>
      <c r="AK109" s="3">
        <v>13815</v>
      </c>
      <c r="AL109" s="3">
        <v>13740</v>
      </c>
      <c r="AM109" s="3">
        <v>13750</v>
      </c>
      <c r="AN109" s="3">
        <v>13600</v>
      </c>
      <c r="AO109" s="3">
        <v>13590</v>
      </c>
      <c r="AP109" s="3">
        <v>13640</v>
      </c>
      <c r="AQ109" s="3">
        <v>13620</v>
      </c>
      <c r="AR109" s="4">
        <f t="shared" si="50"/>
        <v>1.6912402428447493E-2</v>
      </c>
      <c r="AS109" s="4">
        <f t="shared" si="27"/>
        <v>9.0909090909090384E-3</v>
      </c>
      <c r="AT109" s="4">
        <f t="shared" si="28"/>
        <v>2.9049295774647987E-2</v>
      </c>
      <c r="AU109" s="4">
        <f t="shared" si="29"/>
        <v>1.9100169779286968E-2</v>
      </c>
      <c r="AV109" s="4">
        <f t="shared" si="30"/>
        <v>3.8494439692045024E-3</v>
      </c>
      <c r="AW109" s="4">
        <f t="shared" si="31"/>
        <v>2.1922428330522825E-2</v>
      </c>
      <c r="AX109" s="4">
        <f t="shared" si="32"/>
        <v>3.7144036318613294E-2</v>
      </c>
      <c r="AY109" s="4">
        <f t="shared" si="33"/>
        <v>4.6948356807511304E-3</v>
      </c>
      <c r="AZ109" s="4">
        <f t="shared" si="34"/>
        <v>3.9856516540454079E-3</v>
      </c>
      <c r="BA109" s="4">
        <f t="shared" si="35"/>
        <v>4.0404040404040664E-4</v>
      </c>
      <c r="BB109" s="4">
        <f t="shared" si="36"/>
        <v>3.9724361572760492E-2</v>
      </c>
      <c r="BC109" s="4">
        <f t="shared" si="37"/>
        <v>5.1444400474871532E-3</v>
      </c>
      <c r="BD109" s="4">
        <f t="shared" si="38"/>
        <v>1.5576323987538943E-2</v>
      </c>
      <c r="BE109" s="4">
        <f t="shared" si="39"/>
        <v>2.776706517547245E-2</v>
      </c>
      <c r="BF109" s="4">
        <f t="shared" si="40"/>
        <v>6.1115355233001267E-3</v>
      </c>
      <c r="BG109" s="4">
        <f t="shared" si="41"/>
        <v>3.4870641169853833E-2</v>
      </c>
      <c r="BH109" s="4">
        <f t="shared" si="42"/>
        <v>2.5880661394680038E-2</v>
      </c>
      <c r="BI109" s="4">
        <f t="shared" si="43"/>
        <v>4.3243243243242802E-3</v>
      </c>
      <c r="BJ109" s="4">
        <f t="shared" si="44"/>
        <v>2.1865889212828726E-3</v>
      </c>
      <c r="BK109" s="4">
        <f t="shared" si="45"/>
        <v>6.9419071976616342E-3</v>
      </c>
      <c r="BL109" s="4">
        <f t="shared" si="46"/>
        <v>1.2263099219620877E-2</v>
      </c>
      <c r="BM109" s="4">
        <f t="shared" si="51"/>
        <v>1.596889552204148E-2</v>
      </c>
      <c r="BN109" s="9">
        <f t="shared" si="52"/>
        <v>13669.861489249068</v>
      </c>
      <c r="BO109" s="10">
        <f t="shared" si="53"/>
        <v>13112.214467168797</v>
      </c>
      <c r="BP109">
        <v>13785</v>
      </c>
      <c r="BQ109">
        <v>13810</v>
      </c>
      <c r="BR109">
        <v>13785</v>
      </c>
      <c r="BS109">
        <v>13800</v>
      </c>
      <c r="BT109">
        <v>48293</v>
      </c>
      <c r="BU109" s="13">
        <f t="shared" si="47"/>
        <v>13798.333333333334</v>
      </c>
      <c r="BV109" s="13">
        <f t="shared" si="48"/>
        <v>666362911.66666675</v>
      </c>
      <c r="BW109" s="13">
        <f>SUM($BV$3:BV109)</f>
        <v>162159653373.3334</v>
      </c>
      <c r="BX109" s="13">
        <f>SUM($BT$3:BT109)</f>
        <v>11867009</v>
      </c>
      <c r="BY109" s="3">
        <f t="shared" si="49"/>
        <v>13664.745124347121</v>
      </c>
    </row>
    <row r="110" spans="1:77" x14ac:dyDescent="0.3">
      <c r="A110" s="3" t="s">
        <v>150</v>
      </c>
      <c r="B110" s="3">
        <v>11725</v>
      </c>
      <c r="C110" s="3">
        <v>11720</v>
      </c>
      <c r="D110" s="3">
        <v>11445</v>
      </c>
      <c r="E110" s="3">
        <v>11455</v>
      </c>
      <c r="F110" s="3">
        <v>11690</v>
      </c>
      <c r="G110" s="3">
        <v>11685</v>
      </c>
      <c r="H110" s="3">
        <v>11555</v>
      </c>
      <c r="I110" s="3">
        <v>11540</v>
      </c>
      <c r="J110" s="3">
        <v>11650</v>
      </c>
      <c r="K110" s="3">
        <v>11650</v>
      </c>
      <c r="L110" s="3">
        <v>12120</v>
      </c>
      <c r="M110" s="3">
        <v>12105</v>
      </c>
      <c r="N110" s="3">
        <v>12565</v>
      </c>
      <c r="O110" s="3">
        <v>12570</v>
      </c>
      <c r="P110" s="3">
        <v>12720</v>
      </c>
      <c r="Q110" s="3">
        <v>12740</v>
      </c>
      <c r="R110" s="3">
        <v>12495</v>
      </c>
      <c r="S110" s="3">
        <v>12485</v>
      </c>
      <c r="T110" s="3">
        <v>12365</v>
      </c>
      <c r="U110" s="3">
        <v>12365</v>
      </c>
      <c r="V110" s="3">
        <v>12820</v>
      </c>
      <c r="W110" s="3">
        <v>12830</v>
      </c>
      <c r="X110" s="3">
        <v>12575</v>
      </c>
      <c r="Y110" s="3">
        <v>12580</v>
      </c>
      <c r="Z110" s="3">
        <v>12640</v>
      </c>
      <c r="AA110" s="3">
        <v>12640</v>
      </c>
      <c r="AB110" s="3">
        <v>13325</v>
      </c>
      <c r="AC110" s="3">
        <v>13320</v>
      </c>
      <c r="AD110" s="3">
        <v>13170</v>
      </c>
      <c r="AE110" s="3">
        <v>13165</v>
      </c>
      <c r="AF110" s="3">
        <v>13800</v>
      </c>
      <c r="AG110" s="3">
        <v>13780</v>
      </c>
      <c r="AH110" s="3">
        <v>14270</v>
      </c>
      <c r="AI110" s="3">
        <v>14270</v>
      </c>
      <c r="AJ110" s="3">
        <v>13815</v>
      </c>
      <c r="AK110" s="3">
        <v>13815</v>
      </c>
      <c r="AL110" s="3">
        <v>13750</v>
      </c>
      <c r="AM110" s="3">
        <v>13745</v>
      </c>
      <c r="AN110" s="3">
        <v>13595</v>
      </c>
      <c r="AO110" s="3">
        <v>13590</v>
      </c>
      <c r="AP110" s="3">
        <v>13620</v>
      </c>
      <c r="AQ110" s="3">
        <v>13640</v>
      </c>
      <c r="AR110" s="4">
        <f t="shared" si="50"/>
        <v>1.647875108412844E-2</v>
      </c>
      <c r="AS110" s="4">
        <f t="shared" si="27"/>
        <v>8.2251082251082464E-3</v>
      </c>
      <c r="AT110" s="4">
        <f t="shared" si="28"/>
        <v>2.8609154929577496E-2</v>
      </c>
      <c r="AU110" s="4">
        <f t="shared" si="29"/>
        <v>2.0373514431239359E-2</v>
      </c>
      <c r="AV110" s="4">
        <f t="shared" si="30"/>
        <v>3.4217279726261873E-3</v>
      </c>
      <c r="AW110" s="4">
        <f t="shared" si="31"/>
        <v>2.0657672849915709E-2</v>
      </c>
      <c r="AX110" s="4">
        <f t="shared" si="32"/>
        <v>3.755674783326457E-2</v>
      </c>
      <c r="AY110" s="4">
        <f t="shared" si="33"/>
        <v>3.129890453834161E-3</v>
      </c>
      <c r="AZ110" s="4">
        <f t="shared" si="34"/>
        <v>4.7827819848544895E-3</v>
      </c>
      <c r="BA110" s="4">
        <f t="shared" si="35"/>
        <v>8.0808080808081328E-4</v>
      </c>
      <c r="BB110" s="4">
        <f t="shared" si="36"/>
        <v>4.0129712201053991E-2</v>
      </c>
      <c r="BC110" s="4">
        <f t="shared" si="37"/>
        <v>4.3529877324891553E-3</v>
      </c>
      <c r="BD110" s="4">
        <f t="shared" si="38"/>
        <v>1.5576323987538943E-2</v>
      </c>
      <c r="BE110" s="4">
        <f t="shared" si="39"/>
        <v>2.7381411492479746E-2</v>
      </c>
      <c r="BF110" s="4">
        <f t="shared" si="40"/>
        <v>5.7295645530939243E-3</v>
      </c>
      <c r="BG110" s="4">
        <f t="shared" si="41"/>
        <v>3.3370828646419159E-2</v>
      </c>
      <c r="BH110" s="4">
        <f t="shared" si="42"/>
        <v>2.5880661394680038E-2</v>
      </c>
      <c r="BI110" s="4">
        <f t="shared" si="43"/>
        <v>4.3243243243242802E-3</v>
      </c>
      <c r="BJ110" s="4">
        <f t="shared" si="44"/>
        <v>1.8221574344023939E-3</v>
      </c>
      <c r="BK110" s="4">
        <f t="shared" si="45"/>
        <v>6.9419071976616342E-3</v>
      </c>
      <c r="BL110" s="4">
        <f t="shared" si="46"/>
        <v>1.3749535488665865E-2</v>
      </c>
      <c r="BM110" s="4">
        <f t="shared" si="51"/>
        <v>1.5766762818225484E-2</v>
      </c>
      <c r="BN110" s="9">
        <f t="shared" si="52"/>
        <v>13667.141793719224</v>
      </c>
      <c r="BO110" s="10">
        <f t="shared" si="53"/>
        <v>13114.907885447145</v>
      </c>
      <c r="BP110">
        <v>13800</v>
      </c>
      <c r="BQ110">
        <v>13800</v>
      </c>
      <c r="BR110">
        <v>13775</v>
      </c>
      <c r="BS110">
        <v>13780</v>
      </c>
      <c r="BT110">
        <v>44806</v>
      </c>
      <c r="BU110" s="13">
        <f t="shared" si="47"/>
        <v>13785</v>
      </c>
      <c r="BV110" s="13">
        <f t="shared" si="48"/>
        <v>617650710</v>
      </c>
      <c r="BW110" s="13">
        <f>SUM($BV$3:BV110)</f>
        <v>162777304083.3334</v>
      </c>
      <c r="BX110" s="13">
        <f>SUM($BT$3:BT110)</f>
        <v>11911815</v>
      </c>
      <c r="BY110" s="3">
        <f t="shared" si="49"/>
        <v>13665.197460112788</v>
      </c>
    </row>
    <row r="111" spans="1:77" x14ac:dyDescent="0.3">
      <c r="A111" s="3" t="s">
        <v>151</v>
      </c>
      <c r="B111" s="3">
        <v>11715</v>
      </c>
      <c r="C111" s="3">
        <v>11720</v>
      </c>
      <c r="D111" s="3">
        <v>11450</v>
      </c>
      <c r="E111" s="3">
        <v>11450</v>
      </c>
      <c r="F111" s="3">
        <v>11685</v>
      </c>
      <c r="G111" s="3">
        <v>11680</v>
      </c>
      <c r="H111" s="3">
        <v>11535</v>
      </c>
      <c r="I111" s="3">
        <v>11535</v>
      </c>
      <c r="J111" s="3">
        <v>11650</v>
      </c>
      <c r="K111" s="3">
        <v>11645</v>
      </c>
      <c r="L111" s="3">
        <v>12105</v>
      </c>
      <c r="M111" s="3">
        <v>12105</v>
      </c>
      <c r="N111" s="3">
        <v>12570</v>
      </c>
      <c r="O111" s="3">
        <v>12580</v>
      </c>
      <c r="P111" s="3">
        <v>12740</v>
      </c>
      <c r="Q111" s="3">
        <v>12745</v>
      </c>
      <c r="R111" s="3">
        <v>12485</v>
      </c>
      <c r="S111" s="3">
        <v>12480</v>
      </c>
      <c r="T111" s="3">
        <v>12365</v>
      </c>
      <c r="U111" s="3">
        <v>12365</v>
      </c>
      <c r="V111" s="3">
        <v>12830</v>
      </c>
      <c r="W111" s="3">
        <v>12820</v>
      </c>
      <c r="X111" s="3">
        <v>12585</v>
      </c>
      <c r="Y111" s="3">
        <v>12565</v>
      </c>
      <c r="Z111" s="3">
        <v>12640</v>
      </c>
      <c r="AA111" s="3">
        <v>12640</v>
      </c>
      <c r="AB111" s="3">
        <v>13320</v>
      </c>
      <c r="AC111" s="3">
        <v>13320</v>
      </c>
      <c r="AD111" s="3">
        <v>13160</v>
      </c>
      <c r="AE111" s="3">
        <v>13160</v>
      </c>
      <c r="AF111" s="3">
        <v>13775</v>
      </c>
      <c r="AG111" s="3">
        <v>13785</v>
      </c>
      <c r="AH111" s="3">
        <v>14270</v>
      </c>
      <c r="AI111" s="3">
        <v>14255</v>
      </c>
      <c r="AJ111" s="3">
        <v>13810</v>
      </c>
      <c r="AK111" s="3">
        <v>13785</v>
      </c>
      <c r="AL111" s="3">
        <v>13745</v>
      </c>
      <c r="AM111" s="3">
        <v>13755</v>
      </c>
      <c r="AN111" s="3">
        <v>13590</v>
      </c>
      <c r="AO111" s="3">
        <v>13605</v>
      </c>
      <c r="AP111" s="3">
        <v>13640</v>
      </c>
      <c r="AQ111" s="3">
        <v>13655</v>
      </c>
      <c r="AR111" s="4">
        <f t="shared" si="50"/>
        <v>1.647875108412844E-2</v>
      </c>
      <c r="AS111" s="4">
        <f t="shared" si="27"/>
        <v>8.6580086580086979E-3</v>
      </c>
      <c r="AT111" s="4">
        <f t="shared" si="28"/>
        <v>2.8169014084507005E-2</v>
      </c>
      <c r="AU111" s="4">
        <f t="shared" si="29"/>
        <v>2.0797962648556823E-2</v>
      </c>
      <c r="AV111" s="4">
        <f t="shared" si="30"/>
        <v>3.8494439692045024E-3</v>
      </c>
      <c r="AW111" s="4">
        <f t="shared" si="31"/>
        <v>2.0657672849915709E-2</v>
      </c>
      <c r="AX111" s="4">
        <f t="shared" si="32"/>
        <v>3.8382170862567122E-2</v>
      </c>
      <c r="AY111" s="4">
        <f t="shared" si="33"/>
        <v>2.7386541471048353E-3</v>
      </c>
      <c r="AZ111" s="4">
        <f t="shared" si="34"/>
        <v>5.1813471502590858E-3</v>
      </c>
      <c r="BA111" s="4">
        <f t="shared" si="35"/>
        <v>8.0808080808081328E-4</v>
      </c>
      <c r="BB111" s="4">
        <f t="shared" si="36"/>
        <v>3.9319010944466992E-2</v>
      </c>
      <c r="BC111" s="4">
        <f t="shared" si="37"/>
        <v>5.5401662049860967E-3</v>
      </c>
      <c r="BD111" s="4">
        <f t="shared" si="38"/>
        <v>1.5576323987538943E-2</v>
      </c>
      <c r="BE111" s="4">
        <f t="shared" si="39"/>
        <v>2.7381411492479746E-2</v>
      </c>
      <c r="BF111" s="4">
        <f t="shared" si="40"/>
        <v>5.3475935828877219E-3</v>
      </c>
      <c r="BG111" s="4">
        <f t="shared" si="41"/>
        <v>3.3745781777277939E-2</v>
      </c>
      <c r="BH111" s="4">
        <f t="shared" si="42"/>
        <v>2.4802300503235175E-2</v>
      </c>
      <c r="BI111" s="4">
        <f t="shared" si="43"/>
        <v>6.4864864864865313E-3</v>
      </c>
      <c r="BJ111" s="4">
        <f t="shared" si="44"/>
        <v>2.5510204081633514E-3</v>
      </c>
      <c r="BK111" s="4">
        <f t="shared" si="45"/>
        <v>5.8458165875046042E-3</v>
      </c>
      <c r="BL111" s="4">
        <f t="shared" si="46"/>
        <v>1.4864362690449662E-2</v>
      </c>
      <c r="BM111" s="4">
        <f t="shared" si="51"/>
        <v>1.5886204385040292E-2</v>
      </c>
      <c r="BN111" s="9">
        <f t="shared" si="52"/>
        <v>13668.748880000718</v>
      </c>
      <c r="BO111" s="10">
        <f t="shared" si="53"/>
        <v>13113.316326569338</v>
      </c>
      <c r="BP111">
        <v>13775</v>
      </c>
      <c r="BQ111">
        <v>13795</v>
      </c>
      <c r="BR111">
        <v>13770</v>
      </c>
      <c r="BS111">
        <v>13785</v>
      </c>
      <c r="BT111">
        <v>33732</v>
      </c>
      <c r="BU111" s="13">
        <f t="shared" si="47"/>
        <v>13783.333333333334</v>
      </c>
      <c r="BV111" s="13">
        <f t="shared" si="48"/>
        <v>464939400</v>
      </c>
      <c r="BW111" s="13">
        <f>SUM($BV$3:BV111)</f>
        <v>163242243483.3334</v>
      </c>
      <c r="BX111" s="13">
        <f>SUM($BT$3:BT111)</f>
        <v>11945547</v>
      </c>
      <c r="BY111" s="3">
        <f t="shared" si="49"/>
        <v>13665.531053817243</v>
      </c>
    </row>
    <row r="112" spans="1:77" x14ac:dyDescent="0.3">
      <c r="A112" s="3" t="s">
        <v>152</v>
      </c>
      <c r="B112" s="3">
        <v>11725</v>
      </c>
      <c r="C112" s="3">
        <v>11720</v>
      </c>
      <c r="D112" s="3">
        <v>11450</v>
      </c>
      <c r="E112" s="3">
        <v>11435</v>
      </c>
      <c r="F112" s="3">
        <v>11680</v>
      </c>
      <c r="G112" s="3">
        <v>11690</v>
      </c>
      <c r="H112" s="3">
        <v>11535</v>
      </c>
      <c r="I112" s="3">
        <v>11530</v>
      </c>
      <c r="J112" s="3">
        <v>11645</v>
      </c>
      <c r="K112" s="3">
        <v>11635</v>
      </c>
      <c r="L112" s="3">
        <v>12105</v>
      </c>
      <c r="M112" s="3">
        <v>12105</v>
      </c>
      <c r="N112" s="3">
        <v>12585</v>
      </c>
      <c r="O112" s="3">
        <v>12595</v>
      </c>
      <c r="P112" s="3">
        <v>12745</v>
      </c>
      <c r="Q112" s="3">
        <v>12740</v>
      </c>
      <c r="R112" s="3">
        <v>12480</v>
      </c>
      <c r="S112" s="3">
        <v>12470</v>
      </c>
      <c r="T112" s="3">
        <v>12365</v>
      </c>
      <c r="U112" s="3">
        <v>12380</v>
      </c>
      <c r="V112" s="3">
        <v>12820</v>
      </c>
      <c r="W112" s="3">
        <v>12835</v>
      </c>
      <c r="X112" s="3">
        <v>12565</v>
      </c>
      <c r="Y112" s="3">
        <v>12565</v>
      </c>
      <c r="Z112" s="3">
        <v>12645</v>
      </c>
      <c r="AA112" s="3">
        <v>12675</v>
      </c>
      <c r="AB112" s="3">
        <v>13315</v>
      </c>
      <c r="AC112" s="3">
        <v>13325</v>
      </c>
      <c r="AD112" s="3">
        <v>13165</v>
      </c>
      <c r="AE112" s="3">
        <v>13145</v>
      </c>
      <c r="AF112" s="3">
        <v>13790</v>
      </c>
      <c r="AG112" s="3">
        <v>13790</v>
      </c>
      <c r="AH112" s="3">
        <v>14255</v>
      </c>
      <c r="AI112" s="3">
        <v>14260</v>
      </c>
      <c r="AJ112" s="3">
        <v>13780</v>
      </c>
      <c r="AK112" s="3">
        <v>13760</v>
      </c>
      <c r="AL112" s="3">
        <v>13755</v>
      </c>
      <c r="AM112" s="3">
        <v>13770</v>
      </c>
      <c r="AN112" s="3">
        <v>13605</v>
      </c>
      <c r="AO112" s="3">
        <v>13605</v>
      </c>
      <c r="AP112" s="3">
        <v>13655</v>
      </c>
      <c r="AQ112" s="3">
        <v>13645</v>
      </c>
      <c r="AR112" s="4">
        <f t="shared" si="50"/>
        <v>1.647875108412844E-2</v>
      </c>
      <c r="AS112" s="4">
        <f t="shared" si="27"/>
        <v>9.9567099567099415E-3</v>
      </c>
      <c r="AT112" s="4">
        <f t="shared" si="28"/>
        <v>2.9049295774647987E-2</v>
      </c>
      <c r="AU112" s="4">
        <f t="shared" si="29"/>
        <v>2.1222410865874397E-2</v>
      </c>
      <c r="AV112" s="4">
        <f t="shared" si="30"/>
        <v>4.7048759623610215E-3</v>
      </c>
      <c r="AW112" s="4">
        <f t="shared" si="31"/>
        <v>2.0657672849915709E-2</v>
      </c>
      <c r="AX112" s="4">
        <f t="shared" si="32"/>
        <v>3.962030540652095E-2</v>
      </c>
      <c r="AY112" s="4">
        <f t="shared" si="33"/>
        <v>3.129890453834161E-3</v>
      </c>
      <c r="AZ112" s="4">
        <f t="shared" si="34"/>
        <v>5.9784774810681673E-3</v>
      </c>
      <c r="BA112" s="4">
        <f t="shared" si="35"/>
        <v>4.0404040404040664E-4</v>
      </c>
      <c r="BB112" s="4">
        <f t="shared" si="36"/>
        <v>4.053506282934749E-2</v>
      </c>
      <c r="BC112" s="4">
        <f t="shared" si="37"/>
        <v>5.5401662049860967E-3</v>
      </c>
      <c r="BD112" s="4">
        <f t="shared" si="38"/>
        <v>1.2850467289719614E-2</v>
      </c>
      <c r="BE112" s="4">
        <f t="shared" si="39"/>
        <v>2.776706517547245E-2</v>
      </c>
      <c r="BF112" s="4">
        <f t="shared" si="40"/>
        <v>4.2016806722688926E-3</v>
      </c>
      <c r="BG112" s="4">
        <f t="shared" si="41"/>
        <v>3.4120734908136496E-2</v>
      </c>
      <c r="BH112" s="4">
        <f t="shared" si="42"/>
        <v>2.5161754133716796E-2</v>
      </c>
      <c r="BI112" s="4">
        <f t="shared" si="43"/>
        <v>8.2882882882883147E-3</v>
      </c>
      <c r="BJ112" s="4">
        <f t="shared" si="44"/>
        <v>3.6443148688045657E-3</v>
      </c>
      <c r="BK112" s="4">
        <f t="shared" si="45"/>
        <v>5.8458165875046042E-3</v>
      </c>
      <c r="BL112" s="4">
        <f t="shared" si="46"/>
        <v>1.4121144555927057E-2</v>
      </c>
      <c r="BM112" s="4">
        <f t="shared" si="51"/>
        <v>1.6115580094769093E-2</v>
      </c>
      <c r="BN112" s="9">
        <f t="shared" si="52"/>
        <v>13671.835130175117</v>
      </c>
      <c r="BO112" s="10">
        <f t="shared" si="53"/>
        <v>13110.259895237201</v>
      </c>
      <c r="BP112">
        <v>13790</v>
      </c>
      <c r="BQ112">
        <v>13795</v>
      </c>
      <c r="BR112">
        <v>13775</v>
      </c>
      <c r="BS112">
        <v>13790</v>
      </c>
      <c r="BT112">
        <v>10714</v>
      </c>
      <c r="BU112" s="13">
        <f t="shared" si="47"/>
        <v>13786.666666666666</v>
      </c>
      <c r="BV112" s="13">
        <f t="shared" si="48"/>
        <v>147710346.66666666</v>
      </c>
      <c r="BW112" s="13">
        <f>SUM($BV$3:BV112)</f>
        <v>163389953830.00006</v>
      </c>
      <c r="BX112" s="13">
        <f>SUM($BT$3:BT112)</f>
        <v>11956261</v>
      </c>
      <c r="BY112" s="3">
        <f t="shared" si="49"/>
        <v>13665.639603384374</v>
      </c>
    </row>
    <row r="113" spans="1:77" x14ac:dyDescent="0.3">
      <c r="A113" s="3" t="s">
        <v>153</v>
      </c>
      <c r="B113" s="3">
        <v>11720</v>
      </c>
      <c r="C113" s="3">
        <v>11725</v>
      </c>
      <c r="D113" s="3">
        <v>11440</v>
      </c>
      <c r="E113" s="3">
        <v>11445</v>
      </c>
      <c r="F113" s="3">
        <v>11685</v>
      </c>
      <c r="G113" s="3">
        <v>11690</v>
      </c>
      <c r="H113" s="3">
        <v>11530</v>
      </c>
      <c r="I113" s="3">
        <v>11545</v>
      </c>
      <c r="J113" s="3">
        <v>11635</v>
      </c>
      <c r="K113" s="3">
        <v>11640</v>
      </c>
      <c r="L113" s="3">
        <v>12105</v>
      </c>
      <c r="M113" s="3">
        <v>12100</v>
      </c>
      <c r="N113" s="3">
        <v>12595</v>
      </c>
      <c r="O113" s="3">
        <v>12580</v>
      </c>
      <c r="P113" s="3">
        <v>12740</v>
      </c>
      <c r="Q113" s="3">
        <v>12750</v>
      </c>
      <c r="R113" s="3">
        <v>12475</v>
      </c>
      <c r="S113" s="3">
        <v>12475</v>
      </c>
      <c r="T113" s="3">
        <v>12380</v>
      </c>
      <c r="U113" s="3">
        <v>12385</v>
      </c>
      <c r="V113" s="3">
        <v>12835</v>
      </c>
      <c r="W113" s="3">
        <v>12830</v>
      </c>
      <c r="X113" s="3">
        <v>12570</v>
      </c>
      <c r="Y113" s="3">
        <v>12580</v>
      </c>
      <c r="Z113" s="3">
        <v>12685</v>
      </c>
      <c r="AA113" s="3">
        <v>12685</v>
      </c>
      <c r="AB113" s="3">
        <v>13325</v>
      </c>
      <c r="AC113" s="3">
        <v>13325</v>
      </c>
      <c r="AD113" s="3">
        <v>13145</v>
      </c>
      <c r="AE113" s="3">
        <v>13125</v>
      </c>
      <c r="AF113" s="3">
        <v>13790</v>
      </c>
      <c r="AG113" s="3">
        <v>13800</v>
      </c>
      <c r="AH113" s="3">
        <v>14260</v>
      </c>
      <c r="AI113" s="3">
        <v>14260</v>
      </c>
      <c r="AJ113" s="3">
        <v>13755</v>
      </c>
      <c r="AK113" s="3">
        <v>13700</v>
      </c>
      <c r="AL113" s="3">
        <v>13765</v>
      </c>
      <c r="AM113" s="3">
        <v>13765</v>
      </c>
      <c r="AN113" s="3">
        <v>13605</v>
      </c>
      <c r="AO113" s="3">
        <v>13550</v>
      </c>
      <c r="AP113" s="3">
        <v>13640</v>
      </c>
      <c r="AQ113" s="3">
        <v>13625</v>
      </c>
      <c r="AR113" s="4">
        <f t="shared" si="50"/>
        <v>1.6912402428447493E-2</v>
      </c>
      <c r="AS113" s="4">
        <f t="shared" si="27"/>
        <v>9.0909090909090384E-3</v>
      </c>
      <c r="AT113" s="4">
        <f t="shared" si="28"/>
        <v>2.9049295774647987E-2</v>
      </c>
      <c r="AU113" s="4">
        <f t="shared" si="29"/>
        <v>1.9949066213921895E-2</v>
      </c>
      <c r="AV113" s="4">
        <f t="shared" si="30"/>
        <v>4.2771599657827064E-3</v>
      </c>
      <c r="AW113" s="4">
        <f t="shared" si="31"/>
        <v>2.0236087689713411E-2</v>
      </c>
      <c r="AX113" s="4">
        <f t="shared" si="32"/>
        <v>3.8382170862567122E-2</v>
      </c>
      <c r="AY113" s="4">
        <f t="shared" si="33"/>
        <v>2.3474178403756207E-3</v>
      </c>
      <c r="AZ113" s="4">
        <f t="shared" si="34"/>
        <v>5.579912315663571E-3</v>
      </c>
      <c r="BA113" s="4">
        <f t="shared" si="35"/>
        <v>8.0808080808081328E-4</v>
      </c>
      <c r="BB113" s="4">
        <f t="shared" si="36"/>
        <v>4.0129712201053991E-2</v>
      </c>
      <c r="BC113" s="4">
        <f t="shared" si="37"/>
        <v>4.3529877324891553E-3</v>
      </c>
      <c r="BD113" s="4">
        <f t="shared" si="38"/>
        <v>1.2071651090342694E-2</v>
      </c>
      <c r="BE113" s="4">
        <f t="shared" si="39"/>
        <v>2.776706517547245E-2</v>
      </c>
      <c r="BF113" s="4">
        <f t="shared" si="40"/>
        <v>2.673796791443861E-3</v>
      </c>
      <c r="BG113" s="4">
        <f t="shared" si="41"/>
        <v>3.4870641169853833E-2</v>
      </c>
      <c r="BH113" s="4">
        <f t="shared" si="42"/>
        <v>2.5161754133716796E-2</v>
      </c>
      <c r="BI113" s="4">
        <f t="shared" si="43"/>
        <v>1.2612612612612595E-2</v>
      </c>
      <c r="BJ113" s="4">
        <f t="shared" si="44"/>
        <v>3.2798833819243089E-3</v>
      </c>
      <c r="BK113" s="4">
        <f t="shared" si="45"/>
        <v>9.8648154914139363E-3</v>
      </c>
      <c r="BL113" s="4">
        <f t="shared" si="46"/>
        <v>1.263470828688229E-2</v>
      </c>
      <c r="BM113" s="4">
        <f t="shared" si="51"/>
        <v>1.5479665253747452E-2</v>
      </c>
      <c r="BN113" s="9">
        <f t="shared" si="52"/>
        <v>13663.278895989171</v>
      </c>
      <c r="BO113" s="10">
        <f t="shared" si="53"/>
        <v>13118.733460493815</v>
      </c>
      <c r="BP113">
        <v>13790</v>
      </c>
      <c r="BQ113">
        <v>13800</v>
      </c>
      <c r="BR113">
        <v>13785</v>
      </c>
      <c r="BS113">
        <v>13800</v>
      </c>
      <c r="BT113">
        <v>37466</v>
      </c>
      <c r="BU113" s="13">
        <f t="shared" si="47"/>
        <v>13795</v>
      </c>
      <c r="BV113" s="13">
        <f t="shared" si="48"/>
        <v>516843470</v>
      </c>
      <c r="BW113" s="13">
        <f>SUM($BV$3:BV113)</f>
        <v>163906797300.00006</v>
      </c>
      <c r="BX113" s="13">
        <f>SUM($BT$3:BT113)</f>
        <v>11993727</v>
      </c>
      <c r="BY113" s="3">
        <f t="shared" si="49"/>
        <v>13666.043699343838</v>
      </c>
    </row>
    <row r="114" spans="1:77" x14ac:dyDescent="0.3">
      <c r="A114" s="3" t="s">
        <v>154</v>
      </c>
      <c r="B114" s="3">
        <v>11730</v>
      </c>
      <c r="C114" s="3">
        <v>11715</v>
      </c>
      <c r="D114" s="3">
        <v>11445</v>
      </c>
      <c r="E114" s="3">
        <v>11420</v>
      </c>
      <c r="F114" s="3">
        <v>11695</v>
      </c>
      <c r="G114" s="3">
        <v>11700</v>
      </c>
      <c r="H114" s="3">
        <v>11545</v>
      </c>
      <c r="I114" s="3">
        <v>11535</v>
      </c>
      <c r="J114" s="3">
        <v>11645</v>
      </c>
      <c r="K114" s="3">
        <v>11650</v>
      </c>
      <c r="L114" s="3">
        <v>12100</v>
      </c>
      <c r="M114" s="3">
        <v>12085</v>
      </c>
      <c r="N114" s="3">
        <v>12575</v>
      </c>
      <c r="O114" s="3">
        <v>12560</v>
      </c>
      <c r="P114" s="3">
        <v>12750</v>
      </c>
      <c r="Q114" s="3">
        <v>12745</v>
      </c>
      <c r="R114" s="3">
        <v>12475</v>
      </c>
      <c r="S114" s="3">
        <v>12475</v>
      </c>
      <c r="T114" s="3">
        <v>12385</v>
      </c>
      <c r="U114" s="3">
        <v>12385</v>
      </c>
      <c r="V114" s="3">
        <v>12830</v>
      </c>
      <c r="W114" s="3">
        <v>12835</v>
      </c>
      <c r="X114" s="3">
        <v>12575</v>
      </c>
      <c r="Y114" s="3">
        <v>12585</v>
      </c>
      <c r="Z114" s="3">
        <v>12685</v>
      </c>
      <c r="AA114" s="3">
        <v>12675</v>
      </c>
      <c r="AB114" s="3">
        <v>13325</v>
      </c>
      <c r="AC114" s="3">
        <v>13330</v>
      </c>
      <c r="AD114" s="3">
        <v>13125</v>
      </c>
      <c r="AE114" s="3">
        <v>13125</v>
      </c>
      <c r="AF114" s="3">
        <v>13800</v>
      </c>
      <c r="AG114" s="3">
        <v>13770</v>
      </c>
      <c r="AH114" s="3">
        <v>14260</v>
      </c>
      <c r="AI114" s="3">
        <v>14280</v>
      </c>
      <c r="AJ114" s="3">
        <v>13700</v>
      </c>
      <c r="AK114" s="3">
        <v>13680</v>
      </c>
      <c r="AL114" s="3">
        <v>13770</v>
      </c>
      <c r="AM114" s="3">
        <v>13780</v>
      </c>
      <c r="AN114" s="3">
        <v>13550</v>
      </c>
      <c r="AO114" s="3">
        <v>13545</v>
      </c>
      <c r="AP114" s="3">
        <v>13625</v>
      </c>
      <c r="AQ114" s="3">
        <v>13620</v>
      </c>
      <c r="AR114" s="4">
        <f t="shared" si="50"/>
        <v>1.6045099739809165E-2</v>
      </c>
      <c r="AS114" s="4">
        <f t="shared" si="27"/>
        <v>1.1255411255411296E-2</v>
      </c>
      <c r="AT114" s="4">
        <f t="shared" si="28"/>
        <v>2.9929577464788748E-2</v>
      </c>
      <c r="AU114" s="4">
        <f t="shared" si="29"/>
        <v>2.0797962648556823E-2</v>
      </c>
      <c r="AV114" s="4">
        <f t="shared" si="30"/>
        <v>3.4217279726261873E-3</v>
      </c>
      <c r="AW114" s="4">
        <f t="shared" si="31"/>
        <v>1.8971332209106295E-2</v>
      </c>
      <c r="AX114" s="4">
        <f t="shared" si="32"/>
        <v>3.6731324803962018E-2</v>
      </c>
      <c r="AY114" s="4">
        <f t="shared" si="33"/>
        <v>2.7386541471048353E-3</v>
      </c>
      <c r="AZ114" s="4">
        <f t="shared" si="34"/>
        <v>5.579912315663571E-3</v>
      </c>
      <c r="BA114" s="4">
        <f t="shared" si="35"/>
        <v>8.0808080808081328E-4</v>
      </c>
      <c r="BB114" s="4">
        <f t="shared" si="36"/>
        <v>4.053506282934749E-2</v>
      </c>
      <c r="BC114" s="4">
        <f t="shared" si="37"/>
        <v>3.9572615749901008E-3</v>
      </c>
      <c r="BD114" s="4">
        <f t="shared" si="38"/>
        <v>1.2850467289719614E-2</v>
      </c>
      <c r="BE114" s="4">
        <f t="shared" si="39"/>
        <v>2.8152718858465153E-2</v>
      </c>
      <c r="BF114" s="4">
        <f t="shared" si="40"/>
        <v>2.673796791443861E-3</v>
      </c>
      <c r="BG114" s="4">
        <f t="shared" si="41"/>
        <v>3.2620922384701823E-2</v>
      </c>
      <c r="BH114" s="4">
        <f t="shared" si="42"/>
        <v>2.6599568655643502E-2</v>
      </c>
      <c r="BI114" s="4">
        <f t="shared" si="43"/>
        <v>1.4054054054054022E-2</v>
      </c>
      <c r="BJ114" s="4">
        <f t="shared" si="44"/>
        <v>4.3731778425655232E-3</v>
      </c>
      <c r="BK114" s="4">
        <f t="shared" si="45"/>
        <v>1.0230179028132946E-2</v>
      </c>
      <c r="BL114" s="4">
        <f t="shared" si="46"/>
        <v>1.2263099219620877E-2</v>
      </c>
      <c r="BM114" s="4">
        <f t="shared" si="51"/>
        <v>1.5600235069233344E-2</v>
      </c>
      <c r="BN114" s="9">
        <f t="shared" si="52"/>
        <v>13664.901162856533</v>
      </c>
      <c r="BO114" s="10">
        <f t="shared" si="53"/>
        <v>13117.126867702465</v>
      </c>
      <c r="BP114">
        <v>13800</v>
      </c>
      <c r="BQ114">
        <v>13800</v>
      </c>
      <c r="BR114">
        <v>13770</v>
      </c>
      <c r="BS114">
        <v>13770</v>
      </c>
      <c r="BT114">
        <v>22919</v>
      </c>
      <c r="BU114" s="13">
        <f t="shared" si="47"/>
        <v>13780</v>
      </c>
      <c r="BV114" s="13">
        <f t="shared" si="48"/>
        <v>315823820</v>
      </c>
      <c r="BW114" s="13">
        <f>SUM($BV$3:BV114)</f>
        <v>164222621120.00006</v>
      </c>
      <c r="BX114" s="13">
        <f>SUM($BT$3:BT114)</f>
        <v>12016646</v>
      </c>
      <c r="BY114" s="3">
        <f t="shared" si="49"/>
        <v>13666.261044887238</v>
      </c>
    </row>
    <row r="115" spans="1:77" x14ac:dyDescent="0.3">
      <c r="A115" s="3" t="s">
        <v>155</v>
      </c>
      <c r="B115" s="3">
        <v>11720</v>
      </c>
      <c r="C115" s="3">
        <v>11695</v>
      </c>
      <c r="D115" s="3">
        <v>11415</v>
      </c>
      <c r="E115" s="3">
        <v>11430</v>
      </c>
      <c r="F115" s="3">
        <v>11700</v>
      </c>
      <c r="G115" s="3">
        <v>11695</v>
      </c>
      <c r="H115" s="3">
        <v>11535</v>
      </c>
      <c r="I115" s="3">
        <v>11525</v>
      </c>
      <c r="J115" s="3">
        <v>11650</v>
      </c>
      <c r="K115" s="3">
        <v>11635</v>
      </c>
      <c r="L115" s="3">
        <v>12090</v>
      </c>
      <c r="M115" s="3">
        <v>12100</v>
      </c>
      <c r="N115" s="3">
        <v>12565</v>
      </c>
      <c r="O115" s="3">
        <v>12565</v>
      </c>
      <c r="P115" s="3">
        <v>12745</v>
      </c>
      <c r="Q115" s="3">
        <v>12745</v>
      </c>
      <c r="R115" s="3">
        <v>12475</v>
      </c>
      <c r="S115" s="3">
        <v>12475</v>
      </c>
      <c r="T115" s="3">
        <v>12390</v>
      </c>
      <c r="U115" s="3">
        <v>12395</v>
      </c>
      <c r="V115" s="3">
        <v>12835</v>
      </c>
      <c r="W115" s="3">
        <v>12835</v>
      </c>
      <c r="X115" s="3">
        <v>12585</v>
      </c>
      <c r="Y115" s="3">
        <v>12560</v>
      </c>
      <c r="Z115" s="3">
        <v>12680</v>
      </c>
      <c r="AA115" s="3">
        <v>12685</v>
      </c>
      <c r="AB115" s="3">
        <v>13325</v>
      </c>
      <c r="AC115" s="3">
        <v>13325</v>
      </c>
      <c r="AD115" s="3">
        <v>13130</v>
      </c>
      <c r="AE115" s="3">
        <v>13150</v>
      </c>
      <c r="AF115" s="3">
        <v>13780</v>
      </c>
      <c r="AG115" s="3">
        <v>13795</v>
      </c>
      <c r="AH115" s="3">
        <v>14280</v>
      </c>
      <c r="AI115" s="3">
        <v>14275</v>
      </c>
      <c r="AJ115" s="3">
        <v>13680</v>
      </c>
      <c r="AK115" s="3">
        <v>13670</v>
      </c>
      <c r="AL115" s="3">
        <v>13780</v>
      </c>
      <c r="AM115" s="3">
        <v>13785</v>
      </c>
      <c r="AN115" s="3">
        <v>13545</v>
      </c>
      <c r="AO115" s="3">
        <v>13540</v>
      </c>
      <c r="AP115" s="3">
        <v>13620</v>
      </c>
      <c r="AQ115" s="3">
        <v>13620</v>
      </c>
      <c r="AR115" s="4">
        <f t="shared" si="50"/>
        <v>1.4310494362532511E-2</v>
      </c>
      <c r="AS115" s="4">
        <f t="shared" si="27"/>
        <v>1.0389610389610393E-2</v>
      </c>
      <c r="AT115" s="4">
        <f t="shared" si="28"/>
        <v>2.9489436619718257E-2</v>
      </c>
      <c r="AU115" s="4">
        <f t="shared" si="29"/>
        <v>2.1646859083191861E-2</v>
      </c>
      <c r="AV115" s="4">
        <f t="shared" si="30"/>
        <v>4.7048759623610215E-3</v>
      </c>
      <c r="AW115" s="4">
        <f t="shared" si="31"/>
        <v>2.0236087689713411E-2</v>
      </c>
      <c r="AX115" s="4">
        <f t="shared" si="32"/>
        <v>3.7144036318613294E-2</v>
      </c>
      <c r="AY115" s="4">
        <f t="shared" si="33"/>
        <v>2.7386541471048353E-3</v>
      </c>
      <c r="AZ115" s="4">
        <f t="shared" si="34"/>
        <v>5.579912315663571E-3</v>
      </c>
      <c r="BA115" s="4">
        <f t="shared" si="35"/>
        <v>1.6161616161616266E-3</v>
      </c>
      <c r="BB115" s="4">
        <f t="shared" si="36"/>
        <v>4.053506282934749E-2</v>
      </c>
      <c r="BC115" s="4">
        <f t="shared" si="37"/>
        <v>5.9358923624851512E-3</v>
      </c>
      <c r="BD115" s="4">
        <f t="shared" si="38"/>
        <v>1.2071651090342694E-2</v>
      </c>
      <c r="BE115" s="4">
        <f t="shared" si="39"/>
        <v>2.776706517547245E-2</v>
      </c>
      <c r="BF115" s="4">
        <f t="shared" si="40"/>
        <v>4.583651642475095E-3</v>
      </c>
      <c r="BG115" s="4">
        <f t="shared" si="41"/>
        <v>3.4495688038995054E-2</v>
      </c>
      <c r="BH115" s="4">
        <f t="shared" si="42"/>
        <v>2.6240115025161659E-2</v>
      </c>
      <c r="BI115" s="4">
        <f t="shared" si="43"/>
        <v>1.4774774774774735E-2</v>
      </c>
      <c r="BJ115" s="4">
        <f t="shared" si="44"/>
        <v>4.737609329446002E-3</v>
      </c>
      <c r="BK115" s="4">
        <f t="shared" si="45"/>
        <v>1.0595542564852067E-2</v>
      </c>
      <c r="BL115" s="4">
        <f t="shared" si="46"/>
        <v>1.2263099219620877E-2</v>
      </c>
      <c r="BM115" s="4">
        <f t="shared" si="51"/>
        <v>1.6031354088732939E-2</v>
      </c>
      <c r="BN115" s="9">
        <f t="shared" si="52"/>
        <v>13670.701869263901</v>
      </c>
      <c r="BO115" s="10">
        <f t="shared" si="53"/>
        <v>13111.382206767634</v>
      </c>
      <c r="BP115">
        <v>13780</v>
      </c>
      <c r="BQ115">
        <v>13795</v>
      </c>
      <c r="BR115">
        <v>13775</v>
      </c>
      <c r="BS115">
        <v>13795</v>
      </c>
      <c r="BT115">
        <v>15770</v>
      </c>
      <c r="BU115" s="13">
        <f t="shared" si="47"/>
        <v>13788.333333333334</v>
      </c>
      <c r="BV115" s="13">
        <f t="shared" si="48"/>
        <v>217442016.66666669</v>
      </c>
      <c r="BW115" s="13">
        <f>SUM($BV$3:BV115)</f>
        <v>164440063136.66672</v>
      </c>
      <c r="BX115" s="13">
        <f>SUM($BT$3:BT115)</f>
        <v>12032416</v>
      </c>
      <c r="BY115" s="3">
        <f t="shared" si="49"/>
        <v>13666.42103603023</v>
      </c>
    </row>
    <row r="116" spans="1:77" x14ac:dyDescent="0.3">
      <c r="A116" s="3" t="s">
        <v>156</v>
      </c>
      <c r="B116" s="3">
        <v>11700</v>
      </c>
      <c r="C116" s="3">
        <v>11675</v>
      </c>
      <c r="D116" s="3">
        <v>11430</v>
      </c>
      <c r="E116" s="3">
        <v>11435</v>
      </c>
      <c r="F116" s="3">
        <v>11695</v>
      </c>
      <c r="G116" s="3">
        <v>11700</v>
      </c>
      <c r="H116" s="3">
        <v>11525</v>
      </c>
      <c r="I116" s="3">
        <v>11515</v>
      </c>
      <c r="J116" s="3">
        <v>11640</v>
      </c>
      <c r="K116" s="3">
        <v>11640</v>
      </c>
      <c r="L116" s="3">
        <v>12095</v>
      </c>
      <c r="M116" s="3">
        <v>12090</v>
      </c>
      <c r="N116" s="3">
        <v>12565</v>
      </c>
      <c r="O116" s="3">
        <v>12570</v>
      </c>
      <c r="P116" s="3">
        <v>12745</v>
      </c>
      <c r="Q116" s="3">
        <v>12740</v>
      </c>
      <c r="R116" s="3">
        <v>12475</v>
      </c>
      <c r="S116" s="3">
        <v>12470</v>
      </c>
      <c r="T116" s="3">
        <v>12395</v>
      </c>
      <c r="U116" s="3">
        <v>12400</v>
      </c>
      <c r="V116" s="3">
        <v>12840</v>
      </c>
      <c r="W116" s="3">
        <v>12825</v>
      </c>
      <c r="X116" s="3">
        <v>12565</v>
      </c>
      <c r="Y116" s="3">
        <v>12555</v>
      </c>
      <c r="Z116" s="3">
        <v>12685</v>
      </c>
      <c r="AA116" s="3">
        <v>12680</v>
      </c>
      <c r="AB116" s="3">
        <v>13325</v>
      </c>
      <c r="AC116" s="3">
        <v>13315</v>
      </c>
      <c r="AD116" s="3">
        <v>13150</v>
      </c>
      <c r="AE116" s="3">
        <v>13165</v>
      </c>
      <c r="AF116" s="3">
        <v>13790</v>
      </c>
      <c r="AG116" s="3">
        <v>13785</v>
      </c>
      <c r="AH116" s="3">
        <v>14275</v>
      </c>
      <c r="AI116" s="3">
        <v>14280</v>
      </c>
      <c r="AJ116" s="3">
        <v>13670</v>
      </c>
      <c r="AK116" s="3">
        <v>13675</v>
      </c>
      <c r="AL116" s="3">
        <v>13790</v>
      </c>
      <c r="AM116" s="3">
        <v>13765</v>
      </c>
      <c r="AN116" s="3">
        <v>13540</v>
      </c>
      <c r="AO116" s="3">
        <v>13560</v>
      </c>
      <c r="AP116" s="3">
        <v>13620</v>
      </c>
      <c r="AQ116" s="3">
        <v>13615</v>
      </c>
      <c r="AR116" s="4">
        <f t="shared" si="50"/>
        <v>1.2575888985255856E-2</v>
      </c>
      <c r="AS116" s="4">
        <f t="shared" si="27"/>
        <v>9.9567099567099415E-3</v>
      </c>
      <c r="AT116" s="4">
        <f t="shared" si="28"/>
        <v>2.9929577464788748E-2</v>
      </c>
      <c r="AU116" s="4">
        <f t="shared" si="29"/>
        <v>2.2495755517826788E-2</v>
      </c>
      <c r="AV116" s="4">
        <f t="shared" si="30"/>
        <v>4.2771599657827064E-3</v>
      </c>
      <c r="AW116" s="4">
        <f t="shared" si="31"/>
        <v>1.9392917369308593E-2</v>
      </c>
      <c r="AX116" s="4">
        <f t="shared" si="32"/>
        <v>3.755674783326457E-2</v>
      </c>
      <c r="AY116" s="4">
        <f t="shared" si="33"/>
        <v>3.129890453834161E-3</v>
      </c>
      <c r="AZ116" s="4">
        <f t="shared" si="34"/>
        <v>5.9784774810681673E-3</v>
      </c>
      <c r="BA116" s="4">
        <f t="shared" si="35"/>
        <v>2.0202020202020332E-3</v>
      </c>
      <c r="BB116" s="4">
        <f t="shared" si="36"/>
        <v>3.9724361572760492E-2</v>
      </c>
      <c r="BC116" s="4">
        <f t="shared" si="37"/>
        <v>6.3316185199842057E-3</v>
      </c>
      <c r="BD116" s="4">
        <f t="shared" si="38"/>
        <v>1.2461059190031154E-2</v>
      </c>
      <c r="BE116" s="4">
        <f t="shared" si="39"/>
        <v>2.6995757809487042E-2</v>
      </c>
      <c r="BF116" s="4">
        <f t="shared" si="40"/>
        <v>5.7295645530939243E-3</v>
      </c>
      <c r="BG116" s="4">
        <f t="shared" si="41"/>
        <v>3.3745781777277939E-2</v>
      </c>
      <c r="BH116" s="4">
        <f t="shared" si="42"/>
        <v>2.6599568655643502E-2</v>
      </c>
      <c r="BI116" s="4">
        <f t="shared" si="43"/>
        <v>1.4414414414414378E-2</v>
      </c>
      <c r="BJ116" s="4">
        <f t="shared" si="44"/>
        <v>3.2798833819243089E-3</v>
      </c>
      <c r="BK116" s="4">
        <f t="shared" si="45"/>
        <v>9.1340884179759163E-3</v>
      </c>
      <c r="BL116" s="4">
        <f t="shared" si="46"/>
        <v>1.1891490152359685E-2</v>
      </c>
      <c r="BM116" s="4">
        <f t="shared" si="51"/>
        <v>1.6141414264867322E-2</v>
      </c>
      <c r="BN116" s="9">
        <f t="shared" si="52"/>
        <v>13672.182728933789</v>
      </c>
      <c r="BO116" s="10">
        <f t="shared" si="53"/>
        <v>13109.915654920642</v>
      </c>
      <c r="BP116">
        <v>13790</v>
      </c>
      <c r="BQ116">
        <v>13795</v>
      </c>
      <c r="BR116">
        <v>13785</v>
      </c>
      <c r="BS116">
        <v>13785</v>
      </c>
      <c r="BT116">
        <v>48380</v>
      </c>
      <c r="BU116" s="13">
        <f t="shared" si="47"/>
        <v>13788.333333333334</v>
      </c>
      <c r="BV116" s="13">
        <f t="shared" si="48"/>
        <v>667079566.66666675</v>
      </c>
      <c r="BW116" s="13">
        <f>SUM($BV$3:BV116)</f>
        <v>165107142703.33337</v>
      </c>
      <c r="BX116" s="13">
        <f>SUM($BT$3:BT116)</f>
        <v>12080796</v>
      </c>
      <c r="BY116" s="3">
        <f t="shared" si="49"/>
        <v>13666.909258573141</v>
      </c>
    </row>
    <row r="117" spans="1:77" x14ac:dyDescent="0.3">
      <c r="A117" s="3" t="s">
        <v>157</v>
      </c>
      <c r="B117" s="3">
        <v>11680</v>
      </c>
      <c r="C117" s="3">
        <v>11685</v>
      </c>
      <c r="D117" s="3">
        <v>11430</v>
      </c>
      <c r="E117" s="3">
        <v>11430</v>
      </c>
      <c r="F117" s="3">
        <v>11700</v>
      </c>
      <c r="G117" s="3">
        <v>11685</v>
      </c>
      <c r="H117" s="3">
        <v>11515</v>
      </c>
      <c r="I117" s="3">
        <v>11510</v>
      </c>
      <c r="J117" s="3">
        <v>11640</v>
      </c>
      <c r="K117" s="3">
        <v>11650</v>
      </c>
      <c r="L117" s="3">
        <v>12085</v>
      </c>
      <c r="M117" s="3">
        <v>12080</v>
      </c>
      <c r="N117" s="3">
        <v>12570</v>
      </c>
      <c r="O117" s="3">
        <v>12565</v>
      </c>
      <c r="P117" s="3">
        <v>12745</v>
      </c>
      <c r="Q117" s="3">
        <v>12745</v>
      </c>
      <c r="R117" s="3">
        <v>12470</v>
      </c>
      <c r="S117" s="3">
        <v>12445</v>
      </c>
      <c r="T117" s="3">
        <v>12410</v>
      </c>
      <c r="U117" s="3">
        <v>12410</v>
      </c>
      <c r="V117" s="3">
        <v>12830</v>
      </c>
      <c r="W117" s="3">
        <v>12830</v>
      </c>
      <c r="X117" s="3">
        <v>12560</v>
      </c>
      <c r="Y117" s="3">
        <v>12555</v>
      </c>
      <c r="Z117" s="3">
        <v>12680</v>
      </c>
      <c r="AA117" s="3">
        <v>12665</v>
      </c>
      <c r="AB117" s="3">
        <v>13315</v>
      </c>
      <c r="AC117" s="3">
        <v>13305</v>
      </c>
      <c r="AD117" s="3">
        <v>13160</v>
      </c>
      <c r="AE117" s="3">
        <v>13165</v>
      </c>
      <c r="AF117" s="3">
        <v>13785</v>
      </c>
      <c r="AG117" s="3">
        <v>13785</v>
      </c>
      <c r="AH117" s="3">
        <v>14280</v>
      </c>
      <c r="AI117" s="3">
        <v>14270</v>
      </c>
      <c r="AJ117" s="3">
        <v>13670</v>
      </c>
      <c r="AK117" s="3">
        <v>13665</v>
      </c>
      <c r="AL117" s="3">
        <v>13770</v>
      </c>
      <c r="AM117" s="3">
        <v>13770</v>
      </c>
      <c r="AN117" s="3">
        <v>13560</v>
      </c>
      <c r="AO117" s="3">
        <v>13545</v>
      </c>
      <c r="AP117" s="3">
        <v>13615</v>
      </c>
      <c r="AQ117" s="3">
        <v>13615</v>
      </c>
      <c r="AR117" s="4">
        <f t="shared" si="50"/>
        <v>1.3443191673894184E-2</v>
      </c>
      <c r="AS117" s="4">
        <f t="shared" si="27"/>
        <v>1.0389610389610393E-2</v>
      </c>
      <c r="AT117" s="4">
        <f t="shared" si="28"/>
        <v>2.8609154929577496E-2</v>
      </c>
      <c r="AU117" s="4">
        <f t="shared" si="29"/>
        <v>2.2920203735144362E-2</v>
      </c>
      <c r="AV117" s="4">
        <f t="shared" si="30"/>
        <v>3.4217279726261873E-3</v>
      </c>
      <c r="AW117" s="4">
        <f t="shared" si="31"/>
        <v>1.8549747048903775E-2</v>
      </c>
      <c r="AX117" s="4">
        <f t="shared" si="32"/>
        <v>3.7144036318613294E-2</v>
      </c>
      <c r="AY117" s="4">
        <f t="shared" si="33"/>
        <v>2.7386541471048353E-3</v>
      </c>
      <c r="AZ117" s="4">
        <f t="shared" si="34"/>
        <v>7.9713033080909268E-3</v>
      </c>
      <c r="BA117" s="4">
        <f t="shared" si="35"/>
        <v>2.8282828282828465E-3</v>
      </c>
      <c r="BB117" s="4">
        <f t="shared" si="36"/>
        <v>4.0129712201053991E-2</v>
      </c>
      <c r="BC117" s="4">
        <f t="shared" si="37"/>
        <v>6.3316185199842057E-3</v>
      </c>
      <c r="BD117" s="4">
        <f t="shared" si="38"/>
        <v>1.3629283489096533E-2</v>
      </c>
      <c r="BE117" s="4">
        <f t="shared" si="39"/>
        <v>2.6224450443501635E-2</v>
      </c>
      <c r="BF117" s="4">
        <f t="shared" si="40"/>
        <v>5.7295645530939243E-3</v>
      </c>
      <c r="BG117" s="4">
        <f t="shared" si="41"/>
        <v>3.3745781777277939E-2</v>
      </c>
      <c r="BH117" s="4">
        <f t="shared" si="42"/>
        <v>2.5880661394680038E-2</v>
      </c>
      <c r="BI117" s="4">
        <f t="shared" si="43"/>
        <v>1.5135135135135092E-2</v>
      </c>
      <c r="BJ117" s="4">
        <f t="shared" si="44"/>
        <v>3.6443148688045657E-3</v>
      </c>
      <c r="BK117" s="4">
        <f t="shared" si="45"/>
        <v>1.0230179028132946E-2</v>
      </c>
      <c r="BL117" s="4">
        <f t="shared" si="46"/>
        <v>1.1891490152359685E-2</v>
      </c>
      <c r="BM117" s="4">
        <f t="shared" si="51"/>
        <v>1.6186953563191744E-2</v>
      </c>
      <c r="BN117" s="9">
        <f t="shared" si="52"/>
        <v>13672.795460192745</v>
      </c>
      <c r="BO117" s="10">
        <f t="shared" si="53"/>
        <v>13109.30884377047</v>
      </c>
      <c r="BP117">
        <v>13785</v>
      </c>
      <c r="BQ117">
        <v>13795</v>
      </c>
      <c r="BR117">
        <v>13780</v>
      </c>
      <c r="BS117">
        <v>13785</v>
      </c>
      <c r="BT117">
        <v>7599</v>
      </c>
      <c r="BU117" s="13">
        <f t="shared" si="47"/>
        <v>13786.666666666666</v>
      </c>
      <c r="BV117" s="13">
        <f t="shared" si="48"/>
        <v>104764880</v>
      </c>
      <c r="BW117" s="13">
        <f>SUM($BV$3:BV117)</f>
        <v>165211907583.33337</v>
      </c>
      <c r="BX117" s="13">
        <f>SUM($BT$3:BT117)</f>
        <v>12088395</v>
      </c>
      <c r="BY117" s="3">
        <f t="shared" si="49"/>
        <v>13666.984540407007</v>
      </c>
    </row>
    <row r="118" spans="1:77" x14ac:dyDescent="0.3">
      <c r="A118" s="3" t="s">
        <v>158</v>
      </c>
      <c r="B118" s="3">
        <v>11685</v>
      </c>
      <c r="C118" s="3">
        <v>11655</v>
      </c>
      <c r="D118" s="3">
        <v>11430</v>
      </c>
      <c r="E118" s="3">
        <v>11445</v>
      </c>
      <c r="F118" s="3">
        <v>11680</v>
      </c>
      <c r="G118" s="3">
        <v>11690</v>
      </c>
      <c r="H118" s="3">
        <v>11515</v>
      </c>
      <c r="I118" s="3">
        <v>11520</v>
      </c>
      <c r="J118" s="3">
        <v>11645</v>
      </c>
      <c r="K118" s="3">
        <v>11650</v>
      </c>
      <c r="L118" s="3">
        <v>12080</v>
      </c>
      <c r="M118" s="3">
        <v>12070</v>
      </c>
      <c r="N118" s="3">
        <v>12565</v>
      </c>
      <c r="O118" s="3">
        <v>12565</v>
      </c>
      <c r="P118" s="3">
        <v>12745</v>
      </c>
      <c r="Q118" s="3">
        <v>12740</v>
      </c>
      <c r="R118" s="3">
        <v>12445</v>
      </c>
      <c r="S118" s="3">
        <v>12450</v>
      </c>
      <c r="T118" s="3">
        <v>12410</v>
      </c>
      <c r="U118" s="3">
        <v>12410</v>
      </c>
      <c r="V118" s="3">
        <v>12835</v>
      </c>
      <c r="W118" s="3">
        <v>12840</v>
      </c>
      <c r="X118" s="3">
        <v>12555</v>
      </c>
      <c r="Y118" s="3">
        <v>12545</v>
      </c>
      <c r="Z118" s="3">
        <v>12660</v>
      </c>
      <c r="AA118" s="3">
        <v>12635</v>
      </c>
      <c r="AB118" s="3">
        <v>13305</v>
      </c>
      <c r="AC118" s="3">
        <v>13300</v>
      </c>
      <c r="AD118" s="3">
        <v>13165</v>
      </c>
      <c r="AE118" s="3">
        <v>13170</v>
      </c>
      <c r="AF118" s="3">
        <v>13780</v>
      </c>
      <c r="AG118" s="3">
        <v>13790</v>
      </c>
      <c r="AH118" s="3">
        <v>14270</v>
      </c>
      <c r="AI118" s="3">
        <v>14270</v>
      </c>
      <c r="AJ118" s="3">
        <v>13660</v>
      </c>
      <c r="AK118" s="3">
        <v>13685</v>
      </c>
      <c r="AL118" s="3">
        <v>13770</v>
      </c>
      <c r="AM118" s="3">
        <v>13790</v>
      </c>
      <c r="AN118" s="3">
        <v>13545</v>
      </c>
      <c r="AO118" s="3">
        <v>13545</v>
      </c>
      <c r="AP118" s="3">
        <v>13610</v>
      </c>
      <c r="AQ118" s="3">
        <v>13600</v>
      </c>
      <c r="AR118" s="4">
        <f t="shared" si="50"/>
        <v>1.0841283607979202E-2</v>
      </c>
      <c r="AS118" s="4">
        <f t="shared" si="27"/>
        <v>9.0909090909090384E-3</v>
      </c>
      <c r="AT118" s="4">
        <f t="shared" si="28"/>
        <v>2.9049295774647987E-2</v>
      </c>
      <c r="AU118" s="4">
        <f t="shared" si="29"/>
        <v>2.2071307300509324E-2</v>
      </c>
      <c r="AV118" s="4">
        <f t="shared" si="30"/>
        <v>3.4217279726261873E-3</v>
      </c>
      <c r="AW118" s="4">
        <f t="shared" si="31"/>
        <v>1.7706576728499179E-2</v>
      </c>
      <c r="AX118" s="4">
        <f t="shared" si="32"/>
        <v>3.7144036318613294E-2</v>
      </c>
      <c r="AY118" s="4">
        <f t="shared" si="33"/>
        <v>3.129890453834161E-3</v>
      </c>
      <c r="AZ118" s="4">
        <f t="shared" si="34"/>
        <v>7.5727381426863305E-3</v>
      </c>
      <c r="BA118" s="4">
        <f t="shared" si="35"/>
        <v>2.8282828282828465E-3</v>
      </c>
      <c r="BB118" s="4">
        <f t="shared" si="36"/>
        <v>4.0940413457640767E-2</v>
      </c>
      <c r="BC118" s="4">
        <f t="shared" si="37"/>
        <v>7.1230708349822036E-3</v>
      </c>
      <c r="BD118" s="4">
        <f t="shared" si="38"/>
        <v>1.5965732087227402E-2</v>
      </c>
      <c r="BE118" s="4">
        <f t="shared" si="39"/>
        <v>2.5838796760509153E-2</v>
      </c>
      <c r="BF118" s="4">
        <f t="shared" si="40"/>
        <v>6.1115355233001267E-3</v>
      </c>
      <c r="BG118" s="4">
        <f t="shared" si="41"/>
        <v>3.4120734908136496E-2</v>
      </c>
      <c r="BH118" s="4">
        <f t="shared" si="42"/>
        <v>2.5880661394680038E-2</v>
      </c>
      <c r="BI118" s="4">
        <f t="shared" si="43"/>
        <v>1.3693693693693665E-2</v>
      </c>
      <c r="BJ118" s="4">
        <f t="shared" si="44"/>
        <v>5.1020408163264808E-3</v>
      </c>
      <c r="BK118" s="4">
        <f t="shared" si="45"/>
        <v>1.0230179028132946E-2</v>
      </c>
      <c r="BL118" s="4">
        <f t="shared" si="46"/>
        <v>1.0776662950575888E-2</v>
      </c>
      <c r="BM118" s="4">
        <f t="shared" si="51"/>
        <v>1.6285308091019142E-2</v>
      </c>
      <c r="BN118" s="9">
        <f t="shared" si="52"/>
        <v>13674.118820364663</v>
      </c>
      <c r="BO118" s="10">
        <f t="shared" si="53"/>
        <v>13107.99826968717</v>
      </c>
      <c r="BP118">
        <v>13780</v>
      </c>
      <c r="BQ118">
        <v>13790</v>
      </c>
      <c r="BR118">
        <v>13775</v>
      </c>
      <c r="BS118">
        <v>13790</v>
      </c>
      <c r="BT118">
        <v>20285</v>
      </c>
      <c r="BU118" s="13">
        <f t="shared" si="47"/>
        <v>13785</v>
      </c>
      <c r="BV118" s="13">
        <f t="shared" si="48"/>
        <v>279628725</v>
      </c>
      <c r="BW118" s="13">
        <f>SUM($BV$3:BV118)</f>
        <v>165491536308.33337</v>
      </c>
      <c r="BX118" s="13">
        <f>SUM($BT$3:BT118)</f>
        <v>12108680</v>
      </c>
      <c r="BY118" s="3">
        <f t="shared" si="49"/>
        <v>13667.182245160775</v>
      </c>
    </row>
    <row r="119" spans="1:77" x14ac:dyDescent="0.3">
      <c r="A119" s="3" t="s">
        <v>159</v>
      </c>
      <c r="B119" s="3">
        <v>11650</v>
      </c>
      <c r="C119" s="3">
        <v>11655</v>
      </c>
      <c r="D119" s="3">
        <v>11440</v>
      </c>
      <c r="E119" s="3">
        <v>11430</v>
      </c>
      <c r="F119" s="3">
        <v>11690</v>
      </c>
      <c r="G119" s="3">
        <v>11685</v>
      </c>
      <c r="H119" s="3">
        <v>11520</v>
      </c>
      <c r="I119" s="3">
        <v>11530</v>
      </c>
      <c r="J119" s="3">
        <v>11645</v>
      </c>
      <c r="K119" s="3">
        <v>11655</v>
      </c>
      <c r="L119" s="3">
        <v>12070</v>
      </c>
      <c r="M119" s="3">
        <v>12070</v>
      </c>
      <c r="N119" s="3">
        <v>12565</v>
      </c>
      <c r="O119" s="3">
        <v>12565</v>
      </c>
      <c r="P119" s="3">
        <v>12740</v>
      </c>
      <c r="Q119" s="3">
        <v>12740</v>
      </c>
      <c r="R119" s="3">
        <v>12455</v>
      </c>
      <c r="S119" s="3">
        <v>12445</v>
      </c>
      <c r="T119" s="3">
        <v>12415</v>
      </c>
      <c r="U119" s="3">
        <v>12420</v>
      </c>
      <c r="V119" s="3">
        <v>12840</v>
      </c>
      <c r="W119" s="3">
        <v>12835</v>
      </c>
      <c r="X119" s="3">
        <v>12545</v>
      </c>
      <c r="Y119" s="3">
        <v>12545</v>
      </c>
      <c r="Z119" s="3">
        <v>12640</v>
      </c>
      <c r="AA119" s="3">
        <v>12645</v>
      </c>
      <c r="AB119" s="3">
        <v>13300</v>
      </c>
      <c r="AC119" s="3">
        <v>13300</v>
      </c>
      <c r="AD119" s="3">
        <v>13165</v>
      </c>
      <c r="AE119" s="3">
        <v>13170</v>
      </c>
      <c r="AF119" s="3">
        <v>13785</v>
      </c>
      <c r="AG119" s="3">
        <v>13780</v>
      </c>
      <c r="AH119" s="3">
        <v>14270</v>
      </c>
      <c r="AI119" s="3">
        <v>14255</v>
      </c>
      <c r="AJ119" s="3">
        <v>13680</v>
      </c>
      <c r="AK119" s="3">
        <v>13680</v>
      </c>
      <c r="AL119" s="3">
        <v>13790</v>
      </c>
      <c r="AM119" s="3">
        <v>13775</v>
      </c>
      <c r="AN119" s="3">
        <v>13545</v>
      </c>
      <c r="AO119" s="3">
        <v>13545</v>
      </c>
      <c r="AP119" s="3">
        <v>13595</v>
      </c>
      <c r="AQ119" s="3">
        <v>13605</v>
      </c>
      <c r="AR119" s="4">
        <f t="shared" si="50"/>
        <v>1.0841283607979202E-2</v>
      </c>
      <c r="AS119" s="4">
        <f t="shared" si="27"/>
        <v>1.0389610389610393E-2</v>
      </c>
      <c r="AT119" s="4">
        <f t="shared" si="28"/>
        <v>2.8609154929577496E-2</v>
      </c>
      <c r="AU119" s="4">
        <f t="shared" si="29"/>
        <v>2.1222410865874397E-2</v>
      </c>
      <c r="AV119" s="4">
        <f t="shared" si="30"/>
        <v>2.9940119760478723E-3</v>
      </c>
      <c r="AW119" s="4">
        <f t="shared" si="31"/>
        <v>1.7706576728499179E-2</v>
      </c>
      <c r="AX119" s="4">
        <f t="shared" si="32"/>
        <v>3.7144036318613294E-2</v>
      </c>
      <c r="AY119" s="4">
        <f t="shared" si="33"/>
        <v>3.129890453834161E-3</v>
      </c>
      <c r="AZ119" s="4">
        <f t="shared" si="34"/>
        <v>7.9713033080909268E-3</v>
      </c>
      <c r="BA119" s="4">
        <f t="shared" si="35"/>
        <v>3.6363636363636598E-3</v>
      </c>
      <c r="BB119" s="4">
        <f t="shared" si="36"/>
        <v>4.053506282934749E-2</v>
      </c>
      <c r="BC119" s="4">
        <f t="shared" si="37"/>
        <v>7.1230708349822036E-3</v>
      </c>
      <c r="BD119" s="4">
        <f t="shared" si="38"/>
        <v>1.5186915887850483E-2</v>
      </c>
      <c r="BE119" s="4">
        <f t="shared" si="39"/>
        <v>2.5838796760509153E-2</v>
      </c>
      <c r="BF119" s="4">
        <f t="shared" si="40"/>
        <v>6.1115355233001267E-3</v>
      </c>
      <c r="BG119" s="4">
        <f t="shared" si="41"/>
        <v>3.3370828646419159E-2</v>
      </c>
      <c r="BH119" s="4">
        <f t="shared" si="42"/>
        <v>2.4802300503235175E-2</v>
      </c>
      <c r="BI119" s="4">
        <f t="shared" si="43"/>
        <v>1.4054054054054022E-2</v>
      </c>
      <c r="BJ119" s="4">
        <f t="shared" si="44"/>
        <v>4.0087463556850444E-3</v>
      </c>
      <c r="BK119" s="4">
        <f t="shared" si="45"/>
        <v>1.0230179028132946E-2</v>
      </c>
      <c r="BL119" s="4">
        <f t="shared" si="46"/>
        <v>1.1148272017837302E-2</v>
      </c>
      <c r="BM119" s="4">
        <f t="shared" si="51"/>
        <v>1.6257052888750061E-2</v>
      </c>
      <c r="BN119" s="9">
        <f t="shared" si="52"/>
        <v>13673.738646618131</v>
      </c>
      <c r="BO119" s="10">
        <f t="shared" si="53"/>
        <v>13108.374770257406</v>
      </c>
      <c r="BP119">
        <v>13785</v>
      </c>
      <c r="BQ119">
        <v>13785</v>
      </c>
      <c r="BR119">
        <v>13775</v>
      </c>
      <c r="BS119">
        <v>13780</v>
      </c>
      <c r="BT119">
        <v>10393</v>
      </c>
      <c r="BU119" s="13">
        <f t="shared" si="47"/>
        <v>13780</v>
      </c>
      <c r="BV119" s="13">
        <f t="shared" si="48"/>
        <v>143215540</v>
      </c>
      <c r="BW119" s="13">
        <f>SUM($BV$3:BV119)</f>
        <v>165634751848.33337</v>
      </c>
      <c r="BX119" s="13">
        <f>SUM($BT$3:BT119)</f>
        <v>12119073</v>
      </c>
      <c r="BY119" s="3">
        <f t="shared" si="49"/>
        <v>13667.278994716293</v>
      </c>
    </row>
    <row r="120" spans="1:77" x14ac:dyDescent="0.3">
      <c r="A120" s="3" t="s">
        <v>160</v>
      </c>
      <c r="B120" s="3">
        <v>11655</v>
      </c>
      <c r="C120" s="3">
        <v>11640</v>
      </c>
      <c r="D120" s="3">
        <v>11430</v>
      </c>
      <c r="E120" s="3">
        <v>11435</v>
      </c>
      <c r="F120" s="3">
        <v>11685</v>
      </c>
      <c r="G120" s="3">
        <v>11685</v>
      </c>
      <c r="H120" s="3">
        <v>11535</v>
      </c>
      <c r="I120" s="3">
        <v>11540</v>
      </c>
      <c r="J120" s="3">
        <v>11650</v>
      </c>
      <c r="K120" s="3">
        <v>11650</v>
      </c>
      <c r="L120" s="3">
        <v>12065</v>
      </c>
      <c r="M120" s="3">
        <v>12070</v>
      </c>
      <c r="N120" s="3">
        <v>12565</v>
      </c>
      <c r="O120" s="3">
        <v>12575</v>
      </c>
      <c r="P120" s="3">
        <v>12740</v>
      </c>
      <c r="Q120" s="3">
        <v>12750</v>
      </c>
      <c r="R120" s="3">
        <v>12445</v>
      </c>
      <c r="S120" s="3">
        <v>12465</v>
      </c>
      <c r="T120" s="3">
        <v>12415</v>
      </c>
      <c r="U120" s="3">
        <v>12405</v>
      </c>
      <c r="V120" s="3">
        <v>12835</v>
      </c>
      <c r="W120" s="3">
        <v>12830</v>
      </c>
      <c r="X120" s="3">
        <v>12545</v>
      </c>
      <c r="Y120" s="3">
        <v>12560</v>
      </c>
      <c r="Z120" s="3">
        <v>12640</v>
      </c>
      <c r="AA120" s="3">
        <v>12645</v>
      </c>
      <c r="AB120" s="3">
        <v>13300</v>
      </c>
      <c r="AC120" s="3">
        <v>13300</v>
      </c>
      <c r="AD120" s="3">
        <v>13170</v>
      </c>
      <c r="AE120" s="3">
        <v>13155</v>
      </c>
      <c r="AF120" s="3">
        <v>13775</v>
      </c>
      <c r="AG120" s="3">
        <v>13770</v>
      </c>
      <c r="AH120" s="3">
        <v>14255</v>
      </c>
      <c r="AI120" s="3">
        <v>14260</v>
      </c>
      <c r="AJ120" s="3">
        <v>13680</v>
      </c>
      <c r="AK120" s="3">
        <v>13675</v>
      </c>
      <c r="AL120" s="3">
        <v>13770</v>
      </c>
      <c r="AM120" s="3">
        <v>13770</v>
      </c>
      <c r="AN120" s="3">
        <v>13545</v>
      </c>
      <c r="AO120" s="3">
        <v>13555</v>
      </c>
      <c r="AP120" s="3">
        <v>13605</v>
      </c>
      <c r="AQ120" s="3">
        <v>13580</v>
      </c>
      <c r="AR120" s="4">
        <f t="shared" si="50"/>
        <v>9.5403295750216E-3</v>
      </c>
      <c r="AS120" s="4">
        <f t="shared" si="27"/>
        <v>9.9567099567099415E-3</v>
      </c>
      <c r="AT120" s="4">
        <f t="shared" si="28"/>
        <v>2.8609154929577496E-2</v>
      </c>
      <c r="AU120" s="4">
        <f t="shared" si="29"/>
        <v>2.0373514431239359E-2</v>
      </c>
      <c r="AV120" s="4">
        <f t="shared" si="30"/>
        <v>3.4217279726261873E-3</v>
      </c>
      <c r="AW120" s="4">
        <f t="shared" si="31"/>
        <v>1.7706576728499179E-2</v>
      </c>
      <c r="AX120" s="4">
        <f t="shared" si="32"/>
        <v>3.7969459347915846E-2</v>
      </c>
      <c r="AY120" s="4">
        <f t="shared" si="33"/>
        <v>2.3474178403756207E-3</v>
      </c>
      <c r="AZ120" s="4">
        <f t="shared" si="34"/>
        <v>6.3770426464726526E-3</v>
      </c>
      <c r="BA120" s="4">
        <f t="shared" si="35"/>
        <v>2.4242424242424399E-3</v>
      </c>
      <c r="BB120" s="4">
        <f t="shared" si="36"/>
        <v>4.0129712201053991E-2</v>
      </c>
      <c r="BC120" s="4">
        <f t="shared" si="37"/>
        <v>5.9358923624851512E-3</v>
      </c>
      <c r="BD120" s="4">
        <f t="shared" si="38"/>
        <v>1.5186915887850483E-2</v>
      </c>
      <c r="BE120" s="4">
        <f t="shared" si="39"/>
        <v>2.5838796760509153E-2</v>
      </c>
      <c r="BF120" s="4">
        <f t="shared" si="40"/>
        <v>4.9656226126815195E-3</v>
      </c>
      <c r="BG120" s="4">
        <f t="shared" si="41"/>
        <v>3.2620922384701823E-2</v>
      </c>
      <c r="BH120" s="4">
        <f t="shared" si="42"/>
        <v>2.5161754133716796E-2</v>
      </c>
      <c r="BI120" s="4">
        <f t="shared" si="43"/>
        <v>1.4414414414414378E-2</v>
      </c>
      <c r="BJ120" s="4">
        <f t="shared" si="44"/>
        <v>3.6443148688045657E-3</v>
      </c>
      <c r="BK120" s="4">
        <f t="shared" si="45"/>
        <v>9.4994519546949263E-3</v>
      </c>
      <c r="BL120" s="4">
        <f t="shared" si="46"/>
        <v>9.2902266815311219E-3</v>
      </c>
      <c r="BM120" s="4">
        <f t="shared" si="51"/>
        <v>1.5803056150159929E-2</v>
      </c>
      <c r="BN120" s="9">
        <f t="shared" si="52"/>
        <v>13667.6301205004</v>
      </c>
      <c r="BO120" s="10">
        <f t="shared" si="53"/>
        <v>13114.424276799118</v>
      </c>
      <c r="BP120">
        <v>13775</v>
      </c>
      <c r="BQ120">
        <v>13780</v>
      </c>
      <c r="BR120">
        <v>13770</v>
      </c>
      <c r="BS120">
        <v>13770</v>
      </c>
      <c r="BT120">
        <v>18244</v>
      </c>
      <c r="BU120" s="13">
        <f t="shared" si="47"/>
        <v>13773.333333333334</v>
      </c>
      <c r="BV120" s="13">
        <f t="shared" si="48"/>
        <v>251280693.33333334</v>
      </c>
      <c r="BW120" s="13">
        <f>SUM($BV$3:BV120)</f>
        <v>165886032541.66672</v>
      </c>
      <c r="BX120" s="13">
        <f>SUM($BT$3:BT120)</f>
        <v>12137317</v>
      </c>
      <c r="BY120" s="3">
        <f t="shared" si="49"/>
        <v>13667.438408477485</v>
      </c>
    </row>
    <row r="121" spans="1:77" x14ac:dyDescent="0.3">
      <c r="A121" s="3" t="s">
        <v>161</v>
      </c>
      <c r="B121" s="3">
        <v>11640</v>
      </c>
      <c r="C121" s="3">
        <v>11655</v>
      </c>
      <c r="D121" s="3">
        <v>11430</v>
      </c>
      <c r="E121" s="3">
        <v>11440</v>
      </c>
      <c r="F121" s="3">
        <v>11685</v>
      </c>
      <c r="G121" s="3">
        <v>11690</v>
      </c>
      <c r="H121" s="3">
        <v>11540</v>
      </c>
      <c r="I121" s="3">
        <v>11535</v>
      </c>
      <c r="J121" s="3">
        <v>11650</v>
      </c>
      <c r="K121" s="3">
        <v>11660</v>
      </c>
      <c r="L121" s="3">
        <v>12070</v>
      </c>
      <c r="M121" s="3">
        <v>12060</v>
      </c>
      <c r="N121" s="3">
        <v>12580</v>
      </c>
      <c r="O121" s="3">
        <v>12575</v>
      </c>
      <c r="P121" s="3">
        <v>12750</v>
      </c>
      <c r="Q121" s="3">
        <v>12755</v>
      </c>
      <c r="R121" s="3">
        <v>12460</v>
      </c>
      <c r="S121" s="3">
        <v>12465</v>
      </c>
      <c r="T121" s="3">
        <v>12405</v>
      </c>
      <c r="U121" s="3">
        <v>12420</v>
      </c>
      <c r="V121" s="3">
        <v>12830</v>
      </c>
      <c r="W121" s="3">
        <v>12825</v>
      </c>
      <c r="X121" s="3">
        <v>12560</v>
      </c>
      <c r="Y121" s="3">
        <v>12565</v>
      </c>
      <c r="Z121" s="3">
        <v>12645</v>
      </c>
      <c r="AA121" s="3">
        <v>12640</v>
      </c>
      <c r="AB121" s="3">
        <v>13305</v>
      </c>
      <c r="AC121" s="3">
        <v>13295</v>
      </c>
      <c r="AD121" s="3">
        <v>13155</v>
      </c>
      <c r="AE121" s="3">
        <v>13165</v>
      </c>
      <c r="AF121" s="3">
        <v>13770</v>
      </c>
      <c r="AG121" s="3">
        <v>13785</v>
      </c>
      <c r="AH121" s="3">
        <v>14255</v>
      </c>
      <c r="AI121" s="3">
        <v>14245</v>
      </c>
      <c r="AJ121" s="3">
        <v>13675</v>
      </c>
      <c r="AK121" s="3">
        <v>13660</v>
      </c>
      <c r="AL121" s="3">
        <v>13770</v>
      </c>
      <c r="AM121" s="3">
        <v>13750</v>
      </c>
      <c r="AN121" s="3">
        <v>13555</v>
      </c>
      <c r="AO121" s="3">
        <v>13535</v>
      </c>
      <c r="AP121" s="3">
        <v>13580</v>
      </c>
      <c r="AQ121" s="3">
        <v>13585</v>
      </c>
      <c r="AR121" s="4">
        <f t="shared" si="50"/>
        <v>1.0841283607979202E-2</v>
      </c>
      <c r="AS121" s="4">
        <f t="shared" si="27"/>
        <v>9.52380952380949E-3</v>
      </c>
      <c r="AT121" s="4">
        <f t="shared" si="28"/>
        <v>2.9049295774647987E-2</v>
      </c>
      <c r="AU121" s="4">
        <f t="shared" si="29"/>
        <v>2.0797962648556823E-2</v>
      </c>
      <c r="AV121" s="4">
        <f t="shared" si="30"/>
        <v>2.5662959794696683E-3</v>
      </c>
      <c r="AW121" s="4">
        <f t="shared" si="31"/>
        <v>1.6863406408094361E-2</v>
      </c>
      <c r="AX121" s="4">
        <f t="shared" si="32"/>
        <v>3.7969459347915846E-2</v>
      </c>
      <c r="AY121" s="4">
        <f t="shared" si="33"/>
        <v>1.9561815336462951E-3</v>
      </c>
      <c r="AZ121" s="4">
        <f t="shared" si="34"/>
        <v>6.3770426464726526E-3</v>
      </c>
      <c r="BA121" s="4">
        <f t="shared" si="35"/>
        <v>3.6363636363636598E-3</v>
      </c>
      <c r="BB121" s="4">
        <f t="shared" si="36"/>
        <v>3.9724361572760492E-2</v>
      </c>
      <c r="BC121" s="4">
        <f t="shared" si="37"/>
        <v>5.5401662049860967E-3</v>
      </c>
      <c r="BD121" s="4">
        <f t="shared" si="38"/>
        <v>1.5576323987538943E-2</v>
      </c>
      <c r="BE121" s="4">
        <f t="shared" si="39"/>
        <v>2.5453143077516449E-2</v>
      </c>
      <c r="BF121" s="4">
        <f t="shared" si="40"/>
        <v>5.7295645530939243E-3</v>
      </c>
      <c r="BG121" s="4">
        <f t="shared" si="41"/>
        <v>3.3745781777277939E-2</v>
      </c>
      <c r="BH121" s="4">
        <f t="shared" si="42"/>
        <v>2.4083393242271711E-2</v>
      </c>
      <c r="BI121" s="4">
        <f t="shared" si="43"/>
        <v>1.5495495495495448E-2</v>
      </c>
      <c r="BJ121" s="4">
        <f t="shared" si="44"/>
        <v>2.1865889212828726E-3</v>
      </c>
      <c r="BK121" s="4">
        <f t="shared" si="45"/>
        <v>1.0960906101571077E-2</v>
      </c>
      <c r="BL121" s="4">
        <f t="shared" si="46"/>
        <v>9.6618357487923134E-3</v>
      </c>
      <c r="BM121" s="4">
        <f t="shared" si="51"/>
        <v>1.5768812635348049E-2</v>
      </c>
      <c r="BN121" s="9">
        <f t="shared" si="52"/>
        <v>13667.169374008608</v>
      </c>
      <c r="BO121" s="10">
        <f t="shared" si="53"/>
        <v>13114.880571633988</v>
      </c>
      <c r="BP121">
        <v>13770</v>
      </c>
      <c r="BQ121">
        <v>13790</v>
      </c>
      <c r="BR121">
        <v>13765</v>
      </c>
      <c r="BS121">
        <v>13785</v>
      </c>
      <c r="BT121">
        <v>42897</v>
      </c>
      <c r="BU121" s="13">
        <f t="shared" si="47"/>
        <v>13780</v>
      </c>
      <c r="BV121" s="13">
        <f t="shared" si="48"/>
        <v>591120660</v>
      </c>
      <c r="BW121" s="13">
        <f>SUM($BV$3:BV121)</f>
        <v>166477153201.66672</v>
      </c>
      <c r="BX121" s="13">
        <f>SUM($BT$3:BT121)</f>
        <v>12180214</v>
      </c>
      <c r="BY121" s="3">
        <f t="shared" si="49"/>
        <v>13667.834834565856</v>
      </c>
    </row>
    <row r="122" spans="1:77" x14ac:dyDescent="0.3">
      <c r="A122" s="3" t="s">
        <v>162</v>
      </c>
      <c r="B122" s="3">
        <v>11655</v>
      </c>
      <c r="C122" s="3">
        <v>11650</v>
      </c>
      <c r="D122" s="3">
        <v>11445</v>
      </c>
      <c r="E122" s="3">
        <v>11450</v>
      </c>
      <c r="F122" s="3">
        <v>11680</v>
      </c>
      <c r="G122" s="3">
        <v>11685</v>
      </c>
      <c r="H122" s="3">
        <v>11540</v>
      </c>
      <c r="I122" s="3">
        <v>11530</v>
      </c>
      <c r="J122" s="3">
        <v>11660</v>
      </c>
      <c r="K122" s="3">
        <v>11660</v>
      </c>
      <c r="L122" s="3">
        <v>12060</v>
      </c>
      <c r="M122" s="3">
        <v>12045</v>
      </c>
      <c r="N122" s="3">
        <v>12575</v>
      </c>
      <c r="O122" s="3">
        <v>12575</v>
      </c>
      <c r="P122" s="3">
        <v>12755</v>
      </c>
      <c r="Q122" s="3">
        <v>12750</v>
      </c>
      <c r="R122" s="3">
        <v>12465</v>
      </c>
      <c r="S122" s="3">
        <v>12450</v>
      </c>
      <c r="T122" s="3">
        <v>12415</v>
      </c>
      <c r="U122" s="3">
        <v>12425</v>
      </c>
      <c r="V122" s="3">
        <v>12820</v>
      </c>
      <c r="W122" s="3">
        <v>12810</v>
      </c>
      <c r="X122" s="3">
        <v>12565</v>
      </c>
      <c r="Y122" s="3">
        <v>12555</v>
      </c>
      <c r="Z122" s="3">
        <v>12635</v>
      </c>
      <c r="AA122" s="3">
        <v>12620</v>
      </c>
      <c r="AB122" s="3">
        <v>13295</v>
      </c>
      <c r="AC122" s="3">
        <v>13300</v>
      </c>
      <c r="AD122" s="3">
        <v>13165</v>
      </c>
      <c r="AE122" s="3">
        <v>13160</v>
      </c>
      <c r="AF122" s="3">
        <v>13785</v>
      </c>
      <c r="AG122" s="3">
        <v>13790</v>
      </c>
      <c r="AH122" s="3">
        <v>14245</v>
      </c>
      <c r="AI122" s="3">
        <v>14235</v>
      </c>
      <c r="AJ122" s="3">
        <v>13660</v>
      </c>
      <c r="AK122" s="3">
        <v>13655</v>
      </c>
      <c r="AL122" s="3">
        <v>13760</v>
      </c>
      <c r="AM122" s="3">
        <v>13770</v>
      </c>
      <c r="AN122" s="3">
        <v>13530</v>
      </c>
      <c r="AO122" s="3">
        <v>13540</v>
      </c>
      <c r="AP122" s="3">
        <v>13585</v>
      </c>
      <c r="AQ122" s="3">
        <v>13570</v>
      </c>
      <c r="AR122" s="4">
        <f t="shared" si="50"/>
        <v>1.0407632263659927E-2</v>
      </c>
      <c r="AS122" s="4">
        <f t="shared" si="27"/>
        <v>8.6580086580086979E-3</v>
      </c>
      <c r="AT122" s="4">
        <f t="shared" si="28"/>
        <v>2.8609154929577496E-2</v>
      </c>
      <c r="AU122" s="4">
        <f t="shared" si="29"/>
        <v>2.1222410865874397E-2</v>
      </c>
      <c r="AV122" s="4">
        <f t="shared" si="30"/>
        <v>2.5662959794696683E-3</v>
      </c>
      <c r="AW122" s="4">
        <f t="shared" si="31"/>
        <v>1.5598650927487245E-2</v>
      </c>
      <c r="AX122" s="4">
        <f t="shared" si="32"/>
        <v>3.7969459347915846E-2</v>
      </c>
      <c r="AY122" s="4">
        <f t="shared" si="33"/>
        <v>2.3474178403756207E-3</v>
      </c>
      <c r="AZ122" s="4">
        <f t="shared" si="34"/>
        <v>7.5727381426863305E-3</v>
      </c>
      <c r="BA122" s="4">
        <f t="shared" si="35"/>
        <v>4.0404040404040664E-3</v>
      </c>
      <c r="BB122" s="4">
        <f t="shared" si="36"/>
        <v>3.8508309687879994E-2</v>
      </c>
      <c r="BC122" s="4">
        <f t="shared" si="37"/>
        <v>6.3316185199842057E-3</v>
      </c>
      <c r="BD122" s="4">
        <f t="shared" si="38"/>
        <v>1.7133956386292781E-2</v>
      </c>
      <c r="BE122" s="4">
        <f t="shared" si="39"/>
        <v>2.5838796760509153E-2</v>
      </c>
      <c r="BF122" s="4">
        <f t="shared" si="40"/>
        <v>5.3475935828877219E-3</v>
      </c>
      <c r="BG122" s="4">
        <f t="shared" si="41"/>
        <v>3.4120734908136496E-2</v>
      </c>
      <c r="BH122" s="4">
        <f t="shared" si="42"/>
        <v>2.3364485981308469E-2</v>
      </c>
      <c r="BI122" s="4">
        <f t="shared" si="43"/>
        <v>1.5855855855855805E-2</v>
      </c>
      <c r="BJ122" s="4">
        <f t="shared" si="44"/>
        <v>3.6443148688045657E-3</v>
      </c>
      <c r="BK122" s="4">
        <f t="shared" si="45"/>
        <v>1.0595542564852067E-2</v>
      </c>
      <c r="BL122" s="4">
        <f t="shared" si="46"/>
        <v>8.5470085470085166E-3</v>
      </c>
      <c r="BM122" s="4">
        <f t="shared" si="51"/>
        <v>1.5838915404953802E-2</v>
      </c>
      <c r="BN122" s="9">
        <f t="shared" si="52"/>
        <v>13668.112606773655</v>
      </c>
      <c r="BO122" s="10">
        <f t="shared" si="53"/>
        <v>13113.946452228989</v>
      </c>
      <c r="BP122">
        <v>13785</v>
      </c>
      <c r="BQ122">
        <v>13790</v>
      </c>
      <c r="BR122">
        <v>13780</v>
      </c>
      <c r="BS122">
        <v>13790</v>
      </c>
      <c r="BT122">
        <v>20050</v>
      </c>
      <c r="BU122" s="13">
        <f t="shared" si="47"/>
        <v>13786.666666666666</v>
      </c>
      <c r="BV122" s="13">
        <f t="shared" si="48"/>
        <v>276422666.66666663</v>
      </c>
      <c r="BW122" s="13">
        <f>SUM($BV$3:BV122)</f>
        <v>166753575868.33337</v>
      </c>
      <c r="BX122" s="13">
        <f>SUM($BT$3:BT122)</f>
        <v>12200264</v>
      </c>
      <c r="BY122" s="3">
        <f t="shared" si="49"/>
        <v>13668.030123637765</v>
      </c>
    </row>
    <row r="123" spans="1:77" x14ac:dyDescent="0.3">
      <c r="A123" s="3" t="s">
        <v>163</v>
      </c>
      <c r="B123" s="3">
        <v>11645</v>
      </c>
      <c r="C123" s="3">
        <v>11635</v>
      </c>
      <c r="D123" s="3">
        <v>11450</v>
      </c>
      <c r="E123" s="3">
        <v>11440</v>
      </c>
      <c r="F123" s="3">
        <v>11685</v>
      </c>
      <c r="G123" s="3">
        <v>11695</v>
      </c>
      <c r="H123" s="3">
        <v>11530</v>
      </c>
      <c r="I123" s="3">
        <v>11545</v>
      </c>
      <c r="J123" s="3">
        <v>11660</v>
      </c>
      <c r="K123" s="3">
        <v>11670</v>
      </c>
      <c r="L123" s="3">
        <v>12045</v>
      </c>
      <c r="M123" s="3">
        <v>12025</v>
      </c>
      <c r="N123" s="3">
        <v>12575</v>
      </c>
      <c r="O123" s="3">
        <v>12575</v>
      </c>
      <c r="P123" s="3">
        <v>12750</v>
      </c>
      <c r="Q123" s="3">
        <v>12755</v>
      </c>
      <c r="R123" s="3">
        <v>12450</v>
      </c>
      <c r="S123" s="3">
        <v>12470</v>
      </c>
      <c r="T123" s="3">
        <v>12420</v>
      </c>
      <c r="U123" s="3">
        <v>12410</v>
      </c>
      <c r="V123" s="3">
        <v>12815</v>
      </c>
      <c r="W123" s="3">
        <v>12815</v>
      </c>
      <c r="X123" s="3">
        <v>12555</v>
      </c>
      <c r="Y123" s="3">
        <v>12560</v>
      </c>
      <c r="Z123" s="3">
        <v>12620</v>
      </c>
      <c r="AA123" s="3">
        <v>12605</v>
      </c>
      <c r="AB123" s="3">
        <v>13295</v>
      </c>
      <c r="AC123" s="3">
        <v>13280</v>
      </c>
      <c r="AD123" s="3">
        <v>13160</v>
      </c>
      <c r="AE123" s="3">
        <v>13170</v>
      </c>
      <c r="AF123" s="3">
        <v>13790</v>
      </c>
      <c r="AG123" s="3">
        <v>13785</v>
      </c>
      <c r="AH123" s="3">
        <v>14235</v>
      </c>
      <c r="AI123" s="3">
        <v>14245</v>
      </c>
      <c r="AJ123" s="3">
        <v>13655</v>
      </c>
      <c r="AK123" s="3">
        <v>13615</v>
      </c>
      <c r="AL123" s="3">
        <v>13775</v>
      </c>
      <c r="AM123" s="3">
        <v>13770</v>
      </c>
      <c r="AN123" s="3">
        <v>13535</v>
      </c>
      <c r="AO123" s="3">
        <v>13535</v>
      </c>
      <c r="AP123" s="3">
        <v>13565</v>
      </c>
      <c r="AQ123" s="3">
        <v>13485</v>
      </c>
      <c r="AR123" s="4">
        <f t="shared" si="50"/>
        <v>9.1066782307025473E-3</v>
      </c>
      <c r="AS123" s="4">
        <f t="shared" si="27"/>
        <v>9.52380952380949E-3</v>
      </c>
      <c r="AT123" s="4">
        <f t="shared" si="28"/>
        <v>2.9489436619718257E-2</v>
      </c>
      <c r="AU123" s="4">
        <f t="shared" si="29"/>
        <v>1.9949066213921895E-2</v>
      </c>
      <c r="AV123" s="4">
        <f t="shared" si="30"/>
        <v>1.7108639863130382E-3</v>
      </c>
      <c r="AW123" s="4">
        <f t="shared" si="31"/>
        <v>1.3912310286677831E-2</v>
      </c>
      <c r="AX123" s="4">
        <f t="shared" si="32"/>
        <v>3.7969459347915846E-2</v>
      </c>
      <c r="AY123" s="4">
        <f t="shared" si="33"/>
        <v>1.9561815336462951E-3</v>
      </c>
      <c r="AZ123" s="4">
        <f t="shared" si="34"/>
        <v>5.9784774810681673E-3</v>
      </c>
      <c r="BA123" s="4">
        <f t="shared" si="35"/>
        <v>2.8282828282828465E-3</v>
      </c>
      <c r="BB123" s="4">
        <f t="shared" si="36"/>
        <v>3.8913660316173493E-2</v>
      </c>
      <c r="BC123" s="4">
        <f t="shared" si="37"/>
        <v>5.9358923624851512E-3</v>
      </c>
      <c r="BD123" s="4">
        <f t="shared" si="38"/>
        <v>1.8302180685358271E-2</v>
      </c>
      <c r="BE123" s="4">
        <f t="shared" si="39"/>
        <v>2.4296182028538338E-2</v>
      </c>
      <c r="BF123" s="4">
        <f t="shared" si="40"/>
        <v>6.1115355233001267E-3</v>
      </c>
      <c r="BG123" s="4">
        <f t="shared" si="41"/>
        <v>3.3745781777277939E-2</v>
      </c>
      <c r="BH123" s="4">
        <f t="shared" si="42"/>
        <v>2.4083393242271711E-2</v>
      </c>
      <c r="BI123" s="4">
        <f t="shared" si="43"/>
        <v>1.8738738738738769E-2</v>
      </c>
      <c r="BJ123" s="4">
        <f t="shared" si="44"/>
        <v>3.6443148688045657E-3</v>
      </c>
      <c r="BK123" s="4">
        <f t="shared" si="45"/>
        <v>1.0960906101571077E-2</v>
      </c>
      <c r="BL123" s="4">
        <f t="shared" si="46"/>
        <v>2.2296544035673715E-3</v>
      </c>
      <c r="BM123" s="4">
        <f t="shared" si="51"/>
        <v>1.5491238481229217E-2</v>
      </c>
      <c r="BN123" s="9">
        <f t="shared" si="52"/>
        <v>13663.434613764937</v>
      </c>
      <c r="BO123" s="10">
        <f t="shared" si="53"/>
        <v>13118.57924723762</v>
      </c>
      <c r="BP123">
        <v>13790</v>
      </c>
      <c r="BQ123">
        <v>13795</v>
      </c>
      <c r="BR123">
        <v>13775</v>
      </c>
      <c r="BS123">
        <v>13785</v>
      </c>
      <c r="BT123">
        <v>40071</v>
      </c>
      <c r="BU123" s="13">
        <f t="shared" si="47"/>
        <v>13785</v>
      </c>
      <c r="BV123" s="13">
        <f t="shared" si="48"/>
        <v>552378735</v>
      </c>
      <c r="BW123" s="13">
        <f>SUM($BV$3:BV123)</f>
        <v>167305954603.33337</v>
      </c>
      <c r="BX123" s="13">
        <f>SUM($BT$3:BT123)</f>
        <v>12240335</v>
      </c>
      <c r="BY123" s="3">
        <f t="shared" si="49"/>
        <v>13668.4130461571</v>
      </c>
    </row>
    <row r="124" spans="1:77" x14ac:dyDescent="0.3">
      <c r="A124" s="3" t="s">
        <v>164</v>
      </c>
      <c r="B124" s="3">
        <v>11640</v>
      </c>
      <c r="C124" s="3">
        <v>11650</v>
      </c>
      <c r="D124" s="3">
        <v>11445</v>
      </c>
      <c r="E124" s="3">
        <v>11440</v>
      </c>
      <c r="F124" s="3">
        <v>11690</v>
      </c>
      <c r="G124" s="3">
        <v>11705</v>
      </c>
      <c r="H124" s="3">
        <v>11540</v>
      </c>
      <c r="I124" s="3">
        <v>11550</v>
      </c>
      <c r="J124" s="3">
        <v>11670</v>
      </c>
      <c r="K124" s="3">
        <v>11675</v>
      </c>
      <c r="L124" s="3">
        <v>12025</v>
      </c>
      <c r="M124" s="3">
        <v>12000</v>
      </c>
      <c r="N124" s="3">
        <v>12580</v>
      </c>
      <c r="O124" s="3">
        <v>12570</v>
      </c>
      <c r="P124" s="3">
        <v>12760</v>
      </c>
      <c r="Q124" s="3">
        <v>12765</v>
      </c>
      <c r="R124" s="3">
        <v>12470</v>
      </c>
      <c r="S124" s="3">
        <v>12465</v>
      </c>
      <c r="T124" s="3">
        <v>12410</v>
      </c>
      <c r="U124" s="3">
        <v>12410</v>
      </c>
      <c r="V124" s="3">
        <v>12815</v>
      </c>
      <c r="W124" s="3">
        <v>12815</v>
      </c>
      <c r="X124" s="3">
        <v>12555</v>
      </c>
      <c r="Y124" s="3">
        <v>12555</v>
      </c>
      <c r="Z124" s="3">
        <v>12600</v>
      </c>
      <c r="AA124" s="3">
        <v>12615</v>
      </c>
      <c r="AB124" s="3">
        <v>13285</v>
      </c>
      <c r="AC124" s="3">
        <v>13295</v>
      </c>
      <c r="AD124" s="3">
        <v>13170</v>
      </c>
      <c r="AE124" s="3">
        <v>13170</v>
      </c>
      <c r="AF124" s="3">
        <v>13785</v>
      </c>
      <c r="AG124" s="3">
        <v>13795</v>
      </c>
      <c r="AH124" s="3">
        <v>14250</v>
      </c>
      <c r="AI124" s="3">
        <v>14245</v>
      </c>
      <c r="AJ124" s="3">
        <v>13615</v>
      </c>
      <c r="AK124" s="3">
        <v>13590</v>
      </c>
      <c r="AL124" s="3">
        <v>13765</v>
      </c>
      <c r="AM124" s="3">
        <v>13770</v>
      </c>
      <c r="AN124" s="3">
        <v>13535</v>
      </c>
      <c r="AO124" s="3">
        <v>13525</v>
      </c>
      <c r="AP124" s="3">
        <v>13485</v>
      </c>
      <c r="AQ124" s="3">
        <v>13490</v>
      </c>
      <c r="AR124" s="4">
        <f t="shared" si="50"/>
        <v>1.0407632263659927E-2</v>
      </c>
      <c r="AS124" s="4">
        <f t="shared" si="27"/>
        <v>9.52380952380949E-3</v>
      </c>
      <c r="AT124" s="4">
        <f t="shared" si="28"/>
        <v>3.0369718309859239E-2</v>
      </c>
      <c r="AU124" s="4">
        <f t="shared" si="29"/>
        <v>1.9524617996604432E-2</v>
      </c>
      <c r="AV124" s="4">
        <f t="shared" si="30"/>
        <v>1.2831479897348341E-3</v>
      </c>
      <c r="AW124" s="4">
        <f t="shared" si="31"/>
        <v>1.180438448566612E-2</v>
      </c>
      <c r="AX124" s="4">
        <f t="shared" si="32"/>
        <v>3.755674783326457E-2</v>
      </c>
      <c r="AY124" s="4">
        <f t="shared" si="33"/>
        <v>1.1737089201877549E-3</v>
      </c>
      <c r="AZ124" s="4">
        <f t="shared" si="34"/>
        <v>6.3770426464726526E-3</v>
      </c>
      <c r="BA124" s="4">
        <f t="shared" si="35"/>
        <v>2.8282828282828465E-3</v>
      </c>
      <c r="BB124" s="4">
        <f t="shared" si="36"/>
        <v>3.8913660316173493E-2</v>
      </c>
      <c r="BC124" s="4">
        <f t="shared" si="37"/>
        <v>6.3316185199842057E-3</v>
      </c>
      <c r="BD124" s="4">
        <f t="shared" si="38"/>
        <v>1.7523364485981352E-2</v>
      </c>
      <c r="BE124" s="4">
        <f t="shared" si="39"/>
        <v>2.5453143077516449E-2</v>
      </c>
      <c r="BF124" s="4">
        <f t="shared" si="40"/>
        <v>6.1115355233001267E-3</v>
      </c>
      <c r="BG124" s="4">
        <f t="shared" si="41"/>
        <v>3.4495688038995054E-2</v>
      </c>
      <c r="BH124" s="4">
        <f t="shared" si="42"/>
        <v>2.4083393242271711E-2</v>
      </c>
      <c r="BI124" s="4">
        <f t="shared" si="43"/>
        <v>2.0540540540540553E-2</v>
      </c>
      <c r="BJ124" s="4">
        <f t="shared" si="44"/>
        <v>3.6443148688045657E-3</v>
      </c>
      <c r="BK124" s="4">
        <f t="shared" si="45"/>
        <v>1.1691633175009097E-2</v>
      </c>
      <c r="BL124" s="4">
        <f t="shared" si="46"/>
        <v>2.6012634708287852E-3</v>
      </c>
      <c r="BM124" s="4">
        <f t="shared" si="51"/>
        <v>1.5341055889774111E-2</v>
      </c>
      <c r="BN124" s="9">
        <f t="shared" si="52"/>
        <v>13661.413906996911</v>
      </c>
      <c r="BO124" s="10">
        <f t="shared" si="53"/>
        <v>13120.580430268761</v>
      </c>
      <c r="BP124">
        <v>13785</v>
      </c>
      <c r="BQ124">
        <v>13805</v>
      </c>
      <c r="BR124">
        <v>13785</v>
      </c>
      <c r="BS124">
        <v>13795</v>
      </c>
      <c r="BT124">
        <v>23946</v>
      </c>
      <c r="BU124" s="13">
        <f t="shared" si="47"/>
        <v>13795</v>
      </c>
      <c r="BV124" s="13">
        <f t="shared" si="48"/>
        <v>330335070</v>
      </c>
      <c r="BW124" s="13">
        <f>SUM($BV$3:BV124)</f>
        <v>167636289673.33337</v>
      </c>
      <c r="BX124" s="13">
        <f>SUM($BT$3:BT124)</f>
        <v>12264281</v>
      </c>
      <c r="BY124" s="3">
        <f t="shared" si="49"/>
        <v>13668.660207095172</v>
      </c>
    </row>
    <row r="125" spans="1:77" x14ac:dyDescent="0.3">
      <c r="A125" s="3" t="s">
        <v>165</v>
      </c>
      <c r="B125" s="3">
        <v>11650</v>
      </c>
      <c r="C125" s="3">
        <v>11655</v>
      </c>
      <c r="D125" s="3">
        <v>11440</v>
      </c>
      <c r="E125" s="3">
        <v>11445</v>
      </c>
      <c r="F125" s="3">
        <v>11710</v>
      </c>
      <c r="G125" s="3">
        <v>11720</v>
      </c>
      <c r="H125" s="3">
        <v>11550</v>
      </c>
      <c r="I125" s="3">
        <v>11550</v>
      </c>
      <c r="J125" s="3">
        <v>11675</v>
      </c>
      <c r="K125" s="3">
        <v>11675</v>
      </c>
      <c r="L125" s="3">
        <v>11995</v>
      </c>
      <c r="M125" s="3">
        <v>11980</v>
      </c>
      <c r="N125" s="3">
        <v>12575</v>
      </c>
      <c r="O125" s="3">
        <v>12575</v>
      </c>
      <c r="P125" s="3">
        <v>12760</v>
      </c>
      <c r="Q125" s="3">
        <v>12755</v>
      </c>
      <c r="R125" s="3">
        <v>12465</v>
      </c>
      <c r="S125" s="3">
        <v>12465</v>
      </c>
      <c r="T125" s="3">
        <v>12410</v>
      </c>
      <c r="U125" s="3">
        <v>12405</v>
      </c>
      <c r="V125" s="3">
        <v>12815</v>
      </c>
      <c r="W125" s="3">
        <v>12815</v>
      </c>
      <c r="X125" s="3">
        <v>12555</v>
      </c>
      <c r="Y125" s="3">
        <v>12560</v>
      </c>
      <c r="Z125" s="3">
        <v>12610</v>
      </c>
      <c r="AA125" s="3">
        <v>12605</v>
      </c>
      <c r="AB125" s="3">
        <v>13290</v>
      </c>
      <c r="AC125" s="3">
        <v>13285</v>
      </c>
      <c r="AD125" s="3">
        <v>13160</v>
      </c>
      <c r="AE125" s="3">
        <v>13155</v>
      </c>
      <c r="AF125" s="3">
        <v>13800</v>
      </c>
      <c r="AG125" s="3">
        <v>13800</v>
      </c>
      <c r="AH125" s="3">
        <v>14245</v>
      </c>
      <c r="AI125" s="3">
        <v>14240</v>
      </c>
      <c r="AJ125" s="3">
        <v>13585</v>
      </c>
      <c r="AK125" s="3">
        <v>13590</v>
      </c>
      <c r="AL125" s="3">
        <v>13775</v>
      </c>
      <c r="AM125" s="3">
        <v>13775</v>
      </c>
      <c r="AN125" s="3">
        <v>13520</v>
      </c>
      <c r="AO125" s="3">
        <v>13525</v>
      </c>
      <c r="AP125" s="3">
        <v>13490</v>
      </c>
      <c r="AQ125" s="3">
        <v>13470</v>
      </c>
      <c r="AR125" s="4">
        <f t="shared" si="50"/>
        <v>1.0841283607979202E-2</v>
      </c>
      <c r="AS125" s="4">
        <f t="shared" si="27"/>
        <v>9.0909090909090384E-3</v>
      </c>
      <c r="AT125" s="4">
        <f t="shared" si="28"/>
        <v>3.1690140845070491E-2</v>
      </c>
      <c r="AU125" s="4">
        <f t="shared" si="29"/>
        <v>1.9524617996604432E-2</v>
      </c>
      <c r="AV125" s="4">
        <f t="shared" si="30"/>
        <v>1.2831479897348341E-3</v>
      </c>
      <c r="AW125" s="4">
        <f t="shared" si="31"/>
        <v>1.0118043844856706E-2</v>
      </c>
      <c r="AX125" s="4">
        <f t="shared" si="32"/>
        <v>3.7969459347915846E-2</v>
      </c>
      <c r="AY125" s="4">
        <f t="shared" si="33"/>
        <v>1.9561815336462951E-3</v>
      </c>
      <c r="AZ125" s="4">
        <f t="shared" si="34"/>
        <v>6.3770426464726526E-3</v>
      </c>
      <c r="BA125" s="4">
        <f t="shared" si="35"/>
        <v>2.4242424242424399E-3</v>
      </c>
      <c r="BB125" s="4">
        <f t="shared" si="36"/>
        <v>3.8913660316173493E-2</v>
      </c>
      <c r="BC125" s="4">
        <f t="shared" si="37"/>
        <v>5.9358923624851512E-3</v>
      </c>
      <c r="BD125" s="4">
        <f t="shared" si="38"/>
        <v>1.8302180685358271E-2</v>
      </c>
      <c r="BE125" s="4">
        <f t="shared" si="39"/>
        <v>2.4681835711531042E-2</v>
      </c>
      <c r="BF125" s="4">
        <f t="shared" si="40"/>
        <v>4.9656226126815195E-3</v>
      </c>
      <c r="BG125" s="4">
        <f t="shared" si="41"/>
        <v>3.4870641169853833E-2</v>
      </c>
      <c r="BH125" s="4">
        <f t="shared" si="42"/>
        <v>2.372393961179009E-2</v>
      </c>
      <c r="BI125" s="4">
        <f t="shared" si="43"/>
        <v>2.0540540540540553E-2</v>
      </c>
      <c r="BJ125" s="4">
        <f t="shared" si="44"/>
        <v>4.0087463556850444E-3</v>
      </c>
      <c r="BK125" s="4">
        <f t="shared" si="45"/>
        <v>1.1691633175009097E-2</v>
      </c>
      <c r="BL125" s="4">
        <f t="shared" si="46"/>
        <v>1.1148272017837968E-3</v>
      </c>
      <c r="BM125" s="4">
        <f t="shared" si="51"/>
        <v>1.5230926957691586E-2</v>
      </c>
      <c r="BN125" s="9">
        <f t="shared" si="52"/>
        <v>13659.93212221574</v>
      </c>
      <c r="BO125" s="10">
        <f t="shared" si="53"/>
        <v>13122.04789828876</v>
      </c>
      <c r="BP125">
        <v>13800</v>
      </c>
      <c r="BQ125">
        <v>13810</v>
      </c>
      <c r="BR125">
        <v>13800</v>
      </c>
      <c r="BS125">
        <v>13800</v>
      </c>
      <c r="BT125">
        <v>13498</v>
      </c>
      <c r="BU125" s="13">
        <f t="shared" si="47"/>
        <v>13803.333333333334</v>
      </c>
      <c r="BV125" s="13">
        <f t="shared" si="48"/>
        <v>186317393.33333334</v>
      </c>
      <c r="BW125" s="13">
        <f>SUM($BV$3:BV125)</f>
        <v>167822607066.66672</v>
      </c>
      <c r="BX125" s="13">
        <f>SUM($BT$3:BT125)</f>
        <v>12277779</v>
      </c>
      <c r="BY125" s="3">
        <f t="shared" si="49"/>
        <v>13668.808264643525</v>
      </c>
    </row>
    <row r="126" spans="1:77" x14ac:dyDescent="0.3">
      <c r="A126" s="3" t="s">
        <v>166</v>
      </c>
      <c r="B126" s="3">
        <v>11650</v>
      </c>
      <c r="C126" s="3">
        <v>11650</v>
      </c>
      <c r="D126" s="3">
        <v>11445</v>
      </c>
      <c r="E126" s="3">
        <v>11445</v>
      </c>
      <c r="F126" s="3">
        <v>11720</v>
      </c>
      <c r="G126" s="3">
        <v>11715</v>
      </c>
      <c r="H126" s="3">
        <v>11550</v>
      </c>
      <c r="I126" s="3">
        <v>11545</v>
      </c>
      <c r="J126" s="3">
        <v>11675</v>
      </c>
      <c r="K126" s="3">
        <v>11660</v>
      </c>
      <c r="L126" s="3">
        <v>11975</v>
      </c>
      <c r="M126" s="3">
        <v>11985</v>
      </c>
      <c r="N126" s="3">
        <v>12570</v>
      </c>
      <c r="O126" s="3">
        <v>12555</v>
      </c>
      <c r="P126" s="3">
        <v>12755</v>
      </c>
      <c r="Q126" s="3">
        <v>12745</v>
      </c>
      <c r="R126" s="3">
        <v>12460</v>
      </c>
      <c r="S126" s="3">
        <v>12470</v>
      </c>
      <c r="T126" s="3">
        <v>12405</v>
      </c>
      <c r="U126" s="3">
        <v>12405</v>
      </c>
      <c r="V126" s="3">
        <v>12810</v>
      </c>
      <c r="W126" s="3">
        <v>12800</v>
      </c>
      <c r="X126" s="3">
        <v>12560</v>
      </c>
      <c r="Y126" s="3">
        <v>12575</v>
      </c>
      <c r="Z126" s="3">
        <v>12610</v>
      </c>
      <c r="AA126" s="3">
        <v>12630</v>
      </c>
      <c r="AB126" s="3">
        <v>13290</v>
      </c>
      <c r="AC126" s="3">
        <v>13290</v>
      </c>
      <c r="AD126" s="3">
        <v>13160</v>
      </c>
      <c r="AE126" s="3">
        <v>13170</v>
      </c>
      <c r="AF126" s="3">
        <v>13805</v>
      </c>
      <c r="AG126" s="3">
        <v>13805</v>
      </c>
      <c r="AH126" s="3">
        <v>14245</v>
      </c>
      <c r="AI126" s="3">
        <v>14240</v>
      </c>
      <c r="AJ126" s="3">
        <v>13590</v>
      </c>
      <c r="AK126" s="3">
        <v>13575</v>
      </c>
      <c r="AL126" s="3">
        <v>13775</v>
      </c>
      <c r="AM126" s="3">
        <v>13785</v>
      </c>
      <c r="AN126" s="3">
        <v>13525</v>
      </c>
      <c r="AO126" s="3">
        <v>13545</v>
      </c>
      <c r="AP126" s="3">
        <v>13470</v>
      </c>
      <c r="AQ126" s="3">
        <v>13490</v>
      </c>
      <c r="AR126" s="4">
        <f t="shared" si="50"/>
        <v>1.0407632263659927E-2</v>
      </c>
      <c r="AS126" s="4">
        <f t="shared" si="27"/>
        <v>9.0909090909090384E-3</v>
      </c>
      <c r="AT126" s="4">
        <f t="shared" si="28"/>
        <v>3.125E-2</v>
      </c>
      <c r="AU126" s="4">
        <f t="shared" si="29"/>
        <v>1.9949066213921895E-2</v>
      </c>
      <c r="AV126" s="4">
        <f t="shared" si="30"/>
        <v>2.5662959794696683E-3</v>
      </c>
      <c r="AW126" s="4">
        <f t="shared" si="31"/>
        <v>1.0539629005059004E-2</v>
      </c>
      <c r="AX126" s="4">
        <f t="shared" si="32"/>
        <v>3.6318613289310742E-2</v>
      </c>
      <c r="AY126" s="4">
        <f t="shared" si="33"/>
        <v>2.7386541471048353E-3</v>
      </c>
      <c r="AZ126" s="4">
        <f t="shared" si="34"/>
        <v>5.9784774810681673E-3</v>
      </c>
      <c r="BA126" s="4">
        <f t="shared" si="35"/>
        <v>2.4242424242424399E-3</v>
      </c>
      <c r="BB126" s="4">
        <f t="shared" si="36"/>
        <v>3.7697608431292995E-2</v>
      </c>
      <c r="BC126" s="4">
        <f t="shared" si="37"/>
        <v>4.7487138899880987E-3</v>
      </c>
      <c r="BD126" s="4">
        <f t="shared" si="38"/>
        <v>1.6355140186915862E-2</v>
      </c>
      <c r="BE126" s="4">
        <f t="shared" si="39"/>
        <v>2.5067489394523745E-2</v>
      </c>
      <c r="BF126" s="4">
        <f t="shared" si="40"/>
        <v>6.1115355233001267E-3</v>
      </c>
      <c r="BG126" s="4">
        <f t="shared" si="41"/>
        <v>3.5245594300712391E-2</v>
      </c>
      <c r="BH126" s="4">
        <f t="shared" si="42"/>
        <v>2.372393961179009E-2</v>
      </c>
      <c r="BI126" s="4">
        <f t="shared" si="43"/>
        <v>2.1621621621621623E-2</v>
      </c>
      <c r="BJ126" s="4">
        <f t="shared" si="44"/>
        <v>4.737609329446002E-3</v>
      </c>
      <c r="BK126" s="4">
        <f t="shared" si="45"/>
        <v>1.0230179028132946E-2</v>
      </c>
      <c r="BL126" s="4">
        <f t="shared" si="46"/>
        <v>2.6012634708287852E-3</v>
      </c>
      <c r="BM126" s="4">
        <f t="shared" si="51"/>
        <v>1.5059741075507616E-2</v>
      </c>
      <c r="BN126" s="9">
        <f t="shared" si="52"/>
        <v>13657.628816170954</v>
      </c>
      <c r="BO126" s="10">
        <f t="shared" si="53"/>
        <v>13124.328950168861</v>
      </c>
      <c r="BP126">
        <v>13805</v>
      </c>
      <c r="BQ126">
        <v>13810</v>
      </c>
      <c r="BR126">
        <v>13800</v>
      </c>
      <c r="BS126">
        <v>13805</v>
      </c>
      <c r="BT126">
        <v>10242</v>
      </c>
      <c r="BU126" s="13">
        <f t="shared" si="47"/>
        <v>13805</v>
      </c>
      <c r="BV126" s="13">
        <f t="shared" si="48"/>
        <v>141390810</v>
      </c>
      <c r="BW126" s="13">
        <f>SUM($BV$3:BV126)</f>
        <v>167963997876.66672</v>
      </c>
      <c r="BX126" s="13">
        <f>SUM($BT$3:BT126)</f>
        <v>12288021</v>
      </c>
      <c r="BY126" s="3">
        <f t="shared" si="49"/>
        <v>13668.921779728951</v>
      </c>
    </row>
    <row r="127" spans="1:77" x14ac:dyDescent="0.3">
      <c r="A127" s="3" t="s">
        <v>167</v>
      </c>
      <c r="B127" s="3">
        <v>11650</v>
      </c>
      <c r="C127" s="3">
        <v>11655</v>
      </c>
      <c r="D127" s="3">
        <v>11445</v>
      </c>
      <c r="E127" s="3">
        <v>11450</v>
      </c>
      <c r="F127" s="3">
        <v>11715</v>
      </c>
      <c r="G127" s="3">
        <v>11700</v>
      </c>
      <c r="H127" s="3">
        <v>11545</v>
      </c>
      <c r="I127" s="3">
        <v>11555</v>
      </c>
      <c r="J127" s="3">
        <v>11660</v>
      </c>
      <c r="K127" s="3">
        <v>11660</v>
      </c>
      <c r="L127" s="3">
        <v>11985</v>
      </c>
      <c r="M127" s="3">
        <v>12010</v>
      </c>
      <c r="N127" s="3">
        <v>12555</v>
      </c>
      <c r="O127" s="3">
        <v>12530</v>
      </c>
      <c r="P127" s="3">
        <v>12745</v>
      </c>
      <c r="Q127" s="3">
        <v>12750</v>
      </c>
      <c r="R127" s="3">
        <v>12470</v>
      </c>
      <c r="S127" s="3">
        <v>12475</v>
      </c>
      <c r="T127" s="3">
        <v>12400</v>
      </c>
      <c r="U127" s="3">
        <v>12390</v>
      </c>
      <c r="V127" s="3">
        <v>12805</v>
      </c>
      <c r="W127" s="3">
        <v>12790</v>
      </c>
      <c r="X127" s="3">
        <v>12580</v>
      </c>
      <c r="Y127" s="3">
        <v>12595</v>
      </c>
      <c r="Z127" s="3">
        <v>12625</v>
      </c>
      <c r="AA127" s="3">
        <v>12635</v>
      </c>
      <c r="AB127" s="3">
        <v>13285</v>
      </c>
      <c r="AC127" s="3">
        <v>13295</v>
      </c>
      <c r="AD127" s="3">
        <v>13170</v>
      </c>
      <c r="AE127" s="3">
        <v>13175</v>
      </c>
      <c r="AF127" s="3">
        <v>13800</v>
      </c>
      <c r="AG127" s="3">
        <v>13815</v>
      </c>
      <c r="AH127" s="3">
        <v>14240</v>
      </c>
      <c r="AI127" s="3">
        <v>14230</v>
      </c>
      <c r="AJ127" s="3">
        <v>13575</v>
      </c>
      <c r="AK127" s="3">
        <v>13565</v>
      </c>
      <c r="AL127" s="3">
        <v>13785</v>
      </c>
      <c r="AM127" s="3">
        <v>13775</v>
      </c>
      <c r="AN127" s="3">
        <v>13545</v>
      </c>
      <c r="AO127" s="3">
        <v>13550</v>
      </c>
      <c r="AP127" s="3">
        <v>13485</v>
      </c>
      <c r="AQ127" s="3">
        <v>13490</v>
      </c>
      <c r="AR127" s="4">
        <f t="shared" si="50"/>
        <v>1.0841283607979202E-2</v>
      </c>
      <c r="AS127" s="4">
        <f t="shared" si="27"/>
        <v>8.6580086580086979E-3</v>
      </c>
      <c r="AT127" s="4">
        <f t="shared" si="28"/>
        <v>2.9929577464788748E-2</v>
      </c>
      <c r="AU127" s="4">
        <f t="shared" si="29"/>
        <v>1.9100169779286968E-2</v>
      </c>
      <c r="AV127" s="4">
        <f t="shared" si="30"/>
        <v>2.5662959794696683E-3</v>
      </c>
      <c r="AW127" s="4">
        <f t="shared" si="31"/>
        <v>1.2647554806070715E-2</v>
      </c>
      <c r="AX127" s="4">
        <f t="shared" si="32"/>
        <v>3.4255055716054583E-2</v>
      </c>
      <c r="AY127" s="4">
        <f t="shared" si="33"/>
        <v>2.3474178403756207E-3</v>
      </c>
      <c r="AZ127" s="4">
        <f t="shared" si="34"/>
        <v>5.579912315663571E-3</v>
      </c>
      <c r="BA127" s="4">
        <f t="shared" si="35"/>
        <v>1.2121212121212199E-3</v>
      </c>
      <c r="BB127" s="4">
        <f t="shared" si="36"/>
        <v>3.6886907174706218E-2</v>
      </c>
      <c r="BC127" s="4">
        <f t="shared" si="37"/>
        <v>3.1658092599921028E-3</v>
      </c>
      <c r="BD127" s="4">
        <f t="shared" si="38"/>
        <v>1.5965732087227402E-2</v>
      </c>
      <c r="BE127" s="4">
        <f t="shared" si="39"/>
        <v>2.5453143077516449E-2</v>
      </c>
      <c r="BF127" s="4">
        <f t="shared" si="40"/>
        <v>6.4935064935065512E-3</v>
      </c>
      <c r="BG127" s="4">
        <f t="shared" si="41"/>
        <v>3.5995500562429728E-2</v>
      </c>
      <c r="BH127" s="4">
        <f t="shared" si="42"/>
        <v>2.3005032350826848E-2</v>
      </c>
      <c r="BI127" s="4">
        <f t="shared" si="43"/>
        <v>2.2342342342342336E-2</v>
      </c>
      <c r="BJ127" s="4">
        <f t="shared" si="44"/>
        <v>4.0087463556850444E-3</v>
      </c>
      <c r="BK127" s="4">
        <f t="shared" si="45"/>
        <v>9.8648154914139363E-3</v>
      </c>
      <c r="BL127" s="4">
        <f t="shared" si="46"/>
        <v>2.6012634708287852E-3</v>
      </c>
      <c r="BM127" s="4">
        <f t="shared" si="51"/>
        <v>1.4590086561770608E-2</v>
      </c>
      <c r="BN127" s="9">
        <f t="shared" si="52"/>
        <v>13651.309614688622</v>
      </c>
      <c r="BO127" s="10">
        <f t="shared" si="53"/>
        <v>13130.587096564406</v>
      </c>
      <c r="BP127">
        <v>13800</v>
      </c>
      <c r="BQ127">
        <v>13815</v>
      </c>
      <c r="BR127">
        <v>13800</v>
      </c>
      <c r="BS127">
        <v>13815</v>
      </c>
      <c r="BT127">
        <v>12683</v>
      </c>
      <c r="BU127" s="13">
        <f t="shared" si="47"/>
        <v>13810</v>
      </c>
      <c r="BV127" s="13">
        <f t="shared" si="48"/>
        <v>175152230</v>
      </c>
      <c r="BW127" s="13">
        <f>SUM($BV$3:BV127)</f>
        <v>168139150106.66672</v>
      </c>
      <c r="BX127" s="13">
        <f>SUM($BT$3:BT127)</f>
        <v>12300704</v>
      </c>
      <c r="BY127" s="3">
        <f t="shared" si="49"/>
        <v>13669.067242546989</v>
      </c>
    </row>
    <row r="128" spans="1:77" x14ac:dyDescent="0.3">
      <c r="A128" s="3" t="s">
        <v>168</v>
      </c>
      <c r="B128" s="3">
        <v>11655</v>
      </c>
      <c r="C128" s="3">
        <v>11645</v>
      </c>
      <c r="D128" s="3">
        <v>11450</v>
      </c>
      <c r="E128" s="3">
        <v>11445</v>
      </c>
      <c r="F128" s="3">
        <v>11700</v>
      </c>
      <c r="G128" s="3">
        <v>11705</v>
      </c>
      <c r="H128" s="3">
        <v>11555</v>
      </c>
      <c r="I128" s="3">
        <v>11540</v>
      </c>
      <c r="J128" s="3">
        <v>11660</v>
      </c>
      <c r="K128" s="3">
        <v>11670</v>
      </c>
      <c r="L128" s="3">
        <v>12005</v>
      </c>
      <c r="M128" s="3">
        <v>12020</v>
      </c>
      <c r="N128" s="3">
        <v>12530</v>
      </c>
      <c r="O128" s="3">
        <v>12540</v>
      </c>
      <c r="P128" s="3">
        <v>12745</v>
      </c>
      <c r="Q128" s="3">
        <v>12740</v>
      </c>
      <c r="R128" s="3">
        <v>12480</v>
      </c>
      <c r="S128" s="3">
        <v>12480</v>
      </c>
      <c r="T128" s="3">
        <v>12390</v>
      </c>
      <c r="U128" s="3">
        <v>12395</v>
      </c>
      <c r="V128" s="3">
        <v>12790</v>
      </c>
      <c r="W128" s="3">
        <v>12785</v>
      </c>
      <c r="X128" s="3">
        <v>12590</v>
      </c>
      <c r="Y128" s="3">
        <v>12590</v>
      </c>
      <c r="Z128" s="3">
        <v>12635</v>
      </c>
      <c r="AA128" s="3">
        <v>12630</v>
      </c>
      <c r="AB128" s="3">
        <v>13290</v>
      </c>
      <c r="AC128" s="3">
        <v>13290</v>
      </c>
      <c r="AD128" s="3">
        <v>13175</v>
      </c>
      <c r="AE128" s="3">
        <v>13185</v>
      </c>
      <c r="AF128" s="3">
        <v>13810</v>
      </c>
      <c r="AG128" s="3">
        <v>13815</v>
      </c>
      <c r="AH128" s="3">
        <v>14230</v>
      </c>
      <c r="AI128" s="3">
        <v>14230</v>
      </c>
      <c r="AJ128" s="3">
        <v>13560</v>
      </c>
      <c r="AK128" s="3">
        <v>13540</v>
      </c>
      <c r="AL128" s="3">
        <v>13775</v>
      </c>
      <c r="AM128" s="3">
        <v>13775</v>
      </c>
      <c r="AN128" s="3">
        <v>13545</v>
      </c>
      <c r="AO128" s="3">
        <v>13545</v>
      </c>
      <c r="AP128" s="3">
        <v>13490</v>
      </c>
      <c r="AQ128" s="3">
        <v>13505</v>
      </c>
      <c r="AR128" s="4">
        <f t="shared" si="50"/>
        <v>9.9739809193408746E-3</v>
      </c>
      <c r="AS128" s="4">
        <f t="shared" si="27"/>
        <v>9.0909090909090384E-3</v>
      </c>
      <c r="AT128" s="4">
        <f t="shared" si="28"/>
        <v>3.0369718309859239E-2</v>
      </c>
      <c r="AU128" s="4">
        <f t="shared" si="29"/>
        <v>2.0373514431239359E-2</v>
      </c>
      <c r="AV128" s="4">
        <f t="shared" si="30"/>
        <v>1.7108639863130382E-3</v>
      </c>
      <c r="AW128" s="4">
        <f t="shared" si="31"/>
        <v>1.3490725126475533E-2</v>
      </c>
      <c r="AX128" s="4">
        <f t="shared" si="32"/>
        <v>3.5080478745356913E-2</v>
      </c>
      <c r="AY128" s="4">
        <f t="shared" si="33"/>
        <v>3.129890453834161E-3</v>
      </c>
      <c r="AZ128" s="4">
        <f t="shared" si="34"/>
        <v>5.1813471502590858E-3</v>
      </c>
      <c r="BA128" s="4">
        <f t="shared" si="35"/>
        <v>1.6161616161616266E-3</v>
      </c>
      <c r="BB128" s="4">
        <f t="shared" si="36"/>
        <v>3.6481556546412719E-2</v>
      </c>
      <c r="BC128" s="4">
        <f t="shared" si="37"/>
        <v>3.5615354174910463E-3</v>
      </c>
      <c r="BD128" s="4">
        <f t="shared" si="38"/>
        <v>1.6355140186915862E-2</v>
      </c>
      <c r="BE128" s="4">
        <f t="shared" si="39"/>
        <v>2.5067489394523745E-2</v>
      </c>
      <c r="BF128" s="4">
        <f t="shared" si="40"/>
        <v>7.257448433918956E-3</v>
      </c>
      <c r="BG128" s="4">
        <f t="shared" si="41"/>
        <v>3.5995500562429728E-2</v>
      </c>
      <c r="BH128" s="4">
        <f t="shared" si="42"/>
        <v>2.3005032350826848E-2</v>
      </c>
      <c r="BI128" s="4">
        <f t="shared" si="43"/>
        <v>2.414414414414412E-2</v>
      </c>
      <c r="BJ128" s="4">
        <f t="shared" si="44"/>
        <v>4.0087463556850444E-3</v>
      </c>
      <c r="BK128" s="4">
        <f t="shared" si="45"/>
        <v>1.0230179028132946E-2</v>
      </c>
      <c r="BL128" s="4">
        <f t="shared" si="46"/>
        <v>3.7160906726123599E-3</v>
      </c>
      <c r="BM128" s="4">
        <f t="shared" si="51"/>
        <v>1.4911912777833594E-2</v>
      </c>
      <c r="BN128" s="9">
        <f t="shared" si="52"/>
        <v>13655.639786425752</v>
      </c>
      <c r="BO128" s="10">
        <f t="shared" si="53"/>
        <v>13126.298762235368</v>
      </c>
      <c r="BP128">
        <v>13810</v>
      </c>
      <c r="BQ128">
        <v>13820</v>
      </c>
      <c r="BR128">
        <v>13810</v>
      </c>
      <c r="BS128">
        <v>13815</v>
      </c>
      <c r="BT128">
        <v>38975</v>
      </c>
      <c r="BU128" s="13">
        <f t="shared" si="47"/>
        <v>13815</v>
      </c>
      <c r="BV128" s="13">
        <f t="shared" si="48"/>
        <v>538439625</v>
      </c>
      <c r="BW128" s="13">
        <f>SUM($BV$3:BV128)</f>
        <v>168677589731.66672</v>
      </c>
      <c r="BX128" s="13">
        <f>SUM($BT$3:BT128)</f>
        <v>12339679</v>
      </c>
      <c r="BY128" s="3">
        <f t="shared" si="49"/>
        <v>13669.528172626429</v>
      </c>
    </row>
    <row r="129" spans="1:77" x14ac:dyDescent="0.3">
      <c r="A129" s="3" t="s">
        <v>169</v>
      </c>
      <c r="B129" s="3">
        <v>11640</v>
      </c>
      <c r="C129" s="3">
        <v>11640</v>
      </c>
      <c r="D129" s="3">
        <v>11445</v>
      </c>
      <c r="E129" s="3">
        <v>11455</v>
      </c>
      <c r="F129" s="3">
        <v>11705</v>
      </c>
      <c r="G129" s="3">
        <v>11705</v>
      </c>
      <c r="H129" s="3">
        <v>11540</v>
      </c>
      <c r="I129" s="3">
        <v>11540</v>
      </c>
      <c r="J129" s="3">
        <v>11665</v>
      </c>
      <c r="K129" s="3">
        <v>11680</v>
      </c>
      <c r="L129" s="3">
        <v>12015</v>
      </c>
      <c r="M129" s="3">
        <v>12025</v>
      </c>
      <c r="N129" s="3">
        <v>12540</v>
      </c>
      <c r="O129" s="3">
        <v>12540</v>
      </c>
      <c r="P129" s="3">
        <v>12740</v>
      </c>
      <c r="Q129" s="3">
        <v>12735</v>
      </c>
      <c r="R129" s="3">
        <v>12475</v>
      </c>
      <c r="S129" s="3">
        <v>12495</v>
      </c>
      <c r="T129" s="3">
        <v>12390</v>
      </c>
      <c r="U129" s="3">
        <v>12405</v>
      </c>
      <c r="V129" s="3">
        <v>12790</v>
      </c>
      <c r="W129" s="3">
        <v>12785</v>
      </c>
      <c r="X129" s="3">
        <v>12590</v>
      </c>
      <c r="Y129" s="3">
        <v>12590</v>
      </c>
      <c r="Z129" s="3">
        <v>12630</v>
      </c>
      <c r="AA129" s="3">
        <v>12635</v>
      </c>
      <c r="AB129" s="3">
        <v>13290</v>
      </c>
      <c r="AC129" s="3">
        <v>13280</v>
      </c>
      <c r="AD129" s="3">
        <v>13180</v>
      </c>
      <c r="AE129" s="3">
        <v>13205</v>
      </c>
      <c r="AF129" s="3">
        <v>13820</v>
      </c>
      <c r="AG129" s="3">
        <v>13845</v>
      </c>
      <c r="AH129" s="3">
        <v>14235</v>
      </c>
      <c r="AI129" s="3">
        <v>14240</v>
      </c>
      <c r="AJ129" s="3">
        <v>13540</v>
      </c>
      <c r="AK129" s="3">
        <v>13550</v>
      </c>
      <c r="AL129" s="3">
        <v>13775</v>
      </c>
      <c r="AM129" s="3">
        <v>13755</v>
      </c>
      <c r="AN129" s="3">
        <v>13545</v>
      </c>
      <c r="AO129" s="3">
        <v>13515</v>
      </c>
      <c r="AP129" s="3">
        <v>13505</v>
      </c>
      <c r="AQ129" s="3">
        <v>13500</v>
      </c>
      <c r="AR129" s="4">
        <f t="shared" si="50"/>
        <v>9.5403295750216E-3</v>
      </c>
      <c r="AS129" s="4">
        <f t="shared" si="27"/>
        <v>8.2251082251082464E-3</v>
      </c>
      <c r="AT129" s="4">
        <f t="shared" si="28"/>
        <v>3.0369718309859239E-2</v>
      </c>
      <c r="AU129" s="4">
        <f t="shared" si="29"/>
        <v>2.0373514431239359E-2</v>
      </c>
      <c r="AV129" s="4">
        <f t="shared" si="30"/>
        <v>8.5543199315651908E-4</v>
      </c>
      <c r="AW129" s="4">
        <f t="shared" si="31"/>
        <v>1.3912310286677831E-2</v>
      </c>
      <c r="AX129" s="4">
        <f t="shared" si="32"/>
        <v>3.5080478745356913E-2</v>
      </c>
      <c r="AY129" s="4">
        <f t="shared" si="33"/>
        <v>3.5211267605633756E-3</v>
      </c>
      <c r="AZ129" s="4">
        <f t="shared" si="34"/>
        <v>3.9856516540454079E-3</v>
      </c>
      <c r="BA129" s="4">
        <f t="shared" si="35"/>
        <v>2.4242424242424399E-3</v>
      </c>
      <c r="BB129" s="4">
        <f t="shared" si="36"/>
        <v>3.6481556546412719E-2</v>
      </c>
      <c r="BC129" s="4">
        <f t="shared" si="37"/>
        <v>3.5615354174910463E-3</v>
      </c>
      <c r="BD129" s="4">
        <f t="shared" si="38"/>
        <v>1.5965732087227402E-2</v>
      </c>
      <c r="BE129" s="4">
        <f t="shared" si="39"/>
        <v>2.4296182028538338E-2</v>
      </c>
      <c r="BF129" s="4">
        <f t="shared" si="40"/>
        <v>8.7853323147439877E-3</v>
      </c>
      <c r="BG129" s="4">
        <f t="shared" si="41"/>
        <v>3.8245219347581516E-2</v>
      </c>
      <c r="BH129" s="4">
        <f t="shared" si="42"/>
        <v>2.372393961179009E-2</v>
      </c>
      <c r="BI129" s="4">
        <f t="shared" si="43"/>
        <v>2.3423423423423406E-2</v>
      </c>
      <c r="BJ129" s="4">
        <f t="shared" si="44"/>
        <v>2.5510204081633514E-3</v>
      </c>
      <c r="BK129" s="4">
        <f t="shared" si="45"/>
        <v>1.2422360248447228E-2</v>
      </c>
      <c r="BL129" s="4">
        <f t="shared" si="46"/>
        <v>3.3444816053511683E-3</v>
      </c>
      <c r="BM129" s="4">
        <f t="shared" si="51"/>
        <v>1.4845565801761631E-2</v>
      </c>
      <c r="BN129" s="9">
        <f t="shared" si="52"/>
        <v>13654.747087862703</v>
      </c>
      <c r="BO129" s="10">
        <f t="shared" si="53"/>
        <v>13127.182835691527</v>
      </c>
      <c r="BP129">
        <v>13820</v>
      </c>
      <c r="BQ129">
        <v>13850</v>
      </c>
      <c r="BR129">
        <v>13815</v>
      </c>
      <c r="BS129">
        <v>13845</v>
      </c>
      <c r="BT129">
        <v>145321</v>
      </c>
      <c r="BU129" s="13">
        <f t="shared" si="47"/>
        <v>13836.666666666666</v>
      </c>
      <c r="BV129" s="13">
        <f t="shared" si="48"/>
        <v>2010758236.6666665</v>
      </c>
      <c r="BW129" s="13">
        <f>SUM($BV$3:BV129)</f>
        <v>170688347968.33337</v>
      </c>
      <c r="BX129" s="13">
        <f>SUM($BT$3:BT129)</f>
        <v>12485000</v>
      </c>
      <c r="BY129" s="3">
        <f t="shared" si="49"/>
        <v>13671.473605793622</v>
      </c>
    </row>
    <row r="130" spans="1:77" x14ac:dyDescent="0.3">
      <c r="A130" s="3" t="s">
        <v>170</v>
      </c>
      <c r="B130" s="3">
        <v>11640</v>
      </c>
      <c r="C130" s="3">
        <v>11625</v>
      </c>
      <c r="D130" s="3">
        <v>11450</v>
      </c>
      <c r="E130" s="3">
        <v>11455</v>
      </c>
      <c r="F130" s="3">
        <v>11700</v>
      </c>
      <c r="G130" s="3">
        <v>11690</v>
      </c>
      <c r="H130" s="3">
        <v>11540</v>
      </c>
      <c r="I130" s="3">
        <v>11550</v>
      </c>
      <c r="J130" s="3">
        <v>11680</v>
      </c>
      <c r="K130" s="3">
        <v>11680</v>
      </c>
      <c r="L130" s="3">
        <v>12020</v>
      </c>
      <c r="M130" s="3">
        <v>12025</v>
      </c>
      <c r="N130" s="3">
        <v>12540</v>
      </c>
      <c r="O130" s="3">
        <v>12535</v>
      </c>
      <c r="P130" s="3">
        <v>12735</v>
      </c>
      <c r="Q130" s="3">
        <v>12720</v>
      </c>
      <c r="R130" s="3">
        <v>12495</v>
      </c>
      <c r="S130" s="3">
        <v>12495</v>
      </c>
      <c r="T130" s="3">
        <v>12400</v>
      </c>
      <c r="U130" s="3">
        <v>12380</v>
      </c>
      <c r="V130" s="3">
        <v>12785</v>
      </c>
      <c r="W130" s="3">
        <v>12765</v>
      </c>
      <c r="X130" s="3">
        <v>12590</v>
      </c>
      <c r="Y130" s="3">
        <v>12575</v>
      </c>
      <c r="Z130" s="3">
        <v>12635</v>
      </c>
      <c r="AA130" s="3">
        <v>12625</v>
      </c>
      <c r="AB130" s="3">
        <v>13275</v>
      </c>
      <c r="AC130" s="3">
        <v>13235</v>
      </c>
      <c r="AD130" s="3">
        <v>13205</v>
      </c>
      <c r="AE130" s="3">
        <v>13210</v>
      </c>
      <c r="AF130" s="3">
        <v>13845</v>
      </c>
      <c r="AG130" s="3">
        <v>13850</v>
      </c>
      <c r="AH130" s="3">
        <v>14240</v>
      </c>
      <c r="AI130" s="3">
        <v>14235</v>
      </c>
      <c r="AJ130" s="3">
        <v>13545</v>
      </c>
      <c r="AK130" s="3">
        <v>13560</v>
      </c>
      <c r="AL130" s="3">
        <v>13750</v>
      </c>
      <c r="AM130" s="3">
        <v>13750</v>
      </c>
      <c r="AN130" s="3">
        <v>13515</v>
      </c>
      <c r="AO130" s="3">
        <v>13520</v>
      </c>
      <c r="AP130" s="3">
        <v>13500</v>
      </c>
      <c r="AQ130" s="3">
        <v>13505</v>
      </c>
      <c r="AR130" s="4">
        <f t="shared" si="50"/>
        <v>8.2393755420642201E-3</v>
      </c>
      <c r="AS130" s="4">
        <f t="shared" si="27"/>
        <v>8.2251082251082464E-3</v>
      </c>
      <c r="AT130" s="4">
        <f t="shared" si="28"/>
        <v>2.9049295774647987E-2</v>
      </c>
      <c r="AU130" s="4">
        <f t="shared" si="29"/>
        <v>1.9524617996604432E-2</v>
      </c>
      <c r="AV130" s="4">
        <f t="shared" si="30"/>
        <v>8.5543199315651908E-4</v>
      </c>
      <c r="AW130" s="4">
        <f t="shared" si="31"/>
        <v>1.3912310286677831E-2</v>
      </c>
      <c r="AX130" s="4">
        <f t="shared" si="32"/>
        <v>3.4667767230705637E-2</v>
      </c>
      <c r="AY130" s="4">
        <f t="shared" si="33"/>
        <v>4.6948356807511304E-3</v>
      </c>
      <c r="AZ130" s="4">
        <f t="shared" si="34"/>
        <v>3.9856516540454079E-3</v>
      </c>
      <c r="BA130" s="4">
        <f t="shared" si="35"/>
        <v>4.0404040404040664E-4</v>
      </c>
      <c r="BB130" s="4">
        <f t="shared" si="36"/>
        <v>3.4860154033238722E-2</v>
      </c>
      <c r="BC130" s="4">
        <f t="shared" si="37"/>
        <v>4.7487138899880987E-3</v>
      </c>
      <c r="BD130" s="4">
        <f t="shared" si="38"/>
        <v>1.6744548286604322E-2</v>
      </c>
      <c r="BE130" s="4">
        <f t="shared" si="39"/>
        <v>2.0825298881604226E-2</v>
      </c>
      <c r="BF130" s="4">
        <f t="shared" si="40"/>
        <v>9.1673032849504121E-3</v>
      </c>
      <c r="BG130" s="4">
        <f t="shared" si="41"/>
        <v>3.8620172478440296E-2</v>
      </c>
      <c r="BH130" s="4">
        <f t="shared" si="42"/>
        <v>2.3364485981308469E-2</v>
      </c>
      <c r="BI130" s="4">
        <f t="shared" si="43"/>
        <v>2.2702702702702693E-2</v>
      </c>
      <c r="BJ130" s="4">
        <f t="shared" si="44"/>
        <v>2.1865889212828726E-3</v>
      </c>
      <c r="BK130" s="4">
        <f t="shared" si="45"/>
        <v>1.2056996711728218E-2</v>
      </c>
      <c r="BL130" s="4">
        <f t="shared" si="46"/>
        <v>3.7160906726123599E-3</v>
      </c>
      <c r="BM130" s="4">
        <f t="shared" si="51"/>
        <v>1.4404648401580242E-2</v>
      </c>
      <c r="BN130" s="9">
        <f t="shared" si="52"/>
        <v>13648.814544243263</v>
      </c>
      <c r="BO130" s="10">
        <f t="shared" si="53"/>
        <v>13133.058060048943</v>
      </c>
      <c r="BP130">
        <v>13845</v>
      </c>
      <c r="BQ130">
        <v>13855</v>
      </c>
      <c r="BR130">
        <v>13835</v>
      </c>
      <c r="BS130">
        <v>13850</v>
      </c>
      <c r="BT130">
        <v>54380</v>
      </c>
      <c r="BU130" s="13">
        <f t="shared" si="47"/>
        <v>13846.666666666666</v>
      </c>
      <c r="BV130" s="13">
        <f t="shared" si="48"/>
        <v>752981733.33333325</v>
      </c>
      <c r="BW130" s="13">
        <f>SUM($BV$3:BV130)</f>
        <v>171441329701.66672</v>
      </c>
      <c r="BX130" s="13">
        <f>SUM($BT$3:BT130)</f>
        <v>12539380</v>
      </c>
      <c r="BY130" s="3">
        <f t="shared" si="49"/>
        <v>13672.233372117817</v>
      </c>
    </row>
    <row r="131" spans="1:77" x14ac:dyDescent="0.3">
      <c r="A131" s="3" t="s">
        <v>171</v>
      </c>
      <c r="B131" s="3">
        <v>11625</v>
      </c>
      <c r="C131" s="3">
        <v>11605</v>
      </c>
      <c r="D131" s="3">
        <v>11455</v>
      </c>
      <c r="E131" s="3">
        <v>11460</v>
      </c>
      <c r="F131" s="3">
        <v>11690</v>
      </c>
      <c r="G131" s="3">
        <v>11695</v>
      </c>
      <c r="H131" s="3">
        <v>11555</v>
      </c>
      <c r="I131" s="3">
        <v>11540</v>
      </c>
      <c r="J131" s="3">
        <v>11675</v>
      </c>
      <c r="K131" s="3">
        <v>11680</v>
      </c>
      <c r="L131" s="3">
        <v>12025</v>
      </c>
      <c r="M131" s="3">
        <v>12020</v>
      </c>
      <c r="N131" s="3">
        <v>12540</v>
      </c>
      <c r="O131" s="3">
        <v>12530</v>
      </c>
      <c r="P131" s="3">
        <v>12715</v>
      </c>
      <c r="Q131" s="3">
        <v>12710</v>
      </c>
      <c r="R131" s="3">
        <v>12495</v>
      </c>
      <c r="S131" s="3">
        <v>12500</v>
      </c>
      <c r="T131" s="3">
        <v>12375</v>
      </c>
      <c r="U131" s="3">
        <v>12375</v>
      </c>
      <c r="V131" s="3">
        <v>12765</v>
      </c>
      <c r="W131" s="3">
        <v>12775</v>
      </c>
      <c r="X131" s="3">
        <v>12575</v>
      </c>
      <c r="Y131" s="3">
        <v>12575</v>
      </c>
      <c r="Z131" s="3">
        <v>12625</v>
      </c>
      <c r="AA131" s="3">
        <v>12625</v>
      </c>
      <c r="AB131" s="3">
        <v>13235</v>
      </c>
      <c r="AC131" s="3">
        <v>13245</v>
      </c>
      <c r="AD131" s="3">
        <v>13205</v>
      </c>
      <c r="AE131" s="3">
        <v>13205</v>
      </c>
      <c r="AF131" s="3">
        <v>13850</v>
      </c>
      <c r="AG131" s="3">
        <v>13850</v>
      </c>
      <c r="AH131" s="3">
        <v>14235</v>
      </c>
      <c r="AI131" s="3">
        <v>14240</v>
      </c>
      <c r="AJ131" s="3">
        <v>13560</v>
      </c>
      <c r="AK131" s="3">
        <v>13545</v>
      </c>
      <c r="AL131" s="3">
        <v>13750</v>
      </c>
      <c r="AM131" s="3">
        <v>13760</v>
      </c>
      <c r="AN131" s="3">
        <v>13515</v>
      </c>
      <c r="AO131" s="3">
        <v>13505</v>
      </c>
      <c r="AP131" s="3">
        <v>13505</v>
      </c>
      <c r="AQ131" s="3">
        <v>13505</v>
      </c>
      <c r="AR131" s="4">
        <f t="shared" si="50"/>
        <v>6.5047701647875655E-3</v>
      </c>
      <c r="AS131" s="4">
        <f t="shared" si="27"/>
        <v>7.7922077922077948E-3</v>
      </c>
      <c r="AT131" s="4">
        <f t="shared" si="28"/>
        <v>2.9489436619718257E-2</v>
      </c>
      <c r="AU131" s="4">
        <f t="shared" si="29"/>
        <v>2.0373514431239359E-2</v>
      </c>
      <c r="AV131" s="4">
        <f t="shared" si="30"/>
        <v>8.5543199315651908E-4</v>
      </c>
      <c r="AW131" s="4">
        <f t="shared" si="31"/>
        <v>1.3490725126475533E-2</v>
      </c>
      <c r="AX131" s="4">
        <f t="shared" si="32"/>
        <v>3.4255055716054583E-2</v>
      </c>
      <c r="AY131" s="4">
        <f t="shared" si="33"/>
        <v>5.4773082942096707E-3</v>
      </c>
      <c r="AZ131" s="4">
        <f t="shared" si="34"/>
        <v>3.5870864886409226E-3</v>
      </c>
      <c r="BA131" s="4">
        <f t="shared" si="35"/>
        <v>0</v>
      </c>
      <c r="BB131" s="4">
        <f t="shared" si="36"/>
        <v>3.567085528982572E-2</v>
      </c>
      <c r="BC131" s="4">
        <f t="shared" si="37"/>
        <v>4.7487138899880987E-3</v>
      </c>
      <c r="BD131" s="4">
        <f t="shared" si="38"/>
        <v>1.6744548286604322E-2</v>
      </c>
      <c r="BE131" s="4">
        <f t="shared" si="39"/>
        <v>2.1596606247589634E-2</v>
      </c>
      <c r="BF131" s="4">
        <f t="shared" si="40"/>
        <v>8.7853323147439877E-3</v>
      </c>
      <c r="BG131" s="4">
        <f t="shared" si="41"/>
        <v>3.8620172478440296E-2</v>
      </c>
      <c r="BH131" s="4">
        <f t="shared" si="42"/>
        <v>2.372393961179009E-2</v>
      </c>
      <c r="BI131" s="4">
        <f t="shared" si="43"/>
        <v>2.3783783783783763E-2</v>
      </c>
      <c r="BJ131" s="4">
        <f t="shared" si="44"/>
        <v>2.9154518950438302E-3</v>
      </c>
      <c r="BK131" s="4">
        <f t="shared" si="45"/>
        <v>1.3153087321885248E-2</v>
      </c>
      <c r="BL131" s="4">
        <f t="shared" si="46"/>
        <v>3.7160906726123599E-3</v>
      </c>
      <c r="BM131" s="4">
        <f t="shared" si="51"/>
        <v>1.4490487320746743E-2</v>
      </c>
      <c r="BN131" s="9">
        <f t="shared" si="52"/>
        <v>13649.969506900648</v>
      </c>
      <c r="BO131" s="10">
        <f t="shared" si="53"/>
        <v>13131.914256451049</v>
      </c>
      <c r="BP131">
        <v>13850</v>
      </c>
      <c r="BQ131">
        <v>13855</v>
      </c>
      <c r="BR131">
        <v>13845</v>
      </c>
      <c r="BS131">
        <v>13850</v>
      </c>
      <c r="BT131">
        <v>26915</v>
      </c>
      <c r="BU131" s="13">
        <f t="shared" si="47"/>
        <v>13850</v>
      </c>
      <c r="BV131" s="13">
        <f t="shared" si="48"/>
        <v>372772750</v>
      </c>
      <c r="BW131" s="13">
        <f>SUM($BV$3:BV131)</f>
        <v>171814102451.66672</v>
      </c>
      <c r="BX131" s="13">
        <f>SUM($BT$3:BT131)</f>
        <v>12566295</v>
      </c>
      <c r="BY131" s="3">
        <f t="shared" si="49"/>
        <v>13672.614119887105</v>
      </c>
    </row>
    <row r="132" spans="1:77" x14ac:dyDescent="0.3">
      <c r="A132" s="3" t="s">
        <v>172</v>
      </c>
      <c r="B132" s="3">
        <v>11605</v>
      </c>
      <c r="C132" s="3">
        <v>11605</v>
      </c>
      <c r="D132" s="3">
        <v>11465</v>
      </c>
      <c r="E132" s="3">
        <v>11480</v>
      </c>
      <c r="F132" s="3">
        <v>11690</v>
      </c>
      <c r="G132" s="3">
        <v>11690</v>
      </c>
      <c r="H132" s="3">
        <v>11540</v>
      </c>
      <c r="I132" s="3">
        <v>11530</v>
      </c>
      <c r="J132" s="3">
        <v>11675</v>
      </c>
      <c r="K132" s="3">
        <v>11685</v>
      </c>
      <c r="L132" s="3">
        <v>12025</v>
      </c>
      <c r="M132" s="3">
        <v>12020</v>
      </c>
      <c r="N132" s="3">
        <v>12530</v>
      </c>
      <c r="O132" s="3">
        <v>12530</v>
      </c>
      <c r="P132" s="3">
        <v>12710</v>
      </c>
      <c r="Q132" s="3">
        <v>12710</v>
      </c>
      <c r="R132" s="3">
        <v>12500</v>
      </c>
      <c r="S132" s="3">
        <v>12505</v>
      </c>
      <c r="T132" s="3">
        <v>12375</v>
      </c>
      <c r="U132" s="3">
        <v>12385</v>
      </c>
      <c r="V132" s="3">
        <v>12775</v>
      </c>
      <c r="W132" s="3">
        <v>12780</v>
      </c>
      <c r="X132" s="3">
        <v>12575</v>
      </c>
      <c r="Y132" s="3">
        <v>12575</v>
      </c>
      <c r="Z132" s="3">
        <v>12625</v>
      </c>
      <c r="AA132" s="3">
        <v>12640</v>
      </c>
      <c r="AB132" s="3">
        <v>13245</v>
      </c>
      <c r="AC132" s="3">
        <v>13270</v>
      </c>
      <c r="AD132" s="3">
        <v>13205</v>
      </c>
      <c r="AE132" s="3">
        <v>13220</v>
      </c>
      <c r="AF132" s="3">
        <v>13850</v>
      </c>
      <c r="AG132" s="3">
        <v>13860</v>
      </c>
      <c r="AH132" s="3">
        <v>14240</v>
      </c>
      <c r="AI132" s="3">
        <v>14255</v>
      </c>
      <c r="AJ132" s="3">
        <v>13545</v>
      </c>
      <c r="AK132" s="3">
        <v>13510</v>
      </c>
      <c r="AL132" s="3">
        <v>13755</v>
      </c>
      <c r="AM132" s="3">
        <v>13755</v>
      </c>
      <c r="AN132" s="3">
        <v>13500</v>
      </c>
      <c r="AO132" s="3">
        <v>13505</v>
      </c>
      <c r="AP132" s="3">
        <v>13510</v>
      </c>
      <c r="AQ132" s="3">
        <v>13495</v>
      </c>
      <c r="AR132" s="4">
        <f t="shared" si="50"/>
        <v>6.5047701647875655E-3</v>
      </c>
      <c r="AS132" s="4">
        <f t="shared" ref="AS132:AS195" si="54">ABS(E132/D$3-1)</f>
        <v>6.0606060606060996E-3</v>
      </c>
      <c r="AT132" s="4">
        <f t="shared" ref="AT132:AT195" si="55">ABS(G132/F$3-1)</f>
        <v>2.9049295774647987E-2</v>
      </c>
      <c r="AU132" s="4">
        <f t="shared" ref="AU132:AU195" si="56">ABS(I132/H$3-1)</f>
        <v>2.1222410865874397E-2</v>
      </c>
      <c r="AV132" s="4">
        <f t="shared" ref="AV132:AV195" si="57">ABS(K132/J$3-1)</f>
        <v>4.2771599657831505E-4</v>
      </c>
      <c r="AW132" s="4">
        <f t="shared" ref="AW132:AW195" si="58">ABS(M132/L$3-1)</f>
        <v>1.3490725126475533E-2</v>
      </c>
      <c r="AX132" s="4">
        <f t="shared" ref="AX132:AX195" si="59">ABS(O132/N$3-1)</f>
        <v>3.4255055716054583E-2</v>
      </c>
      <c r="AY132" s="4">
        <f t="shared" ref="AY132:AY195" si="60">ABS(Q132/P$3-1)</f>
        <v>5.4773082942096707E-3</v>
      </c>
      <c r="AZ132" s="4">
        <f t="shared" ref="AZ132:AZ195" si="61">ABS(S132/R$3-1)</f>
        <v>3.1885213232363263E-3</v>
      </c>
      <c r="BA132" s="4">
        <f t="shared" ref="BA132:BA195" si="62">ABS(U132/T$3-1)</f>
        <v>8.0808080808081328E-4</v>
      </c>
      <c r="BB132" s="4">
        <f t="shared" ref="BB132:BB195" si="63">ABS(W132/V$3-1)</f>
        <v>3.607620591811922E-2</v>
      </c>
      <c r="BC132" s="4">
        <f t="shared" ref="BC132:BC195" si="64">ABS(Y132/X$3-1)</f>
        <v>4.7487138899880987E-3</v>
      </c>
      <c r="BD132" s="4">
        <f t="shared" ref="BD132:BD195" si="65">ABS(AA132/Z$3-1)</f>
        <v>1.5576323987538943E-2</v>
      </c>
      <c r="BE132" s="4">
        <f t="shared" ref="BE132:BE195" si="66">ABS(AC132/AB$3-1)</f>
        <v>2.352487466255293E-2</v>
      </c>
      <c r="BF132" s="4">
        <f t="shared" ref="BF132:BF195" si="67">ABS(AE132/AD$3-1)</f>
        <v>9.931245225362817E-3</v>
      </c>
      <c r="BG132" s="4">
        <f t="shared" ref="BG132:BG195" si="68">ABS(AG132/AF$3-1)</f>
        <v>3.937007874015741E-2</v>
      </c>
      <c r="BH132" s="4">
        <f t="shared" ref="BH132:BH195" si="69">ABS(AI132/AH$3-1)</f>
        <v>2.4802300503235175E-2</v>
      </c>
      <c r="BI132" s="4">
        <f t="shared" ref="BI132:BI195" si="70">ABS(AK132/AJ$3-1)</f>
        <v>2.630630630630626E-2</v>
      </c>
      <c r="BJ132" s="4">
        <f t="shared" ref="BJ132:BJ195" si="71">ABS(AM132/AL$3-1)</f>
        <v>2.5510204081633514E-3</v>
      </c>
      <c r="BK132" s="4">
        <f t="shared" ref="BK132:BK195" si="72">ABS(AO132/AN$3-1)</f>
        <v>1.3153087321885248E-2</v>
      </c>
      <c r="BL132" s="4">
        <f t="shared" ref="BL132:BL195" si="73">ABS(AQ132/AP$3-1)</f>
        <v>2.9728725380899768E-3</v>
      </c>
      <c r="BM132" s="4">
        <f t="shared" si="51"/>
        <v>1.4559791689237553E-2</v>
      </c>
      <c r="BN132" s="9">
        <f t="shared" si="52"/>
        <v>13650.901997178691</v>
      </c>
      <c r="BO132" s="10">
        <f t="shared" si="53"/>
        <v>13130.990775740909</v>
      </c>
      <c r="BP132">
        <v>13850</v>
      </c>
      <c r="BQ132">
        <v>13865</v>
      </c>
      <c r="BR132">
        <v>13845</v>
      </c>
      <c r="BS132">
        <v>13860</v>
      </c>
      <c r="BT132">
        <v>96907</v>
      </c>
      <c r="BU132" s="13">
        <f t="shared" ref="BU132:BU195" si="74">SUM(BQ132:BS132)/3</f>
        <v>13856.666666666666</v>
      </c>
      <c r="BV132" s="13">
        <f t="shared" ref="BV132:BV195" si="75">BU132*BT132</f>
        <v>1342807996.6666665</v>
      </c>
      <c r="BW132" s="13">
        <f>SUM($BV$3:BV132)</f>
        <v>173156910448.33337</v>
      </c>
      <c r="BX132" s="13">
        <f>SUM($BT$3:BT132)</f>
        <v>12663202</v>
      </c>
      <c r="BY132" s="3">
        <f t="shared" ref="BY132:BY195" si="76">BW132/BX132</f>
        <v>13674.022608842011</v>
      </c>
    </row>
    <row r="133" spans="1:77" x14ac:dyDescent="0.3">
      <c r="A133" s="3" t="s">
        <v>173</v>
      </c>
      <c r="B133" s="3">
        <v>11605</v>
      </c>
      <c r="C133" s="3">
        <v>11605</v>
      </c>
      <c r="D133" s="3">
        <v>11480</v>
      </c>
      <c r="E133" s="3">
        <v>11470</v>
      </c>
      <c r="F133" s="3">
        <v>11690</v>
      </c>
      <c r="G133" s="3">
        <v>11700</v>
      </c>
      <c r="H133" s="3">
        <v>11535</v>
      </c>
      <c r="I133" s="3">
        <v>11530</v>
      </c>
      <c r="J133" s="3">
        <v>11685</v>
      </c>
      <c r="K133" s="3">
        <v>11685</v>
      </c>
      <c r="L133" s="3">
        <v>12015</v>
      </c>
      <c r="M133" s="3">
        <v>12020</v>
      </c>
      <c r="N133" s="3">
        <v>12530</v>
      </c>
      <c r="O133" s="3">
        <v>12540</v>
      </c>
      <c r="P133" s="3">
        <v>12715</v>
      </c>
      <c r="Q133" s="3">
        <v>12705</v>
      </c>
      <c r="R133" s="3">
        <v>12510</v>
      </c>
      <c r="S133" s="3">
        <v>12540</v>
      </c>
      <c r="T133" s="3">
        <v>12385</v>
      </c>
      <c r="U133" s="3">
        <v>12390</v>
      </c>
      <c r="V133" s="3">
        <v>12780</v>
      </c>
      <c r="W133" s="3">
        <v>12795</v>
      </c>
      <c r="X133" s="3">
        <v>12575</v>
      </c>
      <c r="Y133" s="3">
        <v>12565</v>
      </c>
      <c r="Z133" s="3">
        <v>12635</v>
      </c>
      <c r="AA133" s="3">
        <v>12630</v>
      </c>
      <c r="AB133" s="3">
        <v>13265</v>
      </c>
      <c r="AC133" s="3">
        <v>13295</v>
      </c>
      <c r="AD133" s="3">
        <v>13220</v>
      </c>
      <c r="AE133" s="3">
        <v>13210</v>
      </c>
      <c r="AF133" s="3">
        <v>13865</v>
      </c>
      <c r="AG133" s="3">
        <v>13855</v>
      </c>
      <c r="AH133" s="3">
        <v>14255</v>
      </c>
      <c r="AI133" s="3">
        <v>14250</v>
      </c>
      <c r="AJ133" s="3">
        <v>13500</v>
      </c>
      <c r="AK133" s="3">
        <v>13470</v>
      </c>
      <c r="AL133" s="3">
        <v>13755</v>
      </c>
      <c r="AM133" s="3">
        <v>13740</v>
      </c>
      <c r="AN133" s="3">
        <v>13505</v>
      </c>
      <c r="AO133" s="3">
        <v>13485</v>
      </c>
      <c r="AP133" s="3">
        <v>13495</v>
      </c>
      <c r="AQ133" s="3">
        <v>13480</v>
      </c>
      <c r="AR133" s="4">
        <f t="shared" ref="AR133:AR196" si="77">ABS(C133/B$3-1)</f>
        <v>6.5047701647875655E-3</v>
      </c>
      <c r="AS133" s="4">
        <f t="shared" si="54"/>
        <v>6.9264069264068917E-3</v>
      </c>
      <c r="AT133" s="4">
        <f t="shared" si="55"/>
        <v>2.9929577464788748E-2</v>
      </c>
      <c r="AU133" s="4">
        <f t="shared" si="56"/>
        <v>2.1222410865874397E-2</v>
      </c>
      <c r="AV133" s="4">
        <f t="shared" si="57"/>
        <v>4.2771599657831505E-4</v>
      </c>
      <c r="AW133" s="4">
        <f t="shared" si="58"/>
        <v>1.3490725126475533E-2</v>
      </c>
      <c r="AX133" s="4">
        <f t="shared" si="59"/>
        <v>3.5080478745356913E-2</v>
      </c>
      <c r="AY133" s="4">
        <f t="shared" si="60"/>
        <v>5.8685446009389963E-3</v>
      </c>
      <c r="AZ133" s="4">
        <f t="shared" si="61"/>
        <v>3.985651654045963E-4</v>
      </c>
      <c r="BA133" s="4">
        <f t="shared" si="62"/>
        <v>1.2121212121212199E-3</v>
      </c>
      <c r="BB133" s="4">
        <f t="shared" si="63"/>
        <v>3.7292257802999496E-2</v>
      </c>
      <c r="BC133" s="4">
        <f t="shared" si="64"/>
        <v>5.5401662049860967E-3</v>
      </c>
      <c r="BD133" s="4">
        <f t="shared" si="65"/>
        <v>1.6355140186915862E-2</v>
      </c>
      <c r="BE133" s="4">
        <f t="shared" si="66"/>
        <v>2.5453143077516449E-2</v>
      </c>
      <c r="BF133" s="4">
        <f t="shared" si="67"/>
        <v>9.1673032849504121E-3</v>
      </c>
      <c r="BG133" s="4">
        <f t="shared" si="68"/>
        <v>3.8995125609298853E-2</v>
      </c>
      <c r="BH133" s="4">
        <f t="shared" si="69"/>
        <v>2.4442846872753332E-2</v>
      </c>
      <c r="BI133" s="4">
        <f t="shared" si="70"/>
        <v>2.9189189189189224E-2</v>
      </c>
      <c r="BJ133" s="4">
        <f t="shared" si="71"/>
        <v>1.4577259475219151E-3</v>
      </c>
      <c r="BK133" s="4">
        <f t="shared" si="72"/>
        <v>1.4614541468761399E-2</v>
      </c>
      <c r="BL133" s="4">
        <f t="shared" si="73"/>
        <v>1.85804533630618E-3</v>
      </c>
      <c r="BM133" s="4">
        <f t="shared" ref="BM133:BM196" si="78">AVERAGE(AS133:BF133)</f>
        <v>1.488318261866528E-2</v>
      </c>
      <c r="BN133" s="9">
        <f t="shared" ref="BN133:BN196" si="79">MAX($AP$3,$AO$383)*(1+BM133)</f>
        <v>13655.253222134141</v>
      </c>
      <c r="BO133" s="10">
        <f t="shared" ref="BO133:BO196" si="80">MIN($AP$3,$AO$383)*(1-BM133)</f>
        <v>13126.681591606286</v>
      </c>
      <c r="BP133">
        <v>13865</v>
      </c>
      <c r="BQ133">
        <v>13865</v>
      </c>
      <c r="BR133">
        <v>13855</v>
      </c>
      <c r="BS133">
        <v>13855</v>
      </c>
      <c r="BT133">
        <v>28693</v>
      </c>
      <c r="BU133" s="13">
        <f t="shared" si="74"/>
        <v>13858.333333333334</v>
      </c>
      <c r="BV133" s="13">
        <f t="shared" si="75"/>
        <v>397637158.33333337</v>
      </c>
      <c r="BW133" s="13">
        <f>SUM($BV$3:BV133)</f>
        <v>173554547606.66672</v>
      </c>
      <c r="BX133" s="13">
        <f>SUM($BT$3:BT133)</f>
        <v>12691895</v>
      </c>
      <c r="BY133" s="3">
        <f t="shared" si="76"/>
        <v>13674.439286384477</v>
      </c>
    </row>
    <row r="134" spans="1:77" x14ac:dyDescent="0.3">
      <c r="A134" s="3" t="s">
        <v>174</v>
      </c>
      <c r="B134" s="3">
        <v>11605</v>
      </c>
      <c r="C134" s="3">
        <v>11615</v>
      </c>
      <c r="D134" s="3">
        <v>11470</v>
      </c>
      <c r="E134" s="3">
        <v>11470</v>
      </c>
      <c r="F134" s="3">
        <v>11700</v>
      </c>
      <c r="G134" s="3">
        <v>11710</v>
      </c>
      <c r="H134" s="3">
        <v>11525</v>
      </c>
      <c r="I134" s="3">
        <v>11530</v>
      </c>
      <c r="J134" s="3">
        <v>11685</v>
      </c>
      <c r="K134" s="3">
        <v>11695</v>
      </c>
      <c r="L134" s="3">
        <v>12015</v>
      </c>
      <c r="M134" s="3">
        <v>12015</v>
      </c>
      <c r="N134" s="3">
        <v>12545</v>
      </c>
      <c r="O134" s="3">
        <v>12540</v>
      </c>
      <c r="P134" s="3">
        <v>12710</v>
      </c>
      <c r="Q134" s="3">
        <v>12715</v>
      </c>
      <c r="R134" s="3">
        <v>12535</v>
      </c>
      <c r="S134" s="3">
        <v>12530</v>
      </c>
      <c r="T134" s="3">
        <v>12390</v>
      </c>
      <c r="U134" s="3">
        <v>12400</v>
      </c>
      <c r="V134" s="3">
        <v>12795</v>
      </c>
      <c r="W134" s="3">
        <v>12790</v>
      </c>
      <c r="X134" s="3">
        <v>12570</v>
      </c>
      <c r="Y134" s="3">
        <v>12595</v>
      </c>
      <c r="Z134" s="3">
        <v>12630</v>
      </c>
      <c r="AA134" s="3">
        <v>12630</v>
      </c>
      <c r="AB134" s="3">
        <v>13300</v>
      </c>
      <c r="AC134" s="3">
        <v>13295</v>
      </c>
      <c r="AD134" s="3">
        <v>13210</v>
      </c>
      <c r="AE134" s="3">
        <v>13210</v>
      </c>
      <c r="AF134" s="3">
        <v>13855</v>
      </c>
      <c r="AG134" s="3">
        <v>13860</v>
      </c>
      <c r="AH134" s="3">
        <v>14245</v>
      </c>
      <c r="AI134" s="3">
        <v>14250</v>
      </c>
      <c r="AJ134" s="3">
        <v>13475</v>
      </c>
      <c r="AK134" s="3">
        <v>13520</v>
      </c>
      <c r="AL134" s="3">
        <v>13745</v>
      </c>
      <c r="AM134" s="3">
        <v>13770</v>
      </c>
      <c r="AN134" s="3">
        <v>13485</v>
      </c>
      <c r="AO134" s="3">
        <v>13455</v>
      </c>
      <c r="AP134" s="3">
        <v>13480</v>
      </c>
      <c r="AQ134" s="3">
        <v>13475</v>
      </c>
      <c r="AR134" s="4">
        <f t="shared" si="77"/>
        <v>7.3720728534258928E-3</v>
      </c>
      <c r="AS134" s="4">
        <f t="shared" si="54"/>
        <v>6.9264069264068917E-3</v>
      </c>
      <c r="AT134" s="4">
        <f t="shared" si="55"/>
        <v>3.0809859154929509E-2</v>
      </c>
      <c r="AU134" s="4">
        <f t="shared" si="56"/>
        <v>2.1222410865874397E-2</v>
      </c>
      <c r="AV134" s="4">
        <f t="shared" si="57"/>
        <v>4.2771599657820403E-4</v>
      </c>
      <c r="AW134" s="4">
        <f t="shared" si="58"/>
        <v>1.3069139966273235E-2</v>
      </c>
      <c r="AX134" s="4">
        <f t="shared" si="59"/>
        <v>3.5080478745356913E-2</v>
      </c>
      <c r="AY134" s="4">
        <f t="shared" si="60"/>
        <v>5.0860719874804561E-3</v>
      </c>
      <c r="AZ134" s="4">
        <f t="shared" si="61"/>
        <v>1.1956954962136779E-3</v>
      </c>
      <c r="BA134" s="4">
        <f t="shared" si="62"/>
        <v>2.0202020202020332E-3</v>
      </c>
      <c r="BB134" s="4">
        <f t="shared" si="63"/>
        <v>3.6886907174706218E-2</v>
      </c>
      <c r="BC134" s="4">
        <f t="shared" si="64"/>
        <v>3.1658092599921028E-3</v>
      </c>
      <c r="BD134" s="4">
        <f t="shared" si="65"/>
        <v>1.6355140186915862E-2</v>
      </c>
      <c r="BE134" s="4">
        <f t="shared" si="66"/>
        <v>2.5453143077516449E-2</v>
      </c>
      <c r="BF134" s="4">
        <f t="shared" si="67"/>
        <v>9.1673032849504121E-3</v>
      </c>
      <c r="BG134" s="4">
        <f t="shared" si="68"/>
        <v>3.937007874015741E-2</v>
      </c>
      <c r="BH134" s="4">
        <f t="shared" si="69"/>
        <v>2.4442846872753332E-2</v>
      </c>
      <c r="BI134" s="4">
        <f t="shared" si="70"/>
        <v>2.5585585585585546E-2</v>
      </c>
      <c r="BJ134" s="4">
        <f t="shared" si="71"/>
        <v>3.6443148688045657E-3</v>
      </c>
      <c r="BK134" s="4">
        <f t="shared" si="72"/>
        <v>1.6806722689075682E-2</v>
      </c>
      <c r="BL134" s="4">
        <f t="shared" si="73"/>
        <v>1.4864362690449884E-3</v>
      </c>
      <c r="BM134" s="4">
        <f t="shared" si="78"/>
        <v>1.477616315309974E-2</v>
      </c>
      <c r="BN134" s="9">
        <f t="shared" si="79"/>
        <v>13653.813275224958</v>
      </c>
      <c r="BO134" s="10">
        <f t="shared" si="80"/>
        <v>13128.107625984947</v>
      </c>
      <c r="BP134">
        <v>13855</v>
      </c>
      <c r="BQ134">
        <v>13865</v>
      </c>
      <c r="BR134">
        <v>13855</v>
      </c>
      <c r="BS134">
        <v>13860</v>
      </c>
      <c r="BT134">
        <v>21726</v>
      </c>
      <c r="BU134" s="13">
        <f t="shared" si="74"/>
        <v>13860</v>
      </c>
      <c r="BV134" s="13">
        <f t="shared" si="75"/>
        <v>301122360</v>
      </c>
      <c r="BW134" s="13">
        <f>SUM($BV$3:BV134)</f>
        <v>173855669966.66672</v>
      </c>
      <c r="BX134" s="13">
        <f>SUM($BT$3:BT134)</f>
        <v>12713621</v>
      </c>
      <c r="BY134" s="3">
        <f t="shared" si="76"/>
        <v>13674.756386608246</v>
      </c>
    </row>
    <row r="135" spans="1:77" x14ac:dyDescent="0.3">
      <c r="A135" s="3" t="s">
        <v>175</v>
      </c>
      <c r="B135" s="3">
        <v>11620</v>
      </c>
      <c r="C135" s="3">
        <v>11620</v>
      </c>
      <c r="D135" s="3">
        <v>11470</v>
      </c>
      <c r="E135" s="3">
        <v>11465</v>
      </c>
      <c r="F135" s="3">
        <v>11700</v>
      </c>
      <c r="G135" s="3">
        <v>11710</v>
      </c>
      <c r="H135" s="3">
        <v>11535</v>
      </c>
      <c r="I135" s="3">
        <v>11550</v>
      </c>
      <c r="J135" s="3">
        <v>11695</v>
      </c>
      <c r="K135" s="3">
        <v>11700</v>
      </c>
      <c r="L135" s="3">
        <v>12010</v>
      </c>
      <c r="M135" s="3">
        <v>12020</v>
      </c>
      <c r="N135" s="3">
        <v>12540</v>
      </c>
      <c r="O135" s="3">
        <v>12540</v>
      </c>
      <c r="P135" s="3">
        <v>12715</v>
      </c>
      <c r="Q135" s="3">
        <v>12715</v>
      </c>
      <c r="R135" s="3">
        <v>12530</v>
      </c>
      <c r="S135" s="3">
        <v>12525</v>
      </c>
      <c r="T135" s="3">
        <v>12395</v>
      </c>
      <c r="U135" s="3">
        <v>12390</v>
      </c>
      <c r="V135" s="3">
        <v>12790</v>
      </c>
      <c r="W135" s="3">
        <v>12790</v>
      </c>
      <c r="X135" s="3">
        <v>12595</v>
      </c>
      <c r="Y135" s="3">
        <v>12620</v>
      </c>
      <c r="Z135" s="3">
        <v>12625</v>
      </c>
      <c r="AA135" s="3">
        <v>12640</v>
      </c>
      <c r="AB135" s="3">
        <v>13295</v>
      </c>
      <c r="AC135" s="3">
        <v>13285</v>
      </c>
      <c r="AD135" s="3">
        <v>13205</v>
      </c>
      <c r="AE135" s="3">
        <v>13190</v>
      </c>
      <c r="AF135" s="3">
        <v>13855</v>
      </c>
      <c r="AG135" s="3">
        <v>13850</v>
      </c>
      <c r="AH135" s="3">
        <v>14250</v>
      </c>
      <c r="AI135" s="3">
        <v>14255</v>
      </c>
      <c r="AJ135" s="3">
        <v>13515</v>
      </c>
      <c r="AK135" s="3">
        <v>13540</v>
      </c>
      <c r="AL135" s="3">
        <v>13765</v>
      </c>
      <c r="AM135" s="3">
        <v>13790</v>
      </c>
      <c r="AN135" s="3">
        <v>13455</v>
      </c>
      <c r="AO135" s="3">
        <v>13450</v>
      </c>
      <c r="AP135" s="3">
        <v>13480</v>
      </c>
      <c r="AQ135" s="3">
        <v>13485</v>
      </c>
      <c r="AR135" s="4">
        <f t="shared" si="77"/>
        <v>7.8057241977449454E-3</v>
      </c>
      <c r="AS135" s="4">
        <f t="shared" si="54"/>
        <v>7.3593073593073433E-3</v>
      </c>
      <c r="AT135" s="4">
        <f t="shared" si="55"/>
        <v>3.0809859154929509E-2</v>
      </c>
      <c r="AU135" s="4">
        <f t="shared" si="56"/>
        <v>1.9524617996604432E-2</v>
      </c>
      <c r="AV135" s="4">
        <f t="shared" si="57"/>
        <v>8.554319931566301E-4</v>
      </c>
      <c r="AW135" s="4">
        <f t="shared" si="58"/>
        <v>1.3490725126475533E-2</v>
      </c>
      <c r="AX135" s="4">
        <f t="shared" si="59"/>
        <v>3.5080478745356913E-2</v>
      </c>
      <c r="AY135" s="4">
        <f t="shared" si="60"/>
        <v>5.0860719874804561E-3</v>
      </c>
      <c r="AZ135" s="4">
        <f t="shared" si="61"/>
        <v>1.5942606616181632E-3</v>
      </c>
      <c r="BA135" s="4">
        <f t="shared" si="62"/>
        <v>1.2121212121212199E-3</v>
      </c>
      <c r="BB135" s="4">
        <f t="shared" si="63"/>
        <v>3.6886907174706218E-2</v>
      </c>
      <c r="BC135" s="4">
        <f t="shared" si="64"/>
        <v>1.1871784724970524E-3</v>
      </c>
      <c r="BD135" s="4">
        <f t="shared" si="65"/>
        <v>1.5576323987538943E-2</v>
      </c>
      <c r="BE135" s="4">
        <f t="shared" si="66"/>
        <v>2.4681835711531042E-2</v>
      </c>
      <c r="BF135" s="4">
        <f t="shared" si="67"/>
        <v>7.6394194041253805E-3</v>
      </c>
      <c r="BG135" s="4">
        <f t="shared" si="68"/>
        <v>3.8620172478440296E-2</v>
      </c>
      <c r="BH135" s="4">
        <f t="shared" si="69"/>
        <v>2.4802300503235175E-2</v>
      </c>
      <c r="BI135" s="4">
        <f t="shared" si="70"/>
        <v>2.414414414414412E-2</v>
      </c>
      <c r="BJ135" s="4">
        <f t="shared" si="71"/>
        <v>5.1020408163264808E-3</v>
      </c>
      <c r="BK135" s="4">
        <f t="shared" si="72"/>
        <v>1.7172086225794692E-2</v>
      </c>
      <c r="BL135" s="4">
        <f t="shared" si="73"/>
        <v>2.2296544035673715E-3</v>
      </c>
      <c r="BM135" s="4">
        <f t="shared" si="78"/>
        <v>1.4356038499103487E-2</v>
      </c>
      <c r="BN135" s="9">
        <f t="shared" si="79"/>
        <v>13648.160498005438</v>
      </c>
      <c r="BO135" s="10">
        <f t="shared" si="80"/>
        <v>13133.705786999446</v>
      </c>
      <c r="BP135">
        <v>13855</v>
      </c>
      <c r="BQ135">
        <v>13860</v>
      </c>
      <c r="BR135">
        <v>13845</v>
      </c>
      <c r="BS135">
        <v>13850</v>
      </c>
      <c r="BT135">
        <v>30134</v>
      </c>
      <c r="BU135" s="13">
        <f t="shared" si="74"/>
        <v>13851.666666666666</v>
      </c>
      <c r="BV135" s="13">
        <f t="shared" si="75"/>
        <v>417406123.33333331</v>
      </c>
      <c r="BW135" s="13">
        <f>SUM($BV$3:BV135)</f>
        <v>174273076090.00006</v>
      </c>
      <c r="BX135" s="13">
        <f>SUM($BT$3:BT135)</f>
        <v>12743755</v>
      </c>
      <c r="BY135" s="3">
        <f t="shared" si="76"/>
        <v>13675.174710279667</v>
      </c>
    </row>
    <row r="136" spans="1:77" x14ac:dyDescent="0.3">
      <c r="A136" s="3" t="s">
        <v>176</v>
      </c>
      <c r="B136" s="3">
        <v>11615</v>
      </c>
      <c r="C136" s="3">
        <v>11620</v>
      </c>
      <c r="D136" s="3">
        <v>11460</v>
      </c>
      <c r="E136" s="3">
        <v>11460</v>
      </c>
      <c r="F136" s="3">
        <v>11715</v>
      </c>
      <c r="G136" s="3">
        <v>11705</v>
      </c>
      <c r="H136" s="3">
        <v>11550</v>
      </c>
      <c r="I136" s="3">
        <v>11555</v>
      </c>
      <c r="J136" s="3">
        <v>11700</v>
      </c>
      <c r="K136" s="3">
        <v>11705</v>
      </c>
      <c r="L136" s="3">
        <v>12020</v>
      </c>
      <c r="M136" s="3">
        <v>12005</v>
      </c>
      <c r="N136" s="3">
        <v>12545</v>
      </c>
      <c r="O136" s="3">
        <v>12550</v>
      </c>
      <c r="P136" s="3">
        <v>12710</v>
      </c>
      <c r="Q136" s="3">
        <v>12710</v>
      </c>
      <c r="R136" s="3">
        <v>12525</v>
      </c>
      <c r="S136" s="3">
        <v>12515</v>
      </c>
      <c r="T136" s="3">
        <v>12385</v>
      </c>
      <c r="U136" s="3">
        <v>12385</v>
      </c>
      <c r="V136" s="3">
        <v>12795</v>
      </c>
      <c r="W136" s="3">
        <v>12810</v>
      </c>
      <c r="X136" s="3">
        <v>12625</v>
      </c>
      <c r="Y136" s="3">
        <v>12645</v>
      </c>
      <c r="Z136" s="3">
        <v>12640</v>
      </c>
      <c r="AA136" s="3">
        <v>12645</v>
      </c>
      <c r="AB136" s="3">
        <v>13290</v>
      </c>
      <c r="AC136" s="3">
        <v>13305</v>
      </c>
      <c r="AD136" s="3">
        <v>13185</v>
      </c>
      <c r="AE136" s="3">
        <v>13190</v>
      </c>
      <c r="AF136" s="3">
        <v>13850</v>
      </c>
      <c r="AG136" s="3">
        <v>13855</v>
      </c>
      <c r="AH136" s="3">
        <v>14260</v>
      </c>
      <c r="AI136" s="3">
        <v>14255</v>
      </c>
      <c r="AJ136" s="3">
        <v>13540</v>
      </c>
      <c r="AK136" s="3">
        <v>13540</v>
      </c>
      <c r="AL136" s="3">
        <v>13790</v>
      </c>
      <c r="AM136" s="3">
        <v>13805</v>
      </c>
      <c r="AN136" s="3">
        <v>13455</v>
      </c>
      <c r="AO136" s="3">
        <v>13445</v>
      </c>
      <c r="AP136" s="3">
        <v>13485</v>
      </c>
      <c r="AQ136" s="3">
        <v>13485</v>
      </c>
      <c r="AR136" s="4">
        <f t="shared" si="77"/>
        <v>7.8057241977449454E-3</v>
      </c>
      <c r="AS136" s="4">
        <f t="shared" si="54"/>
        <v>7.7922077922077948E-3</v>
      </c>
      <c r="AT136" s="4">
        <f t="shared" si="55"/>
        <v>3.0369718309859239E-2</v>
      </c>
      <c r="AU136" s="4">
        <f t="shared" si="56"/>
        <v>1.9100169779286968E-2</v>
      </c>
      <c r="AV136" s="4">
        <f t="shared" si="57"/>
        <v>1.2831479897348341E-3</v>
      </c>
      <c r="AW136" s="4">
        <f t="shared" si="58"/>
        <v>1.2225969645868418E-2</v>
      </c>
      <c r="AX136" s="4">
        <f t="shared" si="59"/>
        <v>3.5905901774659466E-2</v>
      </c>
      <c r="AY136" s="4">
        <f t="shared" si="60"/>
        <v>5.4773082942096707E-3</v>
      </c>
      <c r="AZ136" s="4">
        <f t="shared" si="61"/>
        <v>2.3913909924272447E-3</v>
      </c>
      <c r="BA136" s="4">
        <f t="shared" si="62"/>
        <v>8.0808080808081328E-4</v>
      </c>
      <c r="BB136" s="4">
        <f t="shared" si="63"/>
        <v>3.8508309687879994E-2</v>
      </c>
      <c r="BC136" s="4">
        <f t="shared" si="64"/>
        <v>7.9145231499810897E-4</v>
      </c>
      <c r="BD136" s="4">
        <f t="shared" si="65"/>
        <v>1.5186915887850483E-2</v>
      </c>
      <c r="BE136" s="4">
        <f t="shared" si="66"/>
        <v>2.6224450443501635E-2</v>
      </c>
      <c r="BF136" s="4">
        <f t="shared" si="67"/>
        <v>7.6394194041253805E-3</v>
      </c>
      <c r="BG136" s="4">
        <f t="shared" si="68"/>
        <v>3.8995125609298853E-2</v>
      </c>
      <c r="BH136" s="4">
        <f t="shared" si="69"/>
        <v>2.4802300503235175E-2</v>
      </c>
      <c r="BI136" s="4">
        <f t="shared" si="70"/>
        <v>2.414414414414412E-2</v>
      </c>
      <c r="BJ136" s="4">
        <f t="shared" si="71"/>
        <v>6.1953352769679171E-3</v>
      </c>
      <c r="BK136" s="4">
        <f t="shared" si="72"/>
        <v>1.7537449762513702E-2</v>
      </c>
      <c r="BL136" s="4">
        <f t="shared" si="73"/>
        <v>2.2296544035673715E-3</v>
      </c>
      <c r="BM136" s="4">
        <f t="shared" si="78"/>
        <v>1.455031736604929E-2</v>
      </c>
      <c r="BN136" s="9">
        <f t="shared" si="79"/>
        <v>13650.774520160194</v>
      </c>
      <c r="BO136" s="10">
        <f t="shared" si="80"/>
        <v>13131.117021097394</v>
      </c>
      <c r="BP136">
        <v>13850</v>
      </c>
      <c r="BQ136">
        <v>13860</v>
      </c>
      <c r="BR136">
        <v>13850</v>
      </c>
      <c r="BS136">
        <v>13855</v>
      </c>
      <c r="BT136">
        <v>18056</v>
      </c>
      <c r="BU136" s="13">
        <f t="shared" si="74"/>
        <v>13855</v>
      </c>
      <c r="BV136" s="13">
        <f t="shared" si="75"/>
        <v>250165880</v>
      </c>
      <c r="BW136" s="13">
        <f>SUM($BV$3:BV136)</f>
        <v>174523241970.00006</v>
      </c>
      <c r="BX136" s="13">
        <f>SUM($BT$3:BT136)</f>
        <v>12761811</v>
      </c>
      <c r="BY136" s="3">
        <f t="shared" si="76"/>
        <v>13675.429135410332</v>
      </c>
    </row>
    <row r="137" spans="1:77" x14ac:dyDescent="0.3">
      <c r="A137" s="3" t="s">
        <v>177</v>
      </c>
      <c r="B137" s="3">
        <v>11620</v>
      </c>
      <c r="C137" s="3">
        <v>11615</v>
      </c>
      <c r="D137" s="3">
        <v>11460</v>
      </c>
      <c r="E137" s="3">
        <v>11455</v>
      </c>
      <c r="F137" s="3">
        <v>11705</v>
      </c>
      <c r="G137" s="3">
        <v>11685</v>
      </c>
      <c r="H137" s="3">
        <v>11555</v>
      </c>
      <c r="I137" s="3">
        <v>11550</v>
      </c>
      <c r="J137" s="3">
        <v>11705</v>
      </c>
      <c r="K137" s="3">
        <v>11705</v>
      </c>
      <c r="L137" s="3">
        <v>12005</v>
      </c>
      <c r="M137" s="3">
        <v>12000</v>
      </c>
      <c r="N137" s="3">
        <v>12550</v>
      </c>
      <c r="O137" s="3">
        <v>12560</v>
      </c>
      <c r="P137" s="3">
        <v>12710</v>
      </c>
      <c r="Q137" s="3">
        <v>12710</v>
      </c>
      <c r="R137" s="3">
        <v>12515</v>
      </c>
      <c r="S137" s="3">
        <v>12525</v>
      </c>
      <c r="T137" s="3">
        <v>12385</v>
      </c>
      <c r="U137" s="3">
        <v>12395</v>
      </c>
      <c r="V137" s="3">
        <v>12810</v>
      </c>
      <c r="W137" s="3">
        <v>12795</v>
      </c>
      <c r="X137" s="3">
        <v>12645</v>
      </c>
      <c r="Y137" s="3">
        <v>12630</v>
      </c>
      <c r="Z137" s="3">
        <v>12645</v>
      </c>
      <c r="AA137" s="3">
        <v>12660</v>
      </c>
      <c r="AB137" s="3">
        <v>13305</v>
      </c>
      <c r="AC137" s="3">
        <v>13315</v>
      </c>
      <c r="AD137" s="3">
        <v>13190</v>
      </c>
      <c r="AE137" s="3">
        <v>13190</v>
      </c>
      <c r="AF137" s="3">
        <v>13855</v>
      </c>
      <c r="AG137" s="3">
        <v>13845</v>
      </c>
      <c r="AH137" s="3">
        <v>14255</v>
      </c>
      <c r="AI137" s="3">
        <v>14260</v>
      </c>
      <c r="AJ137" s="3">
        <v>13540</v>
      </c>
      <c r="AK137" s="3">
        <v>13540</v>
      </c>
      <c r="AL137" s="3">
        <v>13805</v>
      </c>
      <c r="AM137" s="3">
        <v>13805</v>
      </c>
      <c r="AN137" s="3">
        <v>13440</v>
      </c>
      <c r="AO137" s="3">
        <v>13440</v>
      </c>
      <c r="AP137" s="3">
        <v>13485</v>
      </c>
      <c r="AQ137" s="3">
        <v>13485</v>
      </c>
      <c r="AR137" s="4">
        <f t="shared" si="77"/>
        <v>7.3720728534258928E-3</v>
      </c>
      <c r="AS137" s="4">
        <f t="shared" si="54"/>
        <v>8.2251082251082464E-3</v>
      </c>
      <c r="AT137" s="4">
        <f t="shared" si="55"/>
        <v>2.8609154929577496E-2</v>
      </c>
      <c r="AU137" s="4">
        <f t="shared" si="56"/>
        <v>1.9524617996604432E-2</v>
      </c>
      <c r="AV137" s="4">
        <f t="shared" si="57"/>
        <v>1.2831479897348341E-3</v>
      </c>
      <c r="AW137" s="4">
        <f t="shared" si="58"/>
        <v>1.180438448566612E-2</v>
      </c>
      <c r="AX137" s="4">
        <f t="shared" si="59"/>
        <v>3.6731324803962018E-2</v>
      </c>
      <c r="AY137" s="4">
        <f t="shared" si="60"/>
        <v>5.4773082942096707E-3</v>
      </c>
      <c r="AZ137" s="4">
        <f t="shared" si="61"/>
        <v>1.5942606616181632E-3</v>
      </c>
      <c r="BA137" s="4">
        <f t="shared" si="62"/>
        <v>1.6161616161616266E-3</v>
      </c>
      <c r="BB137" s="4">
        <f t="shared" si="63"/>
        <v>3.7292257802999496E-2</v>
      </c>
      <c r="BC137" s="4">
        <f t="shared" si="64"/>
        <v>3.9572615749905449E-4</v>
      </c>
      <c r="BD137" s="4">
        <f t="shared" si="65"/>
        <v>1.4018691588784993E-2</v>
      </c>
      <c r="BE137" s="4">
        <f t="shared" si="66"/>
        <v>2.6995757809487042E-2</v>
      </c>
      <c r="BF137" s="4">
        <f t="shared" si="67"/>
        <v>7.6394194041253805E-3</v>
      </c>
      <c r="BG137" s="4">
        <f t="shared" si="68"/>
        <v>3.8245219347581516E-2</v>
      </c>
      <c r="BH137" s="4">
        <f t="shared" si="69"/>
        <v>2.5161754133716796E-2</v>
      </c>
      <c r="BI137" s="4">
        <f t="shared" si="70"/>
        <v>2.414414414414412E-2</v>
      </c>
      <c r="BJ137" s="4">
        <f t="shared" si="71"/>
        <v>6.1953352769679171E-3</v>
      </c>
      <c r="BK137" s="4">
        <f t="shared" si="72"/>
        <v>1.7902813299232712E-2</v>
      </c>
      <c r="BL137" s="4">
        <f t="shared" si="73"/>
        <v>2.2296544035673715E-3</v>
      </c>
      <c r="BM137" s="4">
        <f t="shared" si="78"/>
        <v>1.4371951554681326E-2</v>
      </c>
      <c r="BN137" s="9">
        <f t="shared" si="79"/>
        <v>13648.374608168238</v>
      </c>
      <c r="BO137" s="10">
        <f t="shared" si="80"/>
        <v>13133.493745533871</v>
      </c>
      <c r="BP137">
        <v>13855</v>
      </c>
      <c r="BQ137">
        <v>13855</v>
      </c>
      <c r="BR137">
        <v>13840</v>
      </c>
      <c r="BS137">
        <v>13845</v>
      </c>
      <c r="BT137">
        <v>11433</v>
      </c>
      <c r="BU137" s="13">
        <f t="shared" si="74"/>
        <v>13846.666666666666</v>
      </c>
      <c r="BV137" s="13">
        <f t="shared" si="75"/>
        <v>158308940</v>
      </c>
      <c r="BW137" s="13">
        <f>SUM($BV$3:BV137)</f>
        <v>174681550910.00006</v>
      </c>
      <c r="BX137" s="13">
        <f>SUM($BT$3:BT137)</f>
        <v>12773244</v>
      </c>
      <c r="BY137" s="3">
        <f t="shared" si="76"/>
        <v>13675.582405691152</v>
      </c>
    </row>
    <row r="138" spans="1:77" x14ac:dyDescent="0.3">
      <c r="A138" s="3" t="s">
        <v>178</v>
      </c>
      <c r="B138" s="3">
        <v>11615</v>
      </c>
      <c r="C138" s="3">
        <v>11620</v>
      </c>
      <c r="D138" s="3">
        <v>11450</v>
      </c>
      <c r="E138" s="3">
        <v>11445</v>
      </c>
      <c r="F138" s="3">
        <v>11695</v>
      </c>
      <c r="G138" s="3">
        <v>11685</v>
      </c>
      <c r="H138" s="3">
        <v>11550</v>
      </c>
      <c r="I138" s="3">
        <v>11555</v>
      </c>
      <c r="J138" s="3">
        <v>11705</v>
      </c>
      <c r="K138" s="3">
        <v>11720</v>
      </c>
      <c r="L138" s="3">
        <v>12000</v>
      </c>
      <c r="M138" s="3">
        <v>11985</v>
      </c>
      <c r="N138" s="3">
        <v>12560</v>
      </c>
      <c r="O138" s="3">
        <v>12565</v>
      </c>
      <c r="P138" s="3">
        <v>12715</v>
      </c>
      <c r="Q138" s="3">
        <v>12730</v>
      </c>
      <c r="R138" s="3">
        <v>12525</v>
      </c>
      <c r="S138" s="3">
        <v>12540</v>
      </c>
      <c r="T138" s="3">
        <v>12395</v>
      </c>
      <c r="U138" s="3">
        <v>12400</v>
      </c>
      <c r="V138" s="3">
        <v>12800</v>
      </c>
      <c r="W138" s="3">
        <v>12810</v>
      </c>
      <c r="X138" s="3">
        <v>12630</v>
      </c>
      <c r="Y138" s="3">
        <v>12610</v>
      </c>
      <c r="Z138" s="3">
        <v>12660</v>
      </c>
      <c r="AA138" s="3">
        <v>12660</v>
      </c>
      <c r="AB138" s="3">
        <v>13310</v>
      </c>
      <c r="AC138" s="3">
        <v>13305</v>
      </c>
      <c r="AD138" s="3">
        <v>13195</v>
      </c>
      <c r="AE138" s="3">
        <v>13180</v>
      </c>
      <c r="AF138" s="3">
        <v>13850</v>
      </c>
      <c r="AG138" s="3">
        <v>13855</v>
      </c>
      <c r="AH138" s="3">
        <v>14260</v>
      </c>
      <c r="AI138" s="3">
        <v>14265</v>
      </c>
      <c r="AJ138" s="3">
        <v>13535</v>
      </c>
      <c r="AK138" s="3">
        <v>13545</v>
      </c>
      <c r="AL138" s="3">
        <v>13810</v>
      </c>
      <c r="AM138" s="3">
        <v>13800</v>
      </c>
      <c r="AN138" s="3">
        <v>13435</v>
      </c>
      <c r="AO138" s="3">
        <v>13425</v>
      </c>
      <c r="AP138" s="3">
        <v>13485</v>
      </c>
      <c r="AQ138" s="3">
        <v>13475</v>
      </c>
      <c r="AR138" s="4">
        <f t="shared" si="77"/>
        <v>7.8057241977449454E-3</v>
      </c>
      <c r="AS138" s="4">
        <f t="shared" si="54"/>
        <v>9.0909090909090384E-3</v>
      </c>
      <c r="AT138" s="4">
        <f t="shared" si="55"/>
        <v>2.8609154929577496E-2</v>
      </c>
      <c r="AU138" s="4">
        <f t="shared" si="56"/>
        <v>1.9100169779286968E-2</v>
      </c>
      <c r="AV138" s="4">
        <f t="shared" si="57"/>
        <v>2.5662959794696683E-3</v>
      </c>
      <c r="AW138" s="4">
        <f t="shared" si="58"/>
        <v>1.0539629005059004E-2</v>
      </c>
      <c r="AX138" s="4">
        <f t="shared" si="59"/>
        <v>3.7144036318613294E-2</v>
      </c>
      <c r="AY138" s="4">
        <f t="shared" si="60"/>
        <v>3.9123630672925902E-3</v>
      </c>
      <c r="AZ138" s="4">
        <f t="shared" si="61"/>
        <v>3.985651654045963E-4</v>
      </c>
      <c r="BA138" s="4">
        <f t="shared" si="62"/>
        <v>2.0202020202020332E-3</v>
      </c>
      <c r="BB138" s="4">
        <f t="shared" si="63"/>
        <v>3.8508309687879994E-2</v>
      </c>
      <c r="BC138" s="4">
        <f t="shared" si="64"/>
        <v>1.9786307874950504E-3</v>
      </c>
      <c r="BD138" s="4">
        <f t="shared" si="65"/>
        <v>1.4018691588784993E-2</v>
      </c>
      <c r="BE138" s="4">
        <f t="shared" si="66"/>
        <v>2.6224450443501635E-2</v>
      </c>
      <c r="BF138" s="4">
        <f t="shared" si="67"/>
        <v>6.8754774637127536E-3</v>
      </c>
      <c r="BG138" s="4">
        <f t="shared" si="68"/>
        <v>3.8995125609298853E-2</v>
      </c>
      <c r="BH138" s="4">
        <f t="shared" si="69"/>
        <v>2.5521207764198417E-2</v>
      </c>
      <c r="BI138" s="4">
        <f t="shared" si="70"/>
        <v>2.3783783783783763E-2</v>
      </c>
      <c r="BJ138" s="4">
        <f t="shared" si="71"/>
        <v>5.8309037900874383E-3</v>
      </c>
      <c r="BK138" s="4">
        <f t="shared" si="72"/>
        <v>1.8998903909389853E-2</v>
      </c>
      <c r="BL138" s="4">
        <f t="shared" si="73"/>
        <v>1.4864362690449884E-3</v>
      </c>
      <c r="BM138" s="4">
        <f t="shared" si="78"/>
        <v>1.4356206094799222E-2</v>
      </c>
      <c r="BN138" s="9">
        <f t="shared" si="79"/>
        <v>13648.162753005525</v>
      </c>
      <c r="BO138" s="10">
        <f t="shared" si="80"/>
        <v>13133.7035537868</v>
      </c>
      <c r="BP138">
        <v>13850</v>
      </c>
      <c r="BQ138">
        <v>13855</v>
      </c>
      <c r="BR138">
        <v>13850</v>
      </c>
      <c r="BS138">
        <v>13855</v>
      </c>
      <c r="BT138">
        <v>15190</v>
      </c>
      <c r="BU138" s="13">
        <f t="shared" si="74"/>
        <v>13853.333333333334</v>
      </c>
      <c r="BV138" s="13">
        <f t="shared" si="75"/>
        <v>210432133.33333334</v>
      </c>
      <c r="BW138" s="13">
        <f>SUM($BV$3:BV138)</f>
        <v>174891983043.3334</v>
      </c>
      <c r="BX138" s="13">
        <f>SUM($BT$3:BT138)</f>
        <v>12788434</v>
      </c>
      <c r="BY138" s="3">
        <f t="shared" si="76"/>
        <v>13675.79353682659</v>
      </c>
    </row>
    <row r="139" spans="1:77" x14ac:dyDescent="0.3">
      <c r="A139" s="3" t="s">
        <v>179</v>
      </c>
      <c r="B139" s="3">
        <v>11625</v>
      </c>
      <c r="C139" s="3">
        <v>11630</v>
      </c>
      <c r="D139" s="3">
        <v>11445</v>
      </c>
      <c r="E139" s="3">
        <v>11455</v>
      </c>
      <c r="F139" s="3">
        <v>11690</v>
      </c>
      <c r="G139" s="3">
        <v>11695</v>
      </c>
      <c r="H139" s="3">
        <v>11560</v>
      </c>
      <c r="I139" s="3">
        <v>11565</v>
      </c>
      <c r="J139" s="3">
        <v>11720</v>
      </c>
      <c r="K139" s="3">
        <v>11720</v>
      </c>
      <c r="L139" s="3">
        <v>11990</v>
      </c>
      <c r="M139" s="3">
        <v>11990</v>
      </c>
      <c r="N139" s="3">
        <v>12565</v>
      </c>
      <c r="O139" s="3">
        <v>12580</v>
      </c>
      <c r="P139" s="3">
        <v>12730</v>
      </c>
      <c r="Q139" s="3">
        <v>12735</v>
      </c>
      <c r="R139" s="3">
        <v>12540</v>
      </c>
      <c r="S139" s="3">
        <v>12550</v>
      </c>
      <c r="T139" s="3">
        <v>12405</v>
      </c>
      <c r="U139" s="3">
        <v>12400</v>
      </c>
      <c r="V139" s="3">
        <v>12810</v>
      </c>
      <c r="W139" s="3">
        <v>12810</v>
      </c>
      <c r="X139" s="3">
        <v>12605</v>
      </c>
      <c r="Y139" s="3">
        <v>12610</v>
      </c>
      <c r="Z139" s="3">
        <v>12660</v>
      </c>
      <c r="AA139" s="3">
        <v>12645</v>
      </c>
      <c r="AB139" s="3">
        <v>13310</v>
      </c>
      <c r="AC139" s="3">
        <v>13305</v>
      </c>
      <c r="AD139" s="3">
        <v>13180</v>
      </c>
      <c r="AE139" s="3">
        <v>13175</v>
      </c>
      <c r="AF139" s="3">
        <v>13855</v>
      </c>
      <c r="AG139" s="3">
        <v>13855</v>
      </c>
      <c r="AH139" s="3">
        <v>14260</v>
      </c>
      <c r="AI139" s="3">
        <v>14255</v>
      </c>
      <c r="AJ139" s="3">
        <v>13545</v>
      </c>
      <c r="AK139" s="3">
        <v>13580</v>
      </c>
      <c r="AL139" s="3">
        <v>13800</v>
      </c>
      <c r="AM139" s="3">
        <v>13785</v>
      </c>
      <c r="AN139" s="3">
        <v>13425</v>
      </c>
      <c r="AO139" s="3">
        <v>13440</v>
      </c>
      <c r="AP139" s="3">
        <v>13475</v>
      </c>
      <c r="AQ139" s="3">
        <v>13475</v>
      </c>
      <c r="AR139" s="4">
        <f t="shared" si="77"/>
        <v>8.6730268863832727E-3</v>
      </c>
      <c r="AS139" s="4">
        <f t="shared" si="54"/>
        <v>8.2251082251082464E-3</v>
      </c>
      <c r="AT139" s="4">
        <f t="shared" si="55"/>
        <v>2.9489436619718257E-2</v>
      </c>
      <c r="AU139" s="4">
        <f t="shared" si="56"/>
        <v>1.825127334465193E-2</v>
      </c>
      <c r="AV139" s="4">
        <f t="shared" si="57"/>
        <v>2.5662959794696683E-3</v>
      </c>
      <c r="AW139" s="4">
        <f t="shared" si="58"/>
        <v>1.0961214165261302E-2</v>
      </c>
      <c r="AX139" s="4">
        <f t="shared" si="59"/>
        <v>3.8382170862567122E-2</v>
      </c>
      <c r="AY139" s="4">
        <f t="shared" si="60"/>
        <v>3.5211267605633756E-3</v>
      </c>
      <c r="AZ139" s="4">
        <f t="shared" si="61"/>
        <v>3.985651654045963E-4</v>
      </c>
      <c r="BA139" s="4">
        <f t="shared" si="62"/>
        <v>2.0202020202020332E-3</v>
      </c>
      <c r="BB139" s="4">
        <f t="shared" si="63"/>
        <v>3.8508309687879994E-2</v>
      </c>
      <c r="BC139" s="4">
        <f t="shared" si="64"/>
        <v>1.9786307874950504E-3</v>
      </c>
      <c r="BD139" s="4">
        <f t="shared" si="65"/>
        <v>1.5186915887850483E-2</v>
      </c>
      <c r="BE139" s="4">
        <f t="shared" si="66"/>
        <v>2.6224450443501635E-2</v>
      </c>
      <c r="BF139" s="4">
        <f t="shared" si="67"/>
        <v>6.4935064935065512E-3</v>
      </c>
      <c r="BG139" s="4">
        <f t="shared" si="68"/>
        <v>3.8995125609298853E-2</v>
      </c>
      <c r="BH139" s="4">
        <f t="shared" si="69"/>
        <v>2.4802300503235175E-2</v>
      </c>
      <c r="BI139" s="4">
        <f t="shared" si="70"/>
        <v>2.1261261261261266E-2</v>
      </c>
      <c r="BJ139" s="4">
        <f t="shared" si="71"/>
        <v>4.737609329446002E-3</v>
      </c>
      <c r="BK139" s="4">
        <f t="shared" si="72"/>
        <v>1.7902813299232712E-2</v>
      </c>
      <c r="BL139" s="4">
        <f t="shared" si="73"/>
        <v>1.4864362690449884E-3</v>
      </c>
      <c r="BM139" s="4">
        <f t="shared" si="78"/>
        <v>1.4443371888798589E-2</v>
      </c>
      <c r="BN139" s="9">
        <f t="shared" si="79"/>
        <v>13649.335568763785</v>
      </c>
      <c r="BO139" s="10">
        <f t="shared" si="80"/>
        <v>13132.542069581757</v>
      </c>
      <c r="BP139">
        <v>13855</v>
      </c>
      <c r="BQ139">
        <v>13860</v>
      </c>
      <c r="BR139">
        <v>13850</v>
      </c>
      <c r="BS139">
        <v>13855</v>
      </c>
      <c r="BT139">
        <v>11478</v>
      </c>
      <c r="BU139" s="13">
        <f t="shared" si="74"/>
        <v>13855</v>
      </c>
      <c r="BV139" s="13">
        <f t="shared" si="75"/>
        <v>159027690</v>
      </c>
      <c r="BW139" s="13">
        <f>SUM($BV$3:BV139)</f>
        <v>175051010733.3334</v>
      </c>
      <c r="BX139" s="13">
        <f>SUM($BT$3:BT139)</f>
        <v>12799912</v>
      </c>
      <c r="BY139" s="3">
        <f t="shared" si="76"/>
        <v>13675.954235727042</v>
      </c>
    </row>
    <row r="140" spans="1:77" x14ac:dyDescent="0.3">
      <c r="A140" s="3" t="s">
        <v>180</v>
      </c>
      <c r="B140" s="3">
        <v>11625</v>
      </c>
      <c r="C140" s="3">
        <v>11640</v>
      </c>
      <c r="D140" s="3">
        <v>11455</v>
      </c>
      <c r="E140" s="3">
        <v>11435</v>
      </c>
      <c r="F140" s="3">
        <v>11690</v>
      </c>
      <c r="G140" s="3">
        <v>11690</v>
      </c>
      <c r="H140" s="3">
        <v>11565</v>
      </c>
      <c r="I140" s="3">
        <v>11555</v>
      </c>
      <c r="J140" s="3">
        <v>11720</v>
      </c>
      <c r="K140" s="3">
        <v>11730</v>
      </c>
      <c r="L140" s="3">
        <v>11990</v>
      </c>
      <c r="M140" s="3">
        <v>12000</v>
      </c>
      <c r="N140" s="3">
        <v>12580</v>
      </c>
      <c r="O140" s="3">
        <v>12565</v>
      </c>
      <c r="P140" s="3">
        <v>12740</v>
      </c>
      <c r="Q140" s="3">
        <v>12730</v>
      </c>
      <c r="R140" s="3">
        <v>12545</v>
      </c>
      <c r="S140" s="3">
        <v>12555</v>
      </c>
      <c r="T140" s="3">
        <v>12395</v>
      </c>
      <c r="U140" s="3">
        <v>12390</v>
      </c>
      <c r="V140" s="3">
        <v>12810</v>
      </c>
      <c r="W140" s="3">
        <v>12810</v>
      </c>
      <c r="X140" s="3">
        <v>12615</v>
      </c>
      <c r="Y140" s="3">
        <v>12610</v>
      </c>
      <c r="Z140" s="3">
        <v>12645</v>
      </c>
      <c r="AA140" s="3">
        <v>12640</v>
      </c>
      <c r="AB140" s="3">
        <v>13305</v>
      </c>
      <c r="AC140" s="3">
        <v>13305</v>
      </c>
      <c r="AD140" s="3">
        <v>13175</v>
      </c>
      <c r="AE140" s="3">
        <v>13175</v>
      </c>
      <c r="AF140" s="3">
        <v>13855</v>
      </c>
      <c r="AG140" s="3">
        <v>13835</v>
      </c>
      <c r="AH140" s="3">
        <v>14260</v>
      </c>
      <c r="AI140" s="3">
        <v>14255</v>
      </c>
      <c r="AJ140" s="3">
        <v>13580</v>
      </c>
      <c r="AK140" s="3">
        <v>13595</v>
      </c>
      <c r="AL140" s="3">
        <v>13785</v>
      </c>
      <c r="AM140" s="3">
        <v>13790</v>
      </c>
      <c r="AN140" s="3">
        <v>13435</v>
      </c>
      <c r="AO140" s="3">
        <v>13440</v>
      </c>
      <c r="AP140" s="3">
        <v>13470</v>
      </c>
      <c r="AQ140" s="3">
        <v>13485</v>
      </c>
      <c r="AR140" s="4">
        <f t="shared" si="77"/>
        <v>9.5403295750216E-3</v>
      </c>
      <c r="AS140" s="4">
        <f t="shared" si="54"/>
        <v>9.9567099567099415E-3</v>
      </c>
      <c r="AT140" s="4">
        <f t="shared" si="55"/>
        <v>2.9049295774647987E-2</v>
      </c>
      <c r="AU140" s="4">
        <f t="shared" si="56"/>
        <v>1.9100169779286968E-2</v>
      </c>
      <c r="AV140" s="4">
        <f t="shared" si="57"/>
        <v>3.4217279726260763E-3</v>
      </c>
      <c r="AW140" s="4">
        <f t="shared" si="58"/>
        <v>1.180438448566612E-2</v>
      </c>
      <c r="AX140" s="4">
        <f t="shared" si="59"/>
        <v>3.7144036318613294E-2</v>
      </c>
      <c r="AY140" s="4">
        <f t="shared" si="60"/>
        <v>3.9123630672925902E-3</v>
      </c>
      <c r="AZ140" s="4">
        <f t="shared" si="61"/>
        <v>7.971303308091926E-4</v>
      </c>
      <c r="BA140" s="4">
        <f t="shared" si="62"/>
        <v>1.2121212121212199E-3</v>
      </c>
      <c r="BB140" s="4">
        <f t="shared" si="63"/>
        <v>3.8508309687879994E-2</v>
      </c>
      <c r="BC140" s="4">
        <f t="shared" si="64"/>
        <v>1.9786307874950504E-3</v>
      </c>
      <c r="BD140" s="4">
        <f t="shared" si="65"/>
        <v>1.5576323987538943E-2</v>
      </c>
      <c r="BE140" s="4">
        <f t="shared" si="66"/>
        <v>2.6224450443501635E-2</v>
      </c>
      <c r="BF140" s="4">
        <f t="shared" si="67"/>
        <v>6.4935064935065512E-3</v>
      </c>
      <c r="BG140" s="4">
        <f t="shared" si="68"/>
        <v>3.7495313085864179E-2</v>
      </c>
      <c r="BH140" s="4">
        <f t="shared" si="69"/>
        <v>2.4802300503235175E-2</v>
      </c>
      <c r="BI140" s="4">
        <f t="shared" si="70"/>
        <v>2.0180180180180196E-2</v>
      </c>
      <c r="BJ140" s="4">
        <f t="shared" si="71"/>
        <v>5.1020408163264808E-3</v>
      </c>
      <c r="BK140" s="4">
        <f t="shared" si="72"/>
        <v>1.7902813299232712E-2</v>
      </c>
      <c r="BL140" s="4">
        <f t="shared" si="73"/>
        <v>2.2296544035673715E-3</v>
      </c>
      <c r="BM140" s="4">
        <f t="shared" si="78"/>
        <v>1.4655654306978254E-2</v>
      </c>
      <c r="BN140" s="9">
        <f t="shared" si="79"/>
        <v>13652.191828700392</v>
      </c>
      <c r="BO140" s="10">
        <f t="shared" si="80"/>
        <v>13129.713406359515</v>
      </c>
      <c r="BP140">
        <v>13855</v>
      </c>
      <c r="BQ140">
        <v>13855</v>
      </c>
      <c r="BR140">
        <v>13835</v>
      </c>
      <c r="BS140">
        <v>13835</v>
      </c>
      <c r="BT140">
        <v>15400</v>
      </c>
      <c r="BU140" s="13">
        <f t="shared" si="74"/>
        <v>13841.666666666666</v>
      </c>
      <c r="BV140" s="13">
        <f t="shared" si="75"/>
        <v>213161666.66666666</v>
      </c>
      <c r="BW140" s="13">
        <f>SUM($BV$3:BV140)</f>
        <v>175264172400.00006</v>
      </c>
      <c r="BX140" s="13">
        <f>SUM($BT$3:BT140)</f>
        <v>12815312</v>
      </c>
      <c r="BY140" s="3">
        <f t="shared" si="76"/>
        <v>13676.153370280806</v>
      </c>
    </row>
    <row r="141" spans="1:77" x14ac:dyDescent="0.3">
      <c r="A141" s="3" t="s">
        <v>181</v>
      </c>
      <c r="B141" s="3">
        <v>11640</v>
      </c>
      <c r="C141" s="3">
        <v>11645</v>
      </c>
      <c r="D141" s="3">
        <v>11435</v>
      </c>
      <c r="E141" s="3">
        <v>11450</v>
      </c>
      <c r="F141" s="3">
        <v>11690</v>
      </c>
      <c r="G141" s="3">
        <v>11675</v>
      </c>
      <c r="H141" s="3">
        <v>11565</v>
      </c>
      <c r="I141" s="3">
        <v>11555</v>
      </c>
      <c r="J141" s="3">
        <v>11725</v>
      </c>
      <c r="K141" s="3">
        <v>11725</v>
      </c>
      <c r="L141" s="3">
        <v>11995</v>
      </c>
      <c r="M141" s="3">
        <v>11995</v>
      </c>
      <c r="N141" s="3">
        <v>12565</v>
      </c>
      <c r="O141" s="3">
        <v>12570</v>
      </c>
      <c r="P141" s="3">
        <v>12735</v>
      </c>
      <c r="Q141" s="3">
        <v>12740</v>
      </c>
      <c r="R141" s="3">
        <v>12560</v>
      </c>
      <c r="S141" s="3">
        <v>12575</v>
      </c>
      <c r="T141" s="3">
        <v>12390</v>
      </c>
      <c r="U141" s="3">
        <v>12375</v>
      </c>
      <c r="V141" s="3">
        <v>12810</v>
      </c>
      <c r="W141" s="3">
        <v>12805</v>
      </c>
      <c r="X141" s="3">
        <v>12610</v>
      </c>
      <c r="Y141" s="3">
        <v>12605</v>
      </c>
      <c r="Z141" s="3">
        <v>12640</v>
      </c>
      <c r="AA141" s="3">
        <v>12640</v>
      </c>
      <c r="AB141" s="3">
        <v>13300</v>
      </c>
      <c r="AC141" s="3">
        <v>13300</v>
      </c>
      <c r="AD141" s="3">
        <v>13175</v>
      </c>
      <c r="AE141" s="3">
        <v>13175</v>
      </c>
      <c r="AF141" s="3">
        <v>13835</v>
      </c>
      <c r="AG141" s="3">
        <v>13830</v>
      </c>
      <c r="AH141" s="3">
        <v>14255</v>
      </c>
      <c r="AI141" s="3">
        <v>14240</v>
      </c>
      <c r="AJ141" s="3">
        <v>13595</v>
      </c>
      <c r="AK141" s="3">
        <v>13595</v>
      </c>
      <c r="AL141" s="3">
        <v>13790</v>
      </c>
      <c r="AM141" s="3">
        <v>13790</v>
      </c>
      <c r="AN141" s="3">
        <v>13440</v>
      </c>
      <c r="AO141" s="3">
        <v>13420</v>
      </c>
      <c r="AP141" s="3">
        <v>13485</v>
      </c>
      <c r="AQ141" s="3">
        <v>13510</v>
      </c>
      <c r="AR141" s="4">
        <f t="shared" si="77"/>
        <v>9.9739809193408746E-3</v>
      </c>
      <c r="AS141" s="4">
        <f t="shared" si="54"/>
        <v>8.6580086580086979E-3</v>
      </c>
      <c r="AT141" s="4">
        <f t="shared" si="55"/>
        <v>2.7728873239436513E-2</v>
      </c>
      <c r="AU141" s="4">
        <f t="shared" si="56"/>
        <v>1.9100169779286968E-2</v>
      </c>
      <c r="AV141" s="4">
        <f t="shared" si="57"/>
        <v>2.9940119760478723E-3</v>
      </c>
      <c r="AW141" s="4">
        <f t="shared" si="58"/>
        <v>1.1382799325463822E-2</v>
      </c>
      <c r="AX141" s="4">
        <f t="shared" si="59"/>
        <v>3.755674783326457E-2</v>
      </c>
      <c r="AY141" s="4">
        <f t="shared" si="60"/>
        <v>3.129890453834161E-3</v>
      </c>
      <c r="AZ141" s="4">
        <f t="shared" si="61"/>
        <v>2.3913909924273558E-3</v>
      </c>
      <c r="BA141" s="4">
        <f t="shared" si="62"/>
        <v>0</v>
      </c>
      <c r="BB141" s="4">
        <f t="shared" si="63"/>
        <v>3.8102959059586494E-2</v>
      </c>
      <c r="BC141" s="4">
        <f t="shared" si="64"/>
        <v>2.3743569449941049E-3</v>
      </c>
      <c r="BD141" s="4">
        <f t="shared" si="65"/>
        <v>1.5576323987538943E-2</v>
      </c>
      <c r="BE141" s="4">
        <f t="shared" si="66"/>
        <v>2.5838796760509153E-2</v>
      </c>
      <c r="BF141" s="4">
        <f t="shared" si="67"/>
        <v>6.4935064935065512E-3</v>
      </c>
      <c r="BG141" s="4">
        <f t="shared" si="68"/>
        <v>3.7120359955005622E-2</v>
      </c>
      <c r="BH141" s="4">
        <f t="shared" si="69"/>
        <v>2.372393961179009E-2</v>
      </c>
      <c r="BI141" s="4">
        <f t="shared" si="70"/>
        <v>2.0180180180180196E-2</v>
      </c>
      <c r="BJ141" s="4">
        <f t="shared" si="71"/>
        <v>5.1020408163264808E-3</v>
      </c>
      <c r="BK141" s="4">
        <f t="shared" si="72"/>
        <v>1.9364267446108863E-2</v>
      </c>
      <c r="BL141" s="4">
        <f t="shared" si="73"/>
        <v>4.0876997398735515E-3</v>
      </c>
      <c r="BM141" s="4">
        <f t="shared" si="78"/>
        <v>1.4380559678850371E-2</v>
      </c>
      <c r="BN141" s="9">
        <f t="shared" si="79"/>
        <v>13648.490430478932</v>
      </c>
      <c r="BO141" s="10">
        <f t="shared" si="80"/>
        <v>13133.379042279319</v>
      </c>
      <c r="BP141">
        <v>13835</v>
      </c>
      <c r="BQ141">
        <v>13835</v>
      </c>
      <c r="BR141">
        <v>13830</v>
      </c>
      <c r="BS141">
        <v>13830</v>
      </c>
      <c r="BT141">
        <v>11178</v>
      </c>
      <c r="BU141" s="13">
        <f t="shared" si="74"/>
        <v>13831.666666666666</v>
      </c>
      <c r="BV141" s="13">
        <f t="shared" si="75"/>
        <v>154610370</v>
      </c>
      <c r="BW141" s="13">
        <f>SUM($BV$3:BV141)</f>
        <v>175418782770.00006</v>
      </c>
      <c r="BX141" s="13">
        <f>SUM($BT$3:BT141)</f>
        <v>12826490</v>
      </c>
      <c r="BY141" s="3">
        <f t="shared" si="76"/>
        <v>13676.288896650609</v>
      </c>
    </row>
    <row r="142" spans="1:77" x14ac:dyDescent="0.3">
      <c r="A142" s="3" t="s">
        <v>182</v>
      </c>
      <c r="B142" s="3">
        <v>11645</v>
      </c>
      <c r="C142" s="3">
        <v>11655</v>
      </c>
      <c r="D142" s="3">
        <v>11450</v>
      </c>
      <c r="E142" s="3">
        <v>11465</v>
      </c>
      <c r="F142" s="3">
        <v>11680</v>
      </c>
      <c r="G142" s="3">
        <v>11685</v>
      </c>
      <c r="H142" s="3">
        <v>11555</v>
      </c>
      <c r="I142" s="3">
        <v>11560</v>
      </c>
      <c r="J142" s="3">
        <v>11720</v>
      </c>
      <c r="K142" s="3">
        <v>11715</v>
      </c>
      <c r="L142" s="3">
        <v>11990</v>
      </c>
      <c r="M142" s="3">
        <v>11960</v>
      </c>
      <c r="N142" s="3">
        <v>12575</v>
      </c>
      <c r="O142" s="3">
        <v>12575</v>
      </c>
      <c r="P142" s="3">
        <v>12740</v>
      </c>
      <c r="Q142" s="3">
        <v>12740</v>
      </c>
      <c r="R142" s="3">
        <v>12580</v>
      </c>
      <c r="S142" s="3">
        <v>12580</v>
      </c>
      <c r="T142" s="3">
        <v>12380</v>
      </c>
      <c r="U142" s="3">
        <v>12380</v>
      </c>
      <c r="V142" s="3">
        <v>12805</v>
      </c>
      <c r="W142" s="3">
        <v>12810</v>
      </c>
      <c r="X142" s="3">
        <v>12605</v>
      </c>
      <c r="Y142" s="3">
        <v>12595</v>
      </c>
      <c r="Z142" s="3">
        <v>12640</v>
      </c>
      <c r="AA142" s="3">
        <v>12655</v>
      </c>
      <c r="AB142" s="3">
        <v>13300</v>
      </c>
      <c r="AC142" s="3">
        <v>13295</v>
      </c>
      <c r="AD142" s="3">
        <v>13175</v>
      </c>
      <c r="AE142" s="3">
        <v>13175</v>
      </c>
      <c r="AF142" s="3">
        <v>13830</v>
      </c>
      <c r="AG142" s="3">
        <v>13845</v>
      </c>
      <c r="AH142" s="3">
        <v>14240</v>
      </c>
      <c r="AI142" s="3">
        <v>14240</v>
      </c>
      <c r="AJ142" s="3">
        <v>13595</v>
      </c>
      <c r="AK142" s="3">
        <v>13605</v>
      </c>
      <c r="AL142" s="3">
        <v>13795</v>
      </c>
      <c r="AM142" s="3">
        <v>13815</v>
      </c>
      <c r="AN142" s="3">
        <v>13420</v>
      </c>
      <c r="AO142" s="3">
        <v>13410</v>
      </c>
      <c r="AP142" s="3">
        <v>13510</v>
      </c>
      <c r="AQ142" s="3">
        <v>13525</v>
      </c>
      <c r="AR142" s="4">
        <f t="shared" si="77"/>
        <v>1.0841283607979202E-2</v>
      </c>
      <c r="AS142" s="4">
        <f t="shared" si="54"/>
        <v>7.3593073593073433E-3</v>
      </c>
      <c r="AT142" s="4">
        <f t="shared" si="55"/>
        <v>2.8609154929577496E-2</v>
      </c>
      <c r="AU142" s="4">
        <f t="shared" si="56"/>
        <v>1.8675721561969394E-2</v>
      </c>
      <c r="AV142" s="4">
        <f t="shared" si="57"/>
        <v>2.1385799828914642E-3</v>
      </c>
      <c r="AW142" s="4">
        <f t="shared" si="58"/>
        <v>8.4317032040472917E-3</v>
      </c>
      <c r="AX142" s="4">
        <f t="shared" si="59"/>
        <v>3.7969459347915846E-2</v>
      </c>
      <c r="AY142" s="4">
        <f t="shared" si="60"/>
        <v>3.129890453834161E-3</v>
      </c>
      <c r="AZ142" s="4">
        <f t="shared" si="61"/>
        <v>2.78995615783173E-3</v>
      </c>
      <c r="BA142" s="4">
        <f t="shared" si="62"/>
        <v>4.0404040404040664E-4</v>
      </c>
      <c r="BB142" s="4">
        <f t="shared" si="63"/>
        <v>3.8508309687879994E-2</v>
      </c>
      <c r="BC142" s="4">
        <f t="shared" si="64"/>
        <v>3.1658092599921028E-3</v>
      </c>
      <c r="BD142" s="4">
        <f t="shared" si="65"/>
        <v>1.4408099688473563E-2</v>
      </c>
      <c r="BE142" s="4">
        <f t="shared" si="66"/>
        <v>2.5453143077516449E-2</v>
      </c>
      <c r="BF142" s="4">
        <f t="shared" si="67"/>
        <v>6.4935064935065512E-3</v>
      </c>
      <c r="BG142" s="4">
        <f t="shared" si="68"/>
        <v>3.8245219347581516E-2</v>
      </c>
      <c r="BH142" s="4">
        <f t="shared" si="69"/>
        <v>2.372393961179009E-2</v>
      </c>
      <c r="BI142" s="4">
        <f t="shared" si="70"/>
        <v>1.9459459459459483E-2</v>
      </c>
      <c r="BJ142" s="4">
        <f t="shared" si="71"/>
        <v>6.9241982507288746E-3</v>
      </c>
      <c r="BK142" s="4">
        <f t="shared" si="72"/>
        <v>2.0094994519546994E-2</v>
      </c>
      <c r="BL142" s="4">
        <f t="shared" si="73"/>
        <v>5.2025269416573483E-3</v>
      </c>
      <c r="BM142" s="4">
        <f t="shared" si="78"/>
        <v>1.4109762972055986E-2</v>
      </c>
      <c r="BN142" s="9">
        <f t="shared" si="79"/>
        <v>13644.846860789012</v>
      </c>
      <c r="BO142" s="10">
        <f t="shared" si="80"/>
        <v>13136.987408397354</v>
      </c>
      <c r="BP142">
        <v>13830</v>
      </c>
      <c r="BQ142">
        <v>13845</v>
      </c>
      <c r="BR142">
        <v>13830</v>
      </c>
      <c r="BS142">
        <v>13845</v>
      </c>
      <c r="BT142">
        <v>12101</v>
      </c>
      <c r="BU142" s="13">
        <f t="shared" si="74"/>
        <v>13840</v>
      </c>
      <c r="BV142" s="13">
        <f t="shared" si="75"/>
        <v>167477840</v>
      </c>
      <c r="BW142" s="13">
        <f>SUM($BV$3:BV142)</f>
        <v>175586260610.00006</v>
      </c>
      <c r="BX142" s="13">
        <f>SUM($BT$3:BT142)</f>
        <v>12838591</v>
      </c>
      <c r="BY142" s="3">
        <f t="shared" si="76"/>
        <v>13676.443202373224</v>
      </c>
    </row>
    <row r="143" spans="1:77" x14ac:dyDescent="0.3">
      <c r="A143" s="3" t="s">
        <v>183</v>
      </c>
      <c r="B143" s="3">
        <v>11655</v>
      </c>
      <c r="C143" s="3">
        <v>11650</v>
      </c>
      <c r="D143" s="3">
        <v>11465</v>
      </c>
      <c r="E143" s="3">
        <v>11470</v>
      </c>
      <c r="F143" s="3">
        <v>11685</v>
      </c>
      <c r="G143" s="3">
        <v>11680</v>
      </c>
      <c r="H143" s="3">
        <v>11565</v>
      </c>
      <c r="I143" s="3">
        <v>11545</v>
      </c>
      <c r="J143" s="3">
        <v>11715</v>
      </c>
      <c r="K143" s="3">
        <v>11720</v>
      </c>
      <c r="L143" s="3">
        <v>11960</v>
      </c>
      <c r="M143" s="3">
        <v>11965</v>
      </c>
      <c r="N143" s="3">
        <v>12575</v>
      </c>
      <c r="O143" s="3">
        <v>12575</v>
      </c>
      <c r="P143" s="3">
        <v>12740</v>
      </c>
      <c r="Q143" s="3">
        <v>12740</v>
      </c>
      <c r="R143" s="3">
        <v>12580</v>
      </c>
      <c r="S143" s="3">
        <v>12585</v>
      </c>
      <c r="T143" s="3">
        <v>12380</v>
      </c>
      <c r="U143" s="3">
        <v>12380</v>
      </c>
      <c r="V143" s="3">
        <v>12810</v>
      </c>
      <c r="W143" s="3">
        <v>12810</v>
      </c>
      <c r="X143" s="3">
        <v>12600</v>
      </c>
      <c r="Y143" s="3">
        <v>12595</v>
      </c>
      <c r="Z143" s="3">
        <v>12655</v>
      </c>
      <c r="AA143" s="3">
        <v>12645</v>
      </c>
      <c r="AB143" s="3">
        <v>13290</v>
      </c>
      <c r="AC143" s="3">
        <v>13305</v>
      </c>
      <c r="AD143" s="3">
        <v>13180</v>
      </c>
      <c r="AE143" s="3">
        <v>13180</v>
      </c>
      <c r="AF143" s="3">
        <v>13840</v>
      </c>
      <c r="AG143" s="3">
        <v>13845</v>
      </c>
      <c r="AH143" s="3">
        <v>14240</v>
      </c>
      <c r="AI143" s="3">
        <v>14245</v>
      </c>
      <c r="AJ143" s="3">
        <v>13600</v>
      </c>
      <c r="AK143" s="3">
        <v>13565</v>
      </c>
      <c r="AL143" s="3">
        <v>13820</v>
      </c>
      <c r="AM143" s="3">
        <v>13805</v>
      </c>
      <c r="AN143" s="3">
        <v>13410</v>
      </c>
      <c r="AO143" s="3">
        <v>13420</v>
      </c>
      <c r="AP143" s="3">
        <v>13530</v>
      </c>
      <c r="AQ143" s="3">
        <v>13520</v>
      </c>
      <c r="AR143" s="4">
        <f t="shared" si="77"/>
        <v>1.0407632263659927E-2</v>
      </c>
      <c r="AS143" s="4">
        <f t="shared" si="54"/>
        <v>6.9264069264068917E-3</v>
      </c>
      <c r="AT143" s="4">
        <f t="shared" si="55"/>
        <v>2.8169014084507005E-2</v>
      </c>
      <c r="AU143" s="4">
        <f t="shared" si="56"/>
        <v>1.9949066213921895E-2</v>
      </c>
      <c r="AV143" s="4">
        <f t="shared" si="57"/>
        <v>2.5662959794696683E-3</v>
      </c>
      <c r="AW143" s="4">
        <f t="shared" si="58"/>
        <v>8.8532883642495896E-3</v>
      </c>
      <c r="AX143" s="4">
        <f t="shared" si="59"/>
        <v>3.7969459347915846E-2</v>
      </c>
      <c r="AY143" s="4">
        <f t="shared" si="60"/>
        <v>3.129890453834161E-3</v>
      </c>
      <c r="AZ143" s="4">
        <f t="shared" si="61"/>
        <v>3.1885213232363263E-3</v>
      </c>
      <c r="BA143" s="4">
        <f t="shared" si="62"/>
        <v>4.0404040404040664E-4</v>
      </c>
      <c r="BB143" s="4">
        <f t="shared" si="63"/>
        <v>3.8508309687879994E-2</v>
      </c>
      <c r="BC143" s="4">
        <f t="shared" si="64"/>
        <v>3.1658092599921028E-3</v>
      </c>
      <c r="BD143" s="4">
        <f t="shared" si="65"/>
        <v>1.5186915887850483E-2</v>
      </c>
      <c r="BE143" s="4">
        <f t="shared" si="66"/>
        <v>2.6224450443501635E-2</v>
      </c>
      <c r="BF143" s="4">
        <f t="shared" si="67"/>
        <v>6.8754774637127536E-3</v>
      </c>
      <c r="BG143" s="4">
        <f t="shared" si="68"/>
        <v>3.8245219347581516E-2</v>
      </c>
      <c r="BH143" s="4">
        <f t="shared" si="69"/>
        <v>2.4083393242271711E-2</v>
      </c>
      <c r="BI143" s="4">
        <f t="shared" si="70"/>
        <v>2.2342342342342336E-2</v>
      </c>
      <c r="BJ143" s="4">
        <f t="shared" si="71"/>
        <v>6.1953352769679171E-3</v>
      </c>
      <c r="BK143" s="4">
        <f t="shared" si="72"/>
        <v>1.9364267446108863E-2</v>
      </c>
      <c r="BL143" s="4">
        <f t="shared" si="73"/>
        <v>4.8309178743961567E-3</v>
      </c>
      <c r="BM143" s="4">
        <f t="shared" si="78"/>
        <v>1.4365496131465625E-2</v>
      </c>
      <c r="BN143" s="9">
        <f t="shared" si="79"/>
        <v>13648.28775044887</v>
      </c>
      <c r="BO143" s="10">
        <f t="shared" si="80"/>
        <v>13133.57976404822</v>
      </c>
      <c r="BP143">
        <v>13840</v>
      </c>
      <c r="BQ143">
        <v>13850</v>
      </c>
      <c r="BR143">
        <v>13840</v>
      </c>
      <c r="BS143">
        <v>13845</v>
      </c>
      <c r="BT143">
        <v>22919</v>
      </c>
      <c r="BU143" s="13">
        <f t="shared" si="74"/>
        <v>13845</v>
      </c>
      <c r="BV143" s="13">
        <f t="shared" si="75"/>
        <v>317313555</v>
      </c>
      <c r="BW143" s="13">
        <f>SUM($BV$3:BV143)</f>
        <v>175903574165.00006</v>
      </c>
      <c r="BX143" s="13">
        <f>SUM($BT$3:BT143)</f>
        <v>12861510</v>
      </c>
      <c r="BY143" s="3">
        <f t="shared" si="76"/>
        <v>13676.743567823689</v>
      </c>
    </row>
    <row r="144" spans="1:77" x14ac:dyDescent="0.3">
      <c r="A144" s="3" t="s">
        <v>184</v>
      </c>
      <c r="B144" s="3">
        <v>11655</v>
      </c>
      <c r="C144" s="3">
        <v>11640</v>
      </c>
      <c r="D144" s="3">
        <v>11470</v>
      </c>
      <c r="E144" s="3">
        <v>11475</v>
      </c>
      <c r="F144" s="3">
        <v>11675</v>
      </c>
      <c r="G144" s="3">
        <v>11675</v>
      </c>
      <c r="H144" s="3">
        <v>11545</v>
      </c>
      <c r="I144" s="3">
        <v>11540</v>
      </c>
      <c r="J144" s="3">
        <v>11720</v>
      </c>
      <c r="K144" s="3">
        <v>11715</v>
      </c>
      <c r="L144" s="3">
        <v>11970</v>
      </c>
      <c r="M144" s="3">
        <v>11980</v>
      </c>
      <c r="N144" s="3">
        <v>12575</v>
      </c>
      <c r="O144" s="3">
        <v>12580</v>
      </c>
      <c r="P144" s="3">
        <v>12740</v>
      </c>
      <c r="Q144" s="3">
        <v>12740</v>
      </c>
      <c r="R144" s="3">
        <v>12585</v>
      </c>
      <c r="S144" s="3">
        <v>12590</v>
      </c>
      <c r="T144" s="3">
        <v>12375</v>
      </c>
      <c r="U144" s="3">
        <v>12405</v>
      </c>
      <c r="V144" s="3">
        <v>12815</v>
      </c>
      <c r="W144" s="3">
        <v>12810</v>
      </c>
      <c r="X144" s="3">
        <v>12600</v>
      </c>
      <c r="Y144" s="3">
        <v>12590</v>
      </c>
      <c r="Z144" s="3">
        <v>12640</v>
      </c>
      <c r="AA144" s="3">
        <v>12640</v>
      </c>
      <c r="AB144" s="3">
        <v>13305</v>
      </c>
      <c r="AC144" s="3">
        <v>13300</v>
      </c>
      <c r="AD144" s="3">
        <v>13185</v>
      </c>
      <c r="AE144" s="3">
        <v>13185</v>
      </c>
      <c r="AF144" s="3">
        <v>13850</v>
      </c>
      <c r="AG144" s="3">
        <v>13855</v>
      </c>
      <c r="AH144" s="3">
        <v>14245</v>
      </c>
      <c r="AI144" s="3">
        <v>14250</v>
      </c>
      <c r="AJ144" s="3">
        <v>13560</v>
      </c>
      <c r="AK144" s="3">
        <v>13545</v>
      </c>
      <c r="AL144" s="3">
        <v>13805</v>
      </c>
      <c r="AM144" s="3">
        <v>13800</v>
      </c>
      <c r="AN144" s="3">
        <v>13415</v>
      </c>
      <c r="AO144" s="3">
        <v>13435</v>
      </c>
      <c r="AP144" s="3">
        <v>13520</v>
      </c>
      <c r="AQ144" s="3">
        <v>13530</v>
      </c>
      <c r="AR144" s="4">
        <f t="shared" si="77"/>
        <v>9.5403295750216E-3</v>
      </c>
      <c r="AS144" s="4">
        <f t="shared" si="54"/>
        <v>6.4935064935064402E-3</v>
      </c>
      <c r="AT144" s="4">
        <f t="shared" si="55"/>
        <v>2.7728873239436513E-2</v>
      </c>
      <c r="AU144" s="4">
        <f t="shared" si="56"/>
        <v>2.0373514431239359E-2</v>
      </c>
      <c r="AV144" s="4">
        <f t="shared" si="57"/>
        <v>2.1385799828914642E-3</v>
      </c>
      <c r="AW144" s="4">
        <f t="shared" si="58"/>
        <v>1.0118043844856706E-2</v>
      </c>
      <c r="AX144" s="4">
        <f t="shared" si="59"/>
        <v>3.8382170862567122E-2</v>
      </c>
      <c r="AY144" s="4">
        <f t="shared" si="60"/>
        <v>3.129890453834161E-3</v>
      </c>
      <c r="AZ144" s="4">
        <f t="shared" si="61"/>
        <v>3.5870864886409226E-3</v>
      </c>
      <c r="BA144" s="4">
        <f t="shared" si="62"/>
        <v>2.4242424242424399E-3</v>
      </c>
      <c r="BB144" s="4">
        <f t="shared" si="63"/>
        <v>3.8508309687879994E-2</v>
      </c>
      <c r="BC144" s="4">
        <f t="shared" si="64"/>
        <v>3.5615354174910463E-3</v>
      </c>
      <c r="BD144" s="4">
        <f t="shared" si="65"/>
        <v>1.5576323987538943E-2</v>
      </c>
      <c r="BE144" s="4">
        <f t="shared" si="66"/>
        <v>2.5838796760509153E-2</v>
      </c>
      <c r="BF144" s="4">
        <f t="shared" si="67"/>
        <v>7.257448433918956E-3</v>
      </c>
      <c r="BG144" s="4">
        <f t="shared" si="68"/>
        <v>3.8995125609298853E-2</v>
      </c>
      <c r="BH144" s="4">
        <f t="shared" si="69"/>
        <v>2.4442846872753332E-2</v>
      </c>
      <c r="BI144" s="4">
        <f t="shared" si="70"/>
        <v>2.3783783783783763E-2</v>
      </c>
      <c r="BJ144" s="4">
        <f t="shared" si="71"/>
        <v>5.8309037900874383E-3</v>
      </c>
      <c r="BK144" s="4">
        <f t="shared" si="72"/>
        <v>1.8268176835951722E-2</v>
      </c>
      <c r="BL144" s="4">
        <f t="shared" si="73"/>
        <v>5.5741360089185399E-3</v>
      </c>
      <c r="BM144" s="4">
        <f t="shared" si="78"/>
        <v>1.4651308750610945E-2</v>
      </c>
      <c r="BN144" s="9">
        <f t="shared" si="79"/>
        <v>13652.133359239471</v>
      </c>
      <c r="BO144" s="10">
        <f t="shared" si="80"/>
        <v>13129.77131089811</v>
      </c>
      <c r="BP144">
        <v>13850</v>
      </c>
      <c r="BQ144">
        <v>13855</v>
      </c>
      <c r="BR144">
        <v>13840</v>
      </c>
      <c r="BS144">
        <v>13855</v>
      </c>
      <c r="BT144">
        <v>23565</v>
      </c>
      <c r="BU144" s="13">
        <f t="shared" si="74"/>
        <v>13850</v>
      </c>
      <c r="BV144" s="13">
        <f t="shared" si="75"/>
        <v>326375250</v>
      </c>
      <c r="BW144" s="13">
        <f>SUM($BV$3:BV144)</f>
        <v>176229949415.00006</v>
      </c>
      <c r="BX144" s="13">
        <f>SUM($BT$3:BT144)</f>
        <v>12885075</v>
      </c>
      <c r="BY144" s="3">
        <f t="shared" si="76"/>
        <v>13677.060429605575</v>
      </c>
    </row>
    <row r="145" spans="1:77" x14ac:dyDescent="0.3">
      <c r="A145" s="3" t="s">
        <v>185</v>
      </c>
      <c r="B145" s="3">
        <v>11640</v>
      </c>
      <c r="C145" s="3">
        <v>11640</v>
      </c>
      <c r="D145" s="3">
        <v>11475</v>
      </c>
      <c r="E145" s="3">
        <v>11470</v>
      </c>
      <c r="F145" s="3">
        <v>11670</v>
      </c>
      <c r="G145" s="3">
        <v>11670</v>
      </c>
      <c r="H145" s="3">
        <v>11535</v>
      </c>
      <c r="I145" s="3">
        <v>11535</v>
      </c>
      <c r="J145" s="3">
        <v>11715</v>
      </c>
      <c r="K145" s="3">
        <v>11720</v>
      </c>
      <c r="L145" s="3">
        <v>11980</v>
      </c>
      <c r="M145" s="3">
        <v>11980</v>
      </c>
      <c r="N145" s="3">
        <v>12580</v>
      </c>
      <c r="O145" s="3">
        <v>12580</v>
      </c>
      <c r="P145" s="3">
        <v>12740</v>
      </c>
      <c r="Q145" s="3">
        <v>12750</v>
      </c>
      <c r="R145" s="3">
        <v>12590</v>
      </c>
      <c r="S145" s="3">
        <v>12565</v>
      </c>
      <c r="T145" s="3">
        <v>12410</v>
      </c>
      <c r="U145" s="3">
        <v>12385</v>
      </c>
      <c r="V145" s="3">
        <v>12815</v>
      </c>
      <c r="W145" s="3">
        <v>12830</v>
      </c>
      <c r="X145" s="3">
        <v>12595</v>
      </c>
      <c r="Y145" s="3">
        <v>12595</v>
      </c>
      <c r="Z145" s="3">
        <v>12645</v>
      </c>
      <c r="AA145" s="3">
        <v>12640</v>
      </c>
      <c r="AB145" s="3">
        <v>13300</v>
      </c>
      <c r="AC145" s="3">
        <v>13295</v>
      </c>
      <c r="AD145" s="3">
        <v>13185</v>
      </c>
      <c r="AE145" s="3">
        <v>13200</v>
      </c>
      <c r="AF145" s="3">
        <v>13855</v>
      </c>
      <c r="AG145" s="3">
        <v>13860</v>
      </c>
      <c r="AH145" s="3">
        <v>14250</v>
      </c>
      <c r="AI145" s="3">
        <v>14245</v>
      </c>
      <c r="AJ145" s="3">
        <v>13540</v>
      </c>
      <c r="AK145" s="3">
        <v>13565</v>
      </c>
      <c r="AL145" s="3">
        <v>13800</v>
      </c>
      <c r="AM145" s="3">
        <v>13795</v>
      </c>
      <c r="AN145" s="3">
        <v>13435</v>
      </c>
      <c r="AO145" s="3">
        <v>13450</v>
      </c>
      <c r="AP145" s="3">
        <v>13535</v>
      </c>
      <c r="AQ145" s="3">
        <v>13525</v>
      </c>
      <c r="AR145" s="4">
        <f t="shared" si="77"/>
        <v>9.5403295750216E-3</v>
      </c>
      <c r="AS145" s="4">
        <f t="shared" si="54"/>
        <v>6.9264069264068917E-3</v>
      </c>
      <c r="AT145" s="4">
        <f t="shared" si="55"/>
        <v>2.7288732394366244E-2</v>
      </c>
      <c r="AU145" s="4">
        <f t="shared" si="56"/>
        <v>2.0797962648556823E-2</v>
      </c>
      <c r="AV145" s="4">
        <f t="shared" si="57"/>
        <v>2.5662959794696683E-3</v>
      </c>
      <c r="AW145" s="4">
        <f t="shared" si="58"/>
        <v>1.0118043844856706E-2</v>
      </c>
      <c r="AX145" s="4">
        <f t="shared" si="59"/>
        <v>3.8382170862567122E-2</v>
      </c>
      <c r="AY145" s="4">
        <f t="shared" si="60"/>
        <v>2.3474178403756207E-3</v>
      </c>
      <c r="AZ145" s="4">
        <f t="shared" si="61"/>
        <v>1.5942606616181632E-3</v>
      </c>
      <c r="BA145" s="4">
        <f t="shared" si="62"/>
        <v>8.0808080808081328E-4</v>
      </c>
      <c r="BB145" s="4">
        <f t="shared" si="63"/>
        <v>4.0129712201053991E-2</v>
      </c>
      <c r="BC145" s="4">
        <f t="shared" si="64"/>
        <v>3.1658092599921028E-3</v>
      </c>
      <c r="BD145" s="4">
        <f t="shared" si="65"/>
        <v>1.5576323987538943E-2</v>
      </c>
      <c r="BE145" s="4">
        <f t="shared" si="66"/>
        <v>2.5453143077516449E-2</v>
      </c>
      <c r="BF145" s="4">
        <f t="shared" si="67"/>
        <v>8.4033613445377853E-3</v>
      </c>
      <c r="BG145" s="4">
        <f t="shared" si="68"/>
        <v>3.937007874015741E-2</v>
      </c>
      <c r="BH145" s="4">
        <f t="shared" si="69"/>
        <v>2.4083393242271711E-2</v>
      </c>
      <c r="BI145" s="4">
        <f t="shared" si="70"/>
        <v>2.2342342342342336E-2</v>
      </c>
      <c r="BJ145" s="4">
        <f t="shared" si="71"/>
        <v>5.4664723032069595E-3</v>
      </c>
      <c r="BK145" s="4">
        <f t="shared" si="72"/>
        <v>1.7172086225794692E-2</v>
      </c>
      <c r="BL145" s="4">
        <f t="shared" si="73"/>
        <v>5.2025269416573483E-3</v>
      </c>
      <c r="BM145" s="4">
        <f t="shared" si="78"/>
        <v>1.4539837274066951E-2</v>
      </c>
      <c r="BN145" s="9">
        <f t="shared" si="79"/>
        <v>13650.633510522572</v>
      </c>
      <c r="BO145" s="10">
        <f t="shared" si="80"/>
        <v>13131.256668323058</v>
      </c>
      <c r="BP145">
        <v>13855</v>
      </c>
      <c r="BQ145">
        <v>13870</v>
      </c>
      <c r="BR145">
        <v>13855</v>
      </c>
      <c r="BS145">
        <v>13860</v>
      </c>
      <c r="BT145">
        <v>49962</v>
      </c>
      <c r="BU145" s="13">
        <f t="shared" si="74"/>
        <v>13861.666666666666</v>
      </c>
      <c r="BV145" s="13">
        <f t="shared" si="75"/>
        <v>692556590</v>
      </c>
      <c r="BW145" s="13">
        <f>SUM($BV$3:BV145)</f>
        <v>176922506005.00006</v>
      </c>
      <c r="BX145" s="13">
        <f>SUM($BT$3:BT145)</f>
        <v>12935037</v>
      </c>
      <c r="BY145" s="3">
        <f t="shared" si="76"/>
        <v>13677.773477184492</v>
      </c>
    </row>
    <row r="146" spans="1:77" x14ac:dyDescent="0.3">
      <c r="A146" s="3" t="s">
        <v>186</v>
      </c>
      <c r="B146" s="3">
        <v>11640</v>
      </c>
      <c r="C146" s="3">
        <v>11655</v>
      </c>
      <c r="D146" s="3">
        <v>11470</v>
      </c>
      <c r="E146" s="3">
        <v>11475</v>
      </c>
      <c r="F146" s="3">
        <v>11665</v>
      </c>
      <c r="G146" s="3">
        <v>11635</v>
      </c>
      <c r="H146" s="3">
        <v>11535</v>
      </c>
      <c r="I146" s="3">
        <v>11540</v>
      </c>
      <c r="J146" s="3">
        <v>11720</v>
      </c>
      <c r="K146" s="3">
        <v>11720</v>
      </c>
      <c r="L146" s="3">
        <v>11980</v>
      </c>
      <c r="M146" s="3">
        <v>11990</v>
      </c>
      <c r="N146" s="3">
        <v>12580</v>
      </c>
      <c r="O146" s="3">
        <v>12570</v>
      </c>
      <c r="P146" s="3">
        <v>12755</v>
      </c>
      <c r="Q146" s="3">
        <v>12775</v>
      </c>
      <c r="R146" s="3">
        <v>12565</v>
      </c>
      <c r="S146" s="3">
        <v>12580</v>
      </c>
      <c r="T146" s="3">
        <v>12390</v>
      </c>
      <c r="U146" s="3">
        <v>12385</v>
      </c>
      <c r="V146" s="3">
        <v>12825</v>
      </c>
      <c r="W146" s="3">
        <v>12820</v>
      </c>
      <c r="X146" s="3">
        <v>12600</v>
      </c>
      <c r="Y146" s="3">
        <v>12590</v>
      </c>
      <c r="Z146" s="3">
        <v>12640</v>
      </c>
      <c r="AA146" s="3">
        <v>12640</v>
      </c>
      <c r="AB146" s="3">
        <v>13300</v>
      </c>
      <c r="AC146" s="3">
        <v>13295</v>
      </c>
      <c r="AD146" s="3">
        <v>13200</v>
      </c>
      <c r="AE146" s="3">
        <v>13195</v>
      </c>
      <c r="AF146" s="3">
        <v>13865</v>
      </c>
      <c r="AG146" s="3">
        <v>13875</v>
      </c>
      <c r="AH146" s="3">
        <v>14245</v>
      </c>
      <c r="AI146" s="3">
        <v>14245</v>
      </c>
      <c r="AJ146" s="3">
        <v>13560</v>
      </c>
      <c r="AK146" s="3">
        <v>13540</v>
      </c>
      <c r="AL146" s="3">
        <v>13795</v>
      </c>
      <c r="AM146" s="3">
        <v>13790</v>
      </c>
      <c r="AN146" s="3">
        <v>13450</v>
      </c>
      <c r="AO146" s="3">
        <v>13450</v>
      </c>
      <c r="AP146" s="3">
        <v>13525</v>
      </c>
      <c r="AQ146" s="3">
        <v>13525</v>
      </c>
      <c r="AR146" s="4">
        <f t="shared" si="77"/>
        <v>1.0841283607979202E-2</v>
      </c>
      <c r="AS146" s="4">
        <f t="shared" si="54"/>
        <v>6.4935064935064402E-3</v>
      </c>
      <c r="AT146" s="4">
        <f t="shared" si="55"/>
        <v>2.4207746478873249E-2</v>
      </c>
      <c r="AU146" s="4">
        <f t="shared" si="56"/>
        <v>2.0373514431239359E-2</v>
      </c>
      <c r="AV146" s="4">
        <f t="shared" si="57"/>
        <v>2.5662959794696683E-3</v>
      </c>
      <c r="AW146" s="4">
        <f t="shared" si="58"/>
        <v>1.0961214165261302E-2</v>
      </c>
      <c r="AX146" s="4">
        <f t="shared" si="59"/>
        <v>3.755674783326457E-2</v>
      </c>
      <c r="AY146" s="4">
        <f t="shared" si="60"/>
        <v>3.9123630672921461E-4</v>
      </c>
      <c r="AZ146" s="4">
        <f t="shared" si="61"/>
        <v>2.78995615783173E-3</v>
      </c>
      <c r="BA146" s="4">
        <f t="shared" si="62"/>
        <v>8.0808080808081328E-4</v>
      </c>
      <c r="BB146" s="4">
        <f t="shared" si="63"/>
        <v>3.9319010944466992E-2</v>
      </c>
      <c r="BC146" s="4">
        <f t="shared" si="64"/>
        <v>3.5615354174910463E-3</v>
      </c>
      <c r="BD146" s="4">
        <f t="shared" si="65"/>
        <v>1.5576323987538943E-2</v>
      </c>
      <c r="BE146" s="4">
        <f t="shared" si="66"/>
        <v>2.5453143077516449E-2</v>
      </c>
      <c r="BF146" s="4">
        <f t="shared" si="67"/>
        <v>8.0213903743315829E-3</v>
      </c>
      <c r="BG146" s="4">
        <f t="shared" si="68"/>
        <v>4.0494938132733305E-2</v>
      </c>
      <c r="BH146" s="4">
        <f t="shared" si="69"/>
        <v>2.4083393242271711E-2</v>
      </c>
      <c r="BI146" s="4">
        <f t="shared" si="70"/>
        <v>2.414414414414412E-2</v>
      </c>
      <c r="BJ146" s="4">
        <f t="shared" si="71"/>
        <v>5.1020408163264808E-3</v>
      </c>
      <c r="BK146" s="4">
        <f t="shared" si="72"/>
        <v>1.7172086225794692E-2</v>
      </c>
      <c r="BL146" s="4">
        <f t="shared" si="73"/>
        <v>5.2025269416573483E-3</v>
      </c>
      <c r="BM146" s="4">
        <f t="shared" si="78"/>
        <v>1.4148550175400097E-2</v>
      </c>
      <c r="BN146" s="9">
        <f t="shared" si="79"/>
        <v>13645.36874261001</v>
      </c>
      <c r="BO146" s="10">
        <f t="shared" si="80"/>
        <v>13136.470568912795</v>
      </c>
      <c r="BP146">
        <v>13865</v>
      </c>
      <c r="BQ146">
        <v>13875</v>
      </c>
      <c r="BR146">
        <v>13865</v>
      </c>
      <c r="BS146">
        <v>13875</v>
      </c>
      <c r="BT146">
        <v>27543</v>
      </c>
      <c r="BU146" s="13">
        <f t="shared" si="74"/>
        <v>13871.666666666666</v>
      </c>
      <c r="BV146" s="13">
        <f t="shared" si="75"/>
        <v>382067315</v>
      </c>
      <c r="BW146" s="13">
        <f>SUM($BV$3:BV146)</f>
        <v>177304573320.00006</v>
      </c>
      <c r="BX146" s="13">
        <f>SUM($BT$3:BT146)</f>
        <v>12962580</v>
      </c>
      <c r="BY146" s="3">
        <f t="shared" si="76"/>
        <v>13678.185463079113</v>
      </c>
    </row>
    <row r="147" spans="1:77" x14ac:dyDescent="0.3">
      <c r="A147" s="3" t="s">
        <v>187</v>
      </c>
      <c r="B147" s="3">
        <v>11655</v>
      </c>
      <c r="C147" s="3">
        <v>11650</v>
      </c>
      <c r="D147" s="3">
        <v>11480</v>
      </c>
      <c r="E147" s="3">
        <v>11475</v>
      </c>
      <c r="F147" s="3">
        <v>11640</v>
      </c>
      <c r="G147" s="3">
        <v>11655</v>
      </c>
      <c r="H147" s="3">
        <v>11540</v>
      </c>
      <c r="I147" s="3">
        <v>11535</v>
      </c>
      <c r="J147" s="3">
        <v>11715</v>
      </c>
      <c r="K147" s="3">
        <v>11715</v>
      </c>
      <c r="L147" s="3">
        <v>11990</v>
      </c>
      <c r="M147" s="3">
        <v>11995</v>
      </c>
      <c r="N147" s="3">
        <v>12575</v>
      </c>
      <c r="O147" s="3">
        <v>12575</v>
      </c>
      <c r="P147" s="3">
        <v>12775</v>
      </c>
      <c r="Q147" s="3">
        <v>12780</v>
      </c>
      <c r="R147" s="3">
        <v>12580</v>
      </c>
      <c r="S147" s="3">
        <v>12575</v>
      </c>
      <c r="T147" s="3">
        <v>12385</v>
      </c>
      <c r="U147" s="3">
        <v>12380</v>
      </c>
      <c r="V147" s="3">
        <v>12825</v>
      </c>
      <c r="W147" s="3">
        <v>12825</v>
      </c>
      <c r="X147" s="3">
        <v>12590</v>
      </c>
      <c r="Y147" s="3">
        <v>12580</v>
      </c>
      <c r="Z147" s="3">
        <v>12645</v>
      </c>
      <c r="AA147" s="3">
        <v>12640</v>
      </c>
      <c r="AB147" s="3">
        <v>13290</v>
      </c>
      <c r="AC147" s="3">
        <v>13290</v>
      </c>
      <c r="AD147" s="3">
        <v>13195</v>
      </c>
      <c r="AE147" s="3">
        <v>13200</v>
      </c>
      <c r="AF147" s="3">
        <v>13875</v>
      </c>
      <c r="AG147" s="3">
        <v>13880</v>
      </c>
      <c r="AH147" s="3">
        <v>14245</v>
      </c>
      <c r="AI147" s="3">
        <v>14255</v>
      </c>
      <c r="AJ147" s="3">
        <v>13535</v>
      </c>
      <c r="AK147" s="3">
        <v>13535</v>
      </c>
      <c r="AL147" s="3">
        <v>13790</v>
      </c>
      <c r="AM147" s="3">
        <v>13775</v>
      </c>
      <c r="AN147" s="3">
        <v>13450</v>
      </c>
      <c r="AO147" s="3">
        <v>13440</v>
      </c>
      <c r="AP147" s="3">
        <v>13520</v>
      </c>
      <c r="AQ147" s="3">
        <v>13510</v>
      </c>
      <c r="AR147" s="4">
        <f t="shared" si="77"/>
        <v>1.0407632263659927E-2</v>
      </c>
      <c r="AS147" s="4">
        <f t="shared" si="54"/>
        <v>6.4935064935064402E-3</v>
      </c>
      <c r="AT147" s="4">
        <f t="shared" si="55"/>
        <v>2.5968309859154992E-2</v>
      </c>
      <c r="AU147" s="4">
        <f t="shared" si="56"/>
        <v>2.0797962648556823E-2</v>
      </c>
      <c r="AV147" s="4">
        <f t="shared" si="57"/>
        <v>2.1385799828914642E-3</v>
      </c>
      <c r="AW147" s="4">
        <f t="shared" si="58"/>
        <v>1.1382799325463822E-2</v>
      </c>
      <c r="AX147" s="4">
        <f t="shared" si="59"/>
        <v>3.7969459347915846E-2</v>
      </c>
      <c r="AY147" s="4">
        <f t="shared" si="60"/>
        <v>0</v>
      </c>
      <c r="AZ147" s="4">
        <f t="shared" si="61"/>
        <v>2.3913909924273558E-3</v>
      </c>
      <c r="BA147" s="4">
        <f t="shared" si="62"/>
        <v>4.0404040404040664E-4</v>
      </c>
      <c r="BB147" s="4">
        <f t="shared" si="63"/>
        <v>3.9724361572760492E-2</v>
      </c>
      <c r="BC147" s="4">
        <f t="shared" si="64"/>
        <v>4.3529877324891553E-3</v>
      </c>
      <c r="BD147" s="4">
        <f t="shared" si="65"/>
        <v>1.5576323987538943E-2</v>
      </c>
      <c r="BE147" s="4">
        <f t="shared" si="66"/>
        <v>2.5067489394523745E-2</v>
      </c>
      <c r="BF147" s="4">
        <f t="shared" si="67"/>
        <v>8.4033613445377853E-3</v>
      </c>
      <c r="BG147" s="4">
        <f t="shared" si="68"/>
        <v>4.0869891263592084E-2</v>
      </c>
      <c r="BH147" s="4">
        <f t="shared" si="69"/>
        <v>2.4802300503235175E-2</v>
      </c>
      <c r="BI147" s="4">
        <f t="shared" si="70"/>
        <v>2.4504504504504476E-2</v>
      </c>
      <c r="BJ147" s="4">
        <f t="shared" si="71"/>
        <v>4.0087463556850444E-3</v>
      </c>
      <c r="BK147" s="4">
        <f t="shared" si="72"/>
        <v>1.7902813299232712E-2</v>
      </c>
      <c r="BL147" s="4">
        <f t="shared" si="73"/>
        <v>4.0876997398735515E-3</v>
      </c>
      <c r="BM147" s="4">
        <f t="shared" si="78"/>
        <v>1.4333612363271948E-2</v>
      </c>
      <c r="BN147" s="9">
        <f t="shared" si="79"/>
        <v>13647.858754347824</v>
      </c>
      <c r="BO147" s="10">
        <f t="shared" si="80"/>
        <v>13134.004615259402</v>
      </c>
      <c r="BP147">
        <v>13875</v>
      </c>
      <c r="BQ147">
        <v>13880</v>
      </c>
      <c r="BR147">
        <v>13875</v>
      </c>
      <c r="BS147">
        <v>13880</v>
      </c>
      <c r="BT147">
        <v>82010</v>
      </c>
      <c r="BU147" s="13">
        <f t="shared" si="74"/>
        <v>13878.333333333334</v>
      </c>
      <c r="BV147" s="13">
        <f t="shared" si="75"/>
        <v>1138162116.6666667</v>
      </c>
      <c r="BW147" s="13">
        <f>SUM($BV$3:BV147)</f>
        <v>178442735436.66672</v>
      </c>
      <c r="BX147" s="13">
        <f>SUM($BT$3:BT147)</f>
        <v>13044590</v>
      </c>
      <c r="BY147" s="3">
        <f t="shared" si="76"/>
        <v>13679.443772220262</v>
      </c>
    </row>
    <row r="148" spans="1:77" x14ac:dyDescent="0.3">
      <c r="A148" s="3" t="s">
        <v>188</v>
      </c>
      <c r="B148" s="3">
        <v>11650</v>
      </c>
      <c r="C148" s="3">
        <v>11650</v>
      </c>
      <c r="D148" s="3">
        <v>11475</v>
      </c>
      <c r="E148" s="3">
        <v>11475</v>
      </c>
      <c r="F148" s="3">
        <v>11655</v>
      </c>
      <c r="G148" s="3">
        <v>11660</v>
      </c>
      <c r="H148" s="3">
        <v>11535</v>
      </c>
      <c r="I148" s="3">
        <v>11525</v>
      </c>
      <c r="J148" s="3">
        <v>11715</v>
      </c>
      <c r="K148" s="3">
        <v>11715</v>
      </c>
      <c r="L148" s="3">
        <v>11995</v>
      </c>
      <c r="M148" s="3">
        <v>12000</v>
      </c>
      <c r="N148" s="3">
        <v>12580</v>
      </c>
      <c r="O148" s="3">
        <v>12575</v>
      </c>
      <c r="P148" s="3">
        <v>12780</v>
      </c>
      <c r="Q148" s="3">
        <v>12785</v>
      </c>
      <c r="R148" s="3">
        <v>12575</v>
      </c>
      <c r="S148" s="3">
        <v>12575</v>
      </c>
      <c r="T148" s="3">
        <v>12385</v>
      </c>
      <c r="U148" s="3">
        <v>12390</v>
      </c>
      <c r="V148" s="3">
        <v>12830</v>
      </c>
      <c r="W148" s="3">
        <v>12830</v>
      </c>
      <c r="X148" s="3">
        <v>12580</v>
      </c>
      <c r="Y148" s="3">
        <v>12570</v>
      </c>
      <c r="Z148" s="3">
        <v>12640</v>
      </c>
      <c r="AA148" s="3">
        <v>12640</v>
      </c>
      <c r="AB148" s="3">
        <v>13290</v>
      </c>
      <c r="AC148" s="3">
        <v>13295</v>
      </c>
      <c r="AD148" s="3">
        <v>13205</v>
      </c>
      <c r="AE148" s="3">
        <v>13200</v>
      </c>
      <c r="AF148" s="3">
        <v>13875</v>
      </c>
      <c r="AG148" s="3">
        <v>13880</v>
      </c>
      <c r="AH148" s="3">
        <v>14255</v>
      </c>
      <c r="AI148" s="3">
        <v>14260</v>
      </c>
      <c r="AJ148" s="3">
        <v>13530</v>
      </c>
      <c r="AK148" s="3">
        <v>13550</v>
      </c>
      <c r="AL148" s="3">
        <v>13775</v>
      </c>
      <c r="AM148" s="3">
        <v>13770</v>
      </c>
      <c r="AN148" s="3">
        <v>13440</v>
      </c>
      <c r="AO148" s="3">
        <v>13445</v>
      </c>
      <c r="AP148" s="3">
        <v>13510</v>
      </c>
      <c r="AQ148" s="3">
        <v>13520</v>
      </c>
      <c r="AR148" s="4">
        <f t="shared" si="77"/>
        <v>1.0407632263659927E-2</v>
      </c>
      <c r="AS148" s="4">
        <f t="shared" si="54"/>
        <v>6.4935064935064402E-3</v>
      </c>
      <c r="AT148" s="4">
        <f t="shared" si="55"/>
        <v>2.6408450704225261E-2</v>
      </c>
      <c r="AU148" s="4">
        <f t="shared" si="56"/>
        <v>2.1646859083191861E-2</v>
      </c>
      <c r="AV148" s="4">
        <f t="shared" si="57"/>
        <v>2.1385799828914642E-3</v>
      </c>
      <c r="AW148" s="4">
        <f t="shared" si="58"/>
        <v>1.180438448566612E-2</v>
      </c>
      <c r="AX148" s="4">
        <f t="shared" si="59"/>
        <v>3.7969459347915846E-2</v>
      </c>
      <c r="AY148" s="4">
        <f t="shared" si="60"/>
        <v>3.9123630672932563E-4</v>
      </c>
      <c r="AZ148" s="4">
        <f t="shared" si="61"/>
        <v>2.3913909924273558E-3</v>
      </c>
      <c r="BA148" s="4">
        <f t="shared" si="62"/>
        <v>1.2121212121212199E-3</v>
      </c>
      <c r="BB148" s="4">
        <f t="shared" si="63"/>
        <v>4.0129712201053991E-2</v>
      </c>
      <c r="BC148" s="4">
        <f t="shared" si="64"/>
        <v>5.1444400474871532E-3</v>
      </c>
      <c r="BD148" s="4">
        <f t="shared" si="65"/>
        <v>1.5576323987538943E-2</v>
      </c>
      <c r="BE148" s="4">
        <f t="shared" si="66"/>
        <v>2.5453143077516449E-2</v>
      </c>
      <c r="BF148" s="4">
        <f t="shared" si="67"/>
        <v>8.4033613445377853E-3</v>
      </c>
      <c r="BG148" s="4">
        <f t="shared" si="68"/>
        <v>4.0869891263592084E-2</v>
      </c>
      <c r="BH148" s="4">
        <f t="shared" si="69"/>
        <v>2.5161754133716796E-2</v>
      </c>
      <c r="BI148" s="4">
        <f t="shared" si="70"/>
        <v>2.3423423423423406E-2</v>
      </c>
      <c r="BJ148" s="4">
        <f t="shared" si="71"/>
        <v>3.6443148688045657E-3</v>
      </c>
      <c r="BK148" s="4">
        <f t="shared" si="72"/>
        <v>1.7537449762513702E-2</v>
      </c>
      <c r="BL148" s="4">
        <f t="shared" si="73"/>
        <v>4.8309178743961567E-3</v>
      </c>
      <c r="BM148" s="4">
        <f t="shared" si="78"/>
        <v>1.4654497804772086E-2</v>
      </c>
      <c r="BN148" s="9">
        <f t="shared" si="79"/>
        <v>13652.176267963208</v>
      </c>
      <c r="BO148" s="10">
        <f t="shared" si="80"/>
        <v>13129.728816751411</v>
      </c>
      <c r="BP148">
        <v>13875</v>
      </c>
      <c r="BQ148">
        <v>13885</v>
      </c>
      <c r="BR148">
        <v>13875</v>
      </c>
      <c r="BS148">
        <v>13880</v>
      </c>
      <c r="BT148">
        <v>35657</v>
      </c>
      <c r="BU148" s="13">
        <f t="shared" si="74"/>
        <v>13880</v>
      </c>
      <c r="BV148" s="13">
        <f t="shared" si="75"/>
        <v>494919160</v>
      </c>
      <c r="BW148" s="13">
        <f>SUM($BV$3:BV148)</f>
        <v>178937654596.66672</v>
      </c>
      <c r="BX148" s="13">
        <f>SUM($BT$3:BT148)</f>
        <v>13080247</v>
      </c>
      <c r="BY148" s="3">
        <f t="shared" si="76"/>
        <v>13679.990492279443</v>
      </c>
    </row>
    <row r="149" spans="1:77" x14ac:dyDescent="0.3">
      <c r="A149" s="3" t="s">
        <v>189</v>
      </c>
      <c r="B149" s="3">
        <v>11645</v>
      </c>
      <c r="C149" s="3">
        <v>11635</v>
      </c>
      <c r="D149" s="3">
        <v>11470</v>
      </c>
      <c r="E149" s="3">
        <v>11460</v>
      </c>
      <c r="F149" s="3">
        <v>11655</v>
      </c>
      <c r="G149" s="3">
        <v>11655</v>
      </c>
      <c r="H149" s="3">
        <v>11525</v>
      </c>
      <c r="I149" s="3">
        <v>11530</v>
      </c>
      <c r="J149" s="3">
        <v>11720</v>
      </c>
      <c r="K149" s="3">
        <v>11725</v>
      </c>
      <c r="L149" s="3">
        <v>12000</v>
      </c>
      <c r="M149" s="3">
        <v>12005</v>
      </c>
      <c r="N149" s="3">
        <v>12570</v>
      </c>
      <c r="O149" s="3">
        <v>12565</v>
      </c>
      <c r="P149" s="3">
        <v>12785</v>
      </c>
      <c r="Q149" s="3">
        <v>12780</v>
      </c>
      <c r="R149" s="3">
        <v>12570</v>
      </c>
      <c r="S149" s="3">
        <v>12560</v>
      </c>
      <c r="T149" s="3">
        <v>12390</v>
      </c>
      <c r="U149" s="3">
        <v>12390</v>
      </c>
      <c r="V149" s="3">
        <v>12825</v>
      </c>
      <c r="W149" s="3">
        <v>12815</v>
      </c>
      <c r="X149" s="3">
        <v>12575</v>
      </c>
      <c r="Y149" s="3">
        <v>12570</v>
      </c>
      <c r="Z149" s="3">
        <v>12640</v>
      </c>
      <c r="AA149" s="3">
        <v>12640</v>
      </c>
      <c r="AB149" s="3">
        <v>13290</v>
      </c>
      <c r="AC149" s="3">
        <v>13290</v>
      </c>
      <c r="AD149" s="3">
        <v>13200</v>
      </c>
      <c r="AE149" s="3">
        <v>13205</v>
      </c>
      <c r="AF149" s="3">
        <v>13880</v>
      </c>
      <c r="AG149" s="3">
        <v>13865</v>
      </c>
      <c r="AH149" s="3">
        <v>14255</v>
      </c>
      <c r="AI149" s="3">
        <v>14250</v>
      </c>
      <c r="AJ149" s="3">
        <v>13550</v>
      </c>
      <c r="AK149" s="3">
        <v>13555</v>
      </c>
      <c r="AL149" s="3">
        <v>13770</v>
      </c>
      <c r="AM149" s="3">
        <v>13765</v>
      </c>
      <c r="AN149" s="3">
        <v>13445</v>
      </c>
      <c r="AO149" s="3">
        <v>13455</v>
      </c>
      <c r="AP149" s="3">
        <v>13520</v>
      </c>
      <c r="AQ149" s="3">
        <v>13525</v>
      </c>
      <c r="AR149" s="4">
        <f t="shared" si="77"/>
        <v>9.1066782307025473E-3</v>
      </c>
      <c r="AS149" s="4">
        <f t="shared" si="54"/>
        <v>7.7922077922077948E-3</v>
      </c>
      <c r="AT149" s="4">
        <f t="shared" si="55"/>
        <v>2.5968309859154992E-2</v>
      </c>
      <c r="AU149" s="4">
        <f t="shared" si="56"/>
        <v>2.1222410865874397E-2</v>
      </c>
      <c r="AV149" s="4">
        <f t="shared" si="57"/>
        <v>2.9940119760478723E-3</v>
      </c>
      <c r="AW149" s="4">
        <f t="shared" si="58"/>
        <v>1.2225969645868418E-2</v>
      </c>
      <c r="AX149" s="4">
        <f t="shared" si="59"/>
        <v>3.7144036318613294E-2</v>
      </c>
      <c r="AY149" s="4">
        <f t="shared" si="60"/>
        <v>0</v>
      </c>
      <c r="AZ149" s="4">
        <f t="shared" si="61"/>
        <v>1.1956954962135669E-3</v>
      </c>
      <c r="BA149" s="4">
        <f t="shared" si="62"/>
        <v>1.2121212121212199E-3</v>
      </c>
      <c r="BB149" s="4">
        <f t="shared" si="63"/>
        <v>3.8913660316173493E-2</v>
      </c>
      <c r="BC149" s="4">
        <f t="shared" si="64"/>
        <v>5.1444400474871532E-3</v>
      </c>
      <c r="BD149" s="4">
        <f t="shared" si="65"/>
        <v>1.5576323987538943E-2</v>
      </c>
      <c r="BE149" s="4">
        <f t="shared" si="66"/>
        <v>2.5067489394523745E-2</v>
      </c>
      <c r="BF149" s="4">
        <f t="shared" si="67"/>
        <v>8.7853323147439877E-3</v>
      </c>
      <c r="BG149" s="4">
        <f t="shared" si="68"/>
        <v>3.974503187101619E-2</v>
      </c>
      <c r="BH149" s="4">
        <f t="shared" si="69"/>
        <v>2.4442846872753332E-2</v>
      </c>
      <c r="BI149" s="4">
        <f t="shared" si="70"/>
        <v>2.306306306306305E-2</v>
      </c>
      <c r="BJ149" s="4">
        <f t="shared" si="71"/>
        <v>3.2798833819243089E-3</v>
      </c>
      <c r="BK149" s="4">
        <f t="shared" si="72"/>
        <v>1.6806722689075682E-2</v>
      </c>
      <c r="BL149" s="4">
        <f t="shared" si="73"/>
        <v>5.2025269416573483E-3</v>
      </c>
      <c r="BM149" s="4">
        <f t="shared" si="78"/>
        <v>1.4517286373326348E-2</v>
      </c>
      <c r="BN149" s="9">
        <f t="shared" si="79"/>
        <v>13650.330088153105</v>
      </c>
      <c r="BO149" s="10">
        <f t="shared" si="80"/>
        <v>13131.557159075426</v>
      </c>
      <c r="BP149">
        <v>13880</v>
      </c>
      <c r="BQ149">
        <v>13880</v>
      </c>
      <c r="BR149">
        <v>13865</v>
      </c>
      <c r="BS149">
        <v>13865</v>
      </c>
      <c r="BT149">
        <v>15365</v>
      </c>
      <c r="BU149" s="13">
        <f t="shared" si="74"/>
        <v>13870</v>
      </c>
      <c r="BV149" s="13">
        <f t="shared" si="75"/>
        <v>213112550</v>
      </c>
      <c r="BW149" s="13">
        <f>SUM($BV$3:BV149)</f>
        <v>179150767146.66672</v>
      </c>
      <c r="BX149" s="13">
        <f>SUM($BT$3:BT149)</f>
        <v>13095612</v>
      </c>
      <c r="BY149" s="3">
        <f t="shared" si="76"/>
        <v>13680.213429251471</v>
      </c>
    </row>
    <row r="150" spans="1:77" x14ac:dyDescent="0.3">
      <c r="A150" s="3" t="s">
        <v>190</v>
      </c>
      <c r="B150" s="3">
        <v>11635</v>
      </c>
      <c r="C150" s="3">
        <v>11630</v>
      </c>
      <c r="D150" s="3">
        <v>11460</v>
      </c>
      <c r="E150" s="3">
        <v>11450</v>
      </c>
      <c r="F150" s="3">
        <v>11655</v>
      </c>
      <c r="G150" s="3">
        <v>11655</v>
      </c>
      <c r="H150" s="3">
        <v>11530</v>
      </c>
      <c r="I150" s="3">
        <v>11515</v>
      </c>
      <c r="J150" s="3">
        <v>11725</v>
      </c>
      <c r="K150" s="3">
        <v>11725</v>
      </c>
      <c r="L150" s="3">
        <v>12005</v>
      </c>
      <c r="M150" s="3">
        <v>12000</v>
      </c>
      <c r="N150" s="3">
        <v>12570</v>
      </c>
      <c r="O150" s="3">
        <v>12575</v>
      </c>
      <c r="P150" s="3">
        <v>12780</v>
      </c>
      <c r="Q150" s="3">
        <v>12780</v>
      </c>
      <c r="R150" s="3">
        <v>12560</v>
      </c>
      <c r="S150" s="3">
        <v>12560</v>
      </c>
      <c r="T150" s="3">
        <v>12390</v>
      </c>
      <c r="U150" s="3">
        <v>12385</v>
      </c>
      <c r="V150" s="3">
        <v>12815</v>
      </c>
      <c r="W150" s="3">
        <v>12820</v>
      </c>
      <c r="X150" s="3">
        <v>12570</v>
      </c>
      <c r="Y150" s="3">
        <v>12575</v>
      </c>
      <c r="Z150" s="3">
        <v>12645</v>
      </c>
      <c r="AA150" s="3">
        <v>12640</v>
      </c>
      <c r="AB150" s="3">
        <v>13290</v>
      </c>
      <c r="AC150" s="3">
        <v>13295</v>
      </c>
      <c r="AD150" s="3">
        <v>13205</v>
      </c>
      <c r="AE150" s="3">
        <v>13210</v>
      </c>
      <c r="AF150" s="3">
        <v>13865</v>
      </c>
      <c r="AG150" s="3">
        <v>13875</v>
      </c>
      <c r="AH150" s="3">
        <v>14250</v>
      </c>
      <c r="AI150" s="3">
        <v>14250</v>
      </c>
      <c r="AJ150" s="3">
        <v>13550</v>
      </c>
      <c r="AK150" s="3">
        <v>13545</v>
      </c>
      <c r="AL150" s="3">
        <v>13770</v>
      </c>
      <c r="AM150" s="3">
        <v>13765</v>
      </c>
      <c r="AN150" s="3">
        <v>13455</v>
      </c>
      <c r="AO150" s="3">
        <v>13460</v>
      </c>
      <c r="AP150" s="3">
        <v>13525</v>
      </c>
      <c r="AQ150" s="3">
        <v>13530</v>
      </c>
      <c r="AR150" s="4">
        <f t="shared" si="77"/>
        <v>8.6730268863832727E-3</v>
      </c>
      <c r="AS150" s="4">
        <f t="shared" si="54"/>
        <v>8.6580086580086979E-3</v>
      </c>
      <c r="AT150" s="4">
        <f t="shared" si="55"/>
        <v>2.5968309859154992E-2</v>
      </c>
      <c r="AU150" s="4">
        <f t="shared" si="56"/>
        <v>2.2495755517826788E-2</v>
      </c>
      <c r="AV150" s="4">
        <f t="shared" si="57"/>
        <v>2.9940119760478723E-3</v>
      </c>
      <c r="AW150" s="4">
        <f t="shared" si="58"/>
        <v>1.180438448566612E-2</v>
      </c>
      <c r="AX150" s="4">
        <f t="shared" si="59"/>
        <v>3.7969459347915846E-2</v>
      </c>
      <c r="AY150" s="4">
        <f t="shared" si="60"/>
        <v>0</v>
      </c>
      <c r="AZ150" s="4">
        <f t="shared" si="61"/>
        <v>1.1956954962135669E-3</v>
      </c>
      <c r="BA150" s="4">
        <f t="shared" si="62"/>
        <v>8.0808080808081328E-4</v>
      </c>
      <c r="BB150" s="4">
        <f t="shared" si="63"/>
        <v>3.9319010944466992E-2</v>
      </c>
      <c r="BC150" s="4">
        <f t="shared" si="64"/>
        <v>4.7487138899880987E-3</v>
      </c>
      <c r="BD150" s="4">
        <f t="shared" si="65"/>
        <v>1.5576323987538943E-2</v>
      </c>
      <c r="BE150" s="4">
        <f t="shared" si="66"/>
        <v>2.5453143077516449E-2</v>
      </c>
      <c r="BF150" s="4">
        <f t="shared" si="67"/>
        <v>9.1673032849504121E-3</v>
      </c>
      <c r="BG150" s="4">
        <f t="shared" si="68"/>
        <v>4.0494938132733305E-2</v>
      </c>
      <c r="BH150" s="4">
        <f t="shared" si="69"/>
        <v>2.4442846872753332E-2</v>
      </c>
      <c r="BI150" s="4">
        <f t="shared" si="70"/>
        <v>2.3783783783783763E-2</v>
      </c>
      <c r="BJ150" s="4">
        <f t="shared" si="71"/>
        <v>3.2798833819243089E-3</v>
      </c>
      <c r="BK150" s="4">
        <f t="shared" si="72"/>
        <v>1.6441359152356561E-2</v>
      </c>
      <c r="BL150" s="4">
        <f t="shared" si="73"/>
        <v>5.5741360089185399E-3</v>
      </c>
      <c r="BM150" s="4">
        <f t="shared" si="78"/>
        <v>1.4725585809526829E-2</v>
      </c>
      <c r="BN150" s="9">
        <f t="shared" si="79"/>
        <v>13653.132757067182</v>
      </c>
      <c r="BO150" s="10">
        <f t="shared" si="80"/>
        <v>13128.781569088054</v>
      </c>
      <c r="BP150">
        <v>13865</v>
      </c>
      <c r="BQ150">
        <v>13880</v>
      </c>
      <c r="BR150">
        <v>13860</v>
      </c>
      <c r="BS150">
        <v>13875</v>
      </c>
      <c r="BT150">
        <v>15960</v>
      </c>
      <c r="BU150" s="13">
        <f t="shared" si="74"/>
        <v>13871.666666666666</v>
      </c>
      <c r="BV150" s="13">
        <f t="shared" si="75"/>
        <v>221391800</v>
      </c>
      <c r="BW150" s="13">
        <f>SUM($BV$3:BV150)</f>
        <v>179372158946.66672</v>
      </c>
      <c r="BX150" s="13">
        <f>SUM($BT$3:BT150)</f>
        <v>13111572</v>
      </c>
      <c r="BY150" s="3">
        <f t="shared" si="76"/>
        <v>13680.446474813754</v>
      </c>
    </row>
    <row r="151" spans="1:77" x14ac:dyDescent="0.3">
      <c r="A151" s="3" t="s">
        <v>191</v>
      </c>
      <c r="B151" s="3">
        <v>11635</v>
      </c>
      <c r="C151" s="3">
        <v>11645</v>
      </c>
      <c r="D151" s="3">
        <v>11455</v>
      </c>
      <c r="E151" s="3">
        <v>11455</v>
      </c>
      <c r="F151" s="3">
        <v>11660</v>
      </c>
      <c r="G151" s="3">
        <v>11655</v>
      </c>
      <c r="H151" s="3">
        <v>11515</v>
      </c>
      <c r="I151" s="3">
        <v>11515</v>
      </c>
      <c r="J151" s="3">
        <v>11720</v>
      </c>
      <c r="K151" s="3">
        <v>11735</v>
      </c>
      <c r="L151" s="3">
        <v>11995</v>
      </c>
      <c r="M151" s="3">
        <v>12000</v>
      </c>
      <c r="N151" s="3">
        <v>12575</v>
      </c>
      <c r="O151" s="3">
        <v>12575</v>
      </c>
      <c r="P151" s="3">
        <v>12780</v>
      </c>
      <c r="Q151" s="3">
        <v>12795</v>
      </c>
      <c r="R151" s="3">
        <v>12565</v>
      </c>
      <c r="S151" s="3">
        <v>12575</v>
      </c>
      <c r="T151" s="3">
        <v>12385</v>
      </c>
      <c r="U151" s="3">
        <v>12385</v>
      </c>
      <c r="V151" s="3">
        <v>12825</v>
      </c>
      <c r="W151" s="3">
        <v>12835</v>
      </c>
      <c r="X151" s="3">
        <v>12575</v>
      </c>
      <c r="Y151" s="3">
        <v>12575</v>
      </c>
      <c r="Z151" s="3">
        <v>12640</v>
      </c>
      <c r="AA151" s="3">
        <v>12655</v>
      </c>
      <c r="AB151" s="3">
        <v>13295</v>
      </c>
      <c r="AC151" s="3">
        <v>13290</v>
      </c>
      <c r="AD151" s="3">
        <v>13210</v>
      </c>
      <c r="AE151" s="3">
        <v>13200</v>
      </c>
      <c r="AF151" s="3">
        <v>13875</v>
      </c>
      <c r="AG151" s="3">
        <v>13870</v>
      </c>
      <c r="AH151" s="3">
        <v>14250</v>
      </c>
      <c r="AI151" s="3">
        <v>14250</v>
      </c>
      <c r="AJ151" s="3">
        <v>13550</v>
      </c>
      <c r="AK151" s="3">
        <v>13550</v>
      </c>
      <c r="AL151" s="3">
        <v>13765</v>
      </c>
      <c r="AM151" s="3">
        <v>13770</v>
      </c>
      <c r="AN151" s="3">
        <v>13460</v>
      </c>
      <c r="AO151" s="3">
        <v>13445</v>
      </c>
      <c r="AP151" s="3">
        <v>13530</v>
      </c>
      <c r="AQ151" s="3">
        <v>13525</v>
      </c>
      <c r="AR151" s="4">
        <f t="shared" si="77"/>
        <v>9.9739809193408746E-3</v>
      </c>
      <c r="AS151" s="4">
        <f t="shared" si="54"/>
        <v>8.2251082251082464E-3</v>
      </c>
      <c r="AT151" s="4">
        <f t="shared" si="55"/>
        <v>2.5968309859154992E-2</v>
      </c>
      <c r="AU151" s="4">
        <f t="shared" si="56"/>
        <v>2.2495755517826788E-2</v>
      </c>
      <c r="AV151" s="4">
        <f t="shared" si="57"/>
        <v>3.8494439692045024E-3</v>
      </c>
      <c r="AW151" s="4">
        <f t="shared" si="58"/>
        <v>1.180438448566612E-2</v>
      </c>
      <c r="AX151" s="4">
        <f t="shared" si="59"/>
        <v>3.7969459347915846E-2</v>
      </c>
      <c r="AY151" s="4">
        <f t="shared" si="60"/>
        <v>1.1737089201877549E-3</v>
      </c>
      <c r="AZ151" s="4">
        <f t="shared" si="61"/>
        <v>2.3913909924273558E-3</v>
      </c>
      <c r="BA151" s="4">
        <f t="shared" si="62"/>
        <v>8.0808080808081328E-4</v>
      </c>
      <c r="BB151" s="4">
        <f t="shared" si="63"/>
        <v>4.053506282934749E-2</v>
      </c>
      <c r="BC151" s="4">
        <f t="shared" si="64"/>
        <v>4.7487138899880987E-3</v>
      </c>
      <c r="BD151" s="4">
        <f t="shared" si="65"/>
        <v>1.4408099688473563E-2</v>
      </c>
      <c r="BE151" s="4">
        <f t="shared" si="66"/>
        <v>2.5067489394523745E-2</v>
      </c>
      <c r="BF151" s="4">
        <f t="shared" si="67"/>
        <v>8.4033613445377853E-3</v>
      </c>
      <c r="BG151" s="4">
        <f t="shared" si="68"/>
        <v>4.0119985001874747E-2</v>
      </c>
      <c r="BH151" s="4">
        <f t="shared" si="69"/>
        <v>2.4442846872753332E-2</v>
      </c>
      <c r="BI151" s="4">
        <f t="shared" si="70"/>
        <v>2.3423423423423406E-2</v>
      </c>
      <c r="BJ151" s="4">
        <f t="shared" si="71"/>
        <v>3.6443148688045657E-3</v>
      </c>
      <c r="BK151" s="4">
        <f t="shared" si="72"/>
        <v>1.7537449762513702E-2</v>
      </c>
      <c r="BL151" s="4">
        <f t="shared" si="73"/>
        <v>5.2025269416573483E-3</v>
      </c>
      <c r="BM151" s="4">
        <f t="shared" si="78"/>
        <v>1.4846312090888793E-2</v>
      </c>
      <c r="BN151" s="9">
        <f t="shared" si="79"/>
        <v>13654.75712918291</v>
      </c>
      <c r="BO151" s="10">
        <f t="shared" si="80"/>
        <v>13127.172891388906</v>
      </c>
      <c r="BP151">
        <v>13875</v>
      </c>
      <c r="BQ151">
        <v>13875</v>
      </c>
      <c r="BR151">
        <v>13860</v>
      </c>
      <c r="BS151">
        <v>13870</v>
      </c>
      <c r="BT151">
        <v>3374</v>
      </c>
      <c r="BU151" s="13">
        <f t="shared" si="74"/>
        <v>13868.333333333334</v>
      </c>
      <c r="BV151" s="13">
        <f t="shared" si="75"/>
        <v>46791756.666666672</v>
      </c>
      <c r="BW151" s="13">
        <f>SUM($BV$3:BV151)</f>
        <v>179418950703.33337</v>
      </c>
      <c r="BX151" s="13">
        <f>SUM($BT$3:BT151)</f>
        <v>13114946</v>
      </c>
      <c r="BY151" s="3">
        <f t="shared" si="76"/>
        <v>13680.494811288843</v>
      </c>
    </row>
    <row r="152" spans="1:77" x14ac:dyDescent="0.3">
      <c r="A152" s="3" t="s">
        <v>192</v>
      </c>
      <c r="B152" s="3">
        <v>11645</v>
      </c>
      <c r="C152" s="3">
        <v>11650</v>
      </c>
      <c r="D152" s="3">
        <v>11450</v>
      </c>
      <c r="E152" s="3">
        <v>11460</v>
      </c>
      <c r="F152" s="3">
        <v>11655</v>
      </c>
      <c r="G152" s="3">
        <v>11655</v>
      </c>
      <c r="H152" s="3">
        <v>11510</v>
      </c>
      <c r="I152" s="3">
        <v>11515</v>
      </c>
      <c r="J152" s="3">
        <v>11735</v>
      </c>
      <c r="K152" s="3">
        <v>11730</v>
      </c>
      <c r="L152" s="3">
        <v>12000</v>
      </c>
      <c r="M152" s="3">
        <v>12000</v>
      </c>
      <c r="N152" s="3">
        <v>12580</v>
      </c>
      <c r="O152" s="3">
        <v>12575</v>
      </c>
      <c r="P152" s="3">
        <v>12790</v>
      </c>
      <c r="Q152" s="3">
        <v>12760</v>
      </c>
      <c r="R152" s="3">
        <v>12570</v>
      </c>
      <c r="S152" s="3">
        <v>12590</v>
      </c>
      <c r="T152" s="3">
        <v>12380</v>
      </c>
      <c r="U152" s="3">
        <v>12385</v>
      </c>
      <c r="V152" s="3">
        <v>12835</v>
      </c>
      <c r="W152" s="3">
        <v>12835</v>
      </c>
      <c r="X152" s="3">
        <v>12580</v>
      </c>
      <c r="Y152" s="3">
        <v>12595</v>
      </c>
      <c r="Z152" s="3">
        <v>12655</v>
      </c>
      <c r="AA152" s="3">
        <v>12650</v>
      </c>
      <c r="AB152" s="3">
        <v>13290</v>
      </c>
      <c r="AC152" s="3">
        <v>13300</v>
      </c>
      <c r="AD152" s="3">
        <v>13200</v>
      </c>
      <c r="AE152" s="3">
        <v>13200</v>
      </c>
      <c r="AF152" s="3">
        <v>13865</v>
      </c>
      <c r="AG152" s="3">
        <v>13865</v>
      </c>
      <c r="AH152" s="3">
        <v>14250</v>
      </c>
      <c r="AI152" s="3">
        <v>14245</v>
      </c>
      <c r="AJ152" s="3">
        <v>13550</v>
      </c>
      <c r="AK152" s="3">
        <v>13555</v>
      </c>
      <c r="AL152" s="3">
        <v>13770</v>
      </c>
      <c r="AM152" s="3">
        <v>13770</v>
      </c>
      <c r="AN152" s="3">
        <v>13445</v>
      </c>
      <c r="AO152" s="3">
        <v>13465</v>
      </c>
      <c r="AP152" s="3">
        <v>13525</v>
      </c>
      <c r="AQ152" s="3">
        <v>13530</v>
      </c>
      <c r="AR152" s="4">
        <f t="shared" si="77"/>
        <v>1.0407632263659927E-2</v>
      </c>
      <c r="AS152" s="4">
        <f t="shared" si="54"/>
        <v>7.7922077922077948E-3</v>
      </c>
      <c r="AT152" s="4">
        <f t="shared" si="55"/>
        <v>2.5968309859154992E-2</v>
      </c>
      <c r="AU152" s="4">
        <f t="shared" si="56"/>
        <v>2.2495755517826788E-2</v>
      </c>
      <c r="AV152" s="4">
        <f t="shared" si="57"/>
        <v>3.4217279726260763E-3</v>
      </c>
      <c r="AW152" s="4">
        <f t="shared" si="58"/>
        <v>1.180438448566612E-2</v>
      </c>
      <c r="AX152" s="4">
        <f t="shared" si="59"/>
        <v>3.7969459347915846E-2</v>
      </c>
      <c r="AY152" s="4">
        <f t="shared" si="60"/>
        <v>1.5649452269170805E-3</v>
      </c>
      <c r="AZ152" s="4">
        <f t="shared" si="61"/>
        <v>3.5870864886409226E-3</v>
      </c>
      <c r="BA152" s="4">
        <f t="shared" si="62"/>
        <v>8.0808080808081328E-4</v>
      </c>
      <c r="BB152" s="4">
        <f t="shared" si="63"/>
        <v>4.053506282934749E-2</v>
      </c>
      <c r="BC152" s="4">
        <f t="shared" si="64"/>
        <v>3.1658092599921028E-3</v>
      </c>
      <c r="BD152" s="4">
        <f t="shared" si="65"/>
        <v>1.4797507788162023E-2</v>
      </c>
      <c r="BE152" s="4">
        <f t="shared" si="66"/>
        <v>2.5838796760509153E-2</v>
      </c>
      <c r="BF152" s="4">
        <f t="shared" si="67"/>
        <v>8.4033613445377853E-3</v>
      </c>
      <c r="BG152" s="4">
        <f t="shared" si="68"/>
        <v>3.974503187101619E-2</v>
      </c>
      <c r="BH152" s="4">
        <f t="shared" si="69"/>
        <v>2.4083393242271711E-2</v>
      </c>
      <c r="BI152" s="4">
        <f t="shared" si="70"/>
        <v>2.306306306306305E-2</v>
      </c>
      <c r="BJ152" s="4">
        <f t="shared" si="71"/>
        <v>3.6443148688045657E-3</v>
      </c>
      <c r="BK152" s="4">
        <f t="shared" si="72"/>
        <v>1.6075995615637551E-2</v>
      </c>
      <c r="BL152" s="4">
        <f t="shared" si="73"/>
        <v>5.5741360089185399E-3</v>
      </c>
      <c r="BM152" s="4">
        <f t="shared" si="78"/>
        <v>1.4868035391541785E-2</v>
      </c>
      <c r="BN152" s="9">
        <f t="shared" si="79"/>
        <v>13655.049416193195</v>
      </c>
      <c r="BO152" s="10">
        <f t="shared" si="80"/>
        <v>13126.883428407706</v>
      </c>
      <c r="BP152">
        <v>13865</v>
      </c>
      <c r="BQ152">
        <v>13870</v>
      </c>
      <c r="BR152">
        <v>13865</v>
      </c>
      <c r="BS152">
        <v>13865</v>
      </c>
      <c r="BT152">
        <v>1692</v>
      </c>
      <c r="BU152" s="13">
        <f t="shared" si="74"/>
        <v>13866.666666666666</v>
      </c>
      <c r="BV152" s="13">
        <f t="shared" si="75"/>
        <v>23462400</v>
      </c>
      <c r="BW152" s="13">
        <f>SUM($BV$3:BV152)</f>
        <v>179442413103.33337</v>
      </c>
      <c r="BX152" s="13">
        <f>SUM($BT$3:BT152)</f>
        <v>13116638</v>
      </c>
      <c r="BY152" s="3">
        <f t="shared" si="76"/>
        <v>13680.518826800997</v>
      </c>
    </row>
    <row r="153" spans="1:77" x14ac:dyDescent="0.3">
      <c r="A153" s="3" t="s">
        <v>193</v>
      </c>
      <c r="B153" s="3">
        <v>11655</v>
      </c>
      <c r="C153" s="3">
        <v>11650</v>
      </c>
      <c r="D153" s="3">
        <v>11465</v>
      </c>
      <c r="E153" s="3">
        <v>11465</v>
      </c>
      <c r="F153" s="3">
        <v>11655</v>
      </c>
      <c r="G153" s="3">
        <v>11670</v>
      </c>
      <c r="H153" s="3">
        <v>11515</v>
      </c>
      <c r="I153" s="3">
        <v>11510</v>
      </c>
      <c r="J153" s="3">
        <v>11730</v>
      </c>
      <c r="K153" s="3">
        <v>11720</v>
      </c>
      <c r="L153" s="3">
        <v>12000</v>
      </c>
      <c r="M153" s="3">
        <v>11985</v>
      </c>
      <c r="N153" s="3">
        <v>12575</v>
      </c>
      <c r="O153" s="3">
        <v>12570</v>
      </c>
      <c r="P153" s="3">
        <v>12760</v>
      </c>
      <c r="Q153" s="3">
        <v>12785</v>
      </c>
      <c r="R153" s="3">
        <v>12595</v>
      </c>
      <c r="S153" s="3">
        <v>12590</v>
      </c>
      <c r="T153" s="3">
        <v>12385</v>
      </c>
      <c r="U153" s="3">
        <v>12390</v>
      </c>
      <c r="V153" s="3">
        <v>12835</v>
      </c>
      <c r="W153" s="3">
        <v>12825</v>
      </c>
      <c r="X153" s="3">
        <v>12595</v>
      </c>
      <c r="Y153" s="3">
        <v>12585</v>
      </c>
      <c r="Z153" s="3">
        <v>12650</v>
      </c>
      <c r="AA153" s="3">
        <v>12660</v>
      </c>
      <c r="AB153" s="3">
        <v>13295</v>
      </c>
      <c r="AC153" s="3">
        <v>13300</v>
      </c>
      <c r="AD153" s="3">
        <v>13200</v>
      </c>
      <c r="AE153" s="3">
        <v>13190</v>
      </c>
      <c r="AF153" s="3">
        <v>13870</v>
      </c>
      <c r="AG153" s="3">
        <v>13865</v>
      </c>
      <c r="AH153" s="3">
        <v>14245</v>
      </c>
      <c r="AI153" s="3">
        <v>14240</v>
      </c>
      <c r="AJ153" s="3">
        <v>13555</v>
      </c>
      <c r="AK153" s="3">
        <v>13580</v>
      </c>
      <c r="AL153" s="3">
        <v>13770</v>
      </c>
      <c r="AM153" s="3">
        <v>13755</v>
      </c>
      <c r="AN153" s="3">
        <v>13455</v>
      </c>
      <c r="AO153" s="3">
        <v>13455</v>
      </c>
      <c r="AP153" s="3">
        <v>13525</v>
      </c>
      <c r="AQ153" s="3">
        <v>13530</v>
      </c>
      <c r="AR153" s="4">
        <f t="shared" si="77"/>
        <v>1.0407632263659927E-2</v>
      </c>
      <c r="AS153" s="4">
        <f t="shared" si="54"/>
        <v>7.3593073593073433E-3</v>
      </c>
      <c r="AT153" s="4">
        <f t="shared" si="55"/>
        <v>2.7288732394366244E-2</v>
      </c>
      <c r="AU153" s="4">
        <f t="shared" si="56"/>
        <v>2.2920203735144362E-2</v>
      </c>
      <c r="AV153" s="4">
        <f t="shared" si="57"/>
        <v>2.5662959794696683E-3</v>
      </c>
      <c r="AW153" s="4">
        <f t="shared" si="58"/>
        <v>1.0539629005059004E-2</v>
      </c>
      <c r="AX153" s="4">
        <f t="shared" si="59"/>
        <v>3.755674783326457E-2</v>
      </c>
      <c r="AY153" s="4">
        <f t="shared" si="60"/>
        <v>3.9123630672932563E-4</v>
      </c>
      <c r="AZ153" s="4">
        <f t="shared" si="61"/>
        <v>3.5870864886409226E-3</v>
      </c>
      <c r="BA153" s="4">
        <f t="shared" si="62"/>
        <v>1.2121212121212199E-3</v>
      </c>
      <c r="BB153" s="4">
        <f t="shared" si="63"/>
        <v>3.9724361572760492E-2</v>
      </c>
      <c r="BC153" s="4">
        <f t="shared" si="64"/>
        <v>3.9572615749901008E-3</v>
      </c>
      <c r="BD153" s="4">
        <f t="shared" si="65"/>
        <v>1.4018691588784993E-2</v>
      </c>
      <c r="BE153" s="4">
        <f t="shared" si="66"/>
        <v>2.5838796760509153E-2</v>
      </c>
      <c r="BF153" s="4">
        <f t="shared" si="67"/>
        <v>7.6394194041253805E-3</v>
      </c>
      <c r="BG153" s="4">
        <f t="shared" si="68"/>
        <v>3.974503187101619E-2</v>
      </c>
      <c r="BH153" s="4">
        <f t="shared" si="69"/>
        <v>2.372393961179009E-2</v>
      </c>
      <c r="BI153" s="4">
        <f t="shared" si="70"/>
        <v>2.1261261261261266E-2</v>
      </c>
      <c r="BJ153" s="4">
        <f t="shared" si="71"/>
        <v>2.5510204081633514E-3</v>
      </c>
      <c r="BK153" s="4">
        <f t="shared" si="72"/>
        <v>1.6806722689075682E-2</v>
      </c>
      <c r="BL153" s="4">
        <f t="shared" si="73"/>
        <v>5.5741360089185399E-3</v>
      </c>
      <c r="BM153" s="4">
        <f t="shared" si="78"/>
        <v>1.4614277943948055E-2</v>
      </c>
      <c r="BN153" s="9">
        <f t="shared" si="79"/>
        <v>13651.63510973582</v>
      </c>
      <c r="BO153" s="10">
        <f t="shared" si="80"/>
        <v>13130.264746396891</v>
      </c>
      <c r="BP153">
        <v>13870</v>
      </c>
      <c r="BQ153">
        <v>13870</v>
      </c>
      <c r="BR153">
        <v>13855</v>
      </c>
      <c r="BS153">
        <v>13865</v>
      </c>
      <c r="BT153">
        <v>23509</v>
      </c>
      <c r="BU153" s="13">
        <f t="shared" si="74"/>
        <v>13863.333333333334</v>
      </c>
      <c r="BV153" s="13">
        <f t="shared" si="75"/>
        <v>325913103.33333337</v>
      </c>
      <c r="BW153" s="13">
        <f>SUM($BV$3:BV153)</f>
        <v>179768326206.66672</v>
      </c>
      <c r="BX153" s="13">
        <f>SUM($BT$3:BT153)</f>
        <v>13140147</v>
      </c>
      <c r="BY153" s="3">
        <f t="shared" si="76"/>
        <v>13680.845899719898</v>
      </c>
    </row>
    <row r="154" spans="1:77" x14ac:dyDescent="0.3">
      <c r="A154" s="3" t="s">
        <v>194</v>
      </c>
      <c r="B154" s="3">
        <v>11645</v>
      </c>
      <c r="C154" s="3">
        <v>11635</v>
      </c>
      <c r="D154" s="3">
        <v>11465</v>
      </c>
      <c r="E154" s="3">
        <v>11465</v>
      </c>
      <c r="F154" s="3">
        <v>11670</v>
      </c>
      <c r="G154" s="3">
        <v>11670</v>
      </c>
      <c r="H154" s="3">
        <v>11510</v>
      </c>
      <c r="I154" s="3">
        <v>11525</v>
      </c>
      <c r="J154" s="3">
        <v>11725</v>
      </c>
      <c r="K154" s="3">
        <v>11730</v>
      </c>
      <c r="L154" s="3">
        <v>11990</v>
      </c>
      <c r="M154" s="3">
        <v>12005</v>
      </c>
      <c r="N154" s="3">
        <v>12565</v>
      </c>
      <c r="O154" s="3">
        <v>12545</v>
      </c>
      <c r="P154" s="3">
        <v>12790</v>
      </c>
      <c r="Q154" s="3">
        <v>12780</v>
      </c>
      <c r="R154" s="3">
        <v>12590</v>
      </c>
      <c r="S154" s="3">
        <v>12585</v>
      </c>
      <c r="T154" s="3">
        <v>12390</v>
      </c>
      <c r="U154" s="3">
        <v>12390</v>
      </c>
      <c r="V154" s="3">
        <v>12820</v>
      </c>
      <c r="W154" s="3">
        <v>12820</v>
      </c>
      <c r="X154" s="3">
        <v>12585</v>
      </c>
      <c r="Y154" s="3">
        <v>12580</v>
      </c>
      <c r="Z154" s="3">
        <v>12660</v>
      </c>
      <c r="AA154" s="3">
        <v>12665</v>
      </c>
      <c r="AB154" s="3">
        <v>13300</v>
      </c>
      <c r="AC154" s="3">
        <v>13300</v>
      </c>
      <c r="AD154" s="3">
        <v>13195</v>
      </c>
      <c r="AE154" s="3">
        <v>13190</v>
      </c>
      <c r="AF154" s="3">
        <v>13865</v>
      </c>
      <c r="AG154" s="3">
        <v>13865</v>
      </c>
      <c r="AH154" s="3">
        <v>14240</v>
      </c>
      <c r="AI154" s="3">
        <v>14240</v>
      </c>
      <c r="AJ154" s="3">
        <v>13580</v>
      </c>
      <c r="AK154" s="3">
        <v>13575</v>
      </c>
      <c r="AL154" s="3">
        <v>13755</v>
      </c>
      <c r="AM154" s="3">
        <v>13760</v>
      </c>
      <c r="AN154" s="3">
        <v>13455</v>
      </c>
      <c r="AO154" s="3">
        <v>13455</v>
      </c>
      <c r="AP154" s="3">
        <v>13530</v>
      </c>
      <c r="AQ154" s="3">
        <v>13530</v>
      </c>
      <c r="AR154" s="4">
        <f t="shared" si="77"/>
        <v>9.1066782307025473E-3</v>
      </c>
      <c r="AS154" s="4">
        <f t="shared" si="54"/>
        <v>7.3593073593073433E-3</v>
      </c>
      <c r="AT154" s="4">
        <f t="shared" si="55"/>
        <v>2.7288732394366244E-2</v>
      </c>
      <c r="AU154" s="4">
        <f t="shared" si="56"/>
        <v>2.1646859083191861E-2</v>
      </c>
      <c r="AV154" s="4">
        <f t="shared" si="57"/>
        <v>3.4217279726260763E-3</v>
      </c>
      <c r="AW154" s="4">
        <f t="shared" si="58"/>
        <v>1.2225969645868418E-2</v>
      </c>
      <c r="AX154" s="4">
        <f t="shared" si="59"/>
        <v>3.5493190260008189E-2</v>
      </c>
      <c r="AY154" s="4">
        <f t="shared" si="60"/>
        <v>0</v>
      </c>
      <c r="AZ154" s="4">
        <f t="shared" si="61"/>
        <v>3.1885213232363263E-3</v>
      </c>
      <c r="BA154" s="4">
        <f t="shared" si="62"/>
        <v>1.2121212121212199E-3</v>
      </c>
      <c r="BB154" s="4">
        <f t="shared" si="63"/>
        <v>3.9319010944466992E-2</v>
      </c>
      <c r="BC154" s="4">
        <f t="shared" si="64"/>
        <v>4.3529877324891553E-3</v>
      </c>
      <c r="BD154" s="4">
        <f t="shared" si="65"/>
        <v>1.3629283489096533E-2</v>
      </c>
      <c r="BE154" s="4">
        <f t="shared" si="66"/>
        <v>2.5838796760509153E-2</v>
      </c>
      <c r="BF154" s="4">
        <f t="shared" si="67"/>
        <v>7.6394194041253805E-3</v>
      </c>
      <c r="BG154" s="4">
        <f t="shared" si="68"/>
        <v>3.974503187101619E-2</v>
      </c>
      <c r="BH154" s="4">
        <f t="shared" si="69"/>
        <v>2.372393961179009E-2</v>
      </c>
      <c r="BI154" s="4">
        <f t="shared" si="70"/>
        <v>2.1621621621621623E-2</v>
      </c>
      <c r="BJ154" s="4">
        <f t="shared" si="71"/>
        <v>2.9154518950438302E-3</v>
      </c>
      <c r="BK154" s="4">
        <f t="shared" si="72"/>
        <v>1.6806722689075682E-2</v>
      </c>
      <c r="BL154" s="4">
        <f t="shared" si="73"/>
        <v>5.5741360089185399E-3</v>
      </c>
      <c r="BM154" s="4">
        <f t="shared" si="78"/>
        <v>1.4472566255815207E-2</v>
      </c>
      <c r="BN154" s="9">
        <f t="shared" si="79"/>
        <v>13649.728378971993</v>
      </c>
      <c r="BO154" s="10">
        <f t="shared" si="80"/>
        <v>13132.153054641263</v>
      </c>
      <c r="BP154">
        <v>13865</v>
      </c>
      <c r="BQ154">
        <v>13870</v>
      </c>
      <c r="BR154">
        <v>13860</v>
      </c>
      <c r="BS154">
        <v>13865</v>
      </c>
      <c r="BT154">
        <v>2868</v>
      </c>
      <c r="BU154" s="13">
        <f t="shared" si="74"/>
        <v>13865</v>
      </c>
      <c r="BV154" s="13">
        <f t="shared" si="75"/>
        <v>39764820</v>
      </c>
      <c r="BW154" s="13">
        <f>SUM($BV$3:BV154)</f>
        <v>179808091026.66672</v>
      </c>
      <c r="BX154" s="13">
        <f>SUM($BT$3:BT154)</f>
        <v>13143015</v>
      </c>
      <c r="BY154" s="3">
        <f t="shared" si="76"/>
        <v>13680.8860848646</v>
      </c>
    </row>
    <row r="155" spans="1:77" x14ac:dyDescent="0.3">
      <c r="A155" s="3" t="s">
        <v>195</v>
      </c>
      <c r="B155" s="3">
        <v>11635</v>
      </c>
      <c r="C155" s="3">
        <v>11650</v>
      </c>
      <c r="D155" s="3">
        <v>11465</v>
      </c>
      <c r="E155" s="3">
        <v>11460</v>
      </c>
      <c r="F155" s="3">
        <v>11670</v>
      </c>
      <c r="G155" s="3">
        <v>11665</v>
      </c>
      <c r="H155" s="3">
        <v>11520</v>
      </c>
      <c r="I155" s="3">
        <v>11515</v>
      </c>
      <c r="J155" s="3">
        <v>11730</v>
      </c>
      <c r="K155" s="3">
        <v>11735</v>
      </c>
      <c r="L155" s="3">
        <v>12005</v>
      </c>
      <c r="M155" s="3">
        <v>12005</v>
      </c>
      <c r="N155" s="3">
        <v>12540</v>
      </c>
      <c r="O155" s="3">
        <v>12550</v>
      </c>
      <c r="P155" s="3">
        <v>12780</v>
      </c>
      <c r="Q155" s="3">
        <v>12790</v>
      </c>
      <c r="R155" s="3">
        <v>12590</v>
      </c>
      <c r="S155" s="3">
        <v>12590</v>
      </c>
      <c r="T155" s="3">
        <v>12385</v>
      </c>
      <c r="U155" s="3">
        <v>12385</v>
      </c>
      <c r="V155" s="3">
        <v>12820</v>
      </c>
      <c r="W155" s="3">
        <v>12830</v>
      </c>
      <c r="X155" s="3">
        <v>12580</v>
      </c>
      <c r="Y155" s="3">
        <v>12590</v>
      </c>
      <c r="Z155" s="3">
        <v>12665</v>
      </c>
      <c r="AA155" s="3">
        <v>12650</v>
      </c>
      <c r="AB155" s="3">
        <v>13295</v>
      </c>
      <c r="AC155" s="3">
        <v>13295</v>
      </c>
      <c r="AD155" s="3">
        <v>13185</v>
      </c>
      <c r="AE155" s="3">
        <v>13185</v>
      </c>
      <c r="AF155" s="3">
        <v>13860</v>
      </c>
      <c r="AG155" s="3">
        <v>13865</v>
      </c>
      <c r="AH155" s="3">
        <v>14235</v>
      </c>
      <c r="AI155" s="3">
        <v>14225</v>
      </c>
      <c r="AJ155" s="3">
        <v>13575</v>
      </c>
      <c r="AK155" s="3">
        <v>13565</v>
      </c>
      <c r="AL155" s="3">
        <v>13760</v>
      </c>
      <c r="AM155" s="3">
        <v>13760</v>
      </c>
      <c r="AN155" s="3">
        <v>13455</v>
      </c>
      <c r="AO155" s="3">
        <v>13450</v>
      </c>
      <c r="AP155" s="3">
        <v>13525</v>
      </c>
      <c r="AQ155" s="3">
        <v>13530</v>
      </c>
      <c r="AR155" s="4">
        <f t="shared" si="77"/>
        <v>1.0407632263659927E-2</v>
      </c>
      <c r="AS155" s="4">
        <f t="shared" si="54"/>
        <v>7.7922077922077948E-3</v>
      </c>
      <c r="AT155" s="4">
        <f t="shared" si="55"/>
        <v>2.6848591549295753E-2</v>
      </c>
      <c r="AU155" s="4">
        <f t="shared" si="56"/>
        <v>2.2495755517826788E-2</v>
      </c>
      <c r="AV155" s="4">
        <f t="shared" si="57"/>
        <v>3.8494439692045024E-3</v>
      </c>
      <c r="AW155" s="4">
        <f t="shared" si="58"/>
        <v>1.2225969645868418E-2</v>
      </c>
      <c r="AX155" s="4">
        <f t="shared" si="59"/>
        <v>3.5905901774659466E-2</v>
      </c>
      <c r="AY155" s="4">
        <f t="shared" si="60"/>
        <v>7.8247261345842922E-4</v>
      </c>
      <c r="AZ155" s="4">
        <f t="shared" si="61"/>
        <v>3.5870864886409226E-3</v>
      </c>
      <c r="BA155" s="4">
        <f t="shared" si="62"/>
        <v>8.0808080808081328E-4</v>
      </c>
      <c r="BB155" s="4">
        <f t="shared" si="63"/>
        <v>4.0129712201053991E-2</v>
      </c>
      <c r="BC155" s="4">
        <f t="shared" si="64"/>
        <v>3.5615354174910463E-3</v>
      </c>
      <c r="BD155" s="4">
        <f t="shared" si="65"/>
        <v>1.4797507788162023E-2</v>
      </c>
      <c r="BE155" s="4">
        <f t="shared" si="66"/>
        <v>2.5453143077516449E-2</v>
      </c>
      <c r="BF155" s="4">
        <f t="shared" si="67"/>
        <v>7.257448433918956E-3</v>
      </c>
      <c r="BG155" s="4">
        <f t="shared" si="68"/>
        <v>3.974503187101619E-2</v>
      </c>
      <c r="BH155" s="4">
        <f t="shared" si="69"/>
        <v>2.2645578720345005E-2</v>
      </c>
      <c r="BI155" s="4">
        <f t="shared" si="70"/>
        <v>2.2342342342342336E-2</v>
      </c>
      <c r="BJ155" s="4">
        <f t="shared" si="71"/>
        <v>2.9154518950438302E-3</v>
      </c>
      <c r="BK155" s="4">
        <f t="shared" si="72"/>
        <v>1.7172086225794692E-2</v>
      </c>
      <c r="BL155" s="4">
        <f t="shared" si="73"/>
        <v>5.5741360089185399E-3</v>
      </c>
      <c r="BM155" s="4">
        <f t="shared" si="78"/>
        <v>1.4678204076956096E-2</v>
      </c>
      <c r="BN155" s="9">
        <f t="shared" si="79"/>
        <v>13652.495235855446</v>
      </c>
      <c r="BO155" s="10">
        <f t="shared" si="80"/>
        <v>13129.41293067456</v>
      </c>
      <c r="BP155">
        <v>13860</v>
      </c>
      <c r="BQ155">
        <v>13870</v>
      </c>
      <c r="BR155">
        <v>13860</v>
      </c>
      <c r="BS155">
        <v>13865</v>
      </c>
      <c r="BT155">
        <v>14551</v>
      </c>
      <c r="BU155" s="13">
        <f t="shared" si="74"/>
        <v>13865</v>
      </c>
      <c r="BV155" s="13">
        <f t="shared" si="75"/>
        <v>201749615</v>
      </c>
      <c r="BW155" s="13">
        <f>SUM($BV$3:BV155)</f>
        <v>180009840641.66672</v>
      </c>
      <c r="BX155" s="13">
        <f>SUM($BT$3:BT155)</f>
        <v>13157566</v>
      </c>
      <c r="BY155" s="3">
        <f t="shared" si="76"/>
        <v>13681.089697111664</v>
      </c>
    </row>
    <row r="156" spans="1:77" x14ac:dyDescent="0.3">
      <c r="A156" s="3" t="s">
        <v>196</v>
      </c>
      <c r="B156" s="3">
        <v>11645</v>
      </c>
      <c r="C156" s="3">
        <v>11645</v>
      </c>
      <c r="D156" s="3">
        <v>11460</v>
      </c>
      <c r="E156" s="3">
        <v>11450</v>
      </c>
      <c r="F156" s="3">
        <v>11670</v>
      </c>
      <c r="G156" s="3">
        <v>11660</v>
      </c>
      <c r="H156" s="3">
        <v>11510</v>
      </c>
      <c r="I156" s="3">
        <v>11510</v>
      </c>
      <c r="J156" s="3">
        <v>11735</v>
      </c>
      <c r="K156" s="3">
        <v>11735</v>
      </c>
      <c r="L156" s="3">
        <v>12005</v>
      </c>
      <c r="M156" s="3">
        <v>12005</v>
      </c>
      <c r="N156" s="3">
        <v>12550</v>
      </c>
      <c r="O156" s="3">
        <v>12545</v>
      </c>
      <c r="P156" s="3">
        <v>12785</v>
      </c>
      <c r="Q156" s="3">
        <v>12790</v>
      </c>
      <c r="R156" s="3">
        <v>12590</v>
      </c>
      <c r="S156" s="3">
        <v>12605</v>
      </c>
      <c r="T156" s="3">
        <v>12385</v>
      </c>
      <c r="U156" s="3">
        <v>12395</v>
      </c>
      <c r="V156" s="3">
        <v>12825</v>
      </c>
      <c r="W156" s="3">
        <v>12830</v>
      </c>
      <c r="X156" s="3">
        <v>12590</v>
      </c>
      <c r="Y156" s="3">
        <v>12615</v>
      </c>
      <c r="Z156" s="3">
        <v>12655</v>
      </c>
      <c r="AA156" s="3">
        <v>12670</v>
      </c>
      <c r="AB156" s="3">
        <v>13295</v>
      </c>
      <c r="AC156" s="3">
        <v>13300</v>
      </c>
      <c r="AD156" s="3">
        <v>13185</v>
      </c>
      <c r="AE156" s="3">
        <v>13175</v>
      </c>
      <c r="AF156" s="3">
        <v>13865</v>
      </c>
      <c r="AG156" s="3">
        <v>13860</v>
      </c>
      <c r="AH156" s="3">
        <v>14225</v>
      </c>
      <c r="AI156" s="3">
        <v>14240</v>
      </c>
      <c r="AJ156" s="3">
        <v>13560</v>
      </c>
      <c r="AK156" s="3">
        <v>13565</v>
      </c>
      <c r="AL156" s="3">
        <v>13760</v>
      </c>
      <c r="AM156" s="3">
        <v>13760</v>
      </c>
      <c r="AN156" s="3">
        <v>13445</v>
      </c>
      <c r="AO156" s="3">
        <v>13445</v>
      </c>
      <c r="AP156" s="3">
        <v>13530</v>
      </c>
      <c r="AQ156" s="3">
        <v>13525</v>
      </c>
      <c r="AR156" s="4">
        <f t="shared" si="77"/>
        <v>9.9739809193408746E-3</v>
      </c>
      <c r="AS156" s="4">
        <f t="shared" si="54"/>
        <v>8.6580086580086979E-3</v>
      </c>
      <c r="AT156" s="4">
        <f t="shared" si="55"/>
        <v>2.6408450704225261E-2</v>
      </c>
      <c r="AU156" s="4">
        <f t="shared" si="56"/>
        <v>2.2920203735144362E-2</v>
      </c>
      <c r="AV156" s="4">
        <f t="shared" si="57"/>
        <v>3.8494439692045024E-3</v>
      </c>
      <c r="AW156" s="4">
        <f t="shared" si="58"/>
        <v>1.2225969645868418E-2</v>
      </c>
      <c r="AX156" s="4">
        <f t="shared" si="59"/>
        <v>3.5493190260008189E-2</v>
      </c>
      <c r="AY156" s="4">
        <f t="shared" si="60"/>
        <v>7.8247261345842922E-4</v>
      </c>
      <c r="AZ156" s="4">
        <f t="shared" si="61"/>
        <v>4.7827819848544895E-3</v>
      </c>
      <c r="BA156" s="4">
        <f t="shared" si="62"/>
        <v>1.6161616161616266E-3</v>
      </c>
      <c r="BB156" s="4">
        <f t="shared" si="63"/>
        <v>4.0129712201053991E-2</v>
      </c>
      <c r="BC156" s="4">
        <f t="shared" si="64"/>
        <v>1.5829046299959959E-3</v>
      </c>
      <c r="BD156" s="4">
        <f t="shared" si="65"/>
        <v>1.3239875389408073E-2</v>
      </c>
      <c r="BE156" s="4">
        <f t="shared" si="66"/>
        <v>2.5838796760509153E-2</v>
      </c>
      <c r="BF156" s="4">
        <f t="shared" si="67"/>
        <v>6.4935064935065512E-3</v>
      </c>
      <c r="BG156" s="4">
        <f t="shared" si="68"/>
        <v>3.937007874015741E-2</v>
      </c>
      <c r="BH156" s="4">
        <f t="shared" si="69"/>
        <v>2.372393961179009E-2</v>
      </c>
      <c r="BI156" s="4">
        <f t="shared" si="70"/>
        <v>2.2342342342342336E-2</v>
      </c>
      <c r="BJ156" s="4">
        <f t="shared" si="71"/>
        <v>2.9154518950438302E-3</v>
      </c>
      <c r="BK156" s="4">
        <f t="shared" si="72"/>
        <v>1.7537449762513702E-2</v>
      </c>
      <c r="BL156" s="4">
        <f t="shared" si="73"/>
        <v>5.2025269416573483E-3</v>
      </c>
      <c r="BM156" s="4">
        <f t="shared" si="78"/>
        <v>1.4572962761529125E-2</v>
      </c>
      <c r="BN156" s="9">
        <f t="shared" si="79"/>
        <v>13651.079213956375</v>
      </c>
      <c r="BO156" s="10">
        <f t="shared" si="80"/>
        <v>13130.815271202626</v>
      </c>
      <c r="BP156">
        <v>13865</v>
      </c>
      <c r="BQ156">
        <v>13865</v>
      </c>
      <c r="BR156">
        <v>13860</v>
      </c>
      <c r="BS156">
        <v>13860</v>
      </c>
      <c r="BT156">
        <v>4184</v>
      </c>
      <c r="BU156" s="13">
        <f t="shared" si="74"/>
        <v>13861.666666666666</v>
      </c>
      <c r="BV156" s="13">
        <f t="shared" si="75"/>
        <v>57997213.333333328</v>
      </c>
      <c r="BW156" s="13">
        <f>SUM($BV$3:BV156)</f>
        <v>180067837855.00006</v>
      </c>
      <c r="BX156" s="13">
        <f>SUM($BT$3:BT156)</f>
        <v>13161750</v>
      </c>
      <c r="BY156" s="3">
        <f t="shared" si="76"/>
        <v>13681.147100879447</v>
      </c>
    </row>
    <row r="157" spans="1:77" x14ac:dyDescent="0.3">
      <c r="A157" s="3" t="s">
        <v>197</v>
      </c>
      <c r="B157" s="3">
        <v>11645</v>
      </c>
      <c r="C157" s="3">
        <v>11635</v>
      </c>
      <c r="D157" s="3">
        <v>11445</v>
      </c>
      <c r="E157" s="3">
        <v>11455</v>
      </c>
      <c r="F157" s="3">
        <v>11665</v>
      </c>
      <c r="G157" s="3">
        <v>11660</v>
      </c>
      <c r="H157" s="3">
        <v>11505</v>
      </c>
      <c r="I157" s="3">
        <v>11510</v>
      </c>
      <c r="J157" s="3">
        <v>11730</v>
      </c>
      <c r="K157" s="3">
        <v>11735</v>
      </c>
      <c r="L157" s="3">
        <v>12005</v>
      </c>
      <c r="M157" s="3">
        <v>12000</v>
      </c>
      <c r="N157" s="3">
        <v>12550</v>
      </c>
      <c r="O157" s="3">
        <v>12550</v>
      </c>
      <c r="P157" s="3">
        <v>12790</v>
      </c>
      <c r="Q157" s="3">
        <v>12780</v>
      </c>
      <c r="R157" s="3">
        <v>12605</v>
      </c>
      <c r="S157" s="3">
        <v>12605</v>
      </c>
      <c r="T157" s="3">
        <v>12395</v>
      </c>
      <c r="U157" s="3">
        <v>12395</v>
      </c>
      <c r="V157" s="3">
        <v>12830</v>
      </c>
      <c r="W157" s="3">
        <v>12840</v>
      </c>
      <c r="X157" s="3">
        <v>12610</v>
      </c>
      <c r="Y157" s="3">
        <v>12610</v>
      </c>
      <c r="Z157" s="3">
        <v>12670</v>
      </c>
      <c r="AA157" s="3">
        <v>12675</v>
      </c>
      <c r="AB157" s="3">
        <v>13300</v>
      </c>
      <c r="AC157" s="3">
        <v>13290</v>
      </c>
      <c r="AD157" s="3">
        <v>13175</v>
      </c>
      <c r="AE157" s="3">
        <v>13165</v>
      </c>
      <c r="AF157" s="3">
        <v>13860</v>
      </c>
      <c r="AG157" s="3">
        <v>13855</v>
      </c>
      <c r="AH157" s="3">
        <v>14240</v>
      </c>
      <c r="AI157" s="3">
        <v>14240</v>
      </c>
      <c r="AJ157" s="3">
        <v>13565</v>
      </c>
      <c r="AK157" s="3">
        <v>13580</v>
      </c>
      <c r="AL157" s="3">
        <v>13760</v>
      </c>
      <c r="AM157" s="3">
        <v>13755</v>
      </c>
      <c r="AN157" s="3">
        <v>13440</v>
      </c>
      <c r="AO157" s="3">
        <v>13475</v>
      </c>
      <c r="AP157" s="3">
        <v>13525</v>
      </c>
      <c r="AQ157" s="3">
        <v>13525</v>
      </c>
      <c r="AR157" s="4">
        <f t="shared" si="77"/>
        <v>9.1066782307025473E-3</v>
      </c>
      <c r="AS157" s="4">
        <f t="shared" si="54"/>
        <v>8.2251082251082464E-3</v>
      </c>
      <c r="AT157" s="4">
        <f t="shared" si="55"/>
        <v>2.6408450704225261E-2</v>
      </c>
      <c r="AU157" s="4">
        <f t="shared" si="56"/>
        <v>2.2920203735144362E-2</v>
      </c>
      <c r="AV157" s="4">
        <f t="shared" si="57"/>
        <v>3.8494439692045024E-3</v>
      </c>
      <c r="AW157" s="4">
        <f t="shared" si="58"/>
        <v>1.180438448566612E-2</v>
      </c>
      <c r="AX157" s="4">
        <f t="shared" si="59"/>
        <v>3.5905901774659466E-2</v>
      </c>
      <c r="AY157" s="4">
        <f t="shared" si="60"/>
        <v>0</v>
      </c>
      <c r="AZ157" s="4">
        <f t="shared" si="61"/>
        <v>4.7827819848544895E-3</v>
      </c>
      <c r="BA157" s="4">
        <f t="shared" si="62"/>
        <v>1.6161616161616266E-3</v>
      </c>
      <c r="BB157" s="4">
        <f t="shared" si="63"/>
        <v>4.0940413457640767E-2</v>
      </c>
      <c r="BC157" s="4">
        <f t="shared" si="64"/>
        <v>1.9786307874950504E-3</v>
      </c>
      <c r="BD157" s="4">
        <f t="shared" si="65"/>
        <v>1.2850467289719614E-2</v>
      </c>
      <c r="BE157" s="4">
        <f t="shared" si="66"/>
        <v>2.5067489394523745E-2</v>
      </c>
      <c r="BF157" s="4">
        <f t="shared" si="67"/>
        <v>5.7295645530939243E-3</v>
      </c>
      <c r="BG157" s="4">
        <f t="shared" si="68"/>
        <v>3.8995125609298853E-2</v>
      </c>
      <c r="BH157" s="4">
        <f t="shared" si="69"/>
        <v>2.372393961179009E-2</v>
      </c>
      <c r="BI157" s="4">
        <f t="shared" si="70"/>
        <v>2.1261261261261266E-2</v>
      </c>
      <c r="BJ157" s="4">
        <f t="shared" si="71"/>
        <v>2.5510204081633514E-3</v>
      </c>
      <c r="BK157" s="4">
        <f t="shared" si="72"/>
        <v>1.5345268542199531E-2</v>
      </c>
      <c r="BL157" s="4">
        <f t="shared" si="73"/>
        <v>5.2025269416573483E-3</v>
      </c>
      <c r="BM157" s="4">
        <f t="shared" si="78"/>
        <v>1.4434214426964085E-2</v>
      </c>
      <c r="BN157" s="9">
        <f t="shared" si="79"/>
        <v>13649.212355114802</v>
      </c>
      <c r="BO157" s="10">
        <f t="shared" si="80"/>
        <v>13132.664092760702</v>
      </c>
      <c r="BP157">
        <v>13860</v>
      </c>
      <c r="BQ157">
        <v>13865</v>
      </c>
      <c r="BR157">
        <v>13850</v>
      </c>
      <c r="BS157">
        <v>13855</v>
      </c>
      <c r="BT157">
        <v>19849</v>
      </c>
      <c r="BU157" s="13">
        <f t="shared" si="74"/>
        <v>13856.666666666666</v>
      </c>
      <c r="BV157" s="13">
        <f t="shared" si="75"/>
        <v>275040976.66666663</v>
      </c>
      <c r="BW157" s="13">
        <f>SUM($BV$3:BV157)</f>
        <v>180342878831.66672</v>
      </c>
      <c r="BX157" s="13">
        <f>SUM($BT$3:BT157)</f>
        <v>13181599</v>
      </c>
      <c r="BY157" s="3">
        <f t="shared" si="76"/>
        <v>13681.411400215309</v>
      </c>
    </row>
    <row r="158" spans="1:77" x14ac:dyDescent="0.3">
      <c r="A158" s="3" t="s">
        <v>198</v>
      </c>
      <c r="B158" s="3">
        <v>11635</v>
      </c>
      <c r="C158" s="3">
        <v>11635</v>
      </c>
      <c r="D158" s="3">
        <v>11455</v>
      </c>
      <c r="E158" s="3">
        <v>11465</v>
      </c>
      <c r="F158" s="3">
        <v>11665</v>
      </c>
      <c r="G158" s="3">
        <v>11655</v>
      </c>
      <c r="H158" s="3">
        <v>11505</v>
      </c>
      <c r="I158" s="3">
        <v>11500</v>
      </c>
      <c r="J158" s="3">
        <v>11735</v>
      </c>
      <c r="K158" s="3">
        <v>11730</v>
      </c>
      <c r="L158" s="3">
        <v>12000</v>
      </c>
      <c r="M158" s="3">
        <v>12005</v>
      </c>
      <c r="N158" s="3">
        <v>12550</v>
      </c>
      <c r="O158" s="3">
        <v>12540</v>
      </c>
      <c r="P158" s="3">
        <v>12775</v>
      </c>
      <c r="Q158" s="3">
        <v>12780</v>
      </c>
      <c r="R158" s="3">
        <v>12605</v>
      </c>
      <c r="S158" s="3">
        <v>12600</v>
      </c>
      <c r="T158" s="3">
        <v>12395</v>
      </c>
      <c r="U158" s="3">
        <v>12385</v>
      </c>
      <c r="V158" s="3">
        <v>12835</v>
      </c>
      <c r="W158" s="3">
        <v>12835</v>
      </c>
      <c r="X158" s="3">
        <v>12610</v>
      </c>
      <c r="Y158" s="3">
        <v>12615</v>
      </c>
      <c r="Z158" s="3">
        <v>12670</v>
      </c>
      <c r="AA158" s="3">
        <v>12680</v>
      </c>
      <c r="AB158" s="3">
        <v>13290</v>
      </c>
      <c r="AC158" s="3">
        <v>13290</v>
      </c>
      <c r="AD158" s="3">
        <v>13170</v>
      </c>
      <c r="AE158" s="3">
        <v>13140</v>
      </c>
      <c r="AF158" s="3">
        <v>13855</v>
      </c>
      <c r="AG158" s="3">
        <v>13860</v>
      </c>
      <c r="AH158" s="3">
        <v>14240</v>
      </c>
      <c r="AI158" s="3">
        <v>14245</v>
      </c>
      <c r="AJ158" s="3">
        <v>13580</v>
      </c>
      <c r="AK158" s="3">
        <v>13575</v>
      </c>
      <c r="AL158" s="3">
        <v>13755</v>
      </c>
      <c r="AM158" s="3">
        <v>13770</v>
      </c>
      <c r="AN158" s="3">
        <v>13475</v>
      </c>
      <c r="AO158" s="3">
        <v>13470</v>
      </c>
      <c r="AP158" s="3">
        <v>13525</v>
      </c>
      <c r="AQ158" s="3">
        <v>13525</v>
      </c>
      <c r="AR158" s="4">
        <f t="shared" si="77"/>
        <v>9.1066782307025473E-3</v>
      </c>
      <c r="AS158" s="4">
        <f t="shared" si="54"/>
        <v>7.3593073593073433E-3</v>
      </c>
      <c r="AT158" s="4">
        <f t="shared" si="55"/>
        <v>2.5968309859154992E-2</v>
      </c>
      <c r="AU158" s="4">
        <f t="shared" si="56"/>
        <v>2.3769100169779289E-2</v>
      </c>
      <c r="AV158" s="4">
        <f t="shared" si="57"/>
        <v>3.4217279726260763E-3</v>
      </c>
      <c r="AW158" s="4">
        <f t="shared" si="58"/>
        <v>1.2225969645868418E-2</v>
      </c>
      <c r="AX158" s="4">
        <f t="shared" si="59"/>
        <v>3.5080478745356913E-2</v>
      </c>
      <c r="AY158" s="4">
        <f t="shared" si="60"/>
        <v>0</v>
      </c>
      <c r="AZ158" s="4">
        <f t="shared" si="61"/>
        <v>4.3842168194498932E-3</v>
      </c>
      <c r="BA158" s="4">
        <f t="shared" si="62"/>
        <v>8.0808080808081328E-4</v>
      </c>
      <c r="BB158" s="4">
        <f t="shared" si="63"/>
        <v>4.053506282934749E-2</v>
      </c>
      <c r="BC158" s="4">
        <f t="shared" si="64"/>
        <v>1.5829046299959959E-3</v>
      </c>
      <c r="BD158" s="4">
        <f t="shared" si="65"/>
        <v>1.2461059190031154E-2</v>
      </c>
      <c r="BE158" s="4">
        <f t="shared" si="66"/>
        <v>2.5067489394523745E-2</v>
      </c>
      <c r="BF158" s="4">
        <f t="shared" si="67"/>
        <v>3.8197097020626902E-3</v>
      </c>
      <c r="BG158" s="4">
        <f t="shared" si="68"/>
        <v>3.937007874015741E-2</v>
      </c>
      <c r="BH158" s="4">
        <f t="shared" si="69"/>
        <v>2.4083393242271711E-2</v>
      </c>
      <c r="BI158" s="4">
        <f t="shared" si="70"/>
        <v>2.1621621621621623E-2</v>
      </c>
      <c r="BJ158" s="4">
        <f t="shared" si="71"/>
        <v>3.6443148688045657E-3</v>
      </c>
      <c r="BK158" s="4">
        <f t="shared" si="72"/>
        <v>1.5710632078918541E-2</v>
      </c>
      <c r="BL158" s="4">
        <f t="shared" si="73"/>
        <v>5.2025269416573483E-3</v>
      </c>
      <c r="BM158" s="4">
        <f t="shared" si="78"/>
        <v>1.4034529794684629E-2</v>
      </c>
      <c r="BN158" s="9">
        <f t="shared" si="79"/>
        <v>13643.834598387482</v>
      </c>
      <c r="BO158" s="10">
        <f t="shared" si="80"/>
        <v>13137.989890485827</v>
      </c>
      <c r="BP158">
        <v>13855</v>
      </c>
      <c r="BQ158">
        <v>13865</v>
      </c>
      <c r="BR158">
        <v>13855</v>
      </c>
      <c r="BS158">
        <v>13860</v>
      </c>
      <c r="BT158">
        <v>10630</v>
      </c>
      <c r="BU158" s="13">
        <f t="shared" si="74"/>
        <v>13860</v>
      </c>
      <c r="BV158" s="13">
        <f t="shared" si="75"/>
        <v>147331800</v>
      </c>
      <c r="BW158" s="13">
        <f>SUM($BV$3:BV158)</f>
        <v>180490210631.66672</v>
      </c>
      <c r="BX158" s="13">
        <f>SUM($BT$3:BT158)</f>
        <v>13192229</v>
      </c>
      <c r="BY158" s="3">
        <f t="shared" si="76"/>
        <v>13681.555302873132</v>
      </c>
    </row>
    <row r="159" spans="1:77" x14ac:dyDescent="0.3">
      <c r="A159" s="3" t="s">
        <v>199</v>
      </c>
      <c r="B159" s="3">
        <v>11635</v>
      </c>
      <c r="C159" s="3">
        <v>11635</v>
      </c>
      <c r="D159" s="3">
        <v>11465</v>
      </c>
      <c r="E159" s="3">
        <v>11470</v>
      </c>
      <c r="F159" s="3">
        <v>11655</v>
      </c>
      <c r="G159" s="3">
        <v>11660</v>
      </c>
      <c r="H159" s="3">
        <v>11500</v>
      </c>
      <c r="I159" s="3">
        <v>11470</v>
      </c>
      <c r="J159" s="3">
        <v>11735</v>
      </c>
      <c r="K159" s="3">
        <v>11740</v>
      </c>
      <c r="L159" s="3">
        <v>12005</v>
      </c>
      <c r="M159" s="3">
        <v>11990</v>
      </c>
      <c r="N159" s="3">
        <v>12545</v>
      </c>
      <c r="O159" s="3">
        <v>12560</v>
      </c>
      <c r="P159" s="3">
        <v>12780</v>
      </c>
      <c r="Q159" s="3">
        <v>12785</v>
      </c>
      <c r="R159" s="3">
        <v>12600</v>
      </c>
      <c r="S159" s="3">
        <v>12590</v>
      </c>
      <c r="T159" s="3">
        <v>12385</v>
      </c>
      <c r="U159" s="3">
        <v>12375</v>
      </c>
      <c r="V159" s="3">
        <v>12835</v>
      </c>
      <c r="W159" s="3">
        <v>12835</v>
      </c>
      <c r="X159" s="3">
        <v>12615</v>
      </c>
      <c r="Y159" s="3">
        <v>12610</v>
      </c>
      <c r="Z159" s="3">
        <v>12675</v>
      </c>
      <c r="AA159" s="3">
        <v>12675</v>
      </c>
      <c r="AB159" s="3">
        <v>13290</v>
      </c>
      <c r="AC159" s="3">
        <v>13285</v>
      </c>
      <c r="AD159" s="3">
        <v>13140</v>
      </c>
      <c r="AE159" s="3">
        <v>13130</v>
      </c>
      <c r="AF159" s="3">
        <v>13855</v>
      </c>
      <c r="AG159" s="3">
        <v>13855</v>
      </c>
      <c r="AH159" s="3">
        <v>14245</v>
      </c>
      <c r="AI159" s="3">
        <v>14240</v>
      </c>
      <c r="AJ159" s="3">
        <v>13575</v>
      </c>
      <c r="AK159" s="3">
        <v>13590</v>
      </c>
      <c r="AL159" s="3">
        <v>13770</v>
      </c>
      <c r="AM159" s="3">
        <v>13765</v>
      </c>
      <c r="AN159" s="3">
        <v>13470</v>
      </c>
      <c r="AO159" s="3">
        <v>13450</v>
      </c>
      <c r="AP159" s="3">
        <v>13525</v>
      </c>
      <c r="AQ159" s="3">
        <v>13520</v>
      </c>
      <c r="AR159" s="4">
        <f t="shared" si="77"/>
        <v>9.1066782307025473E-3</v>
      </c>
      <c r="AS159" s="4">
        <f t="shared" si="54"/>
        <v>6.9264069264068917E-3</v>
      </c>
      <c r="AT159" s="4">
        <f t="shared" si="55"/>
        <v>2.6408450704225261E-2</v>
      </c>
      <c r="AU159" s="4">
        <f t="shared" si="56"/>
        <v>2.6315789473684181E-2</v>
      </c>
      <c r="AV159" s="4">
        <f t="shared" si="57"/>
        <v>4.2771599657827064E-3</v>
      </c>
      <c r="AW159" s="4">
        <f t="shared" si="58"/>
        <v>1.0961214165261302E-2</v>
      </c>
      <c r="AX159" s="4">
        <f t="shared" si="59"/>
        <v>3.6731324803962018E-2</v>
      </c>
      <c r="AY159" s="4">
        <f t="shared" si="60"/>
        <v>3.9123630672932563E-4</v>
      </c>
      <c r="AZ159" s="4">
        <f t="shared" si="61"/>
        <v>3.5870864886409226E-3</v>
      </c>
      <c r="BA159" s="4">
        <f t="shared" si="62"/>
        <v>0</v>
      </c>
      <c r="BB159" s="4">
        <f t="shared" si="63"/>
        <v>4.053506282934749E-2</v>
      </c>
      <c r="BC159" s="4">
        <f t="shared" si="64"/>
        <v>1.9786307874950504E-3</v>
      </c>
      <c r="BD159" s="4">
        <f t="shared" si="65"/>
        <v>1.2850467289719614E-2</v>
      </c>
      <c r="BE159" s="4">
        <f t="shared" si="66"/>
        <v>2.4681835711531042E-2</v>
      </c>
      <c r="BF159" s="4">
        <f t="shared" si="67"/>
        <v>3.0557677616500634E-3</v>
      </c>
      <c r="BG159" s="4">
        <f t="shared" si="68"/>
        <v>3.8995125609298853E-2</v>
      </c>
      <c r="BH159" s="4">
        <f t="shared" si="69"/>
        <v>2.372393961179009E-2</v>
      </c>
      <c r="BI159" s="4">
        <f t="shared" si="70"/>
        <v>2.0540540540540553E-2</v>
      </c>
      <c r="BJ159" s="4">
        <f t="shared" si="71"/>
        <v>3.2798833819243089E-3</v>
      </c>
      <c r="BK159" s="4">
        <f t="shared" si="72"/>
        <v>1.7172086225794692E-2</v>
      </c>
      <c r="BL159" s="4">
        <f t="shared" si="73"/>
        <v>4.8309178743961567E-3</v>
      </c>
      <c r="BM159" s="4">
        <f t="shared" si="78"/>
        <v>1.4192888086745419E-2</v>
      </c>
      <c r="BN159" s="9">
        <f t="shared" si="79"/>
        <v>13645.96530920716</v>
      </c>
      <c r="BO159" s="10">
        <f t="shared" si="80"/>
        <v>13135.879766244117</v>
      </c>
      <c r="BP159">
        <v>13855</v>
      </c>
      <c r="BQ159">
        <v>13860</v>
      </c>
      <c r="BR159">
        <v>13850</v>
      </c>
      <c r="BS159">
        <v>13855</v>
      </c>
      <c r="BT159">
        <v>14918</v>
      </c>
      <c r="BU159" s="13">
        <f t="shared" si="74"/>
        <v>13855</v>
      </c>
      <c r="BV159" s="13">
        <f t="shared" si="75"/>
        <v>206688890</v>
      </c>
      <c r="BW159" s="13">
        <f>SUM($BV$3:BV159)</f>
        <v>180696899521.66672</v>
      </c>
      <c r="BX159" s="13">
        <f>SUM($BT$3:BT159)</f>
        <v>13207147</v>
      </c>
      <c r="BY159" s="3">
        <f t="shared" si="76"/>
        <v>13681.751215585526</v>
      </c>
    </row>
    <row r="160" spans="1:77" x14ac:dyDescent="0.3">
      <c r="A160" s="3" t="s">
        <v>200</v>
      </c>
      <c r="B160" s="3">
        <v>11630</v>
      </c>
      <c r="C160" s="3">
        <v>11630</v>
      </c>
      <c r="D160" s="3">
        <v>11465</v>
      </c>
      <c r="E160" s="3">
        <v>11475</v>
      </c>
      <c r="F160" s="3">
        <v>11665</v>
      </c>
      <c r="G160" s="3">
        <v>11670</v>
      </c>
      <c r="H160" s="3">
        <v>11465</v>
      </c>
      <c r="I160" s="3">
        <v>11445</v>
      </c>
      <c r="J160" s="3">
        <v>11740</v>
      </c>
      <c r="K160" s="3">
        <v>11735</v>
      </c>
      <c r="L160" s="3">
        <v>11990</v>
      </c>
      <c r="M160" s="3">
        <v>12005</v>
      </c>
      <c r="N160" s="3">
        <v>12560</v>
      </c>
      <c r="O160" s="3">
        <v>12550</v>
      </c>
      <c r="P160" s="3">
        <v>12785</v>
      </c>
      <c r="Q160" s="3">
        <v>12775</v>
      </c>
      <c r="R160" s="3">
        <v>12595</v>
      </c>
      <c r="S160" s="3">
        <v>12595</v>
      </c>
      <c r="T160" s="3">
        <v>12375</v>
      </c>
      <c r="U160" s="3">
        <v>12375</v>
      </c>
      <c r="V160" s="3">
        <v>12840</v>
      </c>
      <c r="W160" s="3">
        <v>12835</v>
      </c>
      <c r="X160" s="3">
        <v>12615</v>
      </c>
      <c r="Y160" s="3">
        <v>12615</v>
      </c>
      <c r="Z160" s="3">
        <v>12670</v>
      </c>
      <c r="AA160" s="3">
        <v>12670</v>
      </c>
      <c r="AB160" s="3">
        <v>13290</v>
      </c>
      <c r="AC160" s="3">
        <v>13280</v>
      </c>
      <c r="AD160" s="3">
        <v>13135</v>
      </c>
      <c r="AE160" s="3">
        <v>13140</v>
      </c>
      <c r="AF160" s="3">
        <v>13855</v>
      </c>
      <c r="AG160" s="3">
        <v>13860</v>
      </c>
      <c r="AH160" s="3">
        <v>14235</v>
      </c>
      <c r="AI160" s="3">
        <v>14240</v>
      </c>
      <c r="AJ160" s="3">
        <v>13590</v>
      </c>
      <c r="AK160" s="3">
        <v>13580</v>
      </c>
      <c r="AL160" s="3">
        <v>13765</v>
      </c>
      <c r="AM160" s="3">
        <v>13770</v>
      </c>
      <c r="AN160" s="3">
        <v>13450</v>
      </c>
      <c r="AO160" s="3">
        <v>13440</v>
      </c>
      <c r="AP160" s="3">
        <v>13520</v>
      </c>
      <c r="AQ160" s="3">
        <v>13515</v>
      </c>
      <c r="AR160" s="4">
        <f t="shared" si="77"/>
        <v>8.6730268863832727E-3</v>
      </c>
      <c r="AS160" s="4">
        <f t="shared" si="54"/>
        <v>6.4935064935064402E-3</v>
      </c>
      <c r="AT160" s="4">
        <f t="shared" si="55"/>
        <v>2.7288732394366244E-2</v>
      </c>
      <c r="AU160" s="4">
        <f t="shared" si="56"/>
        <v>2.843803056027161E-2</v>
      </c>
      <c r="AV160" s="4">
        <f t="shared" si="57"/>
        <v>3.8494439692045024E-3</v>
      </c>
      <c r="AW160" s="4">
        <f t="shared" si="58"/>
        <v>1.2225969645868418E-2</v>
      </c>
      <c r="AX160" s="4">
        <f t="shared" si="59"/>
        <v>3.5905901774659466E-2</v>
      </c>
      <c r="AY160" s="4">
        <f t="shared" si="60"/>
        <v>3.9123630672921461E-4</v>
      </c>
      <c r="AZ160" s="4">
        <f t="shared" si="61"/>
        <v>3.9856516540455189E-3</v>
      </c>
      <c r="BA160" s="4">
        <f t="shared" si="62"/>
        <v>0</v>
      </c>
      <c r="BB160" s="4">
        <f t="shared" si="63"/>
        <v>4.053506282934749E-2</v>
      </c>
      <c r="BC160" s="4">
        <f t="shared" si="64"/>
        <v>1.5829046299959959E-3</v>
      </c>
      <c r="BD160" s="4">
        <f t="shared" si="65"/>
        <v>1.3239875389408073E-2</v>
      </c>
      <c r="BE160" s="4">
        <f t="shared" si="66"/>
        <v>2.4296182028538338E-2</v>
      </c>
      <c r="BF160" s="4">
        <f t="shared" si="67"/>
        <v>3.8197097020626902E-3</v>
      </c>
      <c r="BG160" s="4">
        <f t="shared" si="68"/>
        <v>3.937007874015741E-2</v>
      </c>
      <c r="BH160" s="4">
        <f t="shared" si="69"/>
        <v>2.372393961179009E-2</v>
      </c>
      <c r="BI160" s="4">
        <f t="shared" si="70"/>
        <v>2.1261261261261266E-2</v>
      </c>
      <c r="BJ160" s="4">
        <f t="shared" si="71"/>
        <v>3.6443148688045657E-3</v>
      </c>
      <c r="BK160" s="4">
        <f t="shared" si="72"/>
        <v>1.7902813299232712E-2</v>
      </c>
      <c r="BL160" s="4">
        <f t="shared" si="73"/>
        <v>4.4593088071349651E-3</v>
      </c>
      <c r="BM160" s="4">
        <f t="shared" si="78"/>
        <v>1.4432300527000286E-2</v>
      </c>
      <c r="BN160" s="9">
        <f t="shared" si="79"/>
        <v>13649.18660359079</v>
      </c>
      <c r="BO160" s="10">
        <f t="shared" si="80"/>
        <v>13132.689595477721</v>
      </c>
      <c r="BP160">
        <v>13855</v>
      </c>
      <c r="BQ160">
        <v>13860</v>
      </c>
      <c r="BR160">
        <v>13855</v>
      </c>
      <c r="BS160">
        <v>13860</v>
      </c>
      <c r="BT160">
        <v>1598</v>
      </c>
      <c r="BU160" s="13">
        <f t="shared" si="74"/>
        <v>13858.333333333334</v>
      </c>
      <c r="BV160" s="13">
        <f t="shared" si="75"/>
        <v>22145616.666666668</v>
      </c>
      <c r="BW160" s="13">
        <f>SUM($BV$3:BV160)</f>
        <v>180719045138.33337</v>
      </c>
      <c r="BX160" s="13">
        <f>SUM($BT$3:BT160)</f>
        <v>13208745</v>
      </c>
      <c r="BY160" s="3">
        <f t="shared" si="76"/>
        <v>13681.772578570741</v>
      </c>
    </row>
    <row r="161" spans="1:77" x14ac:dyDescent="0.3">
      <c r="A161" s="3" t="s">
        <v>201</v>
      </c>
      <c r="B161" s="3">
        <v>11625</v>
      </c>
      <c r="C161" s="3">
        <v>11625</v>
      </c>
      <c r="D161" s="3">
        <v>11475</v>
      </c>
      <c r="E161" s="3">
        <v>11485</v>
      </c>
      <c r="F161" s="3">
        <v>11670</v>
      </c>
      <c r="G161" s="3">
        <v>11675</v>
      </c>
      <c r="H161" s="3">
        <v>11440</v>
      </c>
      <c r="I161" s="3">
        <v>11435</v>
      </c>
      <c r="J161" s="3">
        <v>11735</v>
      </c>
      <c r="K161" s="3">
        <v>11740</v>
      </c>
      <c r="L161" s="3">
        <v>12005</v>
      </c>
      <c r="M161" s="3">
        <v>12015</v>
      </c>
      <c r="N161" s="3">
        <v>12550</v>
      </c>
      <c r="O161" s="3">
        <v>12550</v>
      </c>
      <c r="P161" s="3">
        <v>12775</v>
      </c>
      <c r="Q161" s="3">
        <v>12780</v>
      </c>
      <c r="R161" s="3">
        <v>12595</v>
      </c>
      <c r="S161" s="3">
        <v>12595</v>
      </c>
      <c r="T161" s="3">
        <v>12370</v>
      </c>
      <c r="U161" s="3">
        <v>12370</v>
      </c>
      <c r="V161" s="3">
        <v>12835</v>
      </c>
      <c r="W161" s="3">
        <v>12830</v>
      </c>
      <c r="X161" s="3">
        <v>12615</v>
      </c>
      <c r="Y161" s="3">
        <v>12610</v>
      </c>
      <c r="Z161" s="3">
        <v>12665</v>
      </c>
      <c r="AA161" s="3">
        <v>12660</v>
      </c>
      <c r="AB161" s="3">
        <v>13285</v>
      </c>
      <c r="AC161" s="3">
        <v>13285</v>
      </c>
      <c r="AD161" s="3">
        <v>13140</v>
      </c>
      <c r="AE161" s="3">
        <v>13145</v>
      </c>
      <c r="AF161" s="3">
        <v>13860</v>
      </c>
      <c r="AG161" s="3">
        <v>13855</v>
      </c>
      <c r="AH161" s="3">
        <v>14240</v>
      </c>
      <c r="AI161" s="3">
        <v>14245</v>
      </c>
      <c r="AJ161" s="3">
        <v>13575</v>
      </c>
      <c r="AK161" s="3">
        <v>13570</v>
      </c>
      <c r="AL161" s="3">
        <v>13770</v>
      </c>
      <c r="AM161" s="3">
        <v>13780</v>
      </c>
      <c r="AN161" s="3">
        <v>13435</v>
      </c>
      <c r="AO161" s="3">
        <v>13430</v>
      </c>
      <c r="AP161" s="3">
        <v>13515</v>
      </c>
      <c r="AQ161" s="3">
        <v>13530</v>
      </c>
      <c r="AR161" s="4">
        <f t="shared" si="77"/>
        <v>8.2393755420642201E-3</v>
      </c>
      <c r="AS161" s="4">
        <f t="shared" si="54"/>
        <v>5.6277056277056481E-3</v>
      </c>
      <c r="AT161" s="4">
        <f t="shared" si="55"/>
        <v>2.7728873239436513E-2</v>
      </c>
      <c r="AU161" s="4">
        <f t="shared" si="56"/>
        <v>2.9286926994906648E-2</v>
      </c>
      <c r="AV161" s="4">
        <f t="shared" si="57"/>
        <v>4.2771599657827064E-3</v>
      </c>
      <c r="AW161" s="4">
        <f t="shared" si="58"/>
        <v>1.3069139966273235E-2</v>
      </c>
      <c r="AX161" s="4">
        <f t="shared" si="59"/>
        <v>3.5905901774659466E-2</v>
      </c>
      <c r="AY161" s="4">
        <f t="shared" si="60"/>
        <v>0</v>
      </c>
      <c r="AZ161" s="4">
        <f t="shared" si="61"/>
        <v>3.9856516540455189E-3</v>
      </c>
      <c r="BA161" s="4">
        <f t="shared" si="62"/>
        <v>4.0404040404040664E-4</v>
      </c>
      <c r="BB161" s="4">
        <f t="shared" si="63"/>
        <v>4.0129712201053991E-2</v>
      </c>
      <c r="BC161" s="4">
        <f t="shared" si="64"/>
        <v>1.9786307874950504E-3</v>
      </c>
      <c r="BD161" s="4">
        <f t="shared" si="65"/>
        <v>1.4018691588784993E-2</v>
      </c>
      <c r="BE161" s="4">
        <f t="shared" si="66"/>
        <v>2.4681835711531042E-2</v>
      </c>
      <c r="BF161" s="4">
        <f t="shared" si="67"/>
        <v>4.2016806722688926E-3</v>
      </c>
      <c r="BG161" s="4">
        <f t="shared" si="68"/>
        <v>3.8995125609298853E-2</v>
      </c>
      <c r="BH161" s="4">
        <f t="shared" si="69"/>
        <v>2.4083393242271711E-2</v>
      </c>
      <c r="BI161" s="4">
        <f t="shared" si="70"/>
        <v>2.198198198198198E-2</v>
      </c>
      <c r="BJ161" s="4">
        <f t="shared" si="71"/>
        <v>4.3731778425655232E-3</v>
      </c>
      <c r="BK161" s="4">
        <f t="shared" si="72"/>
        <v>1.8633540372670843E-2</v>
      </c>
      <c r="BL161" s="4">
        <f t="shared" si="73"/>
        <v>5.5741360089185399E-3</v>
      </c>
      <c r="BM161" s="4">
        <f t="shared" si="78"/>
        <v>1.4663996470570293E-2</v>
      </c>
      <c r="BN161" s="9">
        <f t="shared" si="79"/>
        <v>13652.304072511524</v>
      </c>
      <c r="BO161" s="10">
        <f t="shared" si="80"/>
        <v>13129.602247029652</v>
      </c>
      <c r="BP161">
        <v>13860</v>
      </c>
      <c r="BQ161">
        <v>13865</v>
      </c>
      <c r="BR161">
        <v>13855</v>
      </c>
      <c r="BS161">
        <v>13855</v>
      </c>
      <c r="BT161">
        <v>11994</v>
      </c>
      <c r="BU161" s="13">
        <f t="shared" si="74"/>
        <v>13858.333333333334</v>
      </c>
      <c r="BV161" s="13">
        <f t="shared" si="75"/>
        <v>166216850</v>
      </c>
      <c r="BW161" s="13">
        <f>SUM($BV$3:BV161)</f>
        <v>180885261988.33337</v>
      </c>
      <c r="BX161" s="13">
        <f>SUM($BT$3:BT161)</f>
        <v>13220739</v>
      </c>
      <c r="BY161" s="3">
        <f t="shared" si="76"/>
        <v>13681.932756431646</v>
      </c>
    </row>
    <row r="162" spans="1:77" x14ac:dyDescent="0.3">
      <c r="A162" s="3" t="s">
        <v>202</v>
      </c>
      <c r="B162" s="3">
        <v>11630</v>
      </c>
      <c r="C162" s="3">
        <v>11615</v>
      </c>
      <c r="D162" s="3">
        <v>11485</v>
      </c>
      <c r="E162" s="3">
        <v>11485</v>
      </c>
      <c r="F162" s="3">
        <v>11675</v>
      </c>
      <c r="G162" s="3">
        <v>11675</v>
      </c>
      <c r="H162" s="3">
        <v>11430</v>
      </c>
      <c r="I162" s="3">
        <v>11435</v>
      </c>
      <c r="J162" s="3">
        <v>11740</v>
      </c>
      <c r="K162" s="3">
        <v>11740</v>
      </c>
      <c r="L162" s="3">
        <v>12010</v>
      </c>
      <c r="M162" s="3">
        <v>12015</v>
      </c>
      <c r="N162" s="3">
        <v>12555</v>
      </c>
      <c r="O162" s="3">
        <v>12560</v>
      </c>
      <c r="P162" s="3">
        <v>12780</v>
      </c>
      <c r="Q162" s="3">
        <v>12790</v>
      </c>
      <c r="R162" s="3">
        <v>12600</v>
      </c>
      <c r="S162" s="3">
        <v>12595</v>
      </c>
      <c r="T162" s="3">
        <v>12370</v>
      </c>
      <c r="U162" s="3">
        <v>12365</v>
      </c>
      <c r="V162" s="3">
        <v>12835</v>
      </c>
      <c r="W162" s="3">
        <v>12835</v>
      </c>
      <c r="X162" s="3">
        <v>12615</v>
      </c>
      <c r="Y162" s="3">
        <v>12615</v>
      </c>
      <c r="Z162" s="3">
        <v>12665</v>
      </c>
      <c r="AA162" s="3">
        <v>12675</v>
      </c>
      <c r="AB162" s="3">
        <v>13290</v>
      </c>
      <c r="AC162" s="3">
        <v>13295</v>
      </c>
      <c r="AD162" s="3">
        <v>13145</v>
      </c>
      <c r="AE162" s="3">
        <v>13150</v>
      </c>
      <c r="AF162" s="3">
        <v>13855</v>
      </c>
      <c r="AG162" s="3">
        <v>13855</v>
      </c>
      <c r="AH162" s="3">
        <v>14240</v>
      </c>
      <c r="AI162" s="3">
        <v>14240</v>
      </c>
      <c r="AJ162" s="3">
        <v>13570</v>
      </c>
      <c r="AK162" s="3">
        <v>13565</v>
      </c>
      <c r="AL162" s="3">
        <v>13780</v>
      </c>
      <c r="AM162" s="3">
        <v>13775</v>
      </c>
      <c r="AN162" s="3">
        <v>13430</v>
      </c>
      <c r="AO162" s="3">
        <v>13435</v>
      </c>
      <c r="AP162" s="3">
        <v>13525</v>
      </c>
      <c r="AQ162" s="3">
        <v>13525</v>
      </c>
      <c r="AR162" s="4">
        <f t="shared" si="77"/>
        <v>7.3720728534258928E-3</v>
      </c>
      <c r="AS162" s="4">
        <f t="shared" si="54"/>
        <v>5.6277056277056481E-3</v>
      </c>
      <c r="AT162" s="4">
        <f t="shared" si="55"/>
        <v>2.7728873239436513E-2</v>
      </c>
      <c r="AU162" s="4">
        <f t="shared" si="56"/>
        <v>2.9286926994906648E-2</v>
      </c>
      <c r="AV162" s="4">
        <f t="shared" si="57"/>
        <v>4.2771599657827064E-3</v>
      </c>
      <c r="AW162" s="4">
        <f t="shared" si="58"/>
        <v>1.3069139966273235E-2</v>
      </c>
      <c r="AX162" s="4">
        <f t="shared" si="59"/>
        <v>3.6731324803962018E-2</v>
      </c>
      <c r="AY162" s="4">
        <f t="shared" si="60"/>
        <v>7.8247261345842922E-4</v>
      </c>
      <c r="AZ162" s="4">
        <f t="shared" si="61"/>
        <v>3.9856516540455189E-3</v>
      </c>
      <c r="BA162" s="4">
        <f t="shared" si="62"/>
        <v>8.0808080808081328E-4</v>
      </c>
      <c r="BB162" s="4">
        <f t="shared" si="63"/>
        <v>4.053506282934749E-2</v>
      </c>
      <c r="BC162" s="4">
        <f t="shared" si="64"/>
        <v>1.5829046299959959E-3</v>
      </c>
      <c r="BD162" s="4">
        <f t="shared" si="65"/>
        <v>1.2850467289719614E-2</v>
      </c>
      <c r="BE162" s="4">
        <f t="shared" si="66"/>
        <v>2.5453143077516449E-2</v>
      </c>
      <c r="BF162" s="4">
        <f t="shared" si="67"/>
        <v>4.583651642475095E-3</v>
      </c>
      <c r="BG162" s="4">
        <f t="shared" si="68"/>
        <v>3.8995125609298853E-2</v>
      </c>
      <c r="BH162" s="4">
        <f t="shared" si="69"/>
        <v>2.372393961179009E-2</v>
      </c>
      <c r="BI162" s="4">
        <f t="shared" si="70"/>
        <v>2.2342342342342336E-2</v>
      </c>
      <c r="BJ162" s="4">
        <f t="shared" si="71"/>
        <v>4.0087463556850444E-3</v>
      </c>
      <c r="BK162" s="4">
        <f t="shared" si="72"/>
        <v>1.8268176835951722E-2</v>
      </c>
      <c r="BL162" s="4">
        <f t="shared" si="73"/>
        <v>5.2025269416573483E-3</v>
      </c>
      <c r="BM162" s="4">
        <f t="shared" si="78"/>
        <v>1.480732608162187E-2</v>
      </c>
      <c r="BN162" s="9">
        <f t="shared" si="79"/>
        <v>13654.232572428224</v>
      </c>
      <c r="BO162" s="10">
        <f t="shared" si="80"/>
        <v>13127.692379962389</v>
      </c>
      <c r="BP162">
        <v>13855</v>
      </c>
      <c r="BQ162">
        <v>13855</v>
      </c>
      <c r="BR162">
        <v>13850</v>
      </c>
      <c r="BS162">
        <v>13855</v>
      </c>
      <c r="BT162">
        <v>12541</v>
      </c>
      <c r="BU162" s="13">
        <f t="shared" si="74"/>
        <v>13853.333333333334</v>
      </c>
      <c r="BV162" s="13">
        <f t="shared" si="75"/>
        <v>173734653.33333334</v>
      </c>
      <c r="BW162" s="13">
        <f>SUM($BV$3:BV162)</f>
        <v>181058996641.66672</v>
      </c>
      <c r="BX162" s="13">
        <f>SUM($BT$3:BT162)</f>
        <v>13233280</v>
      </c>
      <c r="BY162" s="3">
        <f t="shared" si="76"/>
        <v>13682.09519043402</v>
      </c>
    </row>
    <row r="163" spans="1:77" x14ac:dyDescent="0.3">
      <c r="A163" s="3" t="s">
        <v>203</v>
      </c>
      <c r="B163" s="3">
        <v>11615</v>
      </c>
      <c r="C163" s="3">
        <v>11625</v>
      </c>
      <c r="D163" s="3">
        <v>11485</v>
      </c>
      <c r="E163" s="3">
        <v>11490</v>
      </c>
      <c r="F163" s="3">
        <v>11670</v>
      </c>
      <c r="G163" s="3">
        <v>11665</v>
      </c>
      <c r="H163" s="3">
        <v>11435</v>
      </c>
      <c r="I163" s="3">
        <v>11445</v>
      </c>
      <c r="J163" s="3">
        <v>11745</v>
      </c>
      <c r="K163" s="3">
        <v>11735</v>
      </c>
      <c r="L163" s="3">
        <v>12015</v>
      </c>
      <c r="M163" s="3">
        <v>12015</v>
      </c>
      <c r="N163" s="3">
        <v>12560</v>
      </c>
      <c r="O163" s="3">
        <v>12555</v>
      </c>
      <c r="P163" s="3">
        <v>12790</v>
      </c>
      <c r="Q163" s="3">
        <v>12775</v>
      </c>
      <c r="R163" s="3">
        <v>12600</v>
      </c>
      <c r="S163" s="3">
        <v>12585</v>
      </c>
      <c r="T163" s="3">
        <v>12360</v>
      </c>
      <c r="U163" s="3">
        <v>12360</v>
      </c>
      <c r="V163" s="3">
        <v>12830</v>
      </c>
      <c r="W163" s="3">
        <v>12840</v>
      </c>
      <c r="X163" s="3">
        <v>12620</v>
      </c>
      <c r="Y163" s="3">
        <v>12605</v>
      </c>
      <c r="Z163" s="3">
        <v>12675</v>
      </c>
      <c r="AA163" s="3">
        <v>12680</v>
      </c>
      <c r="AB163" s="3">
        <v>13290</v>
      </c>
      <c r="AC163" s="3">
        <v>13285</v>
      </c>
      <c r="AD163" s="3">
        <v>13145</v>
      </c>
      <c r="AE163" s="3">
        <v>13135</v>
      </c>
      <c r="AF163" s="3">
        <v>13850</v>
      </c>
      <c r="AG163" s="3">
        <v>13845</v>
      </c>
      <c r="AH163" s="3">
        <v>14245</v>
      </c>
      <c r="AI163" s="3">
        <v>14240</v>
      </c>
      <c r="AJ163" s="3">
        <v>13565</v>
      </c>
      <c r="AK163" s="3">
        <v>13565</v>
      </c>
      <c r="AL163" s="3">
        <v>13770</v>
      </c>
      <c r="AM163" s="3">
        <v>13750</v>
      </c>
      <c r="AN163" s="3">
        <v>13430</v>
      </c>
      <c r="AO163" s="3">
        <v>13425</v>
      </c>
      <c r="AP163" s="3">
        <v>13520</v>
      </c>
      <c r="AQ163" s="3">
        <v>13530</v>
      </c>
      <c r="AR163" s="4">
        <f t="shared" si="77"/>
        <v>8.2393755420642201E-3</v>
      </c>
      <c r="AS163" s="4">
        <f t="shared" si="54"/>
        <v>5.1948051948051965E-3</v>
      </c>
      <c r="AT163" s="4">
        <f t="shared" si="55"/>
        <v>2.6848591549295753E-2</v>
      </c>
      <c r="AU163" s="4">
        <f t="shared" si="56"/>
        <v>2.843803056027161E-2</v>
      </c>
      <c r="AV163" s="4">
        <f t="shared" si="57"/>
        <v>3.8494439692045024E-3</v>
      </c>
      <c r="AW163" s="4">
        <f t="shared" si="58"/>
        <v>1.3069139966273235E-2</v>
      </c>
      <c r="AX163" s="4">
        <f t="shared" si="59"/>
        <v>3.6318613289310742E-2</v>
      </c>
      <c r="AY163" s="4">
        <f t="shared" si="60"/>
        <v>3.9123630672921461E-4</v>
      </c>
      <c r="AZ163" s="4">
        <f t="shared" si="61"/>
        <v>3.1885213232363263E-3</v>
      </c>
      <c r="BA163" s="4">
        <f t="shared" si="62"/>
        <v>1.2121212121212199E-3</v>
      </c>
      <c r="BB163" s="4">
        <f t="shared" si="63"/>
        <v>4.0940413457640767E-2</v>
      </c>
      <c r="BC163" s="4">
        <f t="shared" si="64"/>
        <v>2.3743569449941049E-3</v>
      </c>
      <c r="BD163" s="4">
        <f t="shared" si="65"/>
        <v>1.2461059190031154E-2</v>
      </c>
      <c r="BE163" s="4">
        <f t="shared" si="66"/>
        <v>2.4681835711531042E-2</v>
      </c>
      <c r="BF163" s="4">
        <f t="shared" si="67"/>
        <v>3.4377387318564878E-3</v>
      </c>
      <c r="BG163" s="4">
        <f t="shared" si="68"/>
        <v>3.8245219347581516E-2</v>
      </c>
      <c r="BH163" s="4">
        <f t="shared" si="69"/>
        <v>2.372393961179009E-2</v>
      </c>
      <c r="BI163" s="4">
        <f t="shared" si="70"/>
        <v>2.2342342342342336E-2</v>
      </c>
      <c r="BJ163" s="4">
        <f t="shared" si="71"/>
        <v>2.1865889212828726E-3</v>
      </c>
      <c r="BK163" s="4">
        <f t="shared" si="72"/>
        <v>1.8998903909389853E-2</v>
      </c>
      <c r="BL163" s="4">
        <f t="shared" si="73"/>
        <v>5.5741360089185399E-3</v>
      </c>
      <c r="BM163" s="4">
        <f t="shared" si="78"/>
        <v>1.445756481480724E-2</v>
      </c>
      <c r="BN163" s="9">
        <f t="shared" si="79"/>
        <v>13649.526534583232</v>
      </c>
      <c r="BO163" s="10">
        <f t="shared" si="80"/>
        <v>13132.352948842694</v>
      </c>
      <c r="BP163">
        <v>13850</v>
      </c>
      <c r="BQ163">
        <v>13850</v>
      </c>
      <c r="BR163">
        <v>13840</v>
      </c>
      <c r="BS163">
        <v>13845</v>
      </c>
      <c r="BT163">
        <v>18109</v>
      </c>
      <c r="BU163" s="13">
        <f t="shared" si="74"/>
        <v>13845</v>
      </c>
      <c r="BV163" s="13">
        <f t="shared" si="75"/>
        <v>250719105</v>
      </c>
      <c r="BW163" s="13">
        <f>SUM($BV$3:BV163)</f>
        <v>181309715746.66672</v>
      </c>
      <c r="BX163" s="13">
        <f>SUM($BT$3:BT163)</f>
        <v>13251389</v>
      </c>
      <c r="BY163" s="3">
        <f t="shared" si="76"/>
        <v>13682.317811866116</v>
      </c>
    </row>
    <row r="164" spans="1:77" x14ac:dyDescent="0.3">
      <c r="A164" s="3" t="s">
        <v>204</v>
      </c>
      <c r="B164" s="3">
        <v>11620</v>
      </c>
      <c r="C164" s="3">
        <v>11620</v>
      </c>
      <c r="D164" s="3">
        <v>11490</v>
      </c>
      <c r="E164" s="3">
        <v>11485</v>
      </c>
      <c r="F164" s="3">
        <v>11665</v>
      </c>
      <c r="G164" s="3">
        <v>11665</v>
      </c>
      <c r="H164" s="3">
        <v>11440</v>
      </c>
      <c r="I164" s="3">
        <v>11445</v>
      </c>
      <c r="J164" s="3">
        <v>11740</v>
      </c>
      <c r="K164" s="3">
        <v>11720</v>
      </c>
      <c r="L164" s="3">
        <v>12020</v>
      </c>
      <c r="M164" s="3">
        <v>12025</v>
      </c>
      <c r="N164" s="3">
        <v>12550</v>
      </c>
      <c r="O164" s="3">
        <v>12555</v>
      </c>
      <c r="P164" s="3">
        <v>12780</v>
      </c>
      <c r="Q164" s="3">
        <v>12785</v>
      </c>
      <c r="R164" s="3">
        <v>12585</v>
      </c>
      <c r="S164" s="3">
        <v>12595</v>
      </c>
      <c r="T164" s="3">
        <v>12360</v>
      </c>
      <c r="U164" s="3">
        <v>12360</v>
      </c>
      <c r="V164" s="3">
        <v>12840</v>
      </c>
      <c r="W164" s="3">
        <v>12825</v>
      </c>
      <c r="X164" s="3">
        <v>12600</v>
      </c>
      <c r="Y164" s="3">
        <v>12605</v>
      </c>
      <c r="Z164" s="3">
        <v>12675</v>
      </c>
      <c r="AA164" s="3">
        <v>12680</v>
      </c>
      <c r="AB164" s="3">
        <v>13290</v>
      </c>
      <c r="AC164" s="3">
        <v>13280</v>
      </c>
      <c r="AD164" s="3">
        <v>13140</v>
      </c>
      <c r="AE164" s="3">
        <v>13135</v>
      </c>
      <c r="AF164" s="3">
        <v>13850</v>
      </c>
      <c r="AG164" s="3">
        <v>13845</v>
      </c>
      <c r="AH164" s="3">
        <v>14240</v>
      </c>
      <c r="AI164" s="3">
        <v>14245</v>
      </c>
      <c r="AJ164" s="3">
        <v>13565</v>
      </c>
      <c r="AK164" s="3">
        <v>13560</v>
      </c>
      <c r="AL164" s="3">
        <v>13765</v>
      </c>
      <c r="AM164" s="3">
        <v>13750</v>
      </c>
      <c r="AN164" s="3">
        <v>13420</v>
      </c>
      <c r="AO164" s="3">
        <v>13420</v>
      </c>
      <c r="AP164" s="3">
        <v>13530</v>
      </c>
      <c r="AQ164" s="3">
        <v>13515</v>
      </c>
      <c r="AR164" s="4">
        <f t="shared" si="77"/>
        <v>7.8057241977449454E-3</v>
      </c>
      <c r="AS164" s="4">
        <f t="shared" si="54"/>
        <v>5.6277056277056481E-3</v>
      </c>
      <c r="AT164" s="4">
        <f t="shared" si="55"/>
        <v>2.6848591549295753E-2</v>
      </c>
      <c r="AU164" s="4">
        <f t="shared" si="56"/>
        <v>2.843803056027161E-2</v>
      </c>
      <c r="AV164" s="4">
        <f t="shared" si="57"/>
        <v>2.5662959794696683E-3</v>
      </c>
      <c r="AW164" s="4">
        <f t="shared" si="58"/>
        <v>1.3912310286677831E-2</v>
      </c>
      <c r="AX164" s="4">
        <f t="shared" si="59"/>
        <v>3.6318613289310742E-2</v>
      </c>
      <c r="AY164" s="4">
        <f t="shared" si="60"/>
        <v>3.9123630672932563E-4</v>
      </c>
      <c r="AZ164" s="4">
        <f t="shared" si="61"/>
        <v>3.9856516540455189E-3</v>
      </c>
      <c r="BA164" s="4">
        <f t="shared" si="62"/>
        <v>1.2121212121212199E-3</v>
      </c>
      <c r="BB164" s="4">
        <f t="shared" si="63"/>
        <v>3.9724361572760492E-2</v>
      </c>
      <c r="BC164" s="4">
        <f t="shared" si="64"/>
        <v>2.3743569449941049E-3</v>
      </c>
      <c r="BD164" s="4">
        <f t="shared" si="65"/>
        <v>1.2461059190031154E-2</v>
      </c>
      <c r="BE164" s="4">
        <f t="shared" si="66"/>
        <v>2.4296182028538338E-2</v>
      </c>
      <c r="BF164" s="4">
        <f t="shared" si="67"/>
        <v>3.4377387318564878E-3</v>
      </c>
      <c r="BG164" s="4">
        <f t="shared" si="68"/>
        <v>3.8245219347581516E-2</v>
      </c>
      <c r="BH164" s="4">
        <f t="shared" si="69"/>
        <v>2.4083393242271711E-2</v>
      </c>
      <c r="BI164" s="4">
        <f t="shared" si="70"/>
        <v>2.2702702702702693E-2</v>
      </c>
      <c r="BJ164" s="4">
        <f t="shared" si="71"/>
        <v>2.1865889212828726E-3</v>
      </c>
      <c r="BK164" s="4">
        <f t="shared" si="72"/>
        <v>1.9364267446108863E-2</v>
      </c>
      <c r="BL164" s="4">
        <f t="shared" si="73"/>
        <v>4.4593088071349651E-3</v>
      </c>
      <c r="BM164" s="4">
        <f t="shared" si="78"/>
        <v>1.4399589638129135E-2</v>
      </c>
      <c r="BN164" s="9">
        <f t="shared" si="79"/>
        <v>13648.746478581026</v>
      </c>
      <c r="BO164" s="10">
        <f t="shared" si="80"/>
        <v>13133.125468071928</v>
      </c>
      <c r="BP164">
        <v>13850</v>
      </c>
      <c r="BQ164">
        <v>13850</v>
      </c>
      <c r="BR164">
        <v>13840</v>
      </c>
      <c r="BS164">
        <v>13845</v>
      </c>
      <c r="BT164">
        <v>10583</v>
      </c>
      <c r="BU164" s="13">
        <f t="shared" si="74"/>
        <v>13845</v>
      </c>
      <c r="BV164" s="13">
        <f t="shared" si="75"/>
        <v>146521635</v>
      </c>
      <c r="BW164" s="13">
        <f>SUM($BV$3:BV164)</f>
        <v>181456237381.66672</v>
      </c>
      <c r="BX164" s="13">
        <f>SUM($BT$3:BT164)</f>
        <v>13261972</v>
      </c>
      <c r="BY164" s="3">
        <f t="shared" si="76"/>
        <v>13682.447631594059</v>
      </c>
    </row>
    <row r="165" spans="1:77" x14ac:dyDescent="0.3">
      <c r="A165" s="3" t="s">
        <v>205</v>
      </c>
      <c r="B165" s="3">
        <v>11625</v>
      </c>
      <c r="C165" s="3">
        <v>11625</v>
      </c>
      <c r="D165" s="3">
        <v>11485</v>
      </c>
      <c r="E165" s="3">
        <v>11475</v>
      </c>
      <c r="F165" s="3">
        <v>11665</v>
      </c>
      <c r="G165" s="3">
        <v>11675</v>
      </c>
      <c r="H165" s="3">
        <v>11450</v>
      </c>
      <c r="I165" s="3">
        <v>11440</v>
      </c>
      <c r="J165" s="3">
        <v>11720</v>
      </c>
      <c r="K165" s="3">
        <v>11730</v>
      </c>
      <c r="L165" s="3">
        <v>12025</v>
      </c>
      <c r="M165" s="3">
        <v>12025</v>
      </c>
      <c r="N165" s="3">
        <v>12555</v>
      </c>
      <c r="O165" s="3">
        <v>12550</v>
      </c>
      <c r="P165" s="3">
        <v>12785</v>
      </c>
      <c r="Q165" s="3">
        <v>12790</v>
      </c>
      <c r="R165" s="3">
        <v>12595</v>
      </c>
      <c r="S165" s="3">
        <v>12590</v>
      </c>
      <c r="T165" s="3">
        <v>12355</v>
      </c>
      <c r="U165" s="3">
        <v>12350</v>
      </c>
      <c r="V165" s="3">
        <v>12825</v>
      </c>
      <c r="W165" s="3">
        <v>12820</v>
      </c>
      <c r="X165" s="3">
        <v>12605</v>
      </c>
      <c r="Y165" s="3">
        <v>12590</v>
      </c>
      <c r="Z165" s="3">
        <v>12680</v>
      </c>
      <c r="AA165" s="3">
        <v>12680</v>
      </c>
      <c r="AB165" s="3">
        <v>13280</v>
      </c>
      <c r="AC165" s="3">
        <v>13285</v>
      </c>
      <c r="AD165" s="3">
        <v>13135</v>
      </c>
      <c r="AE165" s="3">
        <v>13150</v>
      </c>
      <c r="AF165" s="3">
        <v>13845</v>
      </c>
      <c r="AG165" s="3">
        <v>13835</v>
      </c>
      <c r="AH165" s="3">
        <v>14245</v>
      </c>
      <c r="AI165" s="3">
        <v>14245</v>
      </c>
      <c r="AJ165" s="3">
        <v>13565</v>
      </c>
      <c r="AK165" s="3">
        <v>13565</v>
      </c>
      <c r="AL165" s="3">
        <v>13760</v>
      </c>
      <c r="AM165" s="3">
        <v>13750</v>
      </c>
      <c r="AN165" s="3">
        <v>13420</v>
      </c>
      <c r="AO165" s="3">
        <v>13415</v>
      </c>
      <c r="AP165" s="3">
        <v>13515</v>
      </c>
      <c r="AQ165" s="3">
        <v>13510</v>
      </c>
      <c r="AR165" s="4">
        <f t="shared" si="77"/>
        <v>8.2393755420642201E-3</v>
      </c>
      <c r="AS165" s="4">
        <f t="shared" si="54"/>
        <v>6.4935064935064402E-3</v>
      </c>
      <c r="AT165" s="4">
        <f t="shared" si="55"/>
        <v>2.7728873239436513E-2</v>
      </c>
      <c r="AU165" s="4">
        <f t="shared" si="56"/>
        <v>2.8862478777589184E-2</v>
      </c>
      <c r="AV165" s="4">
        <f t="shared" si="57"/>
        <v>3.4217279726260763E-3</v>
      </c>
      <c r="AW165" s="4">
        <f t="shared" si="58"/>
        <v>1.3912310286677831E-2</v>
      </c>
      <c r="AX165" s="4">
        <f t="shared" si="59"/>
        <v>3.5905901774659466E-2</v>
      </c>
      <c r="AY165" s="4">
        <f t="shared" si="60"/>
        <v>7.8247261345842922E-4</v>
      </c>
      <c r="AZ165" s="4">
        <f t="shared" si="61"/>
        <v>3.5870864886409226E-3</v>
      </c>
      <c r="BA165" s="4">
        <f t="shared" si="62"/>
        <v>2.0202020202020332E-3</v>
      </c>
      <c r="BB165" s="4">
        <f t="shared" si="63"/>
        <v>3.9319010944466992E-2</v>
      </c>
      <c r="BC165" s="4">
        <f t="shared" si="64"/>
        <v>3.5615354174910463E-3</v>
      </c>
      <c r="BD165" s="4">
        <f t="shared" si="65"/>
        <v>1.2461059190031154E-2</v>
      </c>
      <c r="BE165" s="4">
        <f t="shared" si="66"/>
        <v>2.4681835711531042E-2</v>
      </c>
      <c r="BF165" s="4">
        <f t="shared" si="67"/>
        <v>4.583651642475095E-3</v>
      </c>
      <c r="BG165" s="4">
        <f t="shared" si="68"/>
        <v>3.7495313085864179E-2</v>
      </c>
      <c r="BH165" s="4">
        <f t="shared" si="69"/>
        <v>2.4083393242271711E-2</v>
      </c>
      <c r="BI165" s="4">
        <f t="shared" si="70"/>
        <v>2.2342342342342336E-2</v>
      </c>
      <c r="BJ165" s="4">
        <f t="shared" si="71"/>
        <v>2.1865889212828726E-3</v>
      </c>
      <c r="BK165" s="4">
        <f t="shared" si="72"/>
        <v>1.9729630982827873E-2</v>
      </c>
      <c r="BL165" s="4">
        <f t="shared" si="73"/>
        <v>4.0876997398735515E-3</v>
      </c>
      <c r="BM165" s="4">
        <f t="shared" si="78"/>
        <v>1.4808689469485159E-2</v>
      </c>
      <c r="BN165" s="9">
        <f t="shared" si="79"/>
        <v>13654.250916811923</v>
      </c>
      <c r="BO165" s="10">
        <f t="shared" si="80"/>
        <v>13127.674212819109</v>
      </c>
      <c r="BP165">
        <v>13845</v>
      </c>
      <c r="BQ165">
        <v>13845</v>
      </c>
      <c r="BR165">
        <v>13835</v>
      </c>
      <c r="BS165">
        <v>13835</v>
      </c>
      <c r="BT165">
        <v>11164</v>
      </c>
      <c r="BU165" s="13">
        <f t="shared" si="74"/>
        <v>13838.333333333334</v>
      </c>
      <c r="BV165" s="13">
        <f t="shared" si="75"/>
        <v>154491153.33333334</v>
      </c>
      <c r="BW165" s="13">
        <f>SUM($BV$3:BV165)</f>
        <v>181610728535.00006</v>
      </c>
      <c r="BX165" s="13">
        <f>SUM($BT$3:BT165)</f>
        <v>13273136</v>
      </c>
      <c r="BY165" s="3">
        <f t="shared" si="76"/>
        <v>13682.578746650383</v>
      </c>
    </row>
    <row r="166" spans="1:77" x14ac:dyDescent="0.3">
      <c r="A166" s="3" t="s">
        <v>206</v>
      </c>
      <c r="B166" s="3">
        <v>11625</v>
      </c>
      <c r="C166" s="3">
        <v>11645</v>
      </c>
      <c r="D166" s="3">
        <v>11475</v>
      </c>
      <c r="E166" s="3">
        <v>11475</v>
      </c>
      <c r="F166" s="3">
        <v>11675</v>
      </c>
      <c r="G166" s="3">
        <v>11665</v>
      </c>
      <c r="H166" s="3">
        <v>11435</v>
      </c>
      <c r="I166" s="3">
        <v>11450</v>
      </c>
      <c r="J166" s="3">
        <v>11730</v>
      </c>
      <c r="K166" s="3">
        <v>11735</v>
      </c>
      <c r="L166" s="3">
        <v>12020</v>
      </c>
      <c r="M166" s="3">
        <v>12005</v>
      </c>
      <c r="N166" s="3">
        <v>12550</v>
      </c>
      <c r="O166" s="3">
        <v>12545</v>
      </c>
      <c r="P166" s="3">
        <v>12790</v>
      </c>
      <c r="Q166" s="3">
        <v>12795</v>
      </c>
      <c r="R166" s="3">
        <v>12590</v>
      </c>
      <c r="S166" s="3">
        <v>12580</v>
      </c>
      <c r="T166" s="3">
        <v>12350</v>
      </c>
      <c r="U166" s="3">
        <v>12340</v>
      </c>
      <c r="V166" s="3">
        <v>12820</v>
      </c>
      <c r="W166" s="3">
        <v>12820</v>
      </c>
      <c r="X166" s="3">
        <v>12595</v>
      </c>
      <c r="Y166" s="3">
        <v>12605</v>
      </c>
      <c r="Z166" s="3">
        <v>12680</v>
      </c>
      <c r="AA166" s="3">
        <v>12680</v>
      </c>
      <c r="AB166" s="3">
        <v>13285</v>
      </c>
      <c r="AC166" s="3">
        <v>13275</v>
      </c>
      <c r="AD166" s="3">
        <v>13145</v>
      </c>
      <c r="AE166" s="3">
        <v>13145</v>
      </c>
      <c r="AF166" s="3">
        <v>13835</v>
      </c>
      <c r="AG166" s="3">
        <v>13835</v>
      </c>
      <c r="AH166" s="3">
        <v>14250</v>
      </c>
      <c r="AI166" s="3">
        <v>14245</v>
      </c>
      <c r="AJ166" s="3">
        <v>13565</v>
      </c>
      <c r="AK166" s="3">
        <v>13575</v>
      </c>
      <c r="AL166" s="3">
        <v>13755</v>
      </c>
      <c r="AM166" s="3">
        <v>13755</v>
      </c>
      <c r="AN166" s="3">
        <v>13415</v>
      </c>
      <c r="AO166" s="3">
        <v>13410</v>
      </c>
      <c r="AP166" s="3">
        <v>13510</v>
      </c>
      <c r="AQ166" s="3">
        <v>13510</v>
      </c>
      <c r="AR166" s="4">
        <f t="shared" si="77"/>
        <v>9.9739809193408746E-3</v>
      </c>
      <c r="AS166" s="4">
        <f t="shared" si="54"/>
        <v>6.4935064935064402E-3</v>
      </c>
      <c r="AT166" s="4">
        <f t="shared" si="55"/>
        <v>2.6848591549295753E-2</v>
      </c>
      <c r="AU166" s="4">
        <f t="shared" si="56"/>
        <v>2.8013582342954146E-2</v>
      </c>
      <c r="AV166" s="4">
        <f t="shared" si="57"/>
        <v>3.8494439692045024E-3</v>
      </c>
      <c r="AW166" s="4">
        <f t="shared" si="58"/>
        <v>1.2225969645868418E-2</v>
      </c>
      <c r="AX166" s="4">
        <f t="shared" si="59"/>
        <v>3.5493190260008189E-2</v>
      </c>
      <c r="AY166" s="4">
        <f t="shared" si="60"/>
        <v>1.1737089201877549E-3</v>
      </c>
      <c r="AZ166" s="4">
        <f t="shared" si="61"/>
        <v>2.78995615783173E-3</v>
      </c>
      <c r="BA166" s="4">
        <f t="shared" si="62"/>
        <v>2.8282828282828465E-3</v>
      </c>
      <c r="BB166" s="4">
        <f t="shared" si="63"/>
        <v>3.9319010944466992E-2</v>
      </c>
      <c r="BC166" s="4">
        <f t="shared" si="64"/>
        <v>2.3743569449941049E-3</v>
      </c>
      <c r="BD166" s="4">
        <f t="shared" si="65"/>
        <v>1.2461059190031154E-2</v>
      </c>
      <c r="BE166" s="4">
        <f t="shared" si="66"/>
        <v>2.3910528345545634E-2</v>
      </c>
      <c r="BF166" s="4">
        <f t="shared" si="67"/>
        <v>4.2016806722688926E-3</v>
      </c>
      <c r="BG166" s="4">
        <f t="shared" si="68"/>
        <v>3.7495313085864179E-2</v>
      </c>
      <c r="BH166" s="4">
        <f t="shared" si="69"/>
        <v>2.4083393242271711E-2</v>
      </c>
      <c r="BI166" s="4">
        <f t="shared" si="70"/>
        <v>2.1621621621621623E-2</v>
      </c>
      <c r="BJ166" s="4">
        <f t="shared" si="71"/>
        <v>2.5510204081633514E-3</v>
      </c>
      <c r="BK166" s="4">
        <f t="shared" si="72"/>
        <v>2.0094994519546994E-2</v>
      </c>
      <c r="BL166" s="4">
        <f t="shared" si="73"/>
        <v>4.0876997398735515E-3</v>
      </c>
      <c r="BM166" s="4">
        <f t="shared" si="78"/>
        <v>1.4427347733174754E-2</v>
      </c>
      <c r="BN166" s="9">
        <f t="shared" si="79"/>
        <v>13649.119963749865</v>
      </c>
      <c r="BO166" s="10">
        <f t="shared" si="80"/>
        <v>13132.755591455447</v>
      </c>
      <c r="BP166">
        <v>13835</v>
      </c>
      <c r="BQ166">
        <v>13835</v>
      </c>
      <c r="BR166">
        <v>13820</v>
      </c>
      <c r="BS166">
        <v>13835</v>
      </c>
      <c r="BT166">
        <v>38754</v>
      </c>
      <c r="BU166" s="13">
        <f t="shared" si="74"/>
        <v>13830</v>
      </c>
      <c r="BV166" s="13">
        <f t="shared" si="75"/>
        <v>535967820</v>
      </c>
      <c r="BW166" s="13">
        <f>SUM($BV$3:BV166)</f>
        <v>182146696355.00006</v>
      </c>
      <c r="BX166" s="13">
        <f>SUM($BT$3:BT166)</f>
        <v>13311890</v>
      </c>
      <c r="BY166" s="3">
        <f t="shared" si="76"/>
        <v>13683.007924118969</v>
      </c>
    </row>
    <row r="167" spans="1:77" x14ac:dyDescent="0.3">
      <c r="A167" s="3" t="s">
        <v>207</v>
      </c>
      <c r="B167" s="3">
        <v>11650</v>
      </c>
      <c r="C167" s="3">
        <v>11640</v>
      </c>
      <c r="D167" s="3">
        <v>11480</v>
      </c>
      <c r="E167" s="3">
        <v>11495</v>
      </c>
      <c r="F167" s="3">
        <v>11665</v>
      </c>
      <c r="G167" s="3">
        <v>11670</v>
      </c>
      <c r="H167" s="3">
        <v>11450</v>
      </c>
      <c r="I167" s="3">
        <v>11460</v>
      </c>
      <c r="J167" s="3">
        <v>11735</v>
      </c>
      <c r="K167" s="3">
        <v>11745</v>
      </c>
      <c r="L167" s="3">
        <v>12005</v>
      </c>
      <c r="M167" s="3">
        <v>12005</v>
      </c>
      <c r="N167" s="3">
        <v>12545</v>
      </c>
      <c r="O167" s="3">
        <v>12545</v>
      </c>
      <c r="P167" s="3">
        <v>12795</v>
      </c>
      <c r="Q167" s="3">
        <v>12800</v>
      </c>
      <c r="R167" s="3">
        <v>12575</v>
      </c>
      <c r="S167" s="3">
        <v>12585</v>
      </c>
      <c r="T167" s="3">
        <v>12340</v>
      </c>
      <c r="U167" s="3">
        <v>12325</v>
      </c>
      <c r="V167" s="3">
        <v>12820</v>
      </c>
      <c r="W167" s="3">
        <v>12825</v>
      </c>
      <c r="X167" s="3">
        <v>12605</v>
      </c>
      <c r="Y167" s="3">
        <v>12600</v>
      </c>
      <c r="Z167" s="3">
        <v>12680</v>
      </c>
      <c r="AA167" s="3">
        <v>12680</v>
      </c>
      <c r="AB167" s="3">
        <v>13280</v>
      </c>
      <c r="AC167" s="3">
        <v>13275</v>
      </c>
      <c r="AD167" s="3">
        <v>13145</v>
      </c>
      <c r="AE167" s="3">
        <v>13150</v>
      </c>
      <c r="AF167" s="3">
        <v>13835</v>
      </c>
      <c r="AG167" s="3">
        <v>13835</v>
      </c>
      <c r="AH167" s="3">
        <v>14245</v>
      </c>
      <c r="AI167" s="3">
        <v>14245</v>
      </c>
      <c r="AJ167" s="3">
        <v>13570</v>
      </c>
      <c r="AK167" s="3">
        <v>13585</v>
      </c>
      <c r="AL167" s="3">
        <v>13755</v>
      </c>
      <c r="AM167" s="3">
        <v>13740</v>
      </c>
      <c r="AN167" s="3">
        <v>13410</v>
      </c>
      <c r="AO167" s="3">
        <v>13415</v>
      </c>
      <c r="AP167" s="3">
        <v>13510</v>
      </c>
      <c r="AQ167" s="3">
        <v>13510</v>
      </c>
      <c r="AR167" s="4">
        <f t="shared" si="77"/>
        <v>9.5403295750216E-3</v>
      </c>
      <c r="AS167" s="4">
        <f t="shared" si="54"/>
        <v>4.761904761904745E-3</v>
      </c>
      <c r="AT167" s="4">
        <f t="shared" si="55"/>
        <v>2.7288732394366244E-2</v>
      </c>
      <c r="AU167" s="4">
        <f t="shared" si="56"/>
        <v>2.7164685908319219E-2</v>
      </c>
      <c r="AV167" s="4">
        <f t="shared" si="57"/>
        <v>4.7048759623609104E-3</v>
      </c>
      <c r="AW167" s="4">
        <f t="shared" si="58"/>
        <v>1.2225969645868418E-2</v>
      </c>
      <c r="AX167" s="4">
        <f t="shared" si="59"/>
        <v>3.5493190260008189E-2</v>
      </c>
      <c r="AY167" s="4">
        <f t="shared" si="60"/>
        <v>1.5649452269170805E-3</v>
      </c>
      <c r="AZ167" s="4">
        <f t="shared" si="61"/>
        <v>3.1885213232363263E-3</v>
      </c>
      <c r="BA167" s="4">
        <f t="shared" si="62"/>
        <v>4.0404040404040664E-3</v>
      </c>
      <c r="BB167" s="4">
        <f t="shared" si="63"/>
        <v>3.9724361572760492E-2</v>
      </c>
      <c r="BC167" s="4">
        <f t="shared" si="64"/>
        <v>2.7700831024930483E-3</v>
      </c>
      <c r="BD167" s="4">
        <f t="shared" si="65"/>
        <v>1.2461059190031154E-2</v>
      </c>
      <c r="BE167" s="4">
        <f t="shared" si="66"/>
        <v>2.3910528345545634E-2</v>
      </c>
      <c r="BF167" s="4">
        <f t="shared" si="67"/>
        <v>4.583651642475095E-3</v>
      </c>
      <c r="BG167" s="4">
        <f t="shared" si="68"/>
        <v>3.7495313085864179E-2</v>
      </c>
      <c r="BH167" s="4">
        <f t="shared" si="69"/>
        <v>2.4083393242271711E-2</v>
      </c>
      <c r="BI167" s="4">
        <f t="shared" si="70"/>
        <v>2.0900900900900909E-2</v>
      </c>
      <c r="BJ167" s="4">
        <f t="shared" si="71"/>
        <v>1.4577259475219151E-3</v>
      </c>
      <c r="BK167" s="4">
        <f t="shared" si="72"/>
        <v>1.9729630982827873E-2</v>
      </c>
      <c r="BL167" s="4">
        <f t="shared" si="73"/>
        <v>4.0876997398735515E-3</v>
      </c>
      <c r="BM167" s="4">
        <f t="shared" si="78"/>
        <v>1.4563065241192188E-2</v>
      </c>
      <c r="BN167" s="9">
        <f t="shared" si="79"/>
        <v>13650.94604282024</v>
      </c>
      <c r="BO167" s="10">
        <f t="shared" si="80"/>
        <v>13130.947155661113</v>
      </c>
      <c r="BP167">
        <v>13835</v>
      </c>
      <c r="BQ167">
        <v>13835</v>
      </c>
      <c r="BR167">
        <v>13825</v>
      </c>
      <c r="BS167">
        <v>13835</v>
      </c>
      <c r="BT167">
        <v>7448</v>
      </c>
      <c r="BU167" s="13">
        <f t="shared" si="74"/>
        <v>13831.666666666666</v>
      </c>
      <c r="BV167" s="13">
        <f t="shared" si="75"/>
        <v>103018253.33333333</v>
      </c>
      <c r="BW167" s="13">
        <f>SUM($BV$3:BV167)</f>
        <v>182249714608.3334</v>
      </c>
      <c r="BX167" s="13">
        <f>SUM($BT$3:BT167)</f>
        <v>13319338</v>
      </c>
      <c r="BY167" s="3">
        <f t="shared" si="76"/>
        <v>13683.091052147893</v>
      </c>
    </row>
    <row r="168" spans="1:77" x14ac:dyDescent="0.3">
      <c r="A168" s="3" t="s">
        <v>208</v>
      </c>
      <c r="B168" s="3">
        <v>11640</v>
      </c>
      <c r="C168" s="3">
        <v>11640</v>
      </c>
      <c r="D168" s="3">
        <v>11495</v>
      </c>
      <c r="E168" s="3">
        <v>11495</v>
      </c>
      <c r="F168" s="3">
        <v>11670</v>
      </c>
      <c r="G168" s="3">
        <v>11670</v>
      </c>
      <c r="H168" s="3">
        <v>11460</v>
      </c>
      <c r="I168" s="3">
        <v>11465</v>
      </c>
      <c r="J168" s="3">
        <v>11745</v>
      </c>
      <c r="K168" s="3">
        <v>11740</v>
      </c>
      <c r="L168" s="3">
        <v>12010</v>
      </c>
      <c r="M168" s="3">
        <v>12000</v>
      </c>
      <c r="N168" s="3">
        <v>12545</v>
      </c>
      <c r="O168" s="3">
        <v>12545</v>
      </c>
      <c r="P168" s="3">
        <v>12800</v>
      </c>
      <c r="Q168" s="3">
        <v>12785</v>
      </c>
      <c r="R168" s="3">
        <v>12585</v>
      </c>
      <c r="S168" s="3">
        <v>12585</v>
      </c>
      <c r="T168" s="3">
        <v>12325</v>
      </c>
      <c r="U168" s="3">
        <v>12355</v>
      </c>
      <c r="V168" s="3">
        <v>12825</v>
      </c>
      <c r="W168" s="3">
        <v>12815</v>
      </c>
      <c r="X168" s="3">
        <v>12595</v>
      </c>
      <c r="Y168" s="3">
        <v>12580</v>
      </c>
      <c r="Z168" s="3">
        <v>12680</v>
      </c>
      <c r="AA168" s="3">
        <v>12685</v>
      </c>
      <c r="AB168" s="3">
        <v>13275</v>
      </c>
      <c r="AC168" s="3">
        <v>13275</v>
      </c>
      <c r="AD168" s="3">
        <v>13145</v>
      </c>
      <c r="AE168" s="3">
        <v>13150</v>
      </c>
      <c r="AF168" s="3">
        <v>13830</v>
      </c>
      <c r="AG168" s="3">
        <v>13830</v>
      </c>
      <c r="AH168" s="3">
        <v>14245</v>
      </c>
      <c r="AI168" s="3">
        <v>14250</v>
      </c>
      <c r="AJ168" s="3">
        <v>13585</v>
      </c>
      <c r="AK168" s="3">
        <v>13590</v>
      </c>
      <c r="AL168" s="3">
        <v>13740</v>
      </c>
      <c r="AM168" s="3">
        <v>13750</v>
      </c>
      <c r="AN168" s="3">
        <v>13415</v>
      </c>
      <c r="AO168" s="3">
        <v>13430</v>
      </c>
      <c r="AP168" s="3">
        <v>13505</v>
      </c>
      <c r="AQ168" s="3">
        <v>13495</v>
      </c>
      <c r="AR168" s="4">
        <f t="shared" si="77"/>
        <v>9.5403295750216E-3</v>
      </c>
      <c r="AS168" s="4">
        <f t="shared" si="54"/>
        <v>4.761904761904745E-3</v>
      </c>
      <c r="AT168" s="4">
        <f t="shared" si="55"/>
        <v>2.7288732394366244E-2</v>
      </c>
      <c r="AU168" s="4">
        <f t="shared" si="56"/>
        <v>2.6740237691001645E-2</v>
      </c>
      <c r="AV168" s="4">
        <f t="shared" si="57"/>
        <v>4.2771599657827064E-3</v>
      </c>
      <c r="AW168" s="4">
        <f t="shared" si="58"/>
        <v>1.180438448566612E-2</v>
      </c>
      <c r="AX168" s="4">
        <f t="shared" si="59"/>
        <v>3.5493190260008189E-2</v>
      </c>
      <c r="AY168" s="4">
        <f t="shared" si="60"/>
        <v>3.9123630672932563E-4</v>
      </c>
      <c r="AZ168" s="4">
        <f t="shared" si="61"/>
        <v>3.1885213232363263E-3</v>
      </c>
      <c r="BA168" s="4">
        <f t="shared" si="62"/>
        <v>1.6161616161616266E-3</v>
      </c>
      <c r="BB168" s="4">
        <f t="shared" si="63"/>
        <v>3.8913660316173493E-2</v>
      </c>
      <c r="BC168" s="4">
        <f t="shared" si="64"/>
        <v>4.3529877324891553E-3</v>
      </c>
      <c r="BD168" s="4">
        <f t="shared" si="65"/>
        <v>1.2071651090342694E-2</v>
      </c>
      <c r="BE168" s="4">
        <f t="shared" si="66"/>
        <v>2.3910528345545634E-2</v>
      </c>
      <c r="BF168" s="4">
        <f t="shared" si="67"/>
        <v>4.583651642475095E-3</v>
      </c>
      <c r="BG168" s="4">
        <f t="shared" si="68"/>
        <v>3.7120359955005622E-2</v>
      </c>
      <c r="BH168" s="4">
        <f t="shared" si="69"/>
        <v>2.4442846872753332E-2</v>
      </c>
      <c r="BI168" s="4">
        <f t="shared" si="70"/>
        <v>2.0540540540540553E-2</v>
      </c>
      <c r="BJ168" s="4">
        <f t="shared" si="71"/>
        <v>2.1865889212828726E-3</v>
      </c>
      <c r="BK168" s="4">
        <f t="shared" si="72"/>
        <v>1.8633540372670843E-2</v>
      </c>
      <c r="BL168" s="4">
        <f t="shared" si="73"/>
        <v>2.9728725380899768E-3</v>
      </c>
      <c r="BM168" s="4">
        <f t="shared" si="78"/>
        <v>1.4242429137991643E-2</v>
      </c>
      <c r="BN168" s="9">
        <f t="shared" si="79"/>
        <v>13646.631884051678</v>
      </c>
      <c r="BO168" s="10">
        <f t="shared" si="80"/>
        <v>13135.219631736261</v>
      </c>
      <c r="BP168">
        <v>13830</v>
      </c>
      <c r="BQ168">
        <v>13835</v>
      </c>
      <c r="BR168">
        <v>13825</v>
      </c>
      <c r="BS168">
        <v>13830</v>
      </c>
      <c r="BT168">
        <v>7665</v>
      </c>
      <c r="BU168" s="13">
        <f t="shared" si="74"/>
        <v>13830</v>
      </c>
      <c r="BV168" s="13">
        <f t="shared" si="75"/>
        <v>106006950</v>
      </c>
      <c r="BW168" s="13">
        <f>SUM($BV$3:BV168)</f>
        <v>182355721558.3334</v>
      </c>
      <c r="BX168" s="13">
        <f>SUM($BT$3:BT168)</f>
        <v>13327003</v>
      </c>
      <c r="BY168" s="3">
        <f t="shared" si="76"/>
        <v>13683.175546545117</v>
      </c>
    </row>
    <row r="169" spans="1:77" x14ac:dyDescent="0.3">
      <c r="A169" s="3" t="s">
        <v>209</v>
      </c>
      <c r="B169" s="3">
        <v>11640</v>
      </c>
      <c r="C169" s="3">
        <v>11645</v>
      </c>
      <c r="D169" s="3">
        <v>11500</v>
      </c>
      <c r="E169" s="3">
        <v>11495</v>
      </c>
      <c r="F169" s="3">
        <v>11665</v>
      </c>
      <c r="G169" s="3">
        <v>11670</v>
      </c>
      <c r="H169" s="3">
        <v>11465</v>
      </c>
      <c r="I169" s="3">
        <v>11465</v>
      </c>
      <c r="J169" s="3">
        <v>11735</v>
      </c>
      <c r="K169" s="3">
        <v>11735</v>
      </c>
      <c r="L169" s="3">
        <v>12000</v>
      </c>
      <c r="M169" s="3">
        <v>12010</v>
      </c>
      <c r="N169" s="3">
        <v>12545</v>
      </c>
      <c r="O169" s="3">
        <v>12540</v>
      </c>
      <c r="P169" s="3">
        <v>12785</v>
      </c>
      <c r="Q169" s="3">
        <v>12780</v>
      </c>
      <c r="R169" s="3">
        <v>12590</v>
      </c>
      <c r="S169" s="3">
        <v>12585</v>
      </c>
      <c r="T169" s="3">
        <v>12360</v>
      </c>
      <c r="U169" s="3">
        <v>12365</v>
      </c>
      <c r="V169" s="3">
        <v>12810</v>
      </c>
      <c r="W169" s="3">
        <v>12815</v>
      </c>
      <c r="X169" s="3">
        <v>12580</v>
      </c>
      <c r="Y169" s="3">
        <v>12575</v>
      </c>
      <c r="Z169" s="3">
        <v>12685</v>
      </c>
      <c r="AA169" s="3">
        <v>12685</v>
      </c>
      <c r="AB169" s="3">
        <v>13275</v>
      </c>
      <c r="AC169" s="3">
        <v>13275</v>
      </c>
      <c r="AD169" s="3">
        <v>13155</v>
      </c>
      <c r="AE169" s="3">
        <v>13155</v>
      </c>
      <c r="AF169" s="3">
        <v>13830</v>
      </c>
      <c r="AG169" s="3">
        <v>13815</v>
      </c>
      <c r="AH169" s="3">
        <v>14250</v>
      </c>
      <c r="AI169" s="3">
        <v>14250</v>
      </c>
      <c r="AJ169" s="3">
        <v>13590</v>
      </c>
      <c r="AK169" s="3">
        <v>13660</v>
      </c>
      <c r="AL169" s="3">
        <v>13750</v>
      </c>
      <c r="AM169" s="3">
        <v>13745</v>
      </c>
      <c r="AN169" s="3">
        <v>13430</v>
      </c>
      <c r="AO169" s="3">
        <v>13425</v>
      </c>
      <c r="AP169" s="3">
        <v>13495</v>
      </c>
      <c r="AQ169" s="3">
        <v>13480</v>
      </c>
      <c r="AR169" s="4">
        <f t="shared" si="77"/>
        <v>9.9739809193408746E-3</v>
      </c>
      <c r="AS169" s="4">
        <f t="shared" si="54"/>
        <v>4.761904761904745E-3</v>
      </c>
      <c r="AT169" s="4">
        <f t="shared" si="55"/>
        <v>2.7288732394366244E-2</v>
      </c>
      <c r="AU169" s="4">
        <f t="shared" si="56"/>
        <v>2.6740237691001645E-2</v>
      </c>
      <c r="AV169" s="4">
        <f t="shared" si="57"/>
        <v>3.8494439692045024E-3</v>
      </c>
      <c r="AW169" s="4">
        <f t="shared" si="58"/>
        <v>1.2647554806070715E-2</v>
      </c>
      <c r="AX169" s="4">
        <f t="shared" si="59"/>
        <v>3.5080478745356913E-2</v>
      </c>
      <c r="AY169" s="4">
        <f t="shared" si="60"/>
        <v>0</v>
      </c>
      <c r="AZ169" s="4">
        <f t="shared" si="61"/>
        <v>3.1885213232363263E-3</v>
      </c>
      <c r="BA169" s="4">
        <f t="shared" si="62"/>
        <v>8.0808080808081328E-4</v>
      </c>
      <c r="BB169" s="4">
        <f t="shared" si="63"/>
        <v>3.8913660316173493E-2</v>
      </c>
      <c r="BC169" s="4">
        <f t="shared" si="64"/>
        <v>4.7487138899880987E-3</v>
      </c>
      <c r="BD169" s="4">
        <f t="shared" si="65"/>
        <v>1.2071651090342694E-2</v>
      </c>
      <c r="BE169" s="4">
        <f t="shared" si="66"/>
        <v>2.3910528345545634E-2</v>
      </c>
      <c r="BF169" s="4">
        <f t="shared" si="67"/>
        <v>4.9656226126815195E-3</v>
      </c>
      <c r="BG169" s="4">
        <f t="shared" si="68"/>
        <v>3.5995500562429728E-2</v>
      </c>
      <c r="BH169" s="4">
        <f t="shared" si="69"/>
        <v>2.4442846872753332E-2</v>
      </c>
      <c r="BI169" s="4">
        <f t="shared" si="70"/>
        <v>1.5495495495495448E-2</v>
      </c>
      <c r="BJ169" s="4">
        <f t="shared" si="71"/>
        <v>1.8221574344023939E-3</v>
      </c>
      <c r="BK169" s="4">
        <f t="shared" si="72"/>
        <v>1.8998903909389853E-2</v>
      </c>
      <c r="BL169" s="4">
        <f t="shared" si="73"/>
        <v>1.85804533630618E-3</v>
      </c>
      <c r="BM169" s="4">
        <f t="shared" si="78"/>
        <v>1.4212509339568096E-2</v>
      </c>
      <c r="BN169" s="9">
        <f t="shared" si="79"/>
        <v>13646.229313163891</v>
      </c>
      <c r="BO169" s="10">
        <f t="shared" si="80"/>
        <v>13135.618313050256</v>
      </c>
      <c r="BP169">
        <v>13830</v>
      </c>
      <c r="BQ169">
        <v>13835</v>
      </c>
      <c r="BR169">
        <v>13815</v>
      </c>
      <c r="BS169">
        <v>13815</v>
      </c>
      <c r="BT169">
        <v>35745</v>
      </c>
      <c r="BU169" s="13">
        <f t="shared" si="74"/>
        <v>13821.666666666666</v>
      </c>
      <c r="BV169" s="13">
        <f t="shared" si="75"/>
        <v>494055475</v>
      </c>
      <c r="BW169" s="13">
        <f>SUM($BV$3:BV169)</f>
        <v>182849777033.3334</v>
      </c>
      <c r="BX169" s="13">
        <f>SUM($BT$3:BT169)</f>
        <v>13362748</v>
      </c>
      <c r="BY169" s="3">
        <f t="shared" si="76"/>
        <v>13683.546006654724</v>
      </c>
    </row>
    <row r="170" spans="1:77" x14ac:dyDescent="0.3">
      <c r="A170" s="3" t="s">
        <v>210</v>
      </c>
      <c r="B170" s="3">
        <v>11645</v>
      </c>
      <c r="C170" s="3">
        <v>11655</v>
      </c>
      <c r="D170" s="3">
        <v>11495</v>
      </c>
      <c r="E170" s="3">
        <v>11480</v>
      </c>
      <c r="F170" s="3">
        <v>11670</v>
      </c>
      <c r="G170" s="3">
        <v>11675</v>
      </c>
      <c r="H170" s="3">
        <v>11460</v>
      </c>
      <c r="I170" s="3">
        <v>11465</v>
      </c>
      <c r="J170" s="3">
        <v>11735</v>
      </c>
      <c r="K170" s="3">
        <v>11745</v>
      </c>
      <c r="L170" s="3">
        <v>12005</v>
      </c>
      <c r="M170" s="3">
        <v>12005</v>
      </c>
      <c r="N170" s="3">
        <v>12535</v>
      </c>
      <c r="O170" s="3">
        <v>12530</v>
      </c>
      <c r="P170" s="3">
        <v>12780</v>
      </c>
      <c r="Q170" s="3">
        <v>12775</v>
      </c>
      <c r="R170" s="3">
        <v>12590</v>
      </c>
      <c r="S170" s="3">
        <v>12585</v>
      </c>
      <c r="T170" s="3">
        <v>12365</v>
      </c>
      <c r="U170" s="3">
        <v>12370</v>
      </c>
      <c r="V170" s="3">
        <v>12815</v>
      </c>
      <c r="W170" s="3">
        <v>12815</v>
      </c>
      <c r="X170" s="3">
        <v>12575</v>
      </c>
      <c r="Y170" s="3">
        <v>12575</v>
      </c>
      <c r="Z170" s="3">
        <v>12685</v>
      </c>
      <c r="AA170" s="3">
        <v>12680</v>
      </c>
      <c r="AB170" s="3">
        <v>13275</v>
      </c>
      <c r="AC170" s="3">
        <v>13275</v>
      </c>
      <c r="AD170" s="3">
        <v>13155</v>
      </c>
      <c r="AE170" s="3">
        <v>13155</v>
      </c>
      <c r="AF170" s="3">
        <v>13815</v>
      </c>
      <c r="AG170" s="3">
        <v>13845</v>
      </c>
      <c r="AH170" s="3">
        <v>14250</v>
      </c>
      <c r="AI170" s="3">
        <v>14255</v>
      </c>
      <c r="AJ170" s="3">
        <v>13665</v>
      </c>
      <c r="AK170" s="3">
        <v>13645</v>
      </c>
      <c r="AL170" s="3">
        <v>13745</v>
      </c>
      <c r="AM170" s="3">
        <v>13765</v>
      </c>
      <c r="AN170" s="3">
        <v>13425</v>
      </c>
      <c r="AO170" s="3">
        <v>13415</v>
      </c>
      <c r="AP170" s="3">
        <v>13475</v>
      </c>
      <c r="AQ170" s="3">
        <v>13475</v>
      </c>
      <c r="AR170" s="4">
        <f t="shared" si="77"/>
        <v>1.0841283607979202E-2</v>
      </c>
      <c r="AS170" s="4">
        <f t="shared" si="54"/>
        <v>6.0606060606060996E-3</v>
      </c>
      <c r="AT170" s="4">
        <f t="shared" si="55"/>
        <v>2.7728873239436513E-2</v>
      </c>
      <c r="AU170" s="4">
        <f t="shared" si="56"/>
        <v>2.6740237691001645E-2</v>
      </c>
      <c r="AV170" s="4">
        <f t="shared" si="57"/>
        <v>4.7048759623609104E-3</v>
      </c>
      <c r="AW170" s="4">
        <f t="shared" si="58"/>
        <v>1.2225969645868418E-2</v>
      </c>
      <c r="AX170" s="4">
        <f t="shared" si="59"/>
        <v>3.4255055716054583E-2</v>
      </c>
      <c r="AY170" s="4">
        <f t="shared" si="60"/>
        <v>3.9123630672921461E-4</v>
      </c>
      <c r="AZ170" s="4">
        <f t="shared" si="61"/>
        <v>3.1885213232363263E-3</v>
      </c>
      <c r="BA170" s="4">
        <f t="shared" si="62"/>
        <v>4.0404040404040664E-4</v>
      </c>
      <c r="BB170" s="4">
        <f t="shared" si="63"/>
        <v>3.8913660316173493E-2</v>
      </c>
      <c r="BC170" s="4">
        <f t="shared" si="64"/>
        <v>4.7487138899880987E-3</v>
      </c>
      <c r="BD170" s="4">
        <f t="shared" si="65"/>
        <v>1.2461059190031154E-2</v>
      </c>
      <c r="BE170" s="4">
        <f t="shared" si="66"/>
        <v>2.3910528345545634E-2</v>
      </c>
      <c r="BF170" s="4">
        <f t="shared" si="67"/>
        <v>4.9656226126815195E-3</v>
      </c>
      <c r="BG170" s="4">
        <f t="shared" si="68"/>
        <v>3.8245219347581516E-2</v>
      </c>
      <c r="BH170" s="4">
        <f t="shared" si="69"/>
        <v>2.4802300503235175E-2</v>
      </c>
      <c r="BI170" s="4">
        <f t="shared" si="70"/>
        <v>1.6576576576576629E-2</v>
      </c>
      <c r="BJ170" s="4">
        <f t="shared" si="71"/>
        <v>3.2798833819243089E-3</v>
      </c>
      <c r="BK170" s="4">
        <f t="shared" si="72"/>
        <v>1.9729630982827873E-2</v>
      </c>
      <c r="BL170" s="4">
        <f t="shared" si="73"/>
        <v>1.4864362690449884E-3</v>
      </c>
      <c r="BM170" s="4">
        <f t="shared" si="78"/>
        <v>1.4335642907411001E-2</v>
      </c>
      <c r="BN170" s="9">
        <f t="shared" si="79"/>
        <v>13647.886075319217</v>
      </c>
      <c r="BO170" s="10">
        <f t="shared" si="80"/>
        <v>13133.977558258748</v>
      </c>
      <c r="BP170">
        <v>13815</v>
      </c>
      <c r="BQ170">
        <v>13845</v>
      </c>
      <c r="BR170">
        <v>13810</v>
      </c>
      <c r="BS170">
        <v>13845</v>
      </c>
      <c r="BT170">
        <v>19055</v>
      </c>
      <c r="BU170" s="13">
        <f t="shared" si="74"/>
        <v>13833.333333333334</v>
      </c>
      <c r="BV170" s="13">
        <f t="shared" si="75"/>
        <v>263594166.66666669</v>
      </c>
      <c r="BW170" s="13">
        <f>SUM($BV$3:BV170)</f>
        <v>183113371200.00006</v>
      </c>
      <c r="BX170" s="13">
        <f>SUM($BT$3:BT170)</f>
        <v>13381803</v>
      </c>
      <c r="BY170" s="3">
        <f t="shared" si="76"/>
        <v>13683.759296112792</v>
      </c>
    </row>
    <row r="171" spans="1:77" x14ac:dyDescent="0.3">
      <c r="A171" s="3" t="s">
        <v>211</v>
      </c>
      <c r="B171" s="3">
        <v>11650</v>
      </c>
      <c r="C171" s="3">
        <v>11660</v>
      </c>
      <c r="D171" s="3">
        <v>11480</v>
      </c>
      <c r="E171" s="3">
        <v>11485</v>
      </c>
      <c r="F171" s="3">
        <v>11680</v>
      </c>
      <c r="G171" s="3">
        <v>11680</v>
      </c>
      <c r="H171" s="3">
        <v>11465</v>
      </c>
      <c r="I171" s="3">
        <v>11475</v>
      </c>
      <c r="J171" s="3">
        <v>11745</v>
      </c>
      <c r="K171" s="3">
        <v>11730</v>
      </c>
      <c r="L171" s="3">
        <v>12005</v>
      </c>
      <c r="M171" s="3">
        <v>12000</v>
      </c>
      <c r="N171" s="3">
        <v>12530</v>
      </c>
      <c r="O171" s="3">
        <v>12535</v>
      </c>
      <c r="P171" s="3">
        <v>12775</v>
      </c>
      <c r="Q171" s="3">
        <v>12765</v>
      </c>
      <c r="R171" s="3">
        <v>12590</v>
      </c>
      <c r="S171" s="3">
        <v>12575</v>
      </c>
      <c r="T171" s="3">
        <v>12370</v>
      </c>
      <c r="U171" s="3">
        <v>12375</v>
      </c>
      <c r="V171" s="3">
        <v>12815</v>
      </c>
      <c r="W171" s="3">
        <v>12820</v>
      </c>
      <c r="X171" s="3">
        <v>12580</v>
      </c>
      <c r="Y171" s="3">
        <v>12575</v>
      </c>
      <c r="Z171" s="3">
        <v>12680</v>
      </c>
      <c r="AA171" s="3">
        <v>12675</v>
      </c>
      <c r="AB171" s="3">
        <v>13275</v>
      </c>
      <c r="AC171" s="3">
        <v>13265</v>
      </c>
      <c r="AD171" s="3">
        <v>13155</v>
      </c>
      <c r="AE171" s="3">
        <v>13155</v>
      </c>
      <c r="AF171" s="3">
        <v>13845</v>
      </c>
      <c r="AG171" s="3">
        <v>13860</v>
      </c>
      <c r="AH171" s="3">
        <v>14260</v>
      </c>
      <c r="AI171" s="3">
        <v>14260</v>
      </c>
      <c r="AJ171" s="3">
        <v>13645</v>
      </c>
      <c r="AK171" s="3">
        <v>13655</v>
      </c>
      <c r="AL171" s="3">
        <v>13760</v>
      </c>
      <c r="AM171" s="3">
        <v>13760</v>
      </c>
      <c r="AN171" s="3">
        <v>13415</v>
      </c>
      <c r="AO171" s="3">
        <v>13405</v>
      </c>
      <c r="AP171" s="3">
        <v>13480</v>
      </c>
      <c r="AQ171" s="3">
        <v>13480</v>
      </c>
      <c r="AR171" s="4">
        <f t="shared" si="77"/>
        <v>1.1274934952298254E-2</v>
      </c>
      <c r="AS171" s="4">
        <f t="shared" si="54"/>
        <v>5.6277056277056481E-3</v>
      </c>
      <c r="AT171" s="4">
        <f t="shared" si="55"/>
        <v>2.8169014084507005E-2</v>
      </c>
      <c r="AU171" s="4">
        <f t="shared" si="56"/>
        <v>2.5891341256366718E-2</v>
      </c>
      <c r="AV171" s="4">
        <f t="shared" si="57"/>
        <v>3.4217279726260763E-3</v>
      </c>
      <c r="AW171" s="4">
        <f t="shared" si="58"/>
        <v>1.180438448566612E-2</v>
      </c>
      <c r="AX171" s="4">
        <f t="shared" si="59"/>
        <v>3.4667767230705637E-2</v>
      </c>
      <c r="AY171" s="4">
        <f t="shared" si="60"/>
        <v>1.1737089201877549E-3</v>
      </c>
      <c r="AZ171" s="4">
        <f t="shared" si="61"/>
        <v>2.3913909924273558E-3</v>
      </c>
      <c r="BA171" s="4">
        <f t="shared" si="62"/>
        <v>0</v>
      </c>
      <c r="BB171" s="4">
        <f t="shared" si="63"/>
        <v>3.9319010944466992E-2</v>
      </c>
      <c r="BC171" s="4">
        <f t="shared" si="64"/>
        <v>4.7487138899880987E-3</v>
      </c>
      <c r="BD171" s="4">
        <f t="shared" si="65"/>
        <v>1.2850467289719614E-2</v>
      </c>
      <c r="BE171" s="4">
        <f t="shared" si="66"/>
        <v>2.3139220979560449E-2</v>
      </c>
      <c r="BF171" s="4">
        <f t="shared" si="67"/>
        <v>4.9656226126815195E-3</v>
      </c>
      <c r="BG171" s="4">
        <f t="shared" si="68"/>
        <v>3.937007874015741E-2</v>
      </c>
      <c r="BH171" s="4">
        <f t="shared" si="69"/>
        <v>2.5161754133716796E-2</v>
      </c>
      <c r="BI171" s="4">
        <f t="shared" si="70"/>
        <v>1.5855855855855805E-2</v>
      </c>
      <c r="BJ171" s="4">
        <f t="shared" si="71"/>
        <v>2.9154518950438302E-3</v>
      </c>
      <c r="BK171" s="4">
        <f t="shared" si="72"/>
        <v>2.0460358056266004E-2</v>
      </c>
      <c r="BL171" s="4">
        <f t="shared" si="73"/>
        <v>1.85804533630618E-3</v>
      </c>
      <c r="BM171" s="4">
        <f t="shared" si="78"/>
        <v>1.4155005449043499E-2</v>
      </c>
      <c r="BN171" s="9">
        <f t="shared" si="79"/>
        <v>13645.455598316881</v>
      </c>
      <c r="BO171" s="10">
        <f t="shared" si="80"/>
        <v>13136.384552391495</v>
      </c>
      <c r="BP171">
        <v>13845</v>
      </c>
      <c r="BQ171">
        <v>13860</v>
      </c>
      <c r="BR171">
        <v>13840</v>
      </c>
      <c r="BS171">
        <v>13860</v>
      </c>
      <c r="BT171">
        <v>72453</v>
      </c>
      <c r="BU171" s="13">
        <f t="shared" si="74"/>
        <v>13853.333333333334</v>
      </c>
      <c r="BV171" s="13">
        <f t="shared" si="75"/>
        <v>1003715560</v>
      </c>
      <c r="BW171" s="13">
        <f>SUM($BV$3:BV171)</f>
        <v>184117086760.00006</v>
      </c>
      <c r="BX171" s="13">
        <f>SUM($BT$3:BT171)</f>
        <v>13454256</v>
      </c>
      <c r="BY171" s="3">
        <f t="shared" si="76"/>
        <v>13684.672475386231</v>
      </c>
    </row>
    <row r="172" spans="1:77" x14ac:dyDescent="0.3">
      <c r="A172" s="3" t="s">
        <v>212</v>
      </c>
      <c r="B172" s="3">
        <v>11660</v>
      </c>
      <c r="C172" s="3">
        <v>11670</v>
      </c>
      <c r="D172" s="3">
        <v>11490</v>
      </c>
      <c r="E172" s="3">
        <v>11480</v>
      </c>
      <c r="F172" s="3">
        <v>11685</v>
      </c>
      <c r="G172" s="3">
        <v>11675</v>
      </c>
      <c r="H172" s="3">
        <v>11470</v>
      </c>
      <c r="I172" s="3">
        <v>11475</v>
      </c>
      <c r="J172" s="3">
        <v>11725</v>
      </c>
      <c r="K172" s="3">
        <v>11735</v>
      </c>
      <c r="L172" s="3">
        <v>11995</v>
      </c>
      <c r="M172" s="3">
        <v>12000</v>
      </c>
      <c r="N172" s="3">
        <v>12535</v>
      </c>
      <c r="O172" s="3">
        <v>12545</v>
      </c>
      <c r="P172" s="3">
        <v>12765</v>
      </c>
      <c r="Q172" s="3">
        <v>12750</v>
      </c>
      <c r="R172" s="3">
        <v>12575</v>
      </c>
      <c r="S172" s="3">
        <v>12570</v>
      </c>
      <c r="T172" s="3">
        <v>12375</v>
      </c>
      <c r="U172" s="3">
        <v>12370</v>
      </c>
      <c r="V172" s="3">
        <v>12825</v>
      </c>
      <c r="W172" s="3">
        <v>12820</v>
      </c>
      <c r="X172" s="3">
        <v>12575</v>
      </c>
      <c r="Y172" s="3">
        <v>12570</v>
      </c>
      <c r="Z172" s="3">
        <v>12680</v>
      </c>
      <c r="AA172" s="3">
        <v>12690</v>
      </c>
      <c r="AB172" s="3">
        <v>13265</v>
      </c>
      <c r="AC172" s="3">
        <v>13270</v>
      </c>
      <c r="AD172" s="3">
        <v>13155</v>
      </c>
      <c r="AE172" s="3">
        <v>13155</v>
      </c>
      <c r="AF172" s="3">
        <v>13860</v>
      </c>
      <c r="AG172" s="3">
        <v>13855</v>
      </c>
      <c r="AH172" s="3">
        <v>14260</v>
      </c>
      <c r="AI172" s="3">
        <v>14260</v>
      </c>
      <c r="AJ172" s="3">
        <v>13660</v>
      </c>
      <c r="AK172" s="3">
        <v>13640</v>
      </c>
      <c r="AL172" s="3">
        <v>13760</v>
      </c>
      <c r="AM172" s="3">
        <v>13765</v>
      </c>
      <c r="AN172" s="3">
        <v>13410</v>
      </c>
      <c r="AO172" s="3">
        <v>13420</v>
      </c>
      <c r="AP172" s="3">
        <v>13485</v>
      </c>
      <c r="AQ172" s="3">
        <v>13495</v>
      </c>
      <c r="AR172" s="4">
        <f t="shared" si="77"/>
        <v>1.2142237640936582E-2</v>
      </c>
      <c r="AS172" s="4">
        <f t="shared" si="54"/>
        <v>6.0606060606060996E-3</v>
      </c>
      <c r="AT172" s="4">
        <f t="shared" si="55"/>
        <v>2.7728873239436513E-2</v>
      </c>
      <c r="AU172" s="4">
        <f t="shared" si="56"/>
        <v>2.5891341256366718E-2</v>
      </c>
      <c r="AV172" s="4">
        <f t="shared" si="57"/>
        <v>3.8494439692045024E-3</v>
      </c>
      <c r="AW172" s="4">
        <f t="shared" si="58"/>
        <v>1.180438448566612E-2</v>
      </c>
      <c r="AX172" s="4">
        <f t="shared" si="59"/>
        <v>3.5493190260008189E-2</v>
      </c>
      <c r="AY172" s="4">
        <f t="shared" si="60"/>
        <v>2.3474178403756207E-3</v>
      </c>
      <c r="AZ172" s="4">
        <f t="shared" si="61"/>
        <v>1.9928258270227595E-3</v>
      </c>
      <c r="BA172" s="4">
        <f t="shared" si="62"/>
        <v>4.0404040404040664E-4</v>
      </c>
      <c r="BB172" s="4">
        <f t="shared" si="63"/>
        <v>3.9319010944466992E-2</v>
      </c>
      <c r="BC172" s="4">
        <f t="shared" si="64"/>
        <v>5.1444400474871532E-3</v>
      </c>
      <c r="BD172" s="4">
        <f t="shared" si="65"/>
        <v>1.1682242990654235E-2</v>
      </c>
      <c r="BE172" s="4">
        <f t="shared" si="66"/>
        <v>2.352487466255293E-2</v>
      </c>
      <c r="BF172" s="4">
        <f t="shared" si="67"/>
        <v>4.9656226126815195E-3</v>
      </c>
      <c r="BG172" s="4">
        <f t="shared" si="68"/>
        <v>3.8995125609298853E-2</v>
      </c>
      <c r="BH172" s="4">
        <f t="shared" si="69"/>
        <v>2.5161754133716796E-2</v>
      </c>
      <c r="BI172" s="4">
        <f t="shared" si="70"/>
        <v>1.6936936936936986E-2</v>
      </c>
      <c r="BJ172" s="4">
        <f t="shared" si="71"/>
        <v>3.2798833819243089E-3</v>
      </c>
      <c r="BK172" s="4">
        <f t="shared" si="72"/>
        <v>1.9364267446108863E-2</v>
      </c>
      <c r="BL172" s="4">
        <f t="shared" si="73"/>
        <v>2.9728725380899768E-3</v>
      </c>
      <c r="BM172" s="4">
        <f t="shared" si="78"/>
        <v>1.4300593900040697E-2</v>
      </c>
      <c r="BN172" s="9">
        <f t="shared" si="79"/>
        <v>13647.414490925048</v>
      </c>
      <c r="BO172" s="10">
        <f t="shared" si="80"/>
        <v>13134.444586281958</v>
      </c>
      <c r="BP172">
        <v>13860</v>
      </c>
      <c r="BQ172">
        <v>13865</v>
      </c>
      <c r="BR172">
        <v>13855</v>
      </c>
      <c r="BS172">
        <v>13855</v>
      </c>
      <c r="BT172">
        <v>17746</v>
      </c>
      <c r="BU172" s="13">
        <f t="shared" si="74"/>
        <v>13858.333333333334</v>
      </c>
      <c r="BV172" s="13">
        <f t="shared" si="75"/>
        <v>245929983.33333334</v>
      </c>
      <c r="BW172" s="13">
        <f>SUM($BV$3:BV172)</f>
        <v>184363016743.3334</v>
      </c>
      <c r="BX172" s="13">
        <f>SUM($BT$3:BT172)</f>
        <v>13472002</v>
      </c>
      <c r="BY172" s="3">
        <f t="shared" si="76"/>
        <v>13684.901230220526</v>
      </c>
    </row>
    <row r="173" spans="1:77" x14ac:dyDescent="0.3">
      <c r="A173" s="3" t="s">
        <v>213</v>
      </c>
      <c r="B173" s="3">
        <v>11675</v>
      </c>
      <c r="C173" s="3">
        <v>11665</v>
      </c>
      <c r="D173" s="3">
        <v>11475</v>
      </c>
      <c r="E173" s="3">
        <v>11480</v>
      </c>
      <c r="F173" s="3">
        <v>11670</v>
      </c>
      <c r="G173" s="3">
        <v>11655</v>
      </c>
      <c r="H173" s="3">
        <v>11475</v>
      </c>
      <c r="I173" s="3">
        <v>11470</v>
      </c>
      <c r="J173" s="3">
        <v>11740</v>
      </c>
      <c r="K173" s="3">
        <v>11730</v>
      </c>
      <c r="L173" s="3">
        <v>12000</v>
      </c>
      <c r="M173" s="3">
        <v>11985</v>
      </c>
      <c r="N173" s="3">
        <v>12545</v>
      </c>
      <c r="O173" s="3">
        <v>12555</v>
      </c>
      <c r="P173" s="3">
        <v>12750</v>
      </c>
      <c r="Q173" s="3">
        <v>12770</v>
      </c>
      <c r="R173" s="3">
        <v>12575</v>
      </c>
      <c r="S173" s="3">
        <v>12565</v>
      </c>
      <c r="T173" s="3">
        <v>12375</v>
      </c>
      <c r="U173" s="3">
        <v>12365</v>
      </c>
      <c r="V173" s="3">
        <v>12820</v>
      </c>
      <c r="W173" s="3">
        <v>12830</v>
      </c>
      <c r="X173" s="3">
        <v>12575</v>
      </c>
      <c r="Y173" s="3">
        <v>12570</v>
      </c>
      <c r="Z173" s="3">
        <v>12695</v>
      </c>
      <c r="AA173" s="3">
        <v>12690</v>
      </c>
      <c r="AB173" s="3">
        <v>13270</v>
      </c>
      <c r="AC173" s="3">
        <v>13265</v>
      </c>
      <c r="AD173" s="3">
        <v>13150</v>
      </c>
      <c r="AE173" s="3">
        <v>13145</v>
      </c>
      <c r="AF173" s="3">
        <v>13855</v>
      </c>
      <c r="AG173" s="3">
        <v>13865</v>
      </c>
      <c r="AH173" s="3">
        <v>14260</v>
      </c>
      <c r="AI173" s="3">
        <v>14260</v>
      </c>
      <c r="AJ173" s="3">
        <v>13640</v>
      </c>
      <c r="AK173" s="3">
        <v>13640</v>
      </c>
      <c r="AL173" s="3">
        <v>13765</v>
      </c>
      <c r="AM173" s="3">
        <v>13765</v>
      </c>
      <c r="AN173" s="3">
        <v>13420</v>
      </c>
      <c r="AO173" s="3">
        <v>13410</v>
      </c>
      <c r="AP173" s="3">
        <v>13500</v>
      </c>
      <c r="AQ173" s="3">
        <v>13505</v>
      </c>
      <c r="AR173" s="4">
        <f t="shared" si="77"/>
        <v>1.1708586296617529E-2</v>
      </c>
      <c r="AS173" s="4">
        <f t="shared" si="54"/>
        <v>6.0606060606060996E-3</v>
      </c>
      <c r="AT173" s="4">
        <f t="shared" si="55"/>
        <v>2.5968309859154992E-2</v>
      </c>
      <c r="AU173" s="4">
        <f t="shared" si="56"/>
        <v>2.6315789473684181E-2</v>
      </c>
      <c r="AV173" s="4">
        <f t="shared" si="57"/>
        <v>3.4217279726260763E-3</v>
      </c>
      <c r="AW173" s="4">
        <f t="shared" si="58"/>
        <v>1.0539629005059004E-2</v>
      </c>
      <c r="AX173" s="4">
        <f t="shared" si="59"/>
        <v>3.6318613289310742E-2</v>
      </c>
      <c r="AY173" s="4">
        <f t="shared" si="60"/>
        <v>7.8247261345854024E-4</v>
      </c>
      <c r="AZ173" s="4">
        <f t="shared" si="61"/>
        <v>1.5942606616181632E-3</v>
      </c>
      <c r="BA173" s="4">
        <f t="shared" si="62"/>
        <v>8.0808080808081328E-4</v>
      </c>
      <c r="BB173" s="4">
        <f t="shared" si="63"/>
        <v>4.0129712201053991E-2</v>
      </c>
      <c r="BC173" s="4">
        <f t="shared" si="64"/>
        <v>5.1444400474871532E-3</v>
      </c>
      <c r="BD173" s="4">
        <f t="shared" si="65"/>
        <v>1.1682242990654235E-2</v>
      </c>
      <c r="BE173" s="4">
        <f t="shared" si="66"/>
        <v>2.3139220979560449E-2</v>
      </c>
      <c r="BF173" s="4">
        <f t="shared" si="67"/>
        <v>4.2016806722688926E-3</v>
      </c>
      <c r="BG173" s="4">
        <f t="shared" si="68"/>
        <v>3.974503187101619E-2</v>
      </c>
      <c r="BH173" s="4">
        <f t="shared" si="69"/>
        <v>2.5161754133716796E-2</v>
      </c>
      <c r="BI173" s="4">
        <f t="shared" si="70"/>
        <v>1.6936936936936986E-2</v>
      </c>
      <c r="BJ173" s="4">
        <f t="shared" si="71"/>
        <v>3.2798833819243089E-3</v>
      </c>
      <c r="BK173" s="4">
        <f t="shared" si="72"/>
        <v>2.0094994519546994E-2</v>
      </c>
      <c r="BL173" s="4">
        <f t="shared" si="73"/>
        <v>3.7160906726123599E-3</v>
      </c>
      <c r="BM173" s="4">
        <f t="shared" si="78"/>
        <v>1.4007627616758809E-2</v>
      </c>
      <c r="BN173" s="9">
        <f t="shared" si="79"/>
        <v>13643.472629583492</v>
      </c>
      <c r="BO173" s="10">
        <f t="shared" si="80"/>
        <v>13138.348362006689</v>
      </c>
      <c r="BP173">
        <v>13855</v>
      </c>
      <c r="BQ173">
        <v>13865</v>
      </c>
      <c r="BR173">
        <v>13855</v>
      </c>
      <c r="BS173">
        <v>13865</v>
      </c>
      <c r="BT173">
        <v>3257</v>
      </c>
      <c r="BU173" s="13">
        <f t="shared" si="74"/>
        <v>13861.666666666666</v>
      </c>
      <c r="BV173" s="13">
        <f t="shared" si="75"/>
        <v>45147448.333333328</v>
      </c>
      <c r="BW173" s="13">
        <f>SUM($BV$3:BV173)</f>
        <v>184408164191.66675</v>
      </c>
      <c r="BX173" s="13">
        <f>SUM($BT$3:BT173)</f>
        <v>13475259</v>
      </c>
      <c r="BY173" s="3">
        <f t="shared" si="76"/>
        <v>13684.943954818735</v>
      </c>
    </row>
    <row r="174" spans="1:77" x14ac:dyDescent="0.3">
      <c r="A174" s="3" t="s">
        <v>214</v>
      </c>
      <c r="B174" s="3">
        <v>11665</v>
      </c>
      <c r="C174" s="3">
        <v>11665</v>
      </c>
      <c r="D174" s="3">
        <v>11480</v>
      </c>
      <c r="E174" s="3">
        <v>11470</v>
      </c>
      <c r="F174" s="3">
        <v>11655</v>
      </c>
      <c r="G174" s="3">
        <v>11655</v>
      </c>
      <c r="H174" s="3">
        <v>11470</v>
      </c>
      <c r="I174" s="3">
        <v>11470</v>
      </c>
      <c r="J174" s="3">
        <v>11730</v>
      </c>
      <c r="K174" s="3">
        <v>11725</v>
      </c>
      <c r="L174" s="3">
        <v>11985</v>
      </c>
      <c r="M174" s="3">
        <v>12000</v>
      </c>
      <c r="N174" s="3">
        <v>12550</v>
      </c>
      <c r="O174" s="3">
        <v>12555</v>
      </c>
      <c r="P174" s="3">
        <v>12770</v>
      </c>
      <c r="Q174" s="3">
        <v>12770</v>
      </c>
      <c r="R174" s="3">
        <v>12565</v>
      </c>
      <c r="S174" s="3">
        <v>12565</v>
      </c>
      <c r="T174" s="3">
        <v>12360</v>
      </c>
      <c r="U174" s="3">
        <v>12350</v>
      </c>
      <c r="V174" s="3">
        <v>12825</v>
      </c>
      <c r="W174" s="3">
        <v>12815</v>
      </c>
      <c r="X174" s="3">
        <v>12565</v>
      </c>
      <c r="Y174" s="3">
        <v>12570</v>
      </c>
      <c r="Z174" s="3">
        <v>12690</v>
      </c>
      <c r="AA174" s="3">
        <v>12695</v>
      </c>
      <c r="AB174" s="3">
        <v>13260</v>
      </c>
      <c r="AC174" s="3">
        <v>13260</v>
      </c>
      <c r="AD174" s="3">
        <v>13150</v>
      </c>
      <c r="AE174" s="3">
        <v>13150</v>
      </c>
      <c r="AF174" s="3">
        <v>13860</v>
      </c>
      <c r="AG174" s="3">
        <v>13865</v>
      </c>
      <c r="AH174" s="3">
        <v>14260</v>
      </c>
      <c r="AI174" s="3">
        <v>14260</v>
      </c>
      <c r="AJ174" s="3">
        <v>13640</v>
      </c>
      <c r="AK174" s="3">
        <v>13635</v>
      </c>
      <c r="AL174" s="3">
        <v>13770</v>
      </c>
      <c r="AM174" s="3">
        <v>13755</v>
      </c>
      <c r="AN174" s="3">
        <v>13405</v>
      </c>
      <c r="AO174" s="3">
        <v>13385</v>
      </c>
      <c r="AP174" s="3">
        <v>13505</v>
      </c>
      <c r="AQ174" s="3">
        <v>13495</v>
      </c>
      <c r="AR174" s="4">
        <f t="shared" si="77"/>
        <v>1.1708586296617529E-2</v>
      </c>
      <c r="AS174" s="4">
        <f t="shared" si="54"/>
        <v>6.9264069264068917E-3</v>
      </c>
      <c r="AT174" s="4">
        <f t="shared" si="55"/>
        <v>2.5968309859154992E-2</v>
      </c>
      <c r="AU174" s="4">
        <f t="shared" si="56"/>
        <v>2.6315789473684181E-2</v>
      </c>
      <c r="AV174" s="4">
        <f t="shared" si="57"/>
        <v>2.9940119760478723E-3</v>
      </c>
      <c r="AW174" s="4">
        <f t="shared" si="58"/>
        <v>1.180438448566612E-2</v>
      </c>
      <c r="AX174" s="4">
        <f t="shared" si="59"/>
        <v>3.6318613289310742E-2</v>
      </c>
      <c r="AY174" s="4">
        <f t="shared" si="60"/>
        <v>7.8247261345854024E-4</v>
      </c>
      <c r="AZ174" s="4">
        <f t="shared" si="61"/>
        <v>1.5942606616181632E-3</v>
      </c>
      <c r="BA174" s="4">
        <f t="shared" si="62"/>
        <v>2.0202020202020332E-3</v>
      </c>
      <c r="BB174" s="4">
        <f t="shared" si="63"/>
        <v>3.8913660316173493E-2</v>
      </c>
      <c r="BC174" s="4">
        <f t="shared" si="64"/>
        <v>5.1444400474871532E-3</v>
      </c>
      <c r="BD174" s="4">
        <f t="shared" si="65"/>
        <v>1.1292834890965775E-2</v>
      </c>
      <c r="BE174" s="4">
        <f t="shared" si="66"/>
        <v>2.2753567296567745E-2</v>
      </c>
      <c r="BF174" s="4">
        <f t="shared" si="67"/>
        <v>4.583651642475095E-3</v>
      </c>
      <c r="BG174" s="4">
        <f t="shared" si="68"/>
        <v>3.974503187101619E-2</v>
      </c>
      <c r="BH174" s="4">
        <f t="shared" si="69"/>
        <v>2.5161754133716796E-2</v>
      </c>
      <c r="BI174" s="4">
        <f t="shared" si="70"/>
        <v>1.7297297297297343E-2</v>
      </c>
      <c r="BJ174" s="4">
        <f t="shared" si="71"/>
        <v>2.5510204081633514E-3</v>
      </c>
      <c r="BK174" s="4">
        <f t="shared" si="72"/>
        <v>2.1921812203142155E-2</v>
      </c>
      <c r="BL174" s="4">
        <f t="shared" si="73"/>
        <v>2.9728725380899768E-3</v>
      </c>
      <c r="BM174" s="4">
        <f t="shared" si="78"/>
        <v>1.4100900392801343E-2</v>
      </c>
      <c r="BN174" s="9">
        <f t="shared" si="79"/>
        <v>13644.727614785143</v>
      </c>
      <c r="BO174" s="10">
        <f t="shared" si="80"/>
        <v>13137.105502265922</v>
      </c>
      <c r="BP174">
        <v>13860</v>
      </c>
      <c r="BQ174">
        <v>13865</v>
      </c>
      <c r="BR174">
        <v>13855</v>
      </c>
      <c r="BS174">
        <v>13865</v>
      </c>
      <c r="BT174">
        <v>3830</v>
      </c>
      <c r="BU174" s="13">
        <f t="shared" si="74"/>
        <v>13861.666666666666</v>
      </c>
      <c r="BV174" s="13">
        <f t="shared" si="75"/>
        <v>53090183.333333328</v>
      </c>
      <c r="BW174" s="13">
        <f>SUM($BV$3:BV174)</f>
        <v>184461254375.00009</v>
      </c>
      <c r="BX174" s="13">
        <f>SUM($BT$3:BT174)</f>
        <v>13479089</v>
      </c>
      <c r="BY174" s="3">
        <f t="shared" si="76"/>
        <v>13684.994169487278</v>
      </c>
    </row>
    <row r="175" spans="1:77" x14ac:dyDescent="0.3">
      <c r="A175" s="3" t="s">
        <v>215</v>
      </c>
      <c r="B175" s="3">
        <v>11665</v>
      </c>
      <c r="C175" s="3">
        <v>11660</v>
      </c>
      <c r="D175" s="3">
        <v>11475</v>
      </c>
      <c r="E175" s="3">
        <v>11480</v>
      </c>
      <c r="F175" s="3">
        <v>11660</v>
      </c>
      <c r="G175" s="3">
        <v>11650</v>
      </c>
      <c r="H175" s="3">
        <v>11465</v>
      </c>
      <c r="I175" s="3">
        <v>11450</v>
      </c>
      <c r="J175" s="3">
        <v>11725</v>
      </c>
      <c r="K175" s="3">
        <v>11720</v>
      </c>
      <c r="L175" s="3">
        <v>11995</v>
      </c>
      <c r="M175" s="3">
        <v>12000</v>
      </c>
      <c r="N175" s="3">
        <v>12555</v>
      </c>
      <c r="O175" s="3">
        <v>12565</v>
      </c>
      <c r="P175" s="3">
        <v>12770</v>
      </c>
      <c r="Q175" s="3">
        <v>12760</v>
      </c>
      <c r="R175" s="3">
        <v>12560</v>
      </c>
      <c r="S175" s="3">
        <v>12550</v>
      </c>
      <c r="T175" s="3">
        <v>12355</v>
      </c>
      <c r="U175" s="3">
        <v>12360</v>
      </c>
      <c r="V175" s="3">
        <v>12820</v>
      </c>
      <c r="W175" s="3">
        <v>12815</v>
      </c>
      <c r="X175" s="3">
        <v>12570</v>
      </c>
      <c r="Y175" s="3">
        <v>12565</v>
      </c>
      <c r="Z175" s="3">
        <v>12700</v>
      </c>
      <c r="AA175" s="3">
        <v>12700</v>
      </c>
      <c r="AB175" s="3">
        <v>13260</v>
      </c>
      <c r="AC175" s="3">
        <v>13260</v>
      </c>
      <c r="AD175" s="3">
        <v>13150</v>
      </c>
      <c r="AE175" s="3">
        <v>13160</v>
      </c>
      <c r="AF175" s="3">
        <v>13865</v>
      </c>
      <c r="AG175" s="3">
        <v>13865</v>
      </c>
      <c r="AH175" s="3">
        <v>14255</v>
      </c>
      <c r="AI175" s="3">
        <v>14255</v>
      </c>
      <c r="AJ175" s="3">
        <v>13635</v>
      </c>
      <c r="AK175" s="3">
        <v>13645</v>
      </c>
      <c r="AL175" s="3">
        <v>13760</v>
      </c>
      <c r="AM175" s="3">
        <v>13765</v>
      </c>
      <c r="AN175" s="3">
        <v>13390</v>
      </c>
      <c r="AO175" s="3">
        <v>13395</v>
      </c>
      <c r="AP175" s="3">
        <v>13495</v>
      </c>
      <c r="AQ175" s="3">
        <v>13475</v>
      </c>
      <c r="AR175" s="4">
        <f t="shared" si="77"/>
        <v>1.1274934952298254E-2</v>
      </c>
      <c r="AS175" s="4">
        <f t="shared" si="54"/>
        <v>6.0606060606060996E-3</v>
      </c>
      <c r="AT175" s="4">
        <f t="shared" si="55"/>
        <v>2.5528169014084501E-2</v>
      </c>
      <c r="AU175" s="4">
        <f t="shared" si="56"/>
        <v>2.8013582342954146E-2</v>
      </c>
      <c r="AV175" s="4">
        <f t="shared" si="57"/>
        <v>2.5662959794696683E-3</v>
      </c>
      <c r="AW175" s="4">
        <f t="shared" si="58"/>
        <v>1.180438448566612E-2</v>
      </c>
      <c r="AX175" s="4">
        <f t="shared" si="59"/>
        <v>3.7144036318613294E-2</v>
      </c>
      <c r="AY175" s="4">
        <f t="shared" si="60"/>
        <v>1.5649452269170805E-3</v>
      </c>
      <c r="AZ175" s="4">
        <f t="shared" si="61"/>
        <v>3.985651654045963E-4</v>
      </c>
      <c r="BA175" s="4">
        <f t="shared" si="62"/>
        <v>1.2121212121212199E-3</v>
      </c>
      <c r="BB175" s="4">
        <f t="shared" si="63"/>
        <v>3.8913660316173493E-2</v>
      </c>
      <c r="BC175" s="4">
        <f t="shared" si="64"/>
        <v>5.5401662049860967E-3</v>
      </c>
      <c r="BD175" s="4">
        <f t="shared" si="65"/>
        <v>1.0903426791277204E-2</v>
      </c>
      <c r="BE175" s="4">
        <f t="shared" si="66"/>
        <v>2.2753567296567745E-2</v>
      </c>
      <c r="BF175" s="4">
        <f t="shared" si="67"/>
        <v>5.3475935828877219E-3</v>
      </c>
      <c r="BG175" s="4">
        <f t="shared" si="68"/>
        <v>3.974503187101619E-2</v>
      </c>
      <c r="BH175" s="4">
        <f t="shared" si="69"/>
        <v>2.4802300503235175E-2</v>
      </c>
      <c r="BI175" s="4">
        <f t="shared" si="70"/>
        <v>1.6576576576576629E-2</v>
      </c>
      <c r="BJ175" s="4">
        <f t="shared" si="71"/>
        <v>3.2798833819243089E-3</v>
      </c>
      <c r="BK175" s="4">
        <f t="shared" si="72"/>
        <v>2.1191085129704024E-2</v>
      </c>
      <c r="BL175" s="4">
        <f t="shared" si="73"/>
        <v>1.4864362690449884E-3</v>
      </c>
      <c r="BM175" s="4">
        <f t="shared" si="78"/>
        <v>1.4125079999837784E-2</v>
      </c>
      <c r="BN175" s="9">
        <f t="shared" si="79"/>
        <v>13645.052951397818</v>
      </c>
      <c r="BO175" s="10">
        <f t="shared" si="80"/>
        <v>13136.783309002161</v>
      </c>
      <c r="BP175">
        <v>13865</v>
      </c>
      <c r="BQ175">
        <v>13870</v>
      </c>
      <c r="BR175">
        <v>13860</v>
      </c>
      <c r="BS175">
        <v>13865</v>
      </c>
      <c r="BT175">
        <v>11738</v>
      </c>
      <c r="BU175" s="13">
        <f t="shared" si="74"/>
        <v>13865</v>
      </c>
      <c r="BV175" s="13">
        <f t="shared" si="75"/>
        <v>162747370</v>
      </c>
      <c r="BW175" s="13">
        <f>SUM($BV$3:BV175)</f>
        <v>184624001745.00009</v>
      </c>
      <c r="BX175" s="13">
        <f>SUM($BT$3:BT175)</f>
        <v>13490827</v>
      </c>
      <c r="BY175" s="3">
        <f t="shared" si="76"/>
        <v>13685.150787642602</v>
      </c>
    </row>
    <row r="176" spans="1:77" x14ac:dyDescent="0.3">
      <c r="A176" s="3" t="s">
        <v>216</v>
      </c>
      <c r="B176" s="3">
        <v>11655</v>
      </c>
      <c r="C176" s="3">
        <v>11660</v>
      </c>
      <c r="D176" s="3">
        <v>11480</v>
      </c>
      <c r="E176" s="3">
        <v>11485</v>
      </c>
      <c r="F176" s="3">
        <v>11650</v>
      </c>
      <c r="G176" s="3">
        <v>11650</v>
      </c>
      <c r="H176" s="3">
        <v>11450</v>
      </c>
      <c r="I176" s="3">
        <v>11455</v>
      </c>
      <c r="J176" s="3">
        <v>11720</v>
      </c>
      <c r="K176" s="3">
        <v>11720</v>
      </c>
      <c r="L176" s="3">
        <v>12000</v>
      </c>
      <c r="M176" s="3">
        <v>12000</v>
      </c>
      <c r="N176" s="3">
        <v>12560</v>
      </c>
      <c r="O176" s="3">
        <v>12560</v>
      </c>
      <c r="P176" s="3">
        <v>12760</v>
      </c>
      <c r="Q176" s="3">
        <v>12760</v>
      </c>
      <c r="R176" s="3">
        <v>12550</v>
      </c>
      <c r="S176" s="3">
        <v>12550</v>
      </c>
      <c r="T176" s="3">
        <v>12360</v>
      </c>
      <c r="U176" s="3">
        <v>12360</v>
      </c>
      <c r="V176" s="3">
        <v>12820</v>
      </c>
      <c r="W176" s="3">
        <v>12815</v>
      </c>
      <c r="X176" s="3">
        <v>12565</v>
      </c>
      <c r="Y176" s="3">
        <v>12565</v>
      </c>
      <c r="Z176" s="3">
        <v>12700</v>
      </c>
      <c r="AA176" s="3">
        <v>12705</v>
      </c>
      <c r="AB176" s="3">
        <v>13260</v>
      </c>
      <c r="AC176" s="3">
        <v>13285</v>
      </c>
      <c r="AD176" s="3">
        <v>13160</v>
      </c>
      <c r="AE176" s="3">
        <v>13150</v>
      </c>
      <c r="AF176" s="3">
        <v>13865</v>
      </c>
      <c r="AG176" s="3">
        <v>13865</v>
      </c>
      <c r="AH176" s="3">
        <v>14260</v>
      </c>
      <c r="AI176" s="3">
        <v>14250</v>
      </c>
      <c r="AJ176" s="3">
        <v>13645</v>
      </c>
      <c r="AK176" s="3">
        <v>13625</v>
      </c>
      <c r="AL176" s="3">
        <v>13765</v>
      </c>
      <c r="AM176" s="3">
        <v>13750</v>
      </c>
      <c r="AN176" s="3">
        <v>13395</v>
      </c>
      <c r="AO176" s="3">
        <v>13380</v>
      </c>
      <c r="AP176" s="3">
        <v>13475</v>
      </c>
      <c r="AQ176" s="3">
        <v>13475</v>
      </c>
      <c r="AR176" s="4">
        <f t="shared" si="77"/>
        <v>1.1274934952298254E-2</v>
      </c>
      <c r="AS176" s="4">
        <f t="shared" si="54"/>
        <v>5.6277056277056481E-3</v>
      </c>
      <c r="AT176" s="4">
        <f t="shared" si="55"/>
        <v>2.5528169014084501E-2</v>
      </c>
      <c r="AU176" s="4">
        <f t="shared" si="56"/>
        <v>2.7589134125636683E-2</v>
      </c>
      <c r="AV176" s="4">
        <f t="shared" si="57"/>
        <v>2.5662959794696683E-3</v>
      </c>
      <c r="AW176" s="4">
        <f t="shared" si="58"/>
        <v>1.180438448566612E-2</v>
      </c>
      <c r="AX176" s="4">
        <f t="shared" si="59"/>
        <v>3.6731324803962018E-2</v>
      </c>
      <c r="AY176" s="4">
        <f t="shared" si="60"/>
        <v>1.5649452269170805E-3</v>
      </c>
      <c r="AZ176" s="4">
        <f t="shared" si="61"/>
        <v>3.985651654045963E-4</v>
      </c>
      <c r="BA176" s="4">
        <f t="shared" si="62"/>
        <v>1.2121212121212199E-3</v>
      </c>
      <c r="BB176" s="4">
        <f t="shared" si="63"/>
        <v>3.8913660316173493E-2</v>
      </c>
      <c r="BC176" s="4">
        <f t="shared" si="64"/>
        <v>5.5401662049860967E-3</v>
      </c>
      <c r="BD176" s="4">
        <f t="shared" si="65"/>
        <v>1.0514018691588745E-2</v>
      </c>
      <c r="BE176" s="4">
        <f t="shared" si="66"/>
        <v>2.4681835711531042E-2</v>
      </c>
      <c r="BF176" s="4">
        <f t="shared" si="67"/>
        <v>4.583651642475095E-3</v>
      </c>
      <c r="BG176" s="4">
        <f t="shared" si="68"/>
        <v>3.974503187101619E-2</v>
      </c>
      <c r="BH176" s="4">
        <f t="shared" si="69"/>
        <v>2.4442846872753332E-2</v>
      </c>
      <c r="BI176" s="4">
        <f t="shared" si="70"/>
        <v>1.8018018018018056E-2</v>
      </c>
      <c r="BJ176" s="4">
        <f t="shared" si="71"/>
        <v>2.1865889212828726E-3</v>
      </c>
      <c r="BK176" s="4">
        <f t="shared" si="72"/>
        <v>2.2287175739861165E-2</v>
      </c>
      <c r="BL176" s="4">
        <f t="shared" si="73"/>
        <v>1.4864362690449884E-3</v>
      </c>
      <c r="BM176" s="4">
        <f t="shared" si="78"/>
        <v>1.4089712729123001E-2</v>
      </c>
      <c r="BN176" s="9">
        <f t="shared" si="79"/>
        <v>13644.577084770352</v>
      </c>
      <c r="BO176" s="10">
        <f t="shared" si="80"/>
        <v>13137.254577884436</v>
      </c>
      <c r="BP176">
        <v>13865</v>
      </c>
      <c r="BQ176">
        <v>13865</v>
      </c>
      <c r="BR176">
        <v>13860</v>
      </c>
      <c r="BS176">
        <v>13865</v>
      </c>
      <c r="BT176">
        <v>15917</v>
      </c>
      <c r="BU176" s="13">
        <f t="shared" si="74"/>
        <v>13863.333333333334</v>
      </c>
      <c r="BV176" s="13">
        <f t="shared" si="75"/>
        <v>220662676.66666669</v>
      </c>
      <c r="BW176" s="13">
        <f>SUM($BV$3:BV176)</f>
        <v>184844664421.66675</v>
      </c>
      <c r="BX176" s="13">
        <f>SUM($BT$3:BT176)</f>
        <v>13506744</v>
      </c>
      <c r="BY176" s="3">
        <f t="shared" si="76"/>
        <v>13685.360766567186</v>
      </c>
    </row>
    <row r="177" spans="1:77" x14ac:dyDescent="0.3">
      <c r="A177" s="3" t="s">
        <v>217</v>
      </c>
      <c r="B177" s="3">
        <v>11660</v>
      </c>
      <c r="C177" s="3">
        <v>11665</v>
      </c>
      <c r="D177" s="3">
        <v>11485</v>
      </c>
      <c r="E177" s="3">
        <v>11475</v>
      </c>
      <c r="F177" s="3">
        <v>11650</v>
      </c>
      <c r="G177" s="3">
        <v>11650</v>
      </c>
      <c r="H177" s="3">
        <v>11455</v>
      </c>
      <c r="I177" s="3">
        <v>11435</v>
      </c>
      <c r="J177" s="3">
        <v>11720</v>
      </c>
      <c r="K177" s="3">
        <v>11735</v>
      </c>
      <c r="L177" s="3">
        <v>12005</v>
      </c>
      <c r="M177" s="3">
        <v>12030</v>
      </c>
      <c r="N177" s="3">
        <v>12560</v>
      </c>
      <c r="O177" s="3">
        <v>12570</v>
      </c>
      <c r="P177" s="3">
        <v>12760</v>
      </c>
      <c r="Q177" s="3">
        <v>12750</v>
      </c>
      <c r="R177" s="3">
        <v>12545</v>
      </c>
      <c r="S177" s="3">
        <v>12540</v>
      </c>
      <c r="T177" s="3">
        <v>12360</v>
      </c>
      <c r="U177" s="3">
        <v>12365</v>
      </c>
      <c r="V177" s="3">
        <v>12815</v>
      </c>
      <c r="W177" s="3">
        <v>12820</v>
      </c>
      <c r="X177" s="3">
        <v>12560</v>
      </c>
      <c r="Y177" s="3">
        <v>12560</v>
      </c>
      <c r="Z177" s="3">
        <v>12705</v>
      </c>
      <c r="AA177" s="3">
        <v>12690</v>
      </c>
      <c r="AB177" s="3">
        <v>13285</v>
      </c>
      <c r="AC177" s="3">
        <v>13285</v>
      </c>
      <c r="AD177" s="3">
        <v>13145</v>
      </c>
      <c r="AE177" s="3">
        <v>13120</v>
      </c>
      <c r="AF177" s="3">
        <v>13860</v>
      </c>
      <c r="AG177" s="3">
        <v>13865</v>
      </c>
      <c r="AH177" s="3">
        <v>14255</v>
      </c>
      <c r="AI177" s="3">
        <v>14240</v>
      </c>
      <c r="AJ177" s="3">
        <v>13630</v>
      </c>
      <c r="AK177" s="3">
        <v>13635</v>
      </c>
      <c r="AL177" s="3">
        <v>13750</v>
      </c>
      <c r="AM177" s="3">
        <v>13725</v>
      </c>
      <c r="AN177" s="3">
        <v>13380</v>
      </c>
      <c r="AO177" s="3">
        <v>13385</v>
      </c>
      <c r="AP177" s="3">
        <v>13480</v>
      </c>
      <c r="AQ177" s="3">
        <v>13470</v>
      </c>
      <c r="AR177" s="4">
        <f t="shared" si="77"/>
        <v>1.1708586296617529E-2</v>
      </c>
      <c r="AS177" s="4">
        <f t="shared" si="54"/>
        <v>6.4935064935064402E-3</v>
      </c>
      <c r="AT177" s="4">
        <f t="shared" si="55"/>
        <v>2.5528169014084501E-2</v>
      </c>
      <c r="AU177" s="4">
        <f t="shared" si="56"/>
        <v>2.9286926994906648E-2</v>
      </c>
      <c r="AV177" s="4">
        <f t="shared" si="57"/>
        <v>3.8494439692045024E-3</v>
      </c>
      <c r="AW177" s="4">
        <f t="shared" si="58"/>
        <v>1.4333895446880351E-2</v>
      </c>
      <c r="AX177" s="4">
        <f t="shared" si="59"/>
        <v>3.755674783326457E-2</v>
      </c>
      <c r="AY177" s="4">
        <f t="shared" si="60"/>
        <v>2.3474178403756207E-3</v>
      </c>
      <c r="AZ177" s="4">
        <f t="shared" si="61"/>
        <v>3.985651654045963E-4</v>
      </c>
      <c r="BA177" s="4">
        <f t="shared" si="62"/>
        <v>8.0808080808081328E-4</v>
      </c>
      <c r="BB177" s="4">
        <f t="shared" si="63"/>
        <v>3.9319010944466992E-2</v>
      </c>
      <c r="BC177" s="4">
        <f t="shared" si="64"/>
        <v>5.9358923624851512E-3</v>
      </c>
      <c r="BD177" s="4">
        <f t="shared" si="65"/>
        <v>1.1682242990654235E-2</v>
      </c>
      <c r="BE177" s="4">
        <f t="shared" si="66"/>
        <v>2.4681835711531042E-2</v>
      </c>
      <c r="BF177" s="4">
        <f t="shared" si="67"/>
        <v>2.2918258212376585E-3</v>
      </c>
      <c r="BG177" s="4">
        <f t="shared" si="68"/>
        <v>3.974503187101619E-2</v>
      </c>
      <c r="BH177" s="4">
        <f t="shared" si="69"/>
        <v>2.372393961179009E-2</v>
      </c>
      <c r="BI177" s="4">
        <f t="shared" si="70"/>
        <v>1.7297297297297343E-2</v>
      </c>
      <c r="BJ177" s="4">
        <f t="shared" si="71"/>
        <v>3.6443148688047877E-4</v>
      </c>
      <c r="BK177" s="4">
        <f t="shared" si="72"/>
        <v>2.1921812203142155E-2</v>
      </c>
      <c r="BL177" s="4">
        <f t="shared" si="73"/>
        <v>1.1148272017837968E-3</v>
      </c>
      <c r="BM177" s="4">
        <f t="shared" si="78"/>
        <v>1.4608111528291652E-2</v>
      </c>
      <c r="BN177" s="9">
        <f t="shared" si="79"/>
        <v>13651.552140613165</v>
      </c>
      <c r="BO177" s="10">
        <f t="shared" si="80"/>
        <v>13130.346913885514</v>
      </c>
      <c r="BP177">
        <v>13860</v>
      </c>
      <c r="BQ177">
        <v>13865</v>
      </c>
      <c r="BR177">
        <v>13860</v>
      </c>
      <c r="BS177">
        <v>13865</v>
      </c>
      <c r="BT177">
        <v>26702</v>
      </c>
      <c r="BU177" s="13">
        <f t="shared" si="74"/>
        <v>13863.333333333334</v>
      </c>
      <c r="BV177" s="13">
        <f t="shared" si="75"/>
        <v>370178726.66666669</v>
      </c>
      <c r="BW177" s="13">
        <f>SUM($BV$3:BV177)</f>
        <v>185214843148.3334</v>
      </c>
      <c r="BX177" s="13">
        <f>SUM($BT$3:BT177)</f>
        <v>13533446</v>
      </c>
      <c r="BY177" s="3">
        <f t="shared" si="76"/>
        <v>13685.711913161911</v>
      </c>
    </row>
    <row r="178" spans="1:77" x14ac:dyDescent="0.3">
      <c r="A178" s="3" t="s">
        <v>218</v>
      </c>
      <c r="B178" s="3">
        <v>11660</v>
      </c>
      <c r="C178" s="3">
        <v>11680</v>
      </c>
      <c r="D178" s="3">
        <v>11480</v>
      </c>
      <c r="E178" s="3">
        <v>11475</v>
      </c>
      <c r="F178" s="3">
        <v>11650</v>
      </c>
      <c r="G178" s="3">
        <v>11640</v>
      </c>
      <c r="H178" s="3">
        <v>11430</v>
      </c>
      <c r="I178" s="3">
        <v>11430</v>
      </c>
      <c r="J178" s="3">
        <v>11740</v>
      </c>
      <c r="K178" s="3">
        <v>11730</v>
      </c>
      <c r="L178" s="3">
        <v>12030</v>
      </c>
      <c r="M178" s="3">
        <v>12025</v>
      </c>
      <c r="N178" s="3">
        <v>12570</v>
      </c>
      <c r="O178" s="3">
        <v>12570</v>
      </c>
      <c r="P178" s="3">
        <v>12750</v>
      </c>
      <c r="Q178" s="3">
        <v>12735</v>
      </c>
      <c r="R178" s="3">
        <v>12540</v>
      </c>
      <c r="S178" s="3">
        <v>12555</v>
      </c>
      <c r="T178" s="3">
        <v>12365</v>
      </c>
      <c r="U178" s="3">
        <v>12365</v>
      </c>
      <c r="V178" s="3">
        <v>12825</v>
      </c>
      <c r="W178" s="3">
        <v>12825</v>
      </c>
      <c r="X178" s="3">
        <v>12560</v>
      </c>
      <c r="Y178" s="3">
        <v>12555</v>
      </c>
      <c r="Z178" s="3">
        <v>12690</v>
      </c>
      <c r="AA178" s="3">
        <v>12700</v>
      </c>
      <c r="AB178" s="3">
        <v>13285</v>
      </c>
      <c r="AC178" s="3">
        <v>13285</v>
      </c>
      <c r="AD178" s="3">
        <v>13120</v>
      </c>
      <c r="AE178" s="3">
        <v>13130</v>
      </c>
      <c r="AF178" s="3">
        <v>13865</v>
      </c>
      <c r="AG178" s="3">
        <v>13860</v>
      </c>
      <c r="AH178" s="3">
        <v>14250</v>
      </c>
      <c r="AI178" s="3">
        <v>14245</v>
      </c>
      <c r="AJ178" s="3">
        <v>13640</v>
      </c>
      <c r="AK178" s="3">
        <v>13640</v>
      </c>
      <c r="AL178" s="3">
        <v>13720</v>
      </c>
      <c r="AM178" s="3">
        <v>13730</v>
      </c>
      <c r="AN178" s="3">
        <v>13385</v>
      </c>
      <c r="AO178" s="3">
        <v>13390</v>
      </c>
      <c r="AP178" s="3">
        <v>13465</v>
      </c>
      <c r="AQ178" s="3">
        <v>13475</v>
      </c>
      <c r="AR178" s="4">
        <f t="shared" si="77"/>
        <v>1.3009540329575131E-2</v>
      </c>
      <c r="AS178" s="4">
        <f t="shared" si="54"/>
        <v>6.4935064935064402E-3</v>
      </c>
      <c r="AT178" s="4">
        <f t="shared" si="55"/>
        <v>2.464788732394374E-2</v>
      </c>
      <c r="AU178" s="4">
        <f t="shared" si="56"/>
        <v>2.9711375212224111E-2</v>
      </c>
      <c r="AV178" s="4">
        <f t="shared" si="57"/>
        <v>3.4217279726260763E-3</v>
      </c>
      <c r="AW178" s="4">
        <f t="shared" si="58"/>
        <v>1.3912310286677831E-2</v>
      </c>
      <c r="AX178" s="4">
        <f t="shared" si="59"/>
        <v>3.755674783326457E-2</v>
      </c>
      <c r="AY178" s="4">
        <f t="shared" si="60"/>
        <v>3.5211267605633756E-3</v>
      </c>
      <c r="AZ178" s="4">
        <f t="shared" si="61"/>
        <v>7.971303308091926E-4</v>
      </c>
      <c r="BA178" s="4">
        <f t="shared" si="62"/>
        <v>8.0808080808081328E-4</v>
      </c>
      <c r="BB178" s="4">
        <f t="shared" si="63"/>
        <v>3.9724361572760492E-2</v>
      </c>
      <c r="BC178" s="4">
        <f t="shared" si="64"/>
        <v>6.3316185199842057E-3</v>
      </c>
      <c r="BD178" s="4">
        <f t="shared" si="65"/>
        <v>1.0903426791277204E-2</v>
      </c>
      <c r="BE178" s="4">
        <f t="shared" si="66"/>
        <v>2.4681835711531042E-2</v>
      </c>
      <c r="BF178" s="4">
        <f t="shared" si="67"/>
        <v>3.0557677616500634E-3</v>
      </c>
      <c r="BG178" s="4">
        <f t="shared" si="68"/>
        <v>3.937007874015741E-2</v>
      </c>
      <c r="BH178" s="4">
        <f t="shared" si="69"/>
        <v>2.4083393242271711E-2</v>
      </c>
      <c r="BI178" s="4">
        <f t="shared" si="70"/>
        <v>1.6936936936936986E-2</v>
      </c>
      <c r="BJ178" s="4">
        <f t="shared" si="71"/>
        <v>7.2886297376095754E-4</v>
      </c>
      <c r="BK178" s="4">
        <f t="shared" si="72"/>
        <v>2.1556448666423145E-2</v>
      </c>
      <c r="BL178" s="4">
        <f t="shared" si="73"/>
        <v>1.4864362690449884E-3</v>
      </c>
      <c r="BM178" s="4">
        <f t="shared" si="78"/>
        <v>1.468335024134994E-2</v>
      </c>
      <c r="BN178" s="9">
        <f t="shared" si="79"/>
        <v>13652.564477497363</v>
      </c>
      <c r="BO178" s="10">
        <f t="shared" si="80"/>
        <v>13129.344358034012</v>
      </c>
      <c r="BP178">
        <v>13865</v>
      </c>
      <c r="BQ178">
        <v>13865</v>
      </c>
      <c r="BR178">
        <v>13855</v>
      </c>
      <c r="BS178">
        <v>13860</v>
      </c>
      <c r="BT178">
        <v>6459</v>
      </c>
      <c r="BU178" s="13">
        <f t="shared" si="74"/>
        <v>13860</v>
      </c>
      <c r="BV178" s="13">
        <f t="shared" si="75"/>
        <v>89521740</v>
      </c>
      <c r="BW178" s="13">
        <f>SUM($BV$3:BV178)</f>
        <v>185304364888.3334</v>
      </c>
      <c r="BX178" s="13">
        <f>SUM($BT$3:BT178)</f>
        <v>13539905</v>
      </c>
      <c r="BY178" s="3">
        <f t="shared" si="76"/>
        <v>13685.795054568951</v>
      </c>
    </row>
    <row r="179" spans="1:77" x14ac:dyDescent="0.3">
      <c r="A179" s="3" t="s">
        <v>219</v>
      </c>
      <c r="B179" s="3">
        <v>11685</v>
      </c>
      <c r="C179" s="3">
        <v>11680</v>
      </c>
      <c r="D179" s="3">
        <v>11480</v>
      </c>
      <c r="E179" s="3">
        <v>11485</v>
      </c>
      <c r="F179" s="3">
        <v>11640</v>
      </c>
      <c r="G179" s="3">
        <v>11630</v>
      </c>
      <c r="H179" s="3">
        <v>11430</v>
      </c>
      <c r="I179" s="3">
        <v>11430</v>
      </c>
      <c r="J179" s="3">
        <v>11730</v>
      </c>
      <c r="K179" s="3">
        <v>11745</v>
      </c>
      <c r="L179" s="3">
        <v>12030</v>
      </c>
      <c r="M179" s="3">
        <v>12035</v>
      </c>
      <c r="N179" s="3">
        <v>12570</v>
      </c>
      <c r="O179" s="3">
        <v>12565</v>
      </c>
      <c r="P179" s="3">
        <v>12735</v>
      </c>
      <c r="Q179" s="3">
        <v>12745</v>
      </c>
      <c r="R179" s="3">
        <v>12550</v>
      </c>
      <c r="S179" s="3">
        <v>12560</v>
      </c>
      <c r="T179" s="3">
        <v>12365</v>
      </c>
      <c r="U179" s="3">
        <v>12365</v>
      </c>
      <c r="V179" s="3">
        <v>12830</v>
      </c>
      <c r="W179" s="3">
        <v>12825</v>
      </c>
      <c r="X179" s="3">
        <v>12560</v>
      </c>
      <c r="Y179" s="3">
        <v>12560</v>
      </c>
      <c r="Z179" s="3">
        <v>12700</v>
      </c>
      <c r="AA179" s="3">
        <v>12705</v>
      </c>
      <c r="AB179" s="3">
        <v>13280</v>
      </c>
      <c r="AC179" s="3">
        <v>13285</v>
      </c>
      <c r="AD179" s="3">
        <v>13125</v>
      </c>
      <c r="AE179" s="3">
        <v>13135</v>
      </c>
      <c r="AF179" s="3">
        <v>13865</v>
      </c>
      <c r="AG179" s="3">
        <v>13865</v>
      </c>
      <c r="AH179" s="3">
        <v>14245</v>
      </c>
      <c r="AI179" s="3">
        <v>14250</v>
      </c>
      <c r="AJ179" s="3">
        <v>13645</v>
      </c>
      <c r="AK179" s="3">
        <v>13670</v>
      </c>
      <c r="AL179" s="3">
        <v>13730</v>
      </c>
      <c r="AM179" s="3">
        <v>13740</v>
      </c>
      <c r="AN179" s="3">
        <v>13390</v>
      </c>
      <c r="AO179" s="3">
        <v>13390</v>
      </c>
      <c r="AP179" s="3">
        <v>13475</v>
      </c>
      <c r="AQ179" s="3">
        <v>13490</v>
      </c>
      <c r="AR179" s="4">
        <f t="shared" si="77"/>
        <v>1.3009540329575131E-2</v>
      </c>
      <c r="AS179" s="4">
        <f t="shared" si="54"/>
        <v>5.6277056277056481E-3</v>
      </c>
      <c r="AT179" s="4">
        <f t="shared" si="55"/>
        <v>2.3767605633802757E-2</v>
      </c>
      <c r="AU179" s="4">
        <f t="shared" si="56"/>
        <v>2.9711375212224111E-2</v>
      </c>
      <c r="AV179" s="4">
        <f t="shared" si="57"/>
        <v>4.7048759623609104E-3</v>
      </c>
      <c r="AW179" s="4">
        <f t="shared" si="58"/>
        <v>1.4755480607082649E-2</v>
      </c>
      <c r="AX179" s="4">
        <f t="shared" si="59"/>
        <v>3.7144036318613294E-2</v>
      </c>
      <c r="AY179" s="4">
        <f t="shared" si="60"/>
        <v>2.7386541471048353E-3</v>
      </c>
      <c r="AZ179" s="4">
        <f t="shared" si="61"/>
        <v>1.1956954962135669E-3</v>
      </c>
      <c r="BA179" s="4">
        <f t="shared" si="62"/>
        <v>8.0808080808081328E-4</v>
      </c>
      <c r="BB179" s="4">
        <f t="shared" si="63"/>
        <v>3.9724361572760492E-2</v>
      </c>
      <c r="BC179" s="4">
        <f t="shared" si="64"/>
        <v>5.9358923624851512E-3</v>
      </c>
      <c r="BD179" s="4">
        <f t="shared" si="65"/>
        <v>1.0514018691588745E-2</v>
      </c>
      <c r="BE179" s="4">
        <f t="shared" si="66"/>
        <v>2.4681835711531042E-2</v>
      </c>
      <c r="BF179" s="4">
        <f t="shared" si="67"/>
        <v>3.4377387318564878E-3</v>
      </c>
      <c r="BG179" s="4">
        <f t="shared" si="68"/>
        <v>3.974503187101619E-2</v>
      </c>
      <c r="BH179" s="4">
        <f t="shared" si="69"/>
        <v>2.4442846872753332E-2</v>
      </c>
      <c r="BI179" s="4">
        <f t="shared" si="70"/>
        <v>1.4774774774774735E-2</v>
      </c>
      <c r="BJ179" s="4">
        <f t="shared" si="71"/>
        <v>1.4577259475219151E-3</v>
      </c>
      <c r="BK179" s="4">
        <f t="shared" si="72"/>
        <v>2.1556448666423145E-2</v>
      </c>
      <c r="BL179" s="4">
        <f t="shared" si="73"/>
        <v>2.6012634708287852E-3</v>
      </c>
      <c r="BM179" s="4">
        <f t="shared" si="78"/>
        <v>1.4624811205957893E-2</v>
      </c>
      <c r="BN179" s="9">
        <f t="shared" si="79"/>
        <v>13651.776834776165</v>
      </c>
      <c r="BO179" s="10">
        <f t="shared" si="80"/>
        <v>13130.12439068061</v>
      </c>
      <c r="BP179">
        <v>13865</v>
      </c>
      <c r="BQ179">
        <v>13870</v>
      </c>
      <c r="BR179">
        <v>13860</v>
      </c>
      <c r="BS179">
        <v>13865</v>
      </c>
      <c r="BT179">
        <v>20217</v>
      </c>
      <c r="BU179" s="13">
        <f t="shared" si="74"/>
        <v>13865</v>
      </c>
      <c r="BV179" s="13">
        <f t="shared" si="75"/>
        <v>280308705</v>
      </c>
      <c r="BW179" s="13">
        <f>SUM($BV$3:BV179)</f>
        <v>185584673593.3334</v>
      </c>
      <c r="BX179" s="13">
        <f>SUM($BT$3:BT179)</f>
        <v>13560122</v>
      </c>
      <c r="BY179" s="3">
        <f t="shared" si="76"/>
        <v>13686.062234051686</v>
      </c>
    </row>
    <row r="180" spans="1:77" x14ac:dyDescent="0.3">
      <c r="A180" s="3" t="s">
        <v>220</v>
      </c>
      <c r="B180" s="3">
        <v>11680</v>
      </c>
      <c r="C180" s="3">
        <v>11680</v>
      </c>
      <c r="D180" s="3">
        <v>11485</v>
      </c>
      <c r="E180" s="3">
        <v>11485</v>
      </c>
      <c r="F180" s="3">
        <v>11630</v>
      </c>
      <c r="G180" s="3">
        <v>11625</v>
      </c>
      <c r="H180" s="3">
        <v>11430</v>
      </c>
      <c r="I180" s="3">
        <v>11430</v>
      </c>
      <c r="J180" s="3">
        <v>11745</v>
      </c>
      <c r="K180" s="3">
        <v>11730</v>
      </c>
      <c r="L180" s="3">
        <v>12035</v>
      </c>
      <c r="M180" s="3">
        <v>12035</v>
      </c>
      <c r="N180" s="3">
        <v>12565</v>
      </c>
      <c r="O180" s="3">
        <v>12570</v>
      </c>
      <c r="P180" s="3">
        <v>12740</v>
      </c>
      <c r="Q180" s="3">
        <v>12730</v>
      </c>
      <c r="R180" s="3">
        <v>12565</v>
      </c>
      <c r="S180" s="3">
        <v>12575</v>
      </c>
      <c r="T180" s="3">
        <v>12365</v>
      </c>
      <c r="U180" s="3">
        <v>12365</v>
      </c>
      <c r="V180" s="3">
        <v>12825</v>
      </c>
      <c r="W180" s="3">
        <v>12830</v>
      </c>
      <c r="X180" s="3">
        <v>12555</v>
      </c>
      <c r="Y180" s="3">
        <v>12555</v>
      </c>
      <c r="Z180" s="3">
        <v>12705</v>
      </c>
      <c r="AA180" s="3">
        <v>12700</v>
      </c>
      <c r="AB180" s="3">
        <v>13280</v>
      </c>
      <c r="AC180" s="3">
        <v>13285</v>
      </c>
      <c r="AD180" s="3">
        <v>13135</v>
      </c>
      <c r="AE180" s="3">
        <v>13150</v>
      </c>
      <c r="AF180" s="3">
        <v>13865</v>
      </c>
      <c r="AG180" s="3">
        <v>13865</v>
      </c>
      <c r="AH180" s="3">
        <v>14250</v>
      </c>
      <c r="AI180" s="3">
        <v>14260</v>
      </c>
      <c r="AJ180" s="3">
        <v>13670</v>
      </c>
      <c r="AK180" s="3">
        <v>13660</v>
      </c>
      <c r="AL180" s="3">
        <v>13745</v>
      </c>
      <c r="AM180" s="3">
        <v>13730</v>
      </c>
      <c r="AN180" s="3">
        <v>13390</v>
      </c>
      <c r="AO180" s="3">
        <v>13370</v>
      </c>
      <c r="AP180" s="3">
        <v>13485</v>
      </c>
      <c r="AQ180" s="3">
        <v>13490</v>
      </c>
      <c r="AR180" s="4">
        <f t="shared" si="77"/>
        <v>1.3009540329575131E-2</v>
      </c>
      <c r="AS180" s="4">
        <f t="shared" si="54"/>
        <v>5.6277056277056481E-3</v>
      </c>
      <c r="AT180" s="4">
        <f t="shared" si="55"/>
        <v>2.3327464788732488E-2</v>
      </c>
      <c r="AU180" s="4">
        <f t="shared" si="56"/>
        <v>2.9711375212224111E-2</v>
      </c>
      <c r="AV180" s="4">
        <f t="shared" si="57"/>
        <v>3.4217279726260763E-3</v>
      </c>
      <c r="AW180" s="4">
        <f t="shared" si="58"/>
        <v>1.4755480607082649E-2</v>
      </c>
      <c r="AX180" s="4">
        <f t="shared" si="59"/>
        <v>3.755674783326457E-2</v>
      </c>
      <c r="AY180" s="4">
        <f t="shared" si="60"/>
        <v>3.9123630672925902E-3</v>
      </c>
      <c r="AZ180" s="4">
        <f t="shared" si="61"/>
        <v>2.3913909924273558E-3</v>
      </c>
      <c r="BA180" s="4">
        <f t="shared" si="62"/>
        <v>8.0808080808081328E-4</v>
      </c>
      <c r="BB180" s="4">
        <f t="shared" si="63"/>
        <v>4.0129712201053991E-2</v>
      </c>
      <c r="BC180" s="4">
        <f t="shared" si="64"/>
        <v>6.3316185199842057E-3</v>
      </c>
      <c r="BD180" s="4">
        <f t="shared" si="65"/>
        <v>1.0903426791277204E-2</v>
      </c>
      <c r="BE180" s="4">
        <f t="shared" si="66"/>
        <v>2.4681835711531042E-2</v>
      </c>
      <c r="BF180" s="4">
        <f t="shared" si="67"/>
        <v>4.583651642475095E-3</v>
      </c>
      <c r="BG180" s="4">
        <f t="shared" si="68"/>
        <v>3.974503187101619E-2</v>
      </c>
      <c r="BH180" s="4">
        <f t="shared" si="69"/>
        <v>2.5161754133716796E-2</v>
      </c>
      <c r="BI180" s="4">
        <f t="shared" si="70"/>
        <v>1.5495495495495448E-2</v>
      </c>
      <c r="BJ180" s="4">
        <f t="shared" si="71"/>
        <v>7.2886297376095754E-4</v>
      </c>
      <c r="BK180" s="4">
        <f t="shared" si="72"/>
        <v>2.3017902813299185E-2</v>
      </c>
      <c r="BL180" s="4">
        <f t="shared" si="73"/>
        <v>2.6012634708287852E-3</v>
      </c>
      <c r="BM180" s="4">
        <f t="shared" si="78"/>
        <v>1.4867327269696988E-2</v>
      </c>
      <c r="BN180" s="9">
        <f t="shared" si="79"/>
        <v>13655.039888413774</v>
      </c>
      <c r="BO180" s="10">
        <f t="shared" si="80"/>
        <v>13126.892864131289</v>
      </c>
      <c r="BP180">
        <v>13865</v>
      </c>
      <c r="BQ180">
        <v>13870</v>
      </c>
      <c r="BR180">
        <v>13860</v>
      </c>
      <c r="BS180">
        <v>13865</v>
      </c>
      <c r="BT180">
        <v>6607</v>
      </c>
      <c r="BU180" s="13">
        <f t="shared" si="74"/>
        <v>13865</v>
      </c>
      <c r="BV180" s="13">
        <f t="shared" si="75"/>
        <v>91606055</v>
      </c>
      <c r="BW180" s="13">
        <f>SUM($BV$3:BV180)</f>
        <v>185676279648.3334</v>
      </c>
      <c r="BX180" s="13">
        <f>SUM($BT$3:BT180)</f>
        <v>13566729</v>
      </c>
      <c r="BY180" s="3">
        <f t="shared" si="76"/>
        <v>13686.149376782967</v>
      </c>
    </row>
    <row r="181" spans="1:77" x14ac:dyDescent="0.3">
      <c r="A181" s="3" t="s">
        <v>221</v>
      </c>
      <c r="B181" s="3">
        <v>11685</v>
      </c>
      <c r="C181" s="3">
        <v>11680</v>
      </c>
      <c r="D181" s="3">
        <v>11485</v>
      </c>
      <c r="E181" s="3">
        <v>11475</v>
      </c>
      <c r="F181" s="3">
        <v>11625</v>
      </c>
      <c r="G181" s="3">
        <v>11620</v>
      </c>
      <c r="H181" s="3">
        <v>11430</v>
      </c>
      <c r="I181" s="3">
        <v>11445</v>
      </c>
      <c r="J181" s="3">
        <v>11730</v>
      </c>
      <c r="K181" s="3">
        <v>11740</v>
      </c>
      <c r="L181" s="3">
        <v>12035</v>
      </c>
      <c r="M181" s="3">
        <v>12040</v>
      </c>
      <c r="N181" s="3">
        <v>12570</v>
      </c>
      <c r="O181" s="3">
        <v>12570</v>
      </c>
      <c r="P181" s="3">
        <v>12730</v>
      </c>
      <c r="Q181" s="3">
        <v>12725</v>
      </c>
      <c r="R181" s="3">
        <v>12575</v>
      </c>
      <c r="S181" s="3">
        <v>12575</v>
      </c>
      <c r="T181" s="3">
        <v>12365</v>
      </c>
      <c r="U181" s="3">
        <v>12360</v>
      </c>
      <c r="V181" s="3">
        <v>12830</v>
      </c>
      <c r="W181" s="3">
        <v>12825</v>
      </c>
      <c r="X181" s="3">
        <v>12550</v>
      </c>
      <c r="Y181" s="3">
        <v>12545</v>
      </c>
      <c r="Z181" s="3">
        <v>12705</v>
      </c>
      <c r="AA181" s="3">
        <v>12715</v>
      </c>
      <c r="AB181" s="3">
        <v>13285</v>
      </c>
      <c r="AC181" s="3">
        <v>13285</v>
      </c>
      <c r="AD181" s="3">
        <v>13145</v>
      </c>
      <c r="AE181" s="3">
        <v>13160</v>
      </c>
      <c r="AF181" s="3">
        <v>13860</v>
      </c>
      <c r="AG181" s="3">
        <v>13865</v>
      </c>
      <c r="AH181" s="3">
        <v>14255</v>
      </c>
      <c r="AI181" s="3">
        <v>14275</v>
      </c>
      <c r="AJ181" s="3">
        <v>13670</v>
      </c>
      <c r="AK181" s="3">
        <v>13680</v>
      </c>
      <c r="AL181" s="3">
        <v>13725</v>
      </c>
      <c r="AM181" s="3">
        <v>13720</v>
      </c>
      <c r="AN181" s="3">
        <v>13375</v>
      </c>
      <c r="AO181" s="3">
        <v>13390</v>
      </c>
      <c r="AP181" s="3">
        <v>13490</v>
      </c>
      <c r="AQ181" s="3">
        <v>13505</v>
      </c>
      <c r="AR181" s="4">
        <f t="shared" si="77"/>
        <v>1.3009540329575131E-2</v>
      </c>
      <c r="AS181" s="4">
        <f t="shared" si="54"/>
        <v>6.4935064935064402E-3</v>
      </c>
      <c r="AT181" s="4">
        <f t="shared" si="55"/>
        <v>2.2887323943661997E-2</v>
      </c>
      <c r="AU181" s="4">
        <f t="shared" si="56"/>
        <v>2.843803056027161E-2</v>
      </c>
      <c r="AV181" s="4">
        <f t="shared" si="57"/>
        <v>4.2771599657827064E-3</v>
      </c>
      <c r="AW181" s="4">
        <f t="shared" si="58"/>
        <v>1.5177065767284947E-2</v>
      </c>
      <c r="AX181" s="4">
        <f t="shared" si="59"/>
        <v>3.755674783326457E-2</v>
      </c>
      <c r="AY181" s="4">
        <f t="shared" si="60"/>
        <v>4.3035993740219158E-3</v>
      </c>
      <c r="AZ181" s="4">
        <f t="shared" si="61"/>
        <v>2.3913909924273558E-3</v>
      </c>
      <c r="BA181" s="4">
        <f t="shared" si="62"/>
        <v>1.2121212121212199E-3</v>
      </c>
      <c r="BB181" s="4">
        <f t="shared" si="63"/>
        <v>3.9724361572760492E-2</v>
      </c>
      <c r="BC181" s="4">
        <f t="shared" si="64"/>
        <v>7.1230708349822036E-3</v>
      </c>
      <c r="BD181" s="4">
        <f t="shared" si="65"/>
        <v>9.7352024922118252E-3</v>
      </c>
      <c r="BE181" s="4">
        <f t="shared" si="66"/>
        <v>2.4681835711531042E-2</v>
      </c>
      <c r="BF181" s="4">
        <f t="shared" si="67"/>
        <v>5.3475935828877219E-3</v>
      </c>
      <c r="BG181" s="4">
        <f t="shared" si="68"/>
        <v>3.974503187101619E-2</v>
      </c>
      <c r="BH181" s="4">
        <f t="shared" si="69"/>
        <v>2.6240115025161659E-2</v>
      </c>
      <c r="BI181" s="4">
        <f t="shared" si="70"/>
        <v>1.4054054054054022E-2</v>
      </c>
      <c r="BJ181" s="4">
        <f t="shared" si="71"/>
        <v>0</v>
      </c>
      <c r="BK181" s="4">
        <f t="shared" si="72"/>
        <v>2.1556448666423145E-2</v>
      </c>
      <c r="BL181" s="4">
        <f t="shared" si="73"/>
        <v>3.7160906726123599E-3</v>
      </c>
      <c r="BM181" s="4">
        <f t="shared" si="78"/>
        <v>1.495350073833686E-2</v>
      </c>
      <c r="BN181" s="9">
        <f t="shared" si="79"/>
        <v>13656.199352434322</v>
      </c>
      <c r="BO181" s="10">
        <f t="shared" si="80"/>
        <v>13125.744602661662</v>
      </c>
      <c r="BP181">
        <v>13860</v>
      </c>
      <c r="BQ181">
        <v>13865</v>
      </c>
      <c r="BR181">
        <v>13855</v>
      </c>
      <c r="BS181">
        <v>13865</v>
      </c>
      <c r="BT181">
        <v>18915</v>
      </c>
      <c r="BU181" s="13">
        <f t="shared" si="74"/>
        <v>13861.666666666666</v>
      </c>
      <c r="BV181" s="13">
        <f t="shared" si="75"/>
        <v>262193425</v>
      </c>
      <c r="BW181" s="13">
        <f>SUM($BV$3:BV181)</f>
        <v>185938473073.3334</v>
      </c>
      <c r="BX181" s="13">
        <f>SUM($BT$3:BT181)</f>
        <v>13585644</v>
      </c>
      <c r="BY181" s="3">
        <f t="shared" si="76"/>
        <v>13686.393745731406</v>
      </c>
    </row>
    <row r="182" spans="1:77" x14ac:dyDescent="0.3">
      <c r="A182" s="3" t="s">
        <v>222</v>
      </c>
      <c r="B182" s="3">
        <v>11680</v>
      </c>
      <c r="C182" s="3">
        <v>11670</v>
      </c>
      <c r="D182" s="3">
        <v>11475</v>
      </c>
      <c r="E182" s="3">
        <v>11480</v>
      </c>
      <c r="F182" s="3">
        <v>11620</v>
      </c>
      <c r="G182" s="3">
        <v>11625</v>
      </c>
      <c r="H182" s="3">
        <v>11445</v>
      </c>
      <c r="I182" s="3">
        <v>11445</v>
      </c>
      <c r="J182" s="3">
        <v>11735</v>
      </c>
      <c r="K182" s="3">
        <v>11730</v>
      </c>
      <c r="L182" s="3">
        <v>12045</v>
      </c>
      <c r="M182" s="3">
        <v>12050</v>
      </c>
      <c r="N182" s="3">
        <v>12570</v>
      </c>
      <c r="O182" s="3">
        <v>12570</v>
      </c>
      <c r="P182" s="3">
        <v>12720</v>
      </c>
      <c r="Q182" s="3">
        <v>12710</v>
      </c>
      <c r="R182" s="3">
        <v>12575</v>
      </c>
      <c r="S182" s="3">
        <v>12590</v>
      </c>
      <c r="T182" s="3">
        <v>12360</v>
      </c>
      <c r="U182" s="3">
        <v>12355</v>
      </c>
      <c r="V182" s="3">
        <v>12825</v>
      </c>
      <c r="W182" s="3">
        <v>12825</v>
      </c>
      <c r="X182" s="3">
        <v>12550</v>
      </c>
      <c r="Y182" s="3">
        <v>12550</v>
      </c>
      <c r="Z182" s="3">
        <v>12715</v>
      </c>
      <c r="AA182" s="3">
        <v>12715</v>
      </c>
      <c r="AB182" s="3">
        <v>13285</v>
      </c>
      <c r="AC182" s="3">
        <v>13280</v>
      </c>
      <c r="AD182" s="3">
        <v>13160</v>
      </c>
      <c r="AE182" s="3">
        <v>13145</v>
      </c>
      <c r="AF182" s="3">
        <v>13865</v>
      </c>
      <c r="AG182" s="3">
        <v>13860</v>
      </c>
      <c r="AH182" s="3">
        <v>14270</v>
      </c>
      <c r="AI182" s="3">
        <v>14270</v>
      </c>
      <c r="AJ182" s="3">
        <v>13675</v>
      </c>
      <c r="AK182" s="3">
        <v>13685</v>
      </c>
      <c r="AL182" s="3">
        <v>13720</v>
      </c>
      <c r="AM182" s="3">
        <v>13725</v>
      </c>
      <c r="AN182" s="3">
        <v>13385</v>
      </c>
      <c r="AO182" s="3">
        <v>13370</v>
      </c>
      <c r="AP182" s="3">
        <v>13505</v>
      </c>
      <c r="AQ182" s="3">
        <v>13510</v>
      </c>
      <c r="AR182" s="4">
        <f t="shared" si="77"/>
        <v>1.2142237640936582E-2</v>
      </c>
      <c r="AS182" s="4">
        <f t="shared" si="54"/>
        <v>6.0606060606060996E-3</v>
      </c>
      <c r="AT182" s="4">
        <f t="shared" si="55"/>
        <v>2.3327464788732488E-2</v>
      </c>
      <c r="AU182" s="4">
        <f t="shared" si="56"/>
        <v>2.843803056027161E-2</v>
      </c>
      <c r="AV182" s="4">
        <f t="shared" si="57"/>
        <v>3.4217279726260763E-3</v>
      </c>
      <c r="AW182" s="4">
        <f t="shared" si="58"/>
        <v>1.6020236087689765E-2</v>
      </c>
      <c r="AX182" s="4">
        <f t="shared" si="59"/>
        <v>3.755674783326457E-2</v>
      </c>
      <c r="AY182" s="4">
        <f t="shared" si="60"/>
        <v>5.4773082942096707E-3</v>
      </c>
      <c r="AZ182" s="4">
        <f t="shared" si="61"/>
        <v>3.5870864886409226E-3</v>
      </c>
      <c r="BA182" s="4">
        <f t="shared" si="62"/>
        <v>1.6161616161616266E-3</v>
      </c>
      <c r="BB182" s="4">
        <f t="shared" si="63"/>
        <v>3.9724361572760492E-2</v>
      </c>
      <c r="BC182" s="4">
        <f t="shared" si="64"/>
        <v>6.7273446774831491E-3</v>
      </c>
      <c r="BD182" s="4">
        <f t="shared" si="65"/>
        <v>9.7352024922118252E-3</v>
      </c>
      <c r="BE182" s="4">
        <f t="shared" si="66"/>
        <v>2.4296182028538338E-2</v>
      </c>
      <c r="BF182" s="4">
        <f t="shared" si="67"/>
        <v>4.2016806722688926E-3</v>
      </c>
      <c r="BG182" s="4">
        <f t="shared" si="68"/>
        <v>3.937007874015741E-2</v>
      </c>
      <c r="BH182" s="4">
        <f t="shared" si="69"/>
        <v>2.5880661394680038E-2</v>
      </c>
      <c r="BI182" s="4">
        <f t="shared" si="70"/>
        <v>1.3693693693693665E-2</v>
      </c>
      <c r="BJ182" s="4">
        <f t="shared" si="71"/>
        <v>3.6443148688047877E-4</v>
      </c>
      <c r="BK182" s="4">
        <f t="shared" si="72"/>
        <v>2.3017902813299185E-2</v>
      </c>
      <c r="BL182" s="4">
        <f t="shared" si="73"/>
        <v>4.0876997398735515E-3</v>
      </c>
      <c r="BM182" s="4">
        <f t="shared" si="78"/>
        <v>1.5013581510390395E-2</v>
      </c>
      <c r="BN182" s="9">
        <f t="shared" si="79"/>
        <v>13657.007739222303</v>
      </c>
      <c r="BO182" s="10">
        <f t="shared" si="80"/>
        <v>13124.944026374047</v>
      </c>
      <c r="BP182">
        <v>13865</v>
      </c>
      <c r="BQ182">
        <v>13865</v>
      </c>
      <c r="BR182">
        <v>13855</v>
      </c>
      <c r="BS182">
        <v>13860</v>
      </c>
      <c r="BT182">
        <v>2323</v>
      </c>
      <c r="BU182" s="13">
        <f t="shared" si="74"/>
        <v>13860</v>
      </c>
      <c r="BV182" s="13">
        <f t="shared" si="75"/>
        <v>32196780</v>
      </c>
      <c r="BW182" s="13">
        <f>SUM($BV$3:BV182)</f>
        <v>185970669853.3334</v>
      </c>
      <c r="BX182" s="13">
        <f>SUM($BT$3:BT182)</f>
        <v>13587967</v>
      </c>
      <c r="BY182" s="3">
        <f t="shared" si="76"/>
        <v>13686.423425471477</v>
      </c>
    </row>
    <row r="183" spans="1:77" x14ac:dyDescent="0.3">
      <c r="A183" s="3" t="s">
        <v>223</v>
      </c>
      <c r="B183" s="3">
        <v>11670</v>
      </c>
      <c r="C183" s="3">
        <v>11680</v>
      </c>
      <c r="D183" s="3">
        <v>11475</v>
      </c>
      <c r="E183" s="3">
        <v>11490</v>
      </c>
      <c r="F183" s="3">
        <v>11625</v>
      </c>
      <c r="G183" s="3">
        <v>11635</v>
      </c>
      <c r="H183" s="3">
        <v>11440</v>
      </c>
      <c r="I183" s="3">
        <v>11440</v>
      </c>
      <c r="J183" s="3">
        <v>11735</v>
      </c>
      <c r="K183" s="3">
        <v>11735</v>
      </c>
      <c r="L183" s="3">
        <v>12050</v>
      </c>
      <c r="M183" s="3">
        <v>12045</v>
      </c>
      <c r="N183" s="3">
        <v>12570</v>
      </c>
      <c r="O183" s="3">
        <v>12550</v>
      </c>
      <c r="P183" s="3">
        <v>12715</v>
      </c>
      <c r="Q183" s="3">
        <v>12680</v>
      </c>
      <c r="R183" s="3">
        <v>12585</v>
      </c>
      <c r="S183" s="3">
        <v>12550</v>
      </c>
      <c r="T183" s="3">
        <v>12355</v>
      </c>
      <c r="U183" s="3">
        <v>12360</v>
      </c>
      <c r="V183" s="3">
        <v>12825</v>
      </c>
      <c r="W183" s="3">
        <v>12825</v>
      </c>
      <c r="X183" s="3">
        <v>12550</v>
      </c>
      <c r="Y183" s="3">
        <v>12535</v>
      </c>
      <c r="Z183" s="3">
        <v>12715</v>
      </c>
      <c r="AA183" s="3">
        <v>12700</v>
      </c>
      <c r="AB183" s="3">
        <v>13280</v>
      </c>
      <c r="AC183" s="3">
        <v>13280</v>
      </c>
      <c r="AD183" s="3">
        <v>13145</v>
      </c>
      <c r="AE183" s="3">
        <v>13135</v>
      </c>
      <c r="AF183" s="3">
        <v>13860</v>
      </c>
      <c r="AG183" s="3">
        <v>13850</v>
      </c>
      <c r="AH183" s="3">
        <v>14275</v>
      </c>
      <c r="AI183" s="3">
        <v>14270</v>
      </c>
      <c r="AJ183" s="3">
        <v>13685</v>
      </c>
      <c r="AK183" s="3">
        <v>13675</v>
      </c>
      <c r="AL183" s="3">
        <v>13730</v>
      </c>
      <c r="AM183" s="3">
        <v>13715</v>
      </c>
      <c r="AN183" s="3">
        <v>13365</v>
      </c>
      <c r="AO183" s="3">
        <v>13365</v>
      </c>
      <c r="AP183" s="3">
        <v>13510</v>
      </c>
      <c r="AQ183" s="3">
        <v>13505</v>
      </c>
      <c r="AR183" s="4">
        <f t="shared" si="77"/>
        <v>1.3009540329575131E-2</v>
      </c>
      <c r="AS183" s="4">
        <f t="shared" si="54"/>
        <v>5.1948051948051965E-3</v>
      </c>
      <c r="AT183" s="4">
        <f t="shared" si="55"/>
        <v>2.4207746478873249E-2</v>
      </c>
      <c r="AU183" s="4">
        <f t="shared" si="56"/>
        <v>2.8862478777589184E-2</v>
      </c>
      <c r="AV183" s="4">
        <f t="shared" si="57"/>
        <v>3.8494439692045024E-3</v>
      </c>
      <c r="AW183" s="4">
        <f t="shared" si="58"/>
        <v>1.5598650927487245E-2</v>
      </c>
      <c r="AX183" s="4">
        <f t="shared" si="59"/>
        <v>3.5905901774659466E-2</v>
      </c>
      <c r="AY183" s="4">
        <f t="shared" si="60"/>
        <v>7.8247261345852914E-3</v>
      </c>
      <c r="AZ183" s="4">
        <f t="shared" si="61"/>
        <v>3.985651654045963E-4</v>
      </c>
      <c r="BA183" s="4">
        <f t="shared" si="62"/>
        <v>1.2121212121212199E-3</v>
      </c>
      <c r="BB183" s="4">
        <f t="shared" si="63"/>
        <v>3.9724361572760492E-2</v>
      </c>
      <c r="BC183" s="4">
        <f t="shared" si="64"/>
        <v>7.9145231499802016E-3</v>
      </c>
      <c r="BD183" s="4">
        <f t="shared" si="65"/>
        <v>1.0903426791277204E-2</v>
      </c>
      <c r="BE183" s="4">
        <f t="shared" si="66"/>
        <v>2.4296182028538338E-2</v>
      </c>
      <c r="BF183" s="4">
        <f t="shared" si="67"/>
        <v>3.4377387318564878E-3</v>
      </c>
      <c r="BG183" s="4">
        <f t="shared" si="68"/>
        <v>3.8620172478440296E-2</v>
      </c>
      <c r="BH183" s="4">
        <f t="shared" si="69"/>
        <v>2.5880661394680038E-2</v>
      </c>
      <c r="BI183" s="4">
        <f t="shared" si="70"/>
        <v>1.4414414414414378E-2</v>
      </c>
      <c r="BJ183" s="4">
        <f t="shared" si="71"/>
        <v>3.6443148688047877E-4</v>
      </c>
      <c r="BK183" s="4">
        <f t="shared" si="72"/>
        <v>2.3383266350018306E-2</v>
      </c>
      <c r="BL183" s="4">
        <f t="shared" si="73"/>
        <v>3.7160906726123599E-3</v>
      </c>
      <c r="BM183" s="4">
        <f t="shared" si="78"/>
        <v>1.4952190850653049E-2</v>
      </c>
      <c r="BN183" s="9">
        <f t="shared" si="79"/>
        <v>13656.181727895539</v>
      </c>
      <c r="BO183" s="10">
        <f t="shared" si="80"/>
        <v>13125.762056915048</v>
      </c>
      <c r="BP183">
        <v>13860</v>
      </c>
      <c r="BQ183">
        <v>13865</v>
      </c>
      <c r="BR183">
        <v>13845</v>
      </c>
      <c r="BS183">
        <v>13850</v>
      </c>
      <c r="BT183">
        <v>18677</v>
      </c>
      <c r="BU183" s="13">
        <f t="shared" si="74"/>
        <v>13853.333333333334</v>
      </c>
      <c r="BV183" s="13">
        <f t="shared" si="75"/>
        <v>258738706.66666669</v>
      </c>
      <c r="BW183" s="13">
        <f>SUM($BV$3:BV183)</f>
        <v>186229408560.00006</v>
      </c>
      <c r="BX183" s="13">
        <f>SUM($BT$3:BT183)</f>
        <v>13606644</v>
      </c>
      <c r="BY183" s="3">
        <f t="shared" si="76"/>
        <v>13686.652532395208</v>
      </c>
    </row>
    <row r="184" spans="1:77" x14ac:dyDescent="0.3">
      <c r="A184" s="3" t="s">
        <v>224</v>
      </c>
      <c r="B184" s="3">
        <v>11680</v>
      </c>
      <c r="C184" s="3">
        <v>11675</v>
      </c>
      <c r="D184" s="3">
        <v>11490</v>
      </c>
      <c r="E184" s="3">
        <v>11490</v>
      </c>
      <c r="F184" s="3">
        <v>11640</v>
      </c>
      <c r="G184" s="3">
        <v>11645</v>
      </c>
      <c r="H184" s="3">
        <v>11445</v>
      </c>
      <c r="I184" s="3">
        <v>11445</v>
      </c>
      <c r="J184" s="3">
        <v>11735</v>
      </c>
      <c r="K184" s="3">
        <v>11730</v>
      </c>
      <c r="L184" s="3">
        <v>12045</v>
      </c>
      <c r="M184" s="3">
        <v>12040</v>
      </c>
      <c r="N184" s="3">
        <v>12555</v>
      </c>
      <c r="O184" s="3">
        <v>12550</v>
      </c>
      <c r="P184" s="3">
        <v>12680</v>
      </c>
      <c r="Q184" s="3">
        <v>12665</v>
      </c>
      <c r="R184" s="3">
        <v>12555</v>
      </c>
      <c r="S184" s="3">
        <v>12545</v>
      </c>
      <c r="T184" s="3">
        <v>12360</v>
      </c>
      <c r="U184" s="3">
        <v>12355</v>
      </c>
      <c r="V184" s="3">
        <v>12825</v>
      </c>
      <c r="W184" s="3">
        <v>12835</v>
      </c>
      <c r="X184" s="3">
        <v>12540</v>
      </c>
      <c r="Y184" s="3">
        <v>12530</v>
      </c>
      <c r="Z184" s="3">
        <v>12705</v>
      </c>
      <c r="AA184" s="3">
        <v>12705</v>
      </c>
      <c r="AB184" s="3">
        <v>13275</v>
      </c>
      <c r="AC184" s="3">
        <v>13280</v>
      </c>
      <c r="AD184" s="3">
        <v>13140</v>
      </c>
      <c r="AE184" s="3">
        <v>13150</v>
      </c>
      <c r="AF184" s="3">
        <v>13845</v>
      </c>
      <c r="AG184" s="3">
        <v>13835</v>
      </c>
      <c r="AH184" s="3">
        <v>14270</v>
      </c>
      <c r="AI184" s="3">
        <v>14265</v>
      </c>
      <c r="AJ184" s="3">
        <v>13680</v>
      </c>
      <c r="AK184" s="3">
        <v>13680</v>
      </c>
      <c r="AL184" s="3">
        <v>13720</v>
      </c>
      <c r="AM184" s="3">
        <v>13710</v>
      </c>
      <c r="AN184" s="3">
        <v>13360</v>
      </c>
      <c r="AO184" s="3">
        <v>13365</v>
      </c>
      <c r="AP184" s="3">
        <v>13505</v>
      </c>
      <c r="AQ184" s="3">
        <v>13480</v>
      </c>
      <c r="AR184" s="4">
        <f t="shared" si="77"/>
        <v>1.2575888985255856E-2</v>
      </c>
      <c r="AS184" s="4">
        <f t="shared" si="54"/>
        <v>5.1948051948051965E-3</v>
      </c>
      <c r="AT184" s="4">
        <f t="shared" si="55"/>
        <v>2.5088028169014009E-2</v>
      </c>
      <c r="AU184" s="4">
        <f t="shared" si="56"/>
        <v>2.843803056027161E-2</v>
      </c>
      <c r="AV184" s="4">
        <f t="shared" si="57"/>
        <v>3.4217279726260763E-3</v>
      </c>
      <c r="AW184" s="4">
        <f t="shared" si="58"/>
        <v>1.5177065767284947E-2</v>
      </c>
      <c r="AX184" s="4">
        <f t="shared" si="59"/>
        <v>3.5905901774659466E-2</v>
      </c>
      <c r="AY184" s="4">
        <f t="shared" si="60"/>
        <v>8.9984350547730463E-3</v>
      </c>
      <c r="AZ184" s="4">
        <f t="shared" si="61"/>
        <v>0</v>
      </c>
      <c r="BA184" s="4">
        <f t="shared" si="62"/>
        <v>1.6161616161616266E-3</v>
      </c>
      <c r="BB184" s="4">
        <f t="shared" si="63"/>
        <v>4.053506282934749E-2</v>
      </c>
      <c r="BC184" s="4">
        <f t="shared" si="64"/>
        <v>8.3102493074792561E-3</v>
      </c>
      <c r="BD184" s="4">
        <f t="shared" si="65"/>
        <v>1.0514018691588745E-2</v>
      </c>
      <c r="BE184" s="4">
        <f t="shared" si="66"/>
        <v>2.4296182028538338E-2</v>
      </c>
      <c r="BF184" s="4">
        <f t="shared" si="67"/>
        <v>4.583651642475095E-3</v>
      </c>
      <c r="BG184" s="4">
        <f t="shared" si="68"/>
        <v>3.7495313085864179E-2</v>
      </c>
      <c r="BH184" s="4">
        <f t="shared" si="69"/>
        <v>2.5521207764198417E-2</v>
      </c>
      <c r="BI184" s="4">
        <f t="shared" si="70"/>
        <v>1.4054054054054022E-2</v>
      </c>
      <c r="BJ184" s="4">
        <f t="shared" si="71"/>
        <v>7.2886297376095754E-4</v>
      </c>
      <c r="BK184" s="4">
        <f t="shared" si="72"/>
        <v>2.3383266350018306E-2</v>
      </c>
      <c r="BL184" s="4">
        <f t="shared" si="73"/>
        <v>1.85804533630618E-3</v>
      </c>
      <c r="BM184" s="4">
        <f t="shared" si="78"/>
        <v>1.5148522900644636E-2</v>
      </c>
      <c r="BN184" s="9">
        <f t="shared" si="79"/>
        <v>13658.823375628175</v>
      </c>
      <c r="BO184" s="10">
        <f t="shared" si="80"/>
        <v>13123.145932348911</v>
      </c>
      <c r="BP184">
        <v>13845</v>
      </c>
      <c r="BQ184">
        <v>13845</v>
      </c>
      <c r="BR184">
        <v>13835</v>
      </c>
      <c r="BS184">
        <v>13835</v>
      </c>
      <c r="BT184">
        <v>9213</v>
      </c>
      <c r="BU184" s="13">
        <f t="shared" si="74"/>
        <v>13838.333333333334</v>
      </c>
      <c r="BV184" s="13">
        <f t="shared" si="75"/>
        <v>127492565</v>
      </c>
      <c r="BW184" s="13">
        <f>SUM($BV$3:BV184)</f>
        <v>186356901125.00006</v>
      </c>
      <c r="BX184" s="13">
        <f>SUM($BT$3:BT184)</f>
        <v>13615857</v>
      </c>
      <c r="BY184" s="3">
        <f t="shared" si="76"/>
        <v>13686.755165319382</v>
      </c>
    </row>
    <row r="185" spans="1:77" x14ac:dyDescent="0.3">
      <c r="A185" s="3" t="s">
        <v>225</v>
      </c>
      <c r="B185" s="3">
        <v>11675</v>
      </c>
      <c r="C185" s="3">
        <v>11675</v>
      </c>
      <c r="D185" s="3">
        <v>11490</v>
      </c>
      <c r="E185" s="3">
        <v>11490</v>
      </c>
      <c r="F185" s="3">
        <v>11645</v>
      </c>
      <c r="G185" s="3">
        <v>11650</v>
      </c>
      <c r="H185" s="3">
        <v>11445</v>
      </c>
      <c r="I185" s="3">
        <v>11430</v>
      </c>
      <c r="J185" s="3">
        <v>11730</v>
      </c>
      <c r="K185" s="3">
        <v>11740</v>
      </c>
      <c r="L185" s="3">
        <v>12035</v>
      </c>
      <c r="M185" s="3">
        <v>12030</v>
      </c>
      <c r="N185" s="3">
        <v>12550</v>
      </c>
      <c r="O185" s="3">
        <v>12535</v>
      </c>
      <c r="P185" s="3">
        <v>12665</v>
      </c>
      <c r="Q185" s="3">
        <v>12675</v>
      </c>
      <c r="R185" s="3">
        <v>12545</v>
      </c>
      <c r="S185" s="3">
        <v>12535</v>
      </c>
      <c r="T185" s="3">
        <v>12355</v>
      </c>
      <c r="U185" s="3">
        <v>12365</v>
      </c>
      <c r="V185" s="3">
        <v>12840</v>
      </c>
      <c r="W185" s="3">
        <v>12830</v>
      </c>
      <c r="X185" s="3">
        <v>12535</v>
      </c>
      <c r="Y185" s="3">
        <v>12550</v>
      </c>
      <c r="Z185" s="3">
        <v>12705</v>
      </c>
      <c r="AA185" s="3">
        <v>12700</v>
      </c>
      <c r="AB185" s="3">
        <v>13280</v>
      </c>
      <c r="AC185" s="3">
        <v>13290</v>
      </c>
      <c r="AD185" s="3">
        <v>13150</v>
      </c>
      <c r="AE185" s="3">
        <v>13165</v>
      </c>
      <c r="AF185" s="3">
        <v>13835</v>
      </c>
      <c r="AG185" s="3">
        <v>13840</v>
      </c>
      <c r="AH185" s="3">
        <v>14265</v>
      </c>
      <c r="AI185" s="3">
        <v>14270</v>
      </c>
      <c r="AJ185" s="3">
        <v>13685</v>
      </c>
      <c r="AK185" s="3">
        <v>13685</v>
      </c>
      <c r="AL185" s="3">
        <v>13705</v>
      </c>
      <c r="AM185" s="3">
        <v>13710</v>
      </c>
      <c r="AN185" s="3">
        <v>13360</v>
      </c>
      <c r="AO185" s="3">
        <v>13400</v>
      </c>
      <c r="AP185" s="3">
        <v>13480</v>
      </c>
      <c r="AQ185" s="3">
        <v>13470</v>
      </c>
      <c r="AR185" s="4">
        <f t="shared" si="77"/>
        <v>1.2575888985255856E-2</v>
      </c>
      <c r="AS185" s="4">
        <f t="shared" si="54"/>
        <v>5.1948051948051965E-3</v>
      </c>
      <c r="AT185" s="4">
        <f t="shared" si="55"/>
        <v>2.5528169014084501E-2</v>
      </c>
      <c r="AU185" s="4">
        <f t="shared" si="56"/>
        <v>2.9711375212224111E-2</v>
      </c>
      <c r="AV185" s="4">
        <f t="shared" si="57"/>
        <v>4.2771599657827064E-3</v>
      </c>
      <c r="AW185" s="4">
        <f t="shared" si="58"/>
        <v>1.4333895446880351E-2</v>
      </c>
      <c r="AX185" s="4">
        <f t="shared" si="59"/>
        <v>3.4667767230705637E-2</v>
      </c>
      <c r="AY185" s="4">
        <f t="shared" si="60"/>
        <v>8.215962441314506E-3</v>
      </c>
      <c r="AZ185" s="4">
        <f t="shared" si="61"/>
        <v>7.9713033080908158E-4</v>
      </c>
      <c r="BA185" s="4">
        <f t="shared" si="62"/>
        <v>8.0808080808081328E-4</v>
      </c>
      <c r="BB185" s="4">
        <f t="shared" si="63"/>
        <v>4.0129712201053991E-2</v>
      </c>
      <c r="BC185" s="4">
        <f t="shared" si="64"/>
        <v>6.7273446774831491E-3</v>
      </c>
      <c r="BD185" s="4">
        <f t="shared" si="65"/>
        <v>1.0903426791277204E-2</v>
      </c>
      <c r="BE185" s="4">
        <f t="shared" si="66"/>
        <v>2.5067489394523745E-2</v>
      </c>
      <c r="BF185" s="4">
        <f t="shared" si="67"/>
        <v>5.7295645530939243E-3</v>
      </c>
      <c r="BG185" s="4">
        <f t="shared" si="68"/>
        <v>3.7870266216722959E-2</v>
      </c>
      <c r="BH185" s="4">
        <f t="shared" si="69"/>
        <v>2.5880661394680038E-2</v>
      </c>
      <c r="BI185" s="4">
        <f t="shared" si="70"/>
        <v>1.3693693693693665E-2</v>
      </c>
      <c r="BJ185" s="4">
        <f t="shared" si="71"/>
        <v>7.2886297376095754E-4</v>
      </c>
      <c r="BK185" s="4">
        <f t="shared" si="72"/>
        <v>2.0825721592985014E-2</v>
      </c>
      <c r="BL185" s="4">
        <f t="shared" si="73"/>
        <v>1.1148272017837968E-3</v>
      </c>
      <c r="BM185" s="4">
        <f t="shared" si="78"/>
        <v>1.5149420233008495E-2</v>
      </c>
      <c r="BN185" s="9">
        <f t="shared" si="79"/>
        <v>13658.835449235128</v>
      </c>
      <c r="BO185" s="10">
        <f t="shared" si="80"/>
        <v>13123.133975395162</v>
      </c>
      <c r="BP185">
        <v>13835</v>
      </c>
      <c r="BQ185">
        <v>13845</v>
      </c>
      <c r="BR185">
        <v>13835</v>
      </c>
      <c r="BS185">
        <v>13840</v>
      </c>
      <c r="BT185">
        <v>7224</v>
      </c>
      <c r="BU185" s="13">
        <f t="shared" si="74"/>
        <v>13840</v>
      </c>
      <c r="BV185" s="13">
        <f t="shared" si="75"/>
        <v>99980160</v>
      </c>
      <c r="BW185" s="13">
        <f>SUM($BV$3:BV185)</f>
        <v>186456881285.00006</v>
      </c>
      <c r="BX185" s="13">
        <f>SUM($BT$3:BT185)</f>
        <v>13623081</v>
      </c>
      <c r="BY185" s="3">
        <f t="shared" si="76"/>
        <v>13686.8364274572</v>
      </c>
    </row>
    <row r="186" spans="1:77" x14ac:dyDescent="0.3">
      <c r="A186" s="3" t="s">
        <v>226</v>
      </c>
      <c r="B186" s="3">
        <v>11670</v>
      </c>
      <c r="C186" s="3">
        <v>11665</v>
      </c>
      <c r="D186" s="3">
        <v>11495</v>
      </c>
      <c r="E186" s="3">
        <v>11485</v>
      </c>
      <c r="F186" s="3">
        <v>11645</v>
      </c>
      <c r="G186" s="3">
        <v>11650</v>
      </c>
      <c r="H186" s="3">
        <v>11430</v>
      </c>
      <c r="I186" s="3">
        <v>11445</v>
      </c>
      <c r="J186" s="3">
        <v>11740</v>
      </c>
      <c r="K186" s="3">
        <v>11720</v>
      </c>
      <c r="L186" s="3">
        <v>12030</v>
      </c>
      <c r="M186" s="3">
        <v>12020</v>
      </c>
      <c r="N186" s="3">
        <v>12530</v>
      </c>
      <c r="O186" s="3">
        <v>12520</v>
      </c>
      <c r="P186" s="3">
        <v>12670</v>
      </c>
      <c r="Q186" s="3">
        <v>12690</v>
      </c>
      <c r="R186" s="3">
        <v>12535</v>
      </c>
      <c r="S186" s="3">
        <v>12535</v>
      </c>
      <c r="T186" s="3">
        <v>12365</v>
      </c>
      <c r="U186" s="3">
        <v>12365</v>
      </c>
      <c r="V186" s="3">
        <v>12830</v>
      </c>
      <c r="W186" s="3">
        <v>12840</v>
      </c>
      <c r="X186" s="3">
        <v>12550</v>
      </c>
      <c r="Y186" s="3">
        <v>12545</v>
      </c>
      <c r="Z186" s="3">
        <v>12700</v>
      </c>
      <c r="AA186" s="3">
        <v>12695</v>
      </c>
      <c r="AB186" s="3">
        <v>13285</v>
      </c>
      <c r="AC186" s="3">
        <v>13285</v>
      </c>
      <c r="AD186" s="3">
        <v>13165</v>
      </c>
      <c r="AE186" s="3">
        <v>13175</v>
      </c>
      <c r="AF186" s="3">
        <v>13845</v>
      </c>
      <c r="AG186" s="3">
        <v>13845</v>
      </c>
      <c r="AH186" s="3">
        <v>14265</v>
      </c>
      <c r="AI186" s="3">
        <v>14250</v>
      </c>
      <c r="AJ186" s="3">
        <v>13685</v>
      </c>
      <c r="AK186" s="3">
        <v>13665</v>
      </c>
      <c r="AL186" s="3">
        <v>13710</v>
      </c>
      <c r="AM186" s="3">
        <v>13720</v>
      </c>
      <c r="AN186" s="3">
        <v>13400</v>
      </c>
      <c r="AO186" s="3">
        <v>13410</v>
      </c>
      <c r="AP186" s="3">
        <v>13475</v>
      </c>
      <c r="AQ186" s="3">
        <v>13470</v>
      </c>
      <c r="AR186" s="4">
        <f t="shared" si="77"/>
        <v>1.1708586296617529E-2</v>
      </c>
      <c r="AS186" s="4">
        <f t="shared" si="54"/>
        <v>5.6277056277056481E-3</v>
      </c>
      <c r="AT186" s="4">
        <f t="shared" si="55"/>
        <v>2.5528169014084501E-2</v>
      </c>
      <c r="AU186" s="4">
        <f t="shared" si="56"/>
        <v>2.843803056027161E-2</v>
      </c>
      <c r="AV186" s="4">
        <f t="shared" si="57"/>
        <v>2.5662959794696683E-3</v>
      </c>
      <c r="AW186" s="4">
        <f t="shared" si="58"/>
        <v>1.3490725126475533E-2</v>
      </c>
      <c r="AX186" s="4">
        <f t="shared" si="59"/>
        <v>3.3429632686752031E-2</v>
      </c>
      <c r="AY186" s="4">
        <f t="shared" si="60"/>
        <v>7.0422535211267512E-3</v>
      </c>
      <c r="AZ186" s="4">
        <f t="shared" si="61"/>
        <v>7.9713033080908158E-4</v>
      </c>
      <c r="BA186" s="4">
        <f t="shared" si="62"/>
        <v>8.0808080808081328E-4</v>
      </c>
      <c r="BB186" s="4">
        <f t="shared" si="63"/>
        <v>4.0940413457640767E-2</v>
      </c>
      <c r="BC186" s="4">
        <f t="shared" si="64"/>
        <v>7.1230708349822036E-3</v>
      </c>
      <c r="BD186" s="4">
        <f t="shared" si="65"/>
        <v>1.1292834890965775E-2</v>
      </c>
      <c r="BE186" s="4">
        <f t="shared" si="66"/>
        <v>2.4681835711531042E-2</v>
      </c>
      <c r="BF186" s="4">
        <f t="shared" si="67"/>
        <v>6.4935064935065512E-3</v>
      </c>
      <c r="BG186" s="4">
        <f t="shared" si="68"/>
        <v>3.8245219347581516E-2</v>
      </c>
      <c r="BH186" s="4">
        <f t="shared" si="69"/>
        <v>2.4442846872753332E-2</v>
      </c>
      <c r="BI186" s="4">
        <f t="shared" si="70"/>
        <v>1.5135135135135092E-2</v>
      </c>
      <c r="BJ186" s="4">
        <f t="shared" si="71"/>
        <v>0</v>
      </c>
      <c r="BK186" s="4">
        <f t="shared" si="72"/>
        <v>2.0094994519546994E-2</v>
      </c>
      <c r="BL186" s="4">
        <f t="shared" si="73"/>
        <v>1.1148272017837968E-3</v>
      </c>
      <c r="BM186" s="4">
        <f t="shared" si="78"/>
        <v>1.4875691788814427E-2</v>
      </c>
      <c r="BN186" s="9">
        <f t="shared" si="79"/>
        <v>13655.152433018498</v>
      </c>
      <c r="BO186" s="10">
        <f t="shared" si="80"/>
        <v>13126.781406914048</v>
      </c>
      <c r="BP186">
        <v>13845</v>
      </c>
      <c r="BQ186">
        <v>13845</v>
      </c>
      <c r="BR186">
        <v>13840</v>
      </c>
      <c r="BS186">
        <v>13845</v>
      </c>
      <c r="BT186">
        <v>21141</v>
      </c>
      <c r="BU186" s="13">
        <f t="shared" si="74"/>
        <v>13843.333333333334</v>
      </c>
      <c r="BV186" s="13">
        <f t="shared" si="75"/>
        <v>292661910</v>
      </c>
      <c r="BW186" s="13">
        <f>SUM($BV$3:BV186)</f>
        <v>186749543195.00006</v>
      </c>
      <c r="BX186" s="13">
        <f>SUM($BT$3:BT186)</f>
        <v>13644222</v>
      </c>
      <c r="BY186" s="3">
        <f t="shared" si="76"/>
        <v>13687.078911131764</v>
      </c>
    </row>
    <row r="187" spans="1:77" x14ac:dyDescent="0.3">
      <c r="A187" s="3" t="s">
        <v>227</v>
      </c>
      <c r="B187" s="3">
        <v>11665</v>
      </c>
      <c r="C187" s="3">
        <v>11670</v>
      </c>
      <c r="D187" s="3">
        <v>11490</v>
      </c>
      <c r="E187" s="3">
        <v>11490</v>
      </c>
      <c r="F187" s="3">
        <v>11650</v>
      </c>
      <c r="G187" s="3">
        <v>11655</v>
      </c>
      <c r="H187" s="3">
        <v>11445</v>
      </c>
      <c r="I187" s="3">
        <v>11430</v>
      </c>
      <c r="J187" s="3">
        <v>11720</v>
      </c>
      <c r="K187" s="3">
        <v>11715</v>
      </c>
      <c r="L187" s="3">
        <v>12020</v>
      </c>
      <c r="M187" s="3">
        <v>12015</v>
      </c>
      <c r="N187" s="3">
        <v>12520</v>
      </c>
      <c r="O187" s="3">
        <v>12530</v>
      </c>
      <c r="P187" s="3">
        <v>12685</v>
      </c>
      <c r="Q187" s="3">
        <v>12680</v>
      </c>
      <c r="R187" s="3">
        <v>12535</v>
      </c>
      <c r="S187" s="3">
        <v>12535</v>
      </c>
      <c r="T187" s="3">
        <v>12370</v>
      </c>
      <c r="U187" s="3">
        <v>12370</v>
      </c>
      <c r="V187" s="3">
        <v>12840</v>
      </c>
      <c r="W187" s="3">
        <v>12835</v>
      </c>
      <c r="X187" s="3">
        <v>12540</v>
      </c>
      <c r="Y187" s="3">
        <v>12540</v>
      </c>
      <c r="Z187" s="3">
        <v>12695</v>
      </c>
      <c r="AA187" s="3">
        <v>12695</v>
      </c>
      <c r="AB187" s="3">
        <v>13285</v>
      </c>
      <c r="AC187" s="3">
        <v>13295</v>
      </c>
      <c r="AD187" s="3">
        <v>13175</v>
      </c>
      <c r="AE187" s="3">
        <v>13170</v>
      </c>
      <c r="AF187" s="3">
        <v>13845</v>
      </c>
      <c r="AG187" s="3">
        <v>13850</v>
      </c>
      <c r="AH187" s="3">
        <v>14250</v>
      </c>
      <c r="AI187" s="3">
        <v>14275</v>
      </c>
      <c r="AJ187" s="3">
        <v>13665</v>
      </c>
      <c r="AK187" s="3">
        <v>13670</v>
      </c>
      <c r="AL187" s="3">
        <v>13720</v>
      </c>
      <c r="AM187" s="3">
        <v>13725</v>
      </c>
      <c r="AN187" s="3">
        <v>13405</v>
      </c>
      <c r="AO187" s="3">
        <v>13405</v>
      </c>
      <c r="AP187" s="3">
        <v>13470</v>
      </c>
      <c r="AQ187" s="3">
        <v>13475</v>
      </c>
      <c r="AR187" s="4">
        <f t="shared" si="77"/>
        <v>1.2142237640936582E-2</v>
      </c>
      <c r="AS187" s="4">
        <f t="shared" si="54"/>
        <v>5.1948051948051965E-3</v>
      </c>
      <c r="AT187" s="4">
        <f t="shared" si="55"/>
        <v>2.5968309859154992E-2</v>
      </c>
      <c r="AU187" s="4">
        <f t="shared" si="56"/>
        <v>2.9711375212224111E-2</v>
      </c>
      <c r="AV187" s="4">
        <f t="shared" si="57"/>
        <v>2.1385799828914642E-3</v>
      </c>
      <c r="AW187" s="4">
        <f t="shared" si="58"/>
        <v>1.3069139966273235E-2</v>
      </c>
      <c r="AX187" s="4">
        <f t="shared" si="59"/>
        <v>3.4255055716054583E-2</v>
      </c>
      <c r="AY187" s="4">
        <f t="shared" si="60"/>
        <v>7.8247261345852914E-3</v>
      </c>
      <c r="AZ187" s="4">
        <f t="shared" si="61"/>
        <v>7.9713033080908158E-4</v>
      </c>
      <c r="BA187" s="4">
        <f t="shared" si="62"/>
        <v>4.0404040404040664E-4</v>
      </c>
      <c r="BB187" s="4">
        <f t="shared" si="63"/>
        <v>4.053506282934749E-2</v>
      </c>
      <c r="BC187" s="4">
        <f t="shared" si="64"/>
        <v>7.5187969924812581E-3</v>
      </c>
      <c r="BD187" s="4">
        <f t="shared" si="65"/>
        <v>1.1292834890965775E-2</v>
      </c>
      <c r="BE187" s="4">
        <f t="shared" si="66"/>
        <v>2.5453143077516449E-2</v>
      </c>
      <c r="BF187" s="4">
        <f t="shared" si="67"/>
        <v>6.1115355233001267E-3</v>
      </c>
      <c r="BG187" s="4">
        <f t="shared" si="68"/>
        <v>3.8620172478440296E-2</v>
      </c>
      <c r="BH187" s="4">
        <f t="shared" si="69"/>
        <v>2.6240115025161659E-2</v>
      </c>
      <c r="BI187" s="4">
        <f t="shared" si="70"/>
        <v>1.4774774774774735E-2</v>
      </c>
      <c r="BJ187" s="4">
        <f t="shared" si="71"/>
        <v>3.6443148688047877E-4</v>
      </c>
      <c r="BK187" s="4">
        <f t="shared" si="72"/>
        <v>2.0460358056266004E-2</v>
      </c>
      <c r="BL187" s="4">
        <f t="shared" si="73"/>
        <v>1.4864362690449884E-3</v>
      </c>
      <c r="BM187" s="4">
        <f t="shared" si="78"/>
        <v>1.5019609722460676E-2</v>
      </c>
      <c r="BN187" s="9">
        <f t="shared" si="79"/>
        <v>13657.088848815707</v>
      </c>
      <c r="BO187" s="10">
        <f t="shared" si="80"/>
        <v>13124.863700448212</v>
      </c>
      <c r="BP187">
        <v>13845</v>
      </c>
      <c r="BQ187">
        <v>13850</v>
      </c>
      <c r="BR187">
        <v>13840</v>
      </c>
      <c r="BS187">
        <v>13850</v>
      </c>
      <c r="BT187">
        <v>2162</v>
      </c>
      <c r="BU187" s="13">
        <f t="shared" si="74"/>
        <v>13846.666666666666</v>
      </c>
      <c r="BV187" s="13">
        <f t="shared" si="75"/>
        <v>29936493.333333332</v>
      </c>
      <c r="BW187" s="13">
        <f>SUM($BV$3:BV187)</f>
        <v>186779479688.3334</v>
      </c>
      <c r="BX187" s="13">
        <f>SUM($BT$3:BT187)</f>
        <v>13646384</v>
      </c>
      <c r="BY187" s="3">
        <f t="shared" si="76"/>
        <v>13687.104194659436</v>
      </c>
    </row>
    <row r="188" spans="1:77" x14ac:dyDescent="0.3">
      <c r="A188" s="3" t="s">
        <v>228</v>
      </c>
      <c r="B188" s="3">
        <v>11670</v>
      </c>
      <c r="C188" s="3">
        <v>11670</v>
      </c>
      <c r="D188" s="3">
        <v>11490</v>
      </c>
      <c r="E188" s="3">
        <v>11500</v>
      </c>
      <c r="F188" s="3">
        <v>11650</v>
      </c>
      <c r="G188" s="3">
        <v>11645</v>
      </c>
      <c r="H188" s="3">
        <v>11430</v>
      </c>
      <c r="I188" s="3">
        <v>11415</v>
      </c>
      <c r="J188" s="3">
        <v>11715</v>
      </c>
      <c r="K188" s="3">
        <v>11720</v>
      </c>
      <c r="L188" s="3">
        <v>12015</v>
      </c>
      <c r="M188" s="3">
        <v>12030</v>
      </c>
      <c r="N188" s="3">
        <v>12530</v>
      </c>
      <c r="O188" s="3">
        <v>12520</v>
      </c>
      <c r="P188" s="3">
        <v>12680</v>
      </c>
      <c r="Q188" s="3">
        <v>12675</v>
      </c>
      <c r="R188" s="3">
        <v>12535</v>
      </c>
      <c r="S188" s="3">
        <v>12525</v>
      </c>
      <c r="T188" s="3">
        <v>12365</v>
      </c>
      <c r="U188" s="3">
        <v>12375</v>
      </c>
      <c r="V188" s="3">
        <v>12835</v>
      </c>
      <c r="W188" s="3">
        <v>12835</v>
      </c>
      <c r="X188" s="3">
        <v>12540</v>
      </c>
      <c r="Y188" s="3">
        <v>12550</v>
      </c>
      <c r="Z188" s="3">
        <v>12695</v>
      </c>
      <c r="AA188" s="3">
        <v>12690</v>
      </c>
      <c r="AB188" s="3">
        <v>13295</v>
      </c>
      <c r="AC188" s="3">
        <v>13295</v>
      </c>
      <c r="AD188" s="3">
        <v>13170</v>
      </c>
      <c r="AE188" s="3">
        <v>13185</v>
      </c>
      <c r="AF188" s="3">
        <v>13855</v>
      </c>
      <c r="AG188" s="3">
        <v>13855</v>
      </c>
      <c r="AH188" s="3">
        <v>14275</v>
      </c>
      <c r="AI188" s="3">
        <v>14290</v>
      </c>
      <c r="AJ188" s="3">
        <v>13670</v>
      </c>
      <c r="AK188" s="3">
        <v>13645</v>
      </c>
      <c r="AL188" s="3">
        <v>13720</v>
      </c>
      <c r="AM188" s="3">
        <v>13715</v>
      </c>
      <c r="AN188" s="3">
        <v>13405</v>
      </c>
      <c r="AO188" s="3">
        <v>13410</v>
      </c>
      <c r="AP188" s="3">
        <v>13475</v>
      </c>
      <c r="AQ188" s="3">
        <v>13485</v>
      </c>
      <c r="AR188" s="4">
        <f t="shared" si="77"/>
        <v>1.2142237640936582E-2</v>
      </c>
      <c r="AS188" s="4">
        <f t="shared" si="54"/>
        <v>4.3290043290042934E-3</v>
      </c>
      <c r="AT188" s="4">
        <f t="shared" si="55"/>
        <v>2.5088028169014009E-2</v>
      </c>
      <c r="AU188" s="4">
        <f t="shared" si="56"/>
        <v>3.0984719864176613E-2</v>
      </c>
      <c r="AV188" s="4">
        <f t="shared" si="57"/>
        <v>2.5662959794696683E-3</v>
      </c>
      <c r="AW188" s="4">
        <f t="shared" si="58"/>
        <v>1.4333895446880351E-2</v>
      </c>
      <c r="AX188" s="4">
        <f t="shared" si="59"/>
        <v>3.3429632686752031E-2</v>
      </c>
      <c r="AY188" s="4">
        <f t="shared" si="60"/>
        <v>8.215962441314506E-3</v>
      </c>
      <c r="AZ188" s="4">
        <f t="shared" si="61"/>
        <v>1.5942606616181632E-3</v>
      </c>
      <c r="BA188" s="4">
        <f t="shared" si="62"/>
        <v>0</v>
      </c>
      <c r="BB188" s="4">
        <f t="shared" si="63"/>
        <v>4.053506282934749E-2</v>
      </c>
      <c r="BC188" s="4">
        <f t="shared" si="64"/>
        <v>6.7273446774831491E-3</v>
      </c>
      <c r="BD188" s="4">
        <f t="shared" si="65"/>
        <v>1.1682242990654235E-2</v>
      </c>
      <c r="BE188" s="4">
        <f t="shared" si="66"/>
        <v>2.5453143077516449E-2</v>
      </c>
      <c r="BF188" s="4">
        <f t="shared" si="67"/>
        <v>7.257448433918956E-3</v>
      </c>
      <c r="BG188" s="4">
        <f t="shared" si="68"/>
        <v>3.8995125609298853E-2</v>
      </c>
      <c r="BH188" s="4">
        <f t="shared" si="69"/>
        <v>2.7318475916606744E-2</v>
      </c>
      <c r="BI188" s="4">
        <f t="shared" si="70"/>
        <v>1.6576576576576629E-2</v>
      </c>
      <c r="BJ188" s="4">
        <f t="shared" si="71"/>
        <v>3.6443148688047877E-4</v>
      </c>
      <c r="BK188" s="4">
        <f t="shared" si="72"/>
        <v>2.0094994519546994E-2</v>
      </c>
      <c r="BL188" s="4">
        <f t="shared" si="73"/>
        <v>2.2296544035673715E-3</v>
      </c>
      <c r="BM188" s="4">
        <f t="shared" si="78"/>
        <v>1.515693154193928E-2</v>
      </c>
      <c r="BN188" s="9">
        <f t="shared" si="79"/>
        <v>13658.936513896793</v>
      </c>
      <c r="BO188" s="10">
        <f t="shared" si="80"/>
        <v>13123.033887203659</v>
      </c>
      <c r="BP188">
        <v>13855</v>
      </c>
      <c r="BQ188">
        <v>13855</v>
      </c>
      <c r="BR188">
        <v>13845</v>
      </c>
      <c r="BS188">
        <v>13855</v>
      </c>
      <c r="BT188">
        <v>8784</v>
      </c>
      <c r="BU188" s="13">
        <f t="shared" si="74"/>
        <v>13851.666666666666</v>
      </c>
      <c r="BV188" s="13">
        <f t="shared" si="75"/>
        <v>121673040</v>
      </c>
      <c r="BW188" s="13">
        <f>SUM($BV$3:BV188)</f>
        <v>186901152728.3334</v>
      </c>
      <c r="BX188" s="13">
        <f>SUM($BT$3:BT188)</f>
        <v>13655168</v>
      </c>
      <c r="BY188" s="3">
        <f t="shared" si="76"/>
        <v>13687.210053243827</v>
      </c>
    </row>
    <row r="189" spans="1:77" x14ac:dyDescent="0.3">
      <c r="A189" s="3" t="s">
        <v>229</v>
      </c>
      <c r="B189" s="3">
        <v>11670</v>
      </c>
      <c r="C189" s="3">
        <v>11675</v>
      </c>
      <c r="D189" s="3">
        <v>11495</v>
      </c>
      <c r="E189" s="3">
        <v>11500</v>
      </c>
      <c r="F189" s="3">
        <v>11640</v>
      </c>
      <c r="G189" s="3">
        <v>11635</v>
      </c>
      <c r="H189" s="3">
        <v>11410</v>
      </c>
      <c r="I189" s="3">
        <v>11405</v>
      </c>
      <c r="J189" s="3">
        <v>11720</v>
      </c>
      <c r="K189" s="3">
        <v>11730</v>
      </c>
      <c r="L189" s="3">
        <v>12030</v>
      </c>
      <c r="M189" s="3">
        <v>12030</v>
      </c>
      <c r="N189" s="3">
        <v>12520</v>
      </c>
      <c r="O189" s="3">
        <v>12530</v>
      </c>
      <c r="P189" s="3">
        <v>12675</v>
      </c>
      <c r="Q189" s="3">
        <v>12675</v>
      </c>
      <c r="R189" s="3">
        <v>12520</v>
      </c>
      <c r="S189" s="3">
        <v>12530</v>
      </c>
      <c r="T189" s="3">
        <v>12380</v>
      </c>
      <c r="U189" s="3">
        <v>12385</v>
      </c>
      <c r="V189" s="3">
        <v>12840</v>
      </c>
      <c r="W189" s="3">
        <v>12835</v>
      </c>
      <c r="X189" s="3">
        <v>12545</v>
      </c>
      <c r="Y189" s="3">
        <v>12555</v>
      </c>
      <c r="Z189" s="3">
        <v>12690</v>
      </c>
      <c r="AA189" s="3">
        <v>12695</v>
      </c>
      <c r="AB189" s="3">
        <v>13300</v>
      </c>
      <c r="AC189" s="3">
        <v>13305</v>
      </c>
      <c r="AD189" s="3">
        <v>13180</v>
      </c>
      <c r="AE189" s="3">
        <v>13165</v>
      </c>
      <c r="AF189" s="3">
        <v>13855</v>
      </c>
      <c r="AG189" s="3">
        <v>13855</v>
      </c>
      <c r="AH189" s="3">
        <v>14295</v>
      </c>
      <c r="AI189" s="3">
        <v>14285</v>
      </c>
      <c r="AJ189" s="3">
        <v>13645</v>
      </c>
      <c r="AK189" s="3">
        <v>13645</v>
      </c>
      <c r="AL189" s="3">
        <v>13710</v>
      </c>
      <c r="AM189" s="3">
        <v>13720</v>
      </c>
      <c r="AN189" s="3">
        <v>13410</v>
      </c>
      <c r="AO189" s="3">
        <v>13400</v>
      </c>
      <c r="AP189" s="3">
        <v>13485</v>
      </c>
      <c r="AQ189" s="3">
        <v>13480</v>
      </c>
      <c r="AR189" s="4">
        <f t="shared" si="77"/>
        <v>1.2575888985255856E-2</v>
      </c>
      <c r="AS189" s="4">
        <f t="shared" si="54"/>
        <v>4.3290043290042934E-3</v>
      </c>
      <c r="AT189" s="4">
        <f t="shared" si="55"/>
        <v>2.4207746478873249E-2</v>
      </c>
      <c r="AU189" s="4">
        <f t="shared" si="56"/>
        <v>3.183361629881154E-2</v>
      </c>
      <c r="AV189" s="4">
        <f t="shared" si="57"/>
        <v>3.4217279726260763E-3</v>
      </c>
      <c r="AW189" s="4">
        <f t="shared" si="58"/>
        <v>1.4333895446880351E-2</v>
      </c>
      <c r="AX189" s="4">
        <f t="shared" si="59"/>
        <v>3.4255055716054583E-2</v>
      </c>
      <c r="AY189" s="4">
        <f t="shared" si="60"/>
        <v>8.215962441314506E-3</v>
      </c>
      <c r="AZ189" s="4">
        <f t="shared" si="61"/>
        <v>1.1956954962136779E-3</v>
      </c>
      <c r="BA189" s="4">
        <f t="shared" si="62"/>
        <v>8.0808080808081328E-4</v>
      </c>
      <c r="BB189" s="4">
        <f t="shared" si="63"/>
        <v>4.053506282934749E-2</v>
      </c>
      <c r="BC189" s="4">
        <f t="shared" si="64"/>
        <v>6.3316185199842057E-3</v>
      </c>
      <c r="BD189" s="4">
        <f t="shared" si="65"/>
        <v>1.1292834890965775E-2</v>
      </c>
      <c r="BE189" s="4">
        <f t="shared" si="66"/>
        <v>2.6224450443501635E-2</v>
      </c>
      <c r="BF189" s="4">
        <f t="shared" si="67"/>
        <v>5.7295645530939243E-3</v>
      </c>
      <c r="BG189" s="4">
        <f t="shared" si="68"/>
        <v>3.8995125609298853E-2</v>
      </c>
      <c r="BH189" s="4">
        <f t="shared" si="69"/>
        <v>2.6959022286125123E-2</v>
      </c>
      <c r="BI189" s="4">
        <f t="shared" si="70"/>
        <v>1.6576576576576629E-2</v>
      </c>
      <c r="BJ189" s="4">
        <f t="shared" si="71"/>
        <v>0</v>
      </c>
      <c r="BK189" s="4">
        <f t="shared" si="72"/>
        <v>2.0825721592985014E-2</v>
      </c>
      <c r="BL189" s="4">
        <f t="shared" si="73"/>
        <v>1.85804533630618E-3</v>
      </c>
      <c r="BM189" s="4">
        <f t="shared" si="78"/>
        <v>1.5193879730339437E-2</v>
      </c>
      <c r="BN189" s="9">
        <f t="shared" si="79"/>
        <v>13659.433651771718</v>
      </c>
      <c r="BO189" s="10">
        <f t="shared" si="80"/>
        <v>13122.541552593226</v>
      </c>
      <c r="BP189">
        <v>13855</v>
      </c>
      <c r="BQ189">
        <v>13860</v>
      </c>
      <c r="BR189">
        <v>13850</v>
      </c>
      <c r="BS189">
        <v>13855</v>
      </c>
      <c r="BT189">
        <v>11545</v>
      </c>
      <c r="BU189" s="13">
        <f t="shared" si="74"/>
        <v>13855</v>
      </c>
      <c r="BV189" s="13">
        <f t="shared" si="75"/>
        <v>159955975</v>
      </c>
      <c r="BW189" s="13">
        <f>SUM($BV$3:BV189)</f>
        <v>187061108703.3334</v>
      </c>
      <c r="BX189" s="13">
        <f>SUM($BT$3:BT189)</f>
        <v>13666713</v>
      </c>
      <c r="BY189" s="3">
        <f t="shared" si="76"/>
        <v>13687.351794343922</v>
      </c>
    </row>
    <row r="190" spans="1:77" x14ac:dyDescent="0.3">
      <c r="A190" s="3" t="s">
        <v>230</v>
      </c>
      <c r="B190" s="3">
        <v>11680</v>
      </c>
      <c r="C190" s="3">
        <v>11680</v>
      </c>
      <c r="D190" s="3">
        <v>11500</v>
      </c>
      <c r="E190" s="3">
        <v>11515</v>
      </c>
      <c r="F190" s="3">
        <v>11630</v>
      </c>
      <c r="G190" s="3">
        <v>11650</v>
      </c>
      <c r="H190" s="3">
        <v>11405</v>
      </c>
      <c r="I190" s="3">
        <v>11365</v>
      </c>
      <c r="J190" s="3">
        <v>11725</v>
      </c>
      <c r="K190" s="3">
        <v>11725</v>
      </c>
      <c r="L190" s="3">
        <v>12035</v>
      </c>
      <c r="M190" s="3">
        <v>12030</v>
      </c>
      <c r="N190" s="3">
        <v>12535</v>
      </c>
      <c r="O190" s="3">
        <v>12535</v>
      </c>
      <c r="P190" s="3">
        <v>12675</v>
      </c>
      <c r="Q190" s="3">
        <v>12685</v>
      </c>
      <c r="R190" s="3">
        <v>12530</v>
      </c>
      <c r="S190" s="3">
        <v>12525</v>
      </c>
      <c r="T190" s="3">
        <v>12380</v>
      </c>
      <c r="U190" s="3">
        <v>12375</v>
      </c>
      <c r="V190" s="3">
        <v>12835</v>
      </c>
      <c r="W190" s="3">
        <v>12835</v>
      </c>
      <c r="X190" s="3">
        <v>12550</v>
      </c>
      <c r="Y190" s="3">
        <v>12565</v>
      </c>
      <c r="Z190" s="3">
        <v>12695</v>
      </c>
      <c r="AA190" s="3">
        <v>12705</v>
      </c>
      <c r="AB190" s="3">
        <v>13300</v>
      </c>
      <c r="AC190" s="3">
        <v>13300</v>
      </c>
      <c r="AD190" s="3">
        <v>13170</v>
      </c>
      <c r="AE190" s="3">
        <v>13170</v>
      </c>
      <c r="AF190" s="3">
        <v>13855</v>
      </c>
      <c r="AG190" s="3">
        <v>13855</v>
      </c>
      <c r="AH190" s="3">
        <v>14285</v>
      </c>
      <c r="AI190" s="3">
        <v>14305</v>
      </c>
      <c r="AJ190" s="3">
        <v>13640</v>
      </c>
      <c r="AK190" s="3">
        <v>13635</v>
      </c>
      <c r="AL190" s="3">
        <v>13720</v>
      </c>
      <c r="AM190" s="3">
        <v>13720</v>
      </c>
      <c r="AN190" s="3">
        <v>13395</v>
      </c>
      <c r="AO190" s="3">
        <v>13395</v>
      </c>
      <c r="AP190" s="3">
        <v>13480</v>
      </c>
      <c r="AQ190" s="3">
        <v>13470</v>
      </c>
      <c r="AR190" s="4">
        <f t="shared" si="77"/>
        <v>1.3009540329575131E-2</v>
      </c>
      <c r="AS190" s="4">
        <f t="shared" si="54"/>
        <v>3.0303030303030498E-3</v>
      </c>
      <c r="AT190" s="4">
        <f t="shared" si="55"/>
        <v>2.5528169014084501E-2</v>
      </c>
      <c r="AU190" s="4">
        <f t="shared" si="56"/>
        <v>3.522920203735147E-2</v>
      </c>
      <c r="AV190" s="4">
        <f t="shared" si="57"/>
        <v>2.9940119760478723E-3</v>
      </c>
      <c r="AW190" s="4">
        <f t="shared" si="58"/>
        <v>1.4333895446880351E-2</v>
      </c>
      <c r="AX190" s="4">
        <f t="shared" si="59"/>
        <v>3.4667767230705637E-2</v>
      </c>
      <c r="AY190" s="4">
        <f t="shared" si="60"/>
        <v>7.4334898278560768E-3</v>
      </c>
      <c r="AZ190" s="4">
        <f t="shared" si="61"/>
        <v>1.5942606616181632E-3</v>
      </c>
      <c r="BA190" s="4">
        <f t="shared" si="62"/>
        <v>0</v>
      </c>
      <c r="BB190" s="4">
        <f t="shared" si="63"/>
        <v>4.053506282934749E-2</v>
      </c>
      <c r="BC190" s="4">
        <f t="shared" si="64"/>
        <v>5.5401662049860967E-3</v>
      </c>
      <c r="BD190" s="4">
        <f t="shared" si="65"/>
        <v>1.0514018691588745E-2</v>
      </c>
      <c r="BE190" s="4">
        <f t="shared" si="66"/>
        <v>2.5838796760509153E-2</v>
      </c>
      <c r="BF190" s="4">
        <f t="shared" si="67"/>
        <v>6.1115355233001267E-3</v>
      </c>
      <c r="BG190" s="4">
        <f t="shared" si="68"/>
        <v>3.8995125609298853E-2</v>
      </c>
      <c r="BH190" s="4">
        <f t="shared" si="69"/>
        <v>2.8396836808051829E-2</v>
      </c>
      <c r="BI190" s="4">
        <f t="shared" si="70"/>
        <v>1.7297297297297343E-2</v>
      </c>
      <c r="BJ190" s="4">
        <f t="shared" si="71"/>
        <v>0</v>
      </c>
      <c r="BK190" s="4">
        <f t="shared" si="72"/>
        <v>2.1191085129704024E-2</v>
      </c>
      <c r="BL190" s="4">
        <f t="shared" si="73"/>
        <v>1.1148272017837968E-3</v>
      </c>
      <c r="BM190" s="4">
        <f t="shared" si="78"/>
        <v>1.5239334231041337E-2</v>
      </c>
      <c r="BN190" s="9">
        <f t="shared" si="79"/>
        <v>13660.045242078661</v>
      </c>
      <c r="BO190" s="10">
        <f t="shared" si="80"/>
        <v>13121.935871371375</v>
      </c>
      <c r="BP190">
        <v>13855</v>
      </c>
      <c r="BQ190">
        <v>13855</v>
      </c>
      <c r="BR190">
        <v>13850</v>
      </c>
      <c r="BS190">
        <v>13855</v>
      </c>
      <c r="BT190">
        <v>2031</v>
      </c>
      <c r="BU190" s="13">
        <f t="shared" si="74"/>
        <v>13853.333333333334</v>
      </c>
      <c r="BV190" s="13">
        <f t="shared" si="75"/>
        <v>28136120</v>
      </c>
      <c r="BW190" s="13">
        <f>SUM($BV$3:BV190)</f>
        <v>187089244823.3334</v>
      </c>
      <c r="BX190" s="13">
        <f>SUM($BT$3:BT190)</f>
        <v>13668744</v>
      </c>
      <c r="BY190" s="3">
        <f t="shared" si="76"/>
        <v>13687.376457071214</v>
      </c>
    </row>
    <row r="191" spans="1:77" x14ac:dyDescent="0.3">
      <c r="A191" s="3" t="s">
        <v>231</v>
      </c>
      <c r="B191" s="3">
        <v>11675</v>
      </c>
      <c r="C191" s="3">
        <v>11680</v>
      </c>
      <c r="D191" s="3">
        <v>11515</v>
      </c>
      <c r="E191" s="3">
        <v>11510</v>
      </c>
      <c r="F191" s="3">
        <v>11655</v>
      </c>
      <c r="G191" s="3">
        <v>11655</v>
      </c>
      <c r="H191" s="3">
        <v>11365</v>
      </c>
      <c r="I191" s="3">
        <v>11365</v>
      </c>
      <c r="J191" s="3">
        <v>11725</v>
      </c>
      <c r="K191" s="3">
        <v>11725</v>
      </c>
      <c r="L191" s="3">
        <v>12030</v>
      </c>
      <c r="M191" s="3">
        <v>12030</v>
      </c>
      <c r="N191" s="3">
        <v>12535</v>
      </c>
      <c r="O191" s="3">
        <v>12525</v>
      </c>
      <c r="P191" s="3">
        <v>12680</v>
      </c>
      <c r="Q191" s="3">
        <v>12690</v>
      </c>
      <c r="R191" s="3">
        <v>12535</v>
      </c>
      <c r="S191" s="3">
        <v>12535</v>
      </c>
      <c r="T191" s="3">
        <v>12375</v>
      </c>
      <c r="U191" s="3">
        <v>12375</v>
      </c>
      <c r="V191" s="3">
        <v>12830</v>
      </c>
      <c r="W191" s="3">
        <v>12830</v>
      </c>
      <c r="X191" s="3">
        <v>12560</v>
      </c>
      <c r="Y191" s="3">
        <v>12570</v>
      </c>
      <c r="Z191" s="3">
        <v>12705</v>
      </c>
      <c r="AA191" s="3">
        <v>12705</v>
      </c>
      <c r="AB191" s="3">
        <v>13295</v>
      </c>
      <c r="AC191" s="3">
        <v>13300</v>
      </c>
      <c r="AD191" s="3">
        <v>13165</v>
      </c>
      <c r="AE191" s="3">
        <v>13170</v>
      </c>
      <c r="AF191" s="3">
        <v>13855</v>
      </c>
      <c r="AG191" s="3">
        <v>13860</v>
      </c>
      <c r="AH191" s="3">
        <v>14300</v>
      </c>
      <c r="AI191" s="3">
        <v>14305</v>
      </c>
      <c r="AJ191" s="3">
        <v>13630</v>
      </c>
      <c r="AK191" s="3">
        <v>13655</v>
      </c>
      <c r="AL191" s="3">
        <v>13720</v>
      </c>
      <c r="AM191" s="3">
        <v>13710</v>
      </c>
      <c r="AN191" s="3">
        <v>13395</v>
      </c>
      <c r="AO191" s="3">
        <v>13385</v>
      </c>
      <c r="AP191" s="3">
        <v>13465</v>
      </c>
      <c r="AQ191" s="3">
        <v>13465</v>
      </c>
      <c r="AR191" s="4">
        <f t="shared" si="77"/>
        <v>1.3009540329575131E-2</v>
      </c>
      <c r="AS191" s="4">
        <f t="shared" si="54"/>
        <v>3.4632034632035014E-3</v>
      </c>
      <c r="AT191" s="4">
        <f t="shared" si="55"/>
        <v>2.5968309859154992E-2</v>
      </c>
      <c r="AU191" s="4">
        <f t="shared" si="56"/>
        <v>3.522920203735147E-2</v>
      </c>
      <c r="AV191" s="4">
        <f t="shared" si="57"/>
        <v>2.9940119760478723E-3</v>
      </c>
      <c r="AW191" s="4">
        <f t="shared" si="58"/>
        <v>1.4333895446880351E-2</v>
      </c>
      <c r="AX191" s="4">
        <f t="shared" si="59"/>
        <v>3.3842344201403307E-2</v>
      </c>
      <c r="AY191" s="4">
        <f t="shared" si="60"/>
        <v>7.0422535211267512E-3</v>
      </c>
      <c r="AZ191" s="4">
        <f t="shared" si="61"/>
        <v>7.9713033080908158E-4</v>
      </c>
      <c r="BA191" s="4">
        <f t="shared" si="62"/>
        <v>0</v>
      </c>
      <c r="BB191" s="4">
        <f t="shared" si="63"/>
        <v>4.0129712201053991E-2</v>
      </c>
      <c r="BC191" s="4">
        <f t="shared" si="64"/>
        <v>5.1444400474871532E-3</v>
      </c>
      <c r="BD191" s="4">
        <f t="shared" si="65"/>
        <v>1.0514018691588745E-2</v>
      </c>
      <c r="BE191" s="4">
        <f t="shared" si="66"/>
        <v>2.5838796760509153E-2</v>
      </c>
      <c r="BF191" s="4">
        <f t="shared" si="67"/>
        <v>6.1115355233001267E-3</v>
      </c>
      <c r="BG191" s="4">
        <f t="shared" si="68"/>
        <v>3.937007874015741E-2</v>
      </c>
      <c r="BH191" s="4">
        <f t="shared" si="69"/>
        <v>2.8396836808051829E-2</v>
      </c>
      <c r="BI191" s="4">
        <f t="shared" si="70"/>
        <v>1.5855855855855805E-2</v>
      </c>
      <c r="BJ191" s="4">
        <f t="shared" si="71"/>
        <v>7.2886297376095754E-4</v>
      </c>
      <c r="BK191" s="4">
        <f t="shared" si="72"/>
        <v>2.1921812203142155E-2</v>
      </c>
      <c r="BL191" s="4">
        <f t="shared" si="73"/>
        <v>7.4321813452238317E-4</v>
      </c>
      <c r="BM191" s="4">
        <f t="shared" si="78"/>
        <v>1.5100632432851178E-2</v>
      </c>
      <c r="BN191" s="9">
        <f t="shared" si="79"/>
        <v>13658.179009384012</v>
      </c>
      <c r="BO191" s="10">
        <f t="shared" si="80"/>
        <v>13123.784072832257</v>
      </c>
      <c r="BP191">
        <v>13855</v>
      </c>
      <c r="BQ191">
        <v>13860</v>
      </c>
      <c r="BR191">
        <v>13850</v>
      </c>
      <c r="BS191">
        <v>13860</v>
      </c>
      <c r="BT191">
        <v>34068</v>
      </c>
      <c r="BU191" s="13">
        <f t="shared" si="74"/>
        <v>13856.666666666666</v>
      </c>
      <c r="BV191" s="13">
        <f t="shared" si="75"/>
        <v>472068920</v>
      </c>
      <c r="BW191" s="13">
        <f>SUM($BV$3:BV191)</f>
        <v>187561313743.3334</v>
      </c>
      <c r="BX191" s="13">
        <f>SUM($BT$3:BT191)</f>
        <v>13702812</v>
      </c>
      <c r="BY191" s="3">
        <f t="shared" si="76"/>
        <v>13687.797347240363</v>
      </c>
    </row>
    <row r="192" spans="1:77" x14ac:dyDescent="0.3">
      <c r="A192" s="3" t="s">
        <v>232</v>
      </c>
      <c r="B192" s="3">
        <v>11680</v>
      </c>
      <c r="C192" s="3">
        <v>11675</v>
      </c>
      <c r="D192" s="3">
        <v>11510</v>
      </c>
      <c r="E192" s="3">
        <v>11540</v>
      </c>
      <c r="F192" s="3">
        <v>11655</v>
      </c>
      <c r="G192" s="3">
        <v>11645</v>
      </c>
      <c r="H192" s="3">
        <v>11365</v>
      </c>
      <c r="I192" s="3">
        <v>11375</v>
      </c>
      <c r="J192" s="3">
        <v>11730</v>
      </c>
      <c r="K192" s="3">
        <v>11735</v>
      </c>
      <c r="L192" s="3">
        <v>12035</v>
      </c>
      <c r="M192" s="3">
        <v>12035</v>
      </c>
      <c r="N192" s="3">
        <v>12525</v>
      </c>
      <c r="O192" s="3">
        <v>12525</v>
      </c>
      <c r="P192" s="3">
        <v>12690</v>
      </c>
      <c r="Q192" s="3">
        <v>12680</v>
      </c>
      <c r="R192" s="3">
        <v>12530</v>
      </c>
      <c r="S192" s="3">
        <v>12525</v>
      </c>
      <c r="T192" s="3">
        <v>12375</v>
      </c>
      <c r="U192" s="3">
        <v>12365</v>
      </c>
      <c r="V192" s="3">
        <v>12830</v>
      </c>
      <c r="W192" s="3">
        <v>12830</v>
      </c>
      <c r="X192" s="3">
        <v>12575</v>
      </c>
      <c r="Y192" s="3">
        <v>12565</v>
      </c>
      <c r="Z192" s="3">
        <v>12710</v>
      </c>
      <c r="AA192" s="3">
        <v>12710</v>
      </c>
      <c r="AB192" s="3">
        <v>13300</v>
      </c>
      <c r="AC192" s="3">
        <v>13290</v>
      </c>
      <c r="AD192" s="3">
        <v>13175</v>
      </c>
      <c r="AE192" s="3">
        <v>13180</v>
      </c>
      <c r="AF192" s="3">
        <v>13860</v>
      </c>
      <c r="AG192" s="3">
        <v>13855</v>
      </c>
      <c r="AH192" s="3">
        <v>14305</v>
      </c>
      <c r="AI192" s="3">
        <v>14315</v>
      </c>
      <c r="AJ192" s="3">
        <v>13655</v>
      </c>
      <c r="AK192" s="3">
        <v>13670</v>
      </c>
      <c r="AL192" s="3">
        <v>13710</v>
      </c>
      <c r="AM192" s="3">
        <v>13695</v>
      </c>
      <c r="AN192" s="3">
        <v>13385</v>
      </c>
      <c r="AO192" s="3">
        <v>13385</v>
      </c>
      <c r="AP192" s="3">
        <v>13470</v>
      </c>
      <c r="AQ192" s="3">
        <v>13475</v>
      </c>
      <c r="AR192" s="4">
        <f t="shared" si="77"/>
        <v>1.2575888985255856E-2</v>
      </c>
      <c r="AS192" s="4">
        <f t="shared" si="54"/>
        <v>8.658008658009031E-4</v>
      </c>
      <c r="AT192" s="4">
        <f t="shared" si="55"/>
        <v>2.5088028169014009E-2</v>
      </c>
      <c r="AU192" s="4">
        <f t="shared" si="56"/>
        <v>3.4380305602716432E-2</v>
      </c>
      <c r="AV192" s="4">
        <f t="shared" si="57"/>
        <v>3.8494439692045024E-3</v>
      </c>
      <c r="AW192" s="4">
        <f t="shared" si="58"/>
        <v>1.4755480607082649E-2</v>
      </c>
      <c r="AX192" s="4">
        <f t="shared" si="59"/>
        <v>3.3842344201403307E-2</v>
      </c>
      <c r="AY192" s="4">
        <f t="shared" si="60"/>
        <v>7.8247261345852914E-3</v>
      </c>
      <c r="AZ192" s="4">
        <f t="shared" si="61"/>
        <v>1.5942606616181632E-3</v>
      </c>
      <c r="BA192" s="4">
        <f t="shared" si="62"/>
        <v>8.0808080808081328E-4</v>
      </c>
      <c r="BB192" s="4">
        <f t="shared" si="63"/>
        <v>4.0129712201053991E-2</v>
      </c>
      <c r="BC192" s="4">
        <f t="shared" si="64"/>
        <v>5.5401662049860967E-3</v>
      </c>
      <c r="BD192" s="4">
        <f t="shared" si="65"/>
        <v>1.0124610591900285E-2</v>
      </c>
      <c r="BE192" s="4">
        <f t="shared" si="66"/>
        <v>2.5067489394523745E-2</v>
      </c>
      <c r="BF192" s="4">
        <f t="shared" si="67"/>
        <v>6.8754774637127536E-3</v>
      </c>
      <c r="BG192" s="4">
        <f t="shared" si="68"/>
        <v>3.8995125609298853E-2</v>
      </c>
      <c r="BH192" s="4">
        <f t="shared" si="69"/>
        <v>2.911574406901507E-2</v>
      </c>
      <c r="BI192" s="4">
        <f t="shared" si="70"/>
        <v>1.4774774774774735E-2</v>
      </c>
      <c r="BJ192" s="4">
        <f t="shared" si="71"/>
        <v>1.8221574344022828E-3</v>
      </c>
      <c r="BK192" s="4">
        <f t="shared" si="72"/>
        <v>2.1921812203142155E-2</v>
      </c>
      <c r="BL192" s="4">
        <f t="shared" si="73"/>
        <v>1.4864362690449884E-3</v>
      </c>
      <c r="BM192" s="4">
        <f t="shared" si="78"/>
        <v>1.5053280491120211E-2</v>
      </c>
      <c r="BN192" s="9">
        <f t="shared" si="79"/>
        <v>13657.541889008024</v>
      </c>
      <c r="BO192" s="10">
        <f t="shared" si="80"/>
        <v>13124.415037455823</v>
      </c>
      <c r="BP192">
        <v>13860</v>
      </c>
      <c r="BQ192">
        <v>13860</v>
      </c>
      <c r="BR192">
        <v>13845</v>
      </c>
      <c r="BS192">
        <v>13855</v>
      </c>
      <c r="BT192">
        <v>5277</v>
      </c>
      <c r="BU192" s="13">
        <f t="shared" si="74"/>
        <v>13853.333333333334</v>
      </c>
      <c r="BV192" s="13">
        <f t="shared" si="75"/>
        <v>73104040</v>
      </c>
      <c r="BW192" s="13">
        <f>SUM($BV$3:BV192)</f>
        <v>187634417783.3334</v>
      </c>
      <c r="BX192" s="13">
        <f>SUM($BT$3:BT192)</f>
        <v>13708089</v>
      </c>
      <c r="BY192" s="3">
        <f t="shared" si="76"/>
        <v>13687.861071177274</v>
      </c>
    </row>
    <row r="193" spans="1:77" x14ac:dyDescent="0.3">
      <c r="A193" s="3" t="s">
        <v>233</v>
      </c>
      <c r="B193" s="3">
        <v>11670</v>
      </c>
      <c r="C193" s="3">
        <v>11670</v>
      </c>
      <c r="D193" s="3">
        <v>11540</v>
      </c>
      <c r="E193" s="3">
        <v>11525</v>
      </c>
      <c r="F193" s="3">
        <v>11640</v>
      </c>
      <c r="G193" s="3">
        <v>11640</v>
      </c>
      <c r="H193" s="3">
        <v>11375</v>
      </c>
      <c r="I193" s="3">
        <v>11360</v>
      </c>
      <c r="J193" s="3">
        <v>11725</v>
      </c>
      <c r="K193" s="3">
        <v>11725</v>
      </c>
      <c r="L193" s="3">
        <v>12035</v>
      </c>
      <c r="M193" s="3">
        <v>12040</v>
      </c>
      <c r="N193" s="3">
        <v>12525</v>
      </c>
      <c r="O193" s="3">
        <v>12525</v>
      </c>
      <c r="P193" s="3">
        <v>12685</v>
      </c>
      <c r="Q193" s="3">
        <v>12675</v>
      </c>
      <c r="R193" s="3">
        <v>12525</v>
      </c>
      <c r="S193" s="3">
        <v>12535</v>
      </c>
      <c r="T193" s="3">
        <v>12370</v>
      </c>
      <c r="U193" s="3">
        <v>12370</v>
      </c>
      <c r="V193" s="3">
        <v>12830</v>
      </c>
      <c r="W193" s="3">
        <v>12820</v>
      </c>
      <c r="X193" s="3">
        <v>12570</v>
      </c>
      <c r="Y193" s="3">
        <v>12570</v>
      </c>
      <c r="Z193" s="3">
        <v>12715</v>
      </c>
      <c r="AA193" s="3">
        <v>12715</v>
      </c>
      <c r="AB193" s="3">
        <v>13290</v>
      </c>
      <c r="AC193" s="3">
        <v>13290</v>
      </c>
      <c r="AD193" s="3">
        <v>13185</v>
      </c>
      <c r="AE193" s="3">
        <v>13175</v>
      </c>
      <c r="AF193" s="3">
        <v>13850</v>
      </c>
      <c r="AG193" s="3">
        <v>13840</v>
      </c>
      <c r="AH193" s="3">
        <v>14315</v>
      </c>
      <c r="AI193" s="3">
        <v>14315</v>
      </c>
      <c r="AJ193" s="3">
        <v>13670</v>
      </c>
      <c r="AK193" s="3">
        <v>13680</v>
      </c>
      <c r="AL193" s="3">
        <v>13695</v>
      </c>
      <c r="AM193" s="3">
        <v>13710</v>
      </c>
      <c r="AN193" s="3">
        <v>13380</v>
      </c>
      <c r="AO193" s="3">
        <v>13375</v>
      </c>
      <c r="AP193" s="3">
        <v>13475</v>
      </c>
      <c r="AQ193" s="3">
        <v>13480</v>
      </c>
      <c r="AR193" s="4">
        <f t="shared" si="77"/>
        <v>1.2142237640936582E-2</v>
      </c>
      <c r="AS193" s="4">
        <f t="shared" si="54"/>
        <v>2.1645021645021467E-3</v>
      </c>
      <c r="AT193" s="4">
        <f t="shared" si="55"/>
        <v>2.464788732394374E-2</v>
      </c>
      <c r="AU193" s="4">
        <f t="shared" si="56"/>
        <v>3.5653650254668934E-2</v>
      </c>
      <c r="AV193" s="4">
        <f t="shared" si="57"/>
        <v>2.9940119760478723E-3</v>
      </c>
      <c r="AW193" s="4">
        <f t="shared" si="58"/>
        <v>1.5177065767284947E-2</v>
      </c>
      <c r="AX193" s="4">
        <f t="shared" si="59"/>
        <v>3.3842344201403307E-2</v>
      </c>
      <c r="AY193" s="4">
        <f t="shared" si="60"/>
        <v>8.215962441314506E-3</v>
      </c>
      <c r="AZ193" s="4">
        <f t="shared" si="61"/>
        <v>7.9713033080908158E-4</v>
      </c>
      <c r="BA193" s="4">
        <f t="shared" si="62"/>
        <v>4.0404040404040664E-4</v>
      </c>
      <c r="BB193" s="4">
        <f t="shared" si="63"/>
        <v>3.9319010944466992E-2</v>
      </c>
      <c r="BC193" s="4">
        <f t="shared" si="64"/>
        <v>5.1444400474871532E-3</v>
      </c>
      <c r="BD193" s="4">
        <f t="shared" si="65"/>
        <v>9.7352024922118252E-3</v>
      </c>
      <c r="BE193" s="4">
        <f t="shared" si="66"/>
        <v>2.5067489394523745E-2</v>
      </c>
      <c r="BF193" s="4">
        <f t="shared" si="67"/>
        <v>6.4935064935065512E-3</v>
      </c>
      <c r="BG193" s="4">
        <f t="shared" si="68"/>
        <v>3.7870266216722959E-2</v>
      </c>
      <c r="BH193" s="4">
        <f t="shared" si="69"/>
        <v>2.911574406901507E-2</v>
      </c>
      <c r="BI193" s="4">
        <f t="shared" si="70"/>
        <v>1.4054054054054022E-2</v>
      </c>
      <c r="BJ193" s="4">
        <f t="shared" si="71"/>
        <v>7.2886297376095754E-4</v>
      </c>
      <c r="BK193" s="4">
        <f t="shared" si="72"/>
        <v>2.2652539276580175E-2</v>
      </c>
      <c r="BL193" s="4">
        <f t="shared" si="73"/>
        <v>1.85804533630618E-3</v>
      </c>
      <c r="BM193" s="4">
        <f t="shared" si="78"/>
        <v>1.4975446016872229E-2</v>
      </c>
      <c r="BN193" s="9">
        <f t="shared" si="79"/>
        <v>13656.494626157017</v>
      </c>
      <c r="BO193" s="10">
        <f t="shared" si="80"/>
        <v>13125.452181825176</v>
      </c>
      <c r="BP193">
        <v>13850</v>
      </c>
      <c r="BQ193">
        <v>13850</v>
      </c>
      <c r="BR193">
        <v>13835</v>
      </c>
      <c r="BS193">
        <v>13840</v>
      </c>
      <c r="BT193">
        <v>16715</v>
      </c>
      <c r="BU193" s="13">
        <f t="shared" si="74"/>
        <v>13841.666666666666</v>
      </c>
      <c r="BV193" s="13">
        <f t="shared" si="75"/>
        <v>231363458.33333331</v>
      </c>
      <c r="BW193" s="13">
        <f>SUM($BV$3:BV193)</f>
        <v>187865781241.66675</v>
      </c>
      <c r="BX193" s="13">
        <f>SUM($BT$3:BT193)</f>
        <v>13724804</v>
      </c>
      <c r="BY193" s="3">
        <f t="shared" si="76"/>
        <v>13688.048386094748</v>
      </c>
    </row>
    <row r="194" spans="1:77" x14ac:dyDescent="0.3">
      <c r="A194" s="3" t="s">
        <v>234</v>
      </c>
      <c r="B194" s="3">
        <v>11670</v>
      </c>
      <c r="C194" s="3">
        <v>11670</v>
      </c>
      <c r="D194" s="3">
        <v>11530</v>
      </c>
      <c r="E194" s="3">
        <v>11530</v>
      </c>
      <c r="F194" s="3">
        <v>11645</v>
      </c>
      <c r="G194" s="3">
        <v>11645</v>
      </c>
      <c r="H194" s="3">
        <v>11360</v>
      </c>
      <c r="I194" s="3">
        <v>11370</v>
      </c>
      <c r="J194" s="3">
        <v>11725</v>
      </c>
      <c r="K194" s="3">
        <v>11730</v>
      </c>
      <c r="L194" s="3">
        <v>12040</v>
      </c>
      <c r="M194" s="3">
        <v>12030</v>
      </c>
      <c r="N194" s="3">
        <v>12525</v>
      </c>
      <c r="O194" s="3">
        <v>12520</v>
      </c>
      <c r="P194" s="3">
        <v>12675</v>
      </c>
      <c r="Q194" s="3">
        <v>12680</v>
      </c>
      <c r="R194" s="3">
        <v>12530</v>
      </c>
      <c r="S194" s="3">
        <v>12540</v>
      </c>
      <c r="T194" s="3">
        <v>12365</v>
      </c>
      <c r="U194" s="3">
        <v>12365</v>
      </c>
      <c r="V194" s="3">
        <v>12825</v>
      </c>
      <c r="W194" s="3">
        <v>12820</v>
      </c>
      <c r="X194" s="3">
        <v>12570</v>
      </c>
      <c r="Y194" s="3">
        <v>12575</v>
      </c>
      <c r="Z194" s="3">
        <v>12715</v>
      </c>
      <c r="AA194" s="3">
        <v>12720</v>
      </c>
      <c r="AB194" s="3">
        <v>13290</v>
      </c>
      <c r="AC194" s="3">
        <v>13300</v>
      </c>
      <c r="AD194" s="3">
        <v>13170</v>
      </c>
      <c r="AE194" s="3">
        <v>13175</v>
      </c>
      <c r="AF194" s="3">
        <v>13840</v>
      </c>
      <c r="AG194" s="3">
        <v>13830</v>
      </c>
      <c r="AH194" s="3">
        <v>14320</v>
      </c>
      <c r="AI194" s="3">
        <v>14340</v>
      </c>
      <c r="AJ194" s="3">
        <v>13675</v>
      </c>
      <c r="AK194" s="3">
        <v>13685</v>
      </c>
      <c r="AL194" s="3">
        <v>13710</v>
      </c>
      <c r="AM194" s="3">
        <v>13710</v>
      </c>
      <c r="AN194" s="3">
        <v>13375</v>
      </c>
      <c r="AO194" s="3">
        <v>13385</v>
      </c>
      <c r="AP194" s="3">
        <v>13485</v>
      </c>
      <c r="AQ194" s="3">
        <v>13470</v>
      </c>
      <c r="AR194" s="4">
        <f t="shared" si="77"/>
        <v>1.2142237640936582E-2</v>
      </c>
      <c r="AS194" s="4">
        <f t="shared" si="54"/>
        <v>1.7316017316016952E-3</v>
      </c>
      <c r="AT194" s="4">
        <f t="shared" si="55"/>
        <v>2.5088028169014009E-2</v>
      </c>
      <c r="AU194" s="4">
        <f t="shared" si="56"/>
        <v>3.4804753820034007E-2</v>
      </c>
      <c r="AV194" s="4">
        <f t="shared" si="57"/>
        <v>3.4217279726260763E-3</v>
      </c>
      <c r="AW194" s="4">
        <f t="shared" si="58"/>
        <v>1.4333895446880351E-2</v>
      </c>
      <c r="AX194" s="4">
        <f t="shared" si="59"/>
        <v>3.3429632686752031E-2</v>
      </c>
      <c r="AY194" s="4">
        <f t="shared" si="60"/>
        <v>7.8247261345852914E-3</v>
      </c>
      <c r="AZ194" s="4">
        <f t="shared" si="61"/>
        <v>3.985651654045963E-4</v>
      </c>
      <c r="BA194" s="4">
        <f t="shared" si="62"/>
        <v>8.0808080808081328E-4</v>
      </c>
      <c r="BB194" s="4">
        <f t="shared" si="63"/>
        <v>3.9319010944466992E-2</v>
      </c>
      <c r="BC194" s="4">
        <f t="shared" si="64"/>
        <v>4.7487138899880987E-3</v>
      </c>
      <c r="BD194" s="4">
        <f t="shared" si="65"/>
        <v>9.3457943925233655E-3</v>
      </c>
      <c r="BE194" s="4">
        <f t="shared" si="66"/>
        <v>2.5838796760509153E-2</v>
      </c>
      <c r="BF194" s="4">
        <f t="shared" si="67"/>
        <v>6.4935064935065512E-3</v>
      </c>
      <c r="BG194" s="4">
        <f t="shared" si="68"/>
        <v>3.7120359955005622E-2</v>
      </c>
      <c r="BH194" s="4">
        <f t="shared" si="69"/>
        <v>3.0913012221423397E-2</v>
      </c>
      <c r="BI194" s="4">
        <f t="shared" si="70"/>
        <v>1.3693693693693665E-2</v>
      </c>
      <c r="BJ194" s="4">
        <f t="shared" si="71"/>
        <v>7.2886297376095754E-4</v>
      </c>
      <c r="BK194" s="4">
        <f t="shared" si="72"/>
        <v>2.1921812203142155E-2</v>
      </c>
      <c r="BL194" s="4">
        <f t="shared" si="73"/>
        <v>1.1148272017837968E-3</v>
      </c>
      <c r="BM194" s="4">
        <f t="shared" si="78"/>
        <v>1.482763102971236E-2</v>
      </c>
      <c r="BN194" s="9">
        <f t="shared" si="79"/>
        <v>13654.50577550478</v>
      </c>
      <c r="BO194" s="10">
        <f t="shared" si="80"/>
        <v>13127.421816529082</v>
      </c>
      <c r="BP194">
        <v>13840</v>
      </c>
      <c r="BQ194">
        <v>13840</v>
      </c>
      <c r="BR194">
        <v>13825</v>
      </c>
      <c r="BS194">
        <v>13830</v>
      </c>
      <c r="BT194">
        <v>13368</v>
      </c>
      <c r="BU194" s="13">
        <f t="shared" si="74"/>
        <v>13831.666666666666</v>
      </c>
      <c r="BV194" s="13">
        <f t="shared" si="75"/>
        <v>184901720</v>
      </c>
      <c r="BW194" s="13">
        <f>SUM($BV$3:BV194)</f>
        <v>188050682961.66675</v>
      </c>
      <c r="BX194" s="13">
        <f>SUM($BT$3:BT194)</f>
        <v>13738172</v>
      </c>
      <c r="BY194" s="3">
        <f t="shared" si="76"/>
        <v>13688.188134612577</v>
      </c>
    </row>
    <row r="195" spans="1:77" x14ac:dyDescent="0.3">
      <c r="A195" s="3" t="s">
        <v>235</v>
      </c>
      <c r="B195" s="3">
        <v>11675</v>
      </c>
      <c r="C195" s="3">
        <v>11675</v>
      </c>
      <c r="D195" s="3">
        <v>11530</v>
      </c>
      <c r="E195" s="3">
        <v>11525</v>
      </c>
      <c r="F195" s="3">
        <v>11645</v>
      </c>
      <c r="G195" s="3">
        <v>11640</v>
      </c>
      <c r="H195" s="3">
        <v>11370</v>
      </c>
      <c r="I195" s="3">
        <v>11375</v>
      </c>
      <c r="J195" s="3">
        <v>11735</v>
      </c>
      <c r="K195" s="3">
        <v>11725</v>
      </c>
      <c r="L195" s="3">
        <v>12030</v>
      </c>
      <c r="M195" s="3">
        <v>12040</v>
      </c>
      <c r="N195" s="3">
        <v>12520</v>
      </c>
      <c r="O195" s="3">
        <v>12530</v>
      </c>
      <c r="P195" s="3">
        <v>12680</v>
      </c>
      <c r="Q195" s="3">
        <v>12675</v>
      </c>
      <c r="R195" s="3">
        <v>12535</v>
      </c>
      <c r="S195" s="3">
        <v>12540</v>
      </c>
      <c r="T195" s="3">
        <v>12360</v>
      </c>
      <c r="U195" s="3">
        <v>12340</v>
      </c>
      <c r="V195" s="3">
        <v>12825</v>
      </c>
      <c r="W195" s="3">
        <v>12825</v>
      </c>
      <c r="X195" s="3">
        <v>12570</v>
      </c>
      <c r="Y195" s="3">
        <v>12575</v>
      </c>
      <c r="Z195" s="3">
        <v>12725</v>
      </c>
      <c r="AA195" s="3">
        <v>12725</v>
      </c>
      <c r="AB195" s="3">
        <v>13300</v>
      </c>
      <c r="AC195" s="3">
        <v>13295</v>
      </c>
      <c r="AD195" s="3">
        <v>13180</v>
      </c>
      <c r="AE195" s="3">
        <v>13180</v>
      </c>
      <c r="AF195" s="3">
        <v>13830</v>
      </c>
      <c r="AG195" s="3">
        <v>13850</v>
      </c>
      <c r="AH195" s="3">
        <v>14340</v>
      </c>
      <c r="AI195" s="3">
        <v>14340</v>
      </c>
      <c r="AJ195" s="3">
        <v>13685</v>
      </c>
      <c r="AK195" s="3">
        <v>13685</v>
      </c>
      <c r="AL195" s="3">
        <v>13715</v>
      </c>
      <c r="AM195" s="3">
        <v>13725</v>
      </c>
      <c r="AN195" s="3">
        <v>13385</v>
      </c>
      <c r="AO195" s="3">
        <v>13395</v>
      </c>
      <c r="AP195" s="3">
        <v>13470</v>
      </c>
      <c r="AQ195" s="3">
        <v>13480</v>
      </c>
      <c r="AR195" s="4">
        <f t="shared" si="77"/>
        <v>1.2575888985255856E-2</v>
      </c>
      <c r="AS195" s="4">
        <f t="shared" si="54"/>
        <v>2.1645021645021467E-3</v>
      </c>
      <c r="AT195" s="4">
        <f t="shared" si="55"/>
        <v>2.464788732394374E-2</v>
      </c>
      <c r="AU195" s="4">
        <f t="shared" si="56"/>
        <v>3.4380305602716432E-2</v>
      </c>
      <c r="AV195" s="4">
        <f t="shared" si="57"/>
        <v>2.9940119760478723E-3</v>
      </c>
      <c r="AW195" s="4">
        <f t="shared" si="58"/>
        <v>1.5177065767284947E-2</v>
      </c>
      <c r="AX195" s="4">
        <f t="shared" si="59"/>
        <v>3.4255055716054583E-2</v>
      </c>
      <c r="AY195" s="4">
        <f t="shared" si="60"/>
        <v>8.215962441314506E-3</v>
      </c>
      <c r="AZ195" s="4">
        <f t="shared" si="61"/>
        <v>3.985651654045963E-4</v>
      </c>
      <c r="BA195" s="4">
        <f t="shared" si="62"/>
        <v>2.8282828282828465E-3</v>
      </c>
      <c r="BB195" s="4">
        <f t="shared" si="63"/>
        <v>3.9724361572760492E-2</v>
      </c>
      <c r="BC195" s="4">
        <f t="shared" si="64"/>
        <v>4.7487138899880987E-3</v>
      </c>
      <c r="BD195" s="4">
        <f t="shared" si="65"/>
        <v>8.9563862928349058E-3</v>
      </c>
      <c r="BE195" s="4">
        <f t="shared" si="66"/>
        <v>2.5453143077516449E-2</v>
      </c>
      <c r="BF195" s="4">
        <f t="shared" si="67"/>
        <v>6.8754774637127536E-3</v>
      </c>
      <c r="BG195" s="4">
        <f t="shared" si="68"/>
        <v>3.8620172478440296E-2</v>
      </c>
      <c r="BH195" s="4">
        <f t="shared" si="69"/>
        <v>3.0913012221423397E-2</v>
      </c>
      <c r="BI195" s="4">
        <f t="shared" si="70"/>
        <v>1.3693693693693665E-2</v>
      </c>
      <c r="BJ195" s="4">
        <f t="shared" si="71"/>
        <v>3.6443148688047877E-4</v>
      </c>
      <c r="BK195" s="4">
        <f t="shared" si="72"/>
        <v>2.1191085129704024E-2</v>
      </c>
      <c r="BL195" s="4">
        <f t="shared" si="73"/>
        <v>1.85804533630618E-3</v>
      </c>
      <c r="BM195" s="4">
        <f t="shared" si="78"/>
        <v>1.5058551520168884E-2</v>
      </c>
      <c r="BN195" s="9">
        <f t="shared" si="79"/>
        <v>13657.612810703873</v>
      </c>
      <c r="BO195" s="10">
        <f t="shared" si="80"/>
        <v>13124.344800993749</v>
      </c>
      <c r="BP195">
        <v>13830</v>
      </c>
      <c r="BQ195">
        <v>13850</v>
      </c>
      <c r="BR195">
        <v>13830</v>
      </c>
      <c r="BS195">
        <v>13850</v>
      </c>
      <c r="BT195">
        <v>15470</v>
      </c>
      <c r="BU195" s="13">
        <f t="shared" si="74"/>
        <v>13843.333333333334</v>
      </c>
      <c r="BV195" s="13">
        <f t="shared" si="75"/>
        <v>214156366.66666669</v>
      </c>
      <c r="BW195" s="13">
        <f>SUM($BV$3:BV195)</f>
        <v>188264839328.3334</v>
      </c>
      <c r="BX195" s="13">
        <f>SUM($BT$3:BT195)</f>
        <v>13753642</v>
      </c>
      <c r="BY195" s="3">
        <f t="shared" si="76"/>
        <v>13688.362640843307</v>
      </c>
    </row>
    <row r="196" spans="1:77" x14ac:dyDescent="0.3">
      <c r="A196" s="3" t="s">
        <v>236</v>
      </c>
      <c r="B196" s="3">
        <v>11675</v>
      </c>
      <c r="C196" s="3">
        <v>11680</v>
      </c>
      <c r="D196" s="3">
        <v>11525</v>
      </c>
      <c r="E196" s="3">
        <v>11525</v>
      </c>
      <c r="F196" s="3">
        <v>11640</v>
      </c>
      <c r="G196" s="3">
        <v>11630</v>
      </c>
      <c r="H196" s="3">
        <v>11375</v>
      </c>
      <c r="I196" s="3">
        <v>11375</v>
      </c>
      <c r="J196" s="3">
        <v>11725</v>
      </c>
      <c r="K196" s="3">
        <v>11735</v>
      </c>
      <c r="L196" s="3">
        <v>12040</v>
      </c>
      <c r="M196" s="3">
        <v>12050</v>
      </c>
      <c r="N196" s="3">
        <v>12525</v>
      </c>
      <c r="O196" s="3">
        <v>12540</v>
      </c>
      <c r="P196" s="3">
        <v>12675</v>
      </c>
      <c r="Q196" s="3">
        <v>12670</v>
      </c>
      <c r="R196" s="3">
        <v>12540</v>
      </c>
      <c r="S196" s="3">
        <v>12525</v>
      </c>
      <c r="T196" s="3">
        <v>12340</v>
      </c>
      <c r="U196" s="3">
        <v>12335</v>
      </c>
      <c r="V196" s="3">
        <v>12830</v>
      </c>
      <c r="W196" s="3">
        <v>12825</v>
      </c>
      <c r="X196" s="3">
        <v>12575</v>
      </c>
      <c r="Y196" s="3">
        <v>12570</v>
      </c>
      <c r="Z196" s="3">
        <v>12725</v>
      </c>
      <c r="AA196" s="3">
        <v>12730</v>
      </c>
      <c r="AB196" s="3">
        <v>13300</v>
      </c>
      <c r="AC196" s="3">
        <v>13285</v>
      </c>
      <c r="AD196" s="3">
        <v>13185</v>
      </c>
      <c r="AE196" s="3">
        <v>13190</v>
      </c>
      <c r="AF196" s="3">
        <v>13845</v>
      </c>
      <c r="AG196" s="3">
        <v>13830</v>
      </c>
      <c r="AH196" s="3">
        <v>14340</v>
      </c>
      <c r="AI196" s="3">
        <v>14340</v>
      </c>
      <c r="AJ196" s="3">
        <v>13685</v>
      </c>
      <c r="AK196" s="3">
        <v>13685</v>
      </c>
      <c r="AL196" s="3">
        <v>13725</v>
      </c>
      <c r="AM196" s="3">
        <v>13730</v>
      </c>
      <c r="AN196" s="3">
        <v>13390</v>
      </c>
      <c r="AO196" s="3">
        <v>13390</v>
      </c>
      <c r="AP196" s="3">
        <v>13480</v>
      </c>
      <c r="AQ196" s="3">
        <v>13475</v>
      </c>
      <c r="AR196" s="4">
        <f t="shared" si="77"/>
        <v>1.3009540329575131E-2</v>
      </c>
      <c r="AS196" s="4">
        <f t="shared" ref="AS196:AS259" si="81">ABS(E196/D$3-1)</f>
        <v>2.1645021645021467E-3</v>
      </c>
      <c r="AT196" s="4">
        <f t="shared" ref="AT196:AT259" si="82">ABS(G196/F$3-1)</f>
        <v>2.3767605633802757E-2</v>
      </c>
      <c r="AU196" s="4">
        <f t="shared" ref="AU196:AU259" si="83">ABS(I196/H$3-1)</f>
        <v>3.4380305602716432E-2</v>
      </c>
      <c r="AV196" s="4">
        <f t="shared" ref="AV196:AV259" si="84">ABS(K196/J$3-1)</f>
        <v>3.8494439692045024E-3</v>
      </c>
      <c r="AW196" s="4">
        <f t="shared" ref="AW196:AW259" si="85">ABS(M196/L$3-1)</f>
        <v>1.6020236087689765E-2</v>
      </c>
      <c r="AX196" s="4">
        <f t="shared" ref="AX196:AX259" si="86">ABS(O196/N$3-1)</f>
        <v>3.5080478745356913E-2</v>
      </c>
      <c r="AY196" s="4">
        <f t="shared" ref="AY196:AY259" si="87">ABS(Q196/P$3-1)</f>
        <v>8.6071987480438317E-3</v>
      </c>
      <c r="AZ196" s="4">
        <f t="shared" ref="AZ196:AZ259" si="88">ABS(S196/R$3-1)</f>
        <v>1.5942606616181632E-3</v>
      </c>
      <c r="BA196" s="4">
        <f t="shared" ref="BA196:BA259" si="89">ABS(U196/T$3-1)</f>
        <v>3.2323232323232531E-3</v>
      </c>
      <c r="BB196" s="4">
        <f t="shared" ref="BB196:BB259" si="90">ABS(W196/V$3-1)</f>
        <v>3.9724361572760492E-2</v>
      </c>
      <c r="BC196" s="4">
        <f t="shared" ref="BC196:BC259" si="91">ABS(Y196/X$3-1)</f>
        <v>5.1444400474871532E-3</v>
      </c>
      <c r="BD196" s="4">
        <f t="shared" ref="BD196:BD259" si="92">ABS(AA196/Z$3-1)</f>
        <v>8.5669781931464462E-3</v>
      </c>
      <c r="BE196" s="4">
        <f t="shared" ref="BE196:BE259" si="93">ABS(AC196/AB$3-1)</f>
        <v>2.4681835711531042E-2</v>
      </c>
      <c r="BF196" s="4">
        <f t="shared" ref="BF196:BF259" si="94">ABS(AE196/AD$3-1)</f>
        <v>7.6394194041253805E-3</v>
      </c>
      <c r="BG196" s="4">
        <f t="shared" ref="BG196:BG259" si="95">ABS(AG196/AF$3-1)</f>
        <v>3.7120359955005622E-2</v>
      </c>
      <c r="BH196" s="4">
        <f t="shared" ref="BH196:BH259" si="96">ABS(AI196/AH$3-1)</f>
        <v>3.0913012221423397E-2</v>
      </c>
      <c r="BI196" s="4">
        <f t="shared" ref="BI196:BI259" si="97">ABS(AK196/AJ$3-1)</f>
        <v>1.3693693693693665E-2</v>
      </c>
      <c r="BJ196" s="4">
        <f t="shared" ref="BJ196:BJ259" si="98">ABS(AM196/AL$3-1)</f>
        <v>7.2886297376095754E-4</v>
      </c>
      <c r="BK196" s="4">
        <f t="shared" ref="BK196:BK259" si="99">ABS(AO196/AN$3-1)</f>
        <v>2.1556448666423145E-2</v>
      </c>
      <c r="BL196" s="4">
        <f t="shared" ref="BL196:BL259" si="100">ABS(AQ196/AP$3-1)</f>
        <v>1.4864362690449884E-3</v>
      </c>
      <c r="BM196" s="4">
        <f t="shared" si="78"/>
        <v>1.5318099269593448E-2</v>
      </c>
      <c r="BN196" s="9">
        <f t="shared" si="79"/>
        <v>13661.105025672379</v>
      </c>
      <c r="BO196" s="10">
        <f t="shared" si="80"/>
        <v>13120.886327232667</v>
      </c>
      <c r="BP196">
        <v>13845</v>
      </c>
      <c r="BQ196">
        <v>13850</v>
      </c>
      <c r="BR196">
        <v>13830</v>
      </c>
      <c r="BS196">
        <v>13830</v>
      </c>
      <c r="BT196">
        <v>54421</v>
      </c>
      <c r="BU196" s="13">
        <f t="shared" ref="BU196:BU259" si="101">SUM(BQ196:BS196)/3</f>
        <v>13836.666666666666</v>
      </c>
      <c r="BV196" s="13">
        <f t="shared" ref="BV196:BV259" si="102">BU196*BT196</f>
        <v>753005236.66666663</v>
      </c>
      <c r="BW196" s="13">
        <f>SUM($BV$3:BV196)</f>
        <v>189017844565.00006</v>
      </c>
      <c r="BX196" s="13">
        <f>SUM($BT$3:BT196)</f>
        <v>13808063</v>
      </c>
      <c r="BY196" s="3">
        <f t="shared" ref="BY196:BY259" si="103">BW196/BX196</f>
        <v>13688.947143781141</v>
      </c>
    </row>
    <row r="197" spans="1:77" x14ac:dyDescent="0.3">
      <c r="A197" s="3" t="s">
        <v>237</v>
      </c>
      <c r="B197" s="3">
        <v>11675</v>
      </c>
      <c r="C197" s="3">
        <v>11680</v>
      </c>
      <c r="D197" s="3">
        <v>11525</v>
      </c>
      <c r="E197" s="3">
        <v>11515</v>
      </c>
      <c r="F197" s="3">
        <v>11630</v>
      </c>
      <c r="G197" s="3">
        <v>11630</v>
      </c>
      <c r="H197" s="3">
        <v>11375</v>
      </c>
      <c r="I197" s="3">
        <v>11360</v>
      </c>
      <c r="J197" s="3">
        <v>11735</v>
      </c>
      <c r="K197" s="3">
        <v>11740</v>
      </c>
      <c r="L197" s="3">
        <v>12055</v>
      </c>
      <c r="M197" s="3">
        <v>12045</v>
      </c>
      <c r="N197" s="3">
        <v>12545</v>
      </c>
      <c r="O197" s="3">
        <v>12545</v>
      </c>
      <c r="P197" s="3">
        <v>12670</v>
      </c>
      <c r="Q197" s="3">
        <v>12655</v>
      </c>
      <c r="R197" s="3">
        <v>12525</v>
      </c>
      <c r="S197" s="3">
        <v>12520</v>
      </c>
      <c r="T197" s="3">
        <v>12335</v>
      </c>
      <c r="U197" s="3">
        <v>12325</v>
      </c>
      <c r="V197" s="3">
        <v>12825</v>
      </c>
      <c r="W197" s="3">
        <v>12825</v>
      </c>
      <c r="X197" s="3">
        <v>12565</v>
      </c>
      <c r="Y197" s="3">
        <v>12565</v>
      </c>
      <c r="Z197" s="3">
        <v>12730</v>
      </c>
      <c r="AA197" s="3">
        <v>12745</v>
      </c>
      <c r="AB197" s="3">
        <v>13285</v>
      </c>
      <c r="AC197" s="3">
        <v>13285</v>
      </c>
      <c r="AD197" s="3">
        <v>13190</v>
      </c>
      <c r="AE197" s="3">
        <v>13185</v>
      </c>
      <c r="AF197" s="3">
        <v>13835</v>
      </c>
      <c r="AG197" s="3">
        <v>13830</v>
      </c>
      <c r="AH197" s="3">
        <v>14335</v>
      </c>
      <c r="AI197" s="3">
        <v>14325</v>
      </c>
      <c r="AJ197" s="3">
        <v>13685</v>
      </c>
      <c r="AK197" s="3">
        <v>13690</v>
      </c>
      <c r="AL197" s="3">
        <v>13730</v>
      </c>
      <c r="AM197" s="3">
        <v>13735</v>
      </c>
      <c r="AN197" s="3">
        <v>13385</v>
      </c>
      <c r="AO197" s="3">
        <v>13405</v>
      </c>
      <c r="AP197" s="3">
        <v>13475</v>
      </c>
      <c r="AQ197" s="3">
        <v>13475</v>
      </c>
      <c r="AR197" s="4">
        <f t="shared" ref="AR197:AR260" si="104">ABS(C197/B$3-1)</f>
        <v>1.3009540329575131E-2</v>
      </c>
      <c r="AS197" s="4">
        <f t="shared" si="81"/>
        <v>3.0303030303030498E-3</v>
      </c>
      <c r="AT197" s="4">
        <f t="shared" si="82"/>
        <v>2.3767605633802757E-2</v>
      </c>
      <c r="AU197" s="4">
        <f t="shared" si="83"/>
        <v>3.5653650254668934E-2</v>
      </c>
      <c r="AV197" s="4">
        <f t="shared" si="84"/>
        <v>4.2771599657827064E-3</v>
      </c>
      <c r="AW197" s="4">
        <f t="shared" si="85"/>
        <v>1.5598650927487245E-2</v>
      </c>
      <c r="AX197" s="4">
        <f t="shared" si="86"/>
        <v>3.5493190260008189E-2</v>
      </c>
      <c r="AY197" s="4">
        <f t="shared" si="87"/>
        <v>9.7809076682315865E-3</v>
      </c>
      <c r="AZ197" s="4">
        <f t="shared" si="88"/>
        <v>1.9928258270227595E-3</v>
      </c>
      <c r="BA197" s="4">
        <f t="shared" si="89"/>
        <v>4.0404040404040664E-3</v>
      </c>
      <c r="BB197" s="4">
        <f t="shared" si="90"/>
        <v>3.9724361572760492E-2</v>
      </c>
      <c r="BC197" s="4">
        <f t="shared" si="91"/>
        <v>5.5401662049860967E-3</v>
      </c>
      <c r="BD197" s="4">
        <f t="shared" si="92"/>
        <v>7.3987538940809561E-3</v>
      </c>
      <c r="BE197" s="4">
        <f t="shared" si="93"/>
        <v>2.4681835711531042E-2</v>
      </c>
      <c r="BF197" s="4">
        <f t="shared" si="94"/>
        <v>7.257448433918956E-3</v>
      </c>
      <c r="BG197" s="4">
        <f t="shared" si="95"/>
        <v>3.7120359955005622E-2</v>
      </c>
      <c r="BH197" s="4">
        <f t="shared" si="96"/>
        <v>2.9834651329978534E-2</v>
      </c>
      <c r="BI197" s="4">
        <f t="shared" si="97"/>
        <v>1.3333333333333308E-2</v>
      </c>
      <c r="BJ197" s="4">
        <f t="shared" si="98"/>
        <v>1.0932944606414363E-3</v>
      </c>
      <c r="BK197" s="4">
        <f t="shared" si="99"/>
        <v>2.0460358056266004E-2</v>
      </c>
      <c r="BL197" s="4">
        <f t="shared" si="100"/>
        <v>1.4864362690449884E-3</v>
      </c>
      <c r="BM197" s="4">
        <f t="shared" ref="BM197:BM260" si="105">AVERAGE(AS197:BF197)</f>
        <v>1.5588375958927774E-2</v>
      </c>
      <c r="BN197" s="9">
        <f t="shared" ref="BN197:BN260" si="106">MAX($AP$3,$AO$383)*(1+BM197)</f>
        <v>13664.741598527373</v>
      </c>
      <c r="BO197" s="10">
        <f t="shared" ref="BO197:BO260" si="107">MIN($AP$3,$AO$383)*(1-BM197)</f>
        <v>13117.284890347288</v>
      </c>
      <c r="BP197">
        <v>13835</v>
      </c>
      <c r="BQ197">
        <v>13840</v>
      </c>
      <c r="BR197">
        <v>13830</v>
      </c>
      <c r="BS197">
        <v>13830</v>
      </c>
      <c r="BT197">
        <v>1380</v>
      </c>
      <c r="BU197" s="13">
        <f t="shared" si="101"/>
        <v>13833.333333333334</v>
      </c>
      <c r="BV197" s="13">
        <f t="shared" si="102"/>
        <v>19090000</v>
      </c>
      <c r="BW197" s="13">
        <f>SUM($BV$3:BV197)</f>
        <v>189036934565.00006</v>
      </c>
      <c r="BX197" s="13">
        <f>SUM($BT$3:BT197)</f>
        <v>13809443</v>
      </c>
      <c r="BY197" s="3">
        <f t="shared" si="103"/>
        <v>13688.961572526861</v>
      </c>
    </row>
    <row r="198" spans="1:77" x14ac:dyDescent="0.3">
      <c r="A198" s="3" t="s">
        <v>238</v>
      </c>
      <c r="B198" s="3">
        <v>11685</v>
      </c>
      <c r="C198" s="3">
        <v>11685</v>
      </c>
      <c r="D198" s="3">
        <v>11515</v>
      </c>
      <c r="E198" s="3">
        <v>11510</v>
      </c>
      <c r="F198" s="3">
        <v>11630</v>
      </c>
      <c r="G198" s="3">
        <v>11625</v>
      </c>
      <c r="H198" s="3">
        <v>11360</v>
      </c>
      <c r="I198" s="3">
        <v>11360</v>
      </c>
      <c r="J198" s="3">
        <v>11735</v>
      </c>
      <c r="K198" s="3">
        <v>11740</v>
      </c>
      <c r="L198" s="3">
        <v>12040</v>
      </c>
      <c r="M198" s="3">
        <v>12035</v>
      </c>
      <c r="N198" s="3">
        <v>12545</v>
      </c>
      <c r="O198" s="3">
        <v>12545</v>
      </c>
      <c r="P198" s="3">
        <v>12650</v>
      </c>
      <c r="Q198" s="3">
        <v>12650</v>
      </c>
      <c r="R198" s="3">
        <v>12520</v>
      </c>
      <c r="S198" s="3">
        <v>12505</v>
      </c>
      <c r="T198" s="3">
        <v>12320</v>
      </c>
      <c r="U198" s="3">
        <v>12340</v>
      </c>
      <c r="V198" s="3">
        <v>12825</v>
      </c>
      <c r="W198" s="3">
        <v>12820</v>
      </c>
      <c r="X198" s="3">
        <v>12570</v>
      </c>
      <c r="Y198" s="3">
        <v>12540</v>
      </c>
      <c r="Z198" s="3">
        <v>12745</v>
      </c>
      <c r="AA198" s="3">
        <v>12730</v>
      </c>
      <c r="AB198" s="3">
        <v>13285</v>
      </c>
      <c r="AC198" s="3">
        <v>13280</v>
      </c>
      <c r="AD198" s="3">
        <v>13185</v>
      </c>
      <c r="AE198" s="3">
        <v>13215</v>
      </c>
      <c r="AF198" s="3">
        <v>13835</v>
      </c>
      <c r="AG198" s="3">
        <v>13815</v>
      </c>
      <c r="AH198" s="3">
        <v>14325</v>
      </c>
      <c r="AI198" s="3">
        <v>14315</v>
      </c>
      <c r="AJ198" s="3">
        <v>13690</v>
      </c>
      <c r="AK198" s="3">
        <v>13695</v>
      </c>
      <c r="AL198" s="3">
        <v>13735</v>
      </c>
      <c r="AM198" s="3">
        <v>13730</v>
      </c>
      <c r="AN198" s="3">
        <v>13405</v>
      </c>
      <c r="AO198" s="3">
        <v>13395</v>
      </c>
      <c r="AP198" s="3">
        <v>13470</v>
      </c>
      <c r="AQ198" s="3">
        <v>13465</v>
      </c>
      <c r="AR198" s="4">
        <f t="shared" si="104"/>
        <v>1.3443191673894184E-2</v>
      </c>
      <c r="AS198" s="4">
        <f t="shared" si="81"/>
        <v>3.4632034632035014E-3</v>
      </c>
      <c r="AT198" s="4">
        <f t="shared" si="82"/>
        <v>2.3327464788732488E-2</v>
      </c>
      <c r="AU198" s="4">
        <f t="shared" si="83"/>
        <v>3.5653650254668934E-2</v>
      </c>
      <c r="AV198" s="4">
        <f t="shared" si="84"/>
        <v>4.2771599657827064E-3</v>
      </c>
      <c r="AW198" s="4">
        <f t="shared" si="85"/>
        <v>1.4755480607082649E-2</v>
      </c>
      <c r="AX198" s="4">
        <f t="shared" si="86"/>
        <v>3.5493190260008189E-2</v>
      </c>
      <c r="AY198" s="4">
        <f t="shared" si="87"/>
        <v>1.0172143974960912E-2</v>
      </c>
      <c r="AZ198" s="4">
        <f t="shared" si="88"/>
        <v>3.1885213232363263E-3</v>
      </c>
      <c r="BA198" s="4">
        <f t="shared" si="89"/>
        <v>2.8282828282828465E-3</v>
      </c>
      <c r="BB198" s="4">
        <f t="shared" si="90"/>
        <v>3.9319010944466992E-2</v>
      </c>
      <c r="BC198" s="4">
        <f t="shared" si="91"/>
        <v>7.5187969924812581E-3</v>
      </c>
      <c r="BD198" s="4">
        <f t="shared" si="92"/>
        <v>8.5669781931464462E-3</v>
      </c>
      <c r="BE198" s="4">
        <f t="shared" si="93"/>
        <v>2.4296182028538338E-2</v>
      </c>
      <c r="BF198" s="4">
        <f t="shared" si="94"/>
        <v>9.5492742551566145E-3</v>
      </c>
      <c r="BG198" s="4">
        <f t="shared" si="95"/>
        <v>3.5995500562429728E-2</v>
      </c>
      <c r="BH198" s="4">
        <f t="shared" si="96"/>
        <v>2.911574406901507E-2</v>
      </c>
      <c r="BI198" s="4">
        <f t="shared" si="97"/>
        <v>1.2972972972972951E-2</v>
      </c>
      <c r="BJ198" s="4">
        <f t="shared" si="98"/>
        <v>7.2886297376095754E-4</v>
      </c>
      <c r="BK198" s="4">
        <f t="shared" si="99"/>
        <v>2.1191085129704024E-2</v>
      </c>
      <c r="BL198" s="4">
        <f t="shared" si="100"/>
        <v>7.4321813452238317E-4</v>
      </c>
      <c r="BM198" s="4">
        <f t="shared" si="105"/>
        <v>1.5886381419982016E-2</v>
      </c>
      <c r="BN198" s="9">
        <f t="shared" si="106"/>
        <v>13668.751262005859</v>
      </c>
      <c r="BO198" s="10">
        <f t="shared" si="107"/>
        <v>13113.313967578741</v>
      </c>
      <c r="BP198">
        <v>13835</v>
      </c>
      <c r="BQ198">
        <v>13835</v>
      </c>
      <c r="BR198">
        <v>13815</v>
      </c>
      <c r="BS198">
        <v>13815</v>
      </c>
      <c r="BT198">
        <v>27141</v>
      </c>
      <c r="BU198" s="13">
        <f t="shared" si="101"/>
        <v>13821.666666666666</v>
      </c>
      <c r="BV198" s="13">
        <f t="shared" si="102"/>
        <v>375133855</v>
      </c>
      <c r="BW198" s="13">
        <f>SUM($BV$3:BV198)</f>
        <v>189412068420.00006</v>
      </c>
      <c r="BX198" s="13">
        <f>SUM($BT$3:BT198)</f>
        <v>13836584</v>
      </c>
      <c r="BY198" s="3">
        <f t="shared" si="103"/>
        <v>13689.221878752736</v>
      </c>
    </row>
    <row r="199" spans="1:77" x14ac:dyDescent="0.3">
      <c r="A199" s="3" t="s">
        <v>239</v>
      </c>
      <c r="B199" s="3">
        <v>11685</v>
      </c>
      <c r="C199" s="3">
        <v>11680</v>
      </c>
      <c r="D199" s="3">
        <v>11505</v>
      </c>
      <c r="E199" s="3">
        <v>11505</v>
      </c>
      <c r="F199" s="3">
        <v>11630</v>
      </c>
      <c r="G199" s="3">
        <v>11625</v>
      </c>
      <c r="H199" s="3">
        <v>11360</v>
      </c>
      <c r="I199" s="3">
        <v>11375</v>
      </c>
      <c r="J199" s="3">
        <v>11745</v>
      </c>
      <c r="K199" s="3">
        <v>11740</v>
      </c>
      <c r="L199" s="3">
        <v>12035</v>
      </c>
      <c r="M199" s="3">
        <v>12040</v>
      </c>
      <c r="N199" s="3">
        <v>12550</v>
      </c>
      <c r="O199" s="3">
        <v>12550</v>
      </c>
      <c r="P199" s="3">
        <v>12645</v>
      </c>
      <c r="Q199" s="3">
        <v>12660</v>
      </c>
      <c r="R199" s="3">
        <v>12505</v>
      </c>
      <c r="S199" s="3">
        <v>12505</v>
      </c>
      <c r="T199" s="3">
        <v>12345</v>
      </c>
      <c r="U199" s="3">
        <v>12340</v>
      </c>
      <c r="V199" s="3">
        <v>12820</v>
      </c>
      <c r="W199" s="3">
        <v>12805</v>
      </c>
      <c r="X199" s="3">
        <v>12540</v>
      </c>
      <c r="Y199" s="3">
        <v>12535</v>
      </c>
      <c r="Z199" s="3">
        <v>12730</v>
      </c>
      <c r="AA199" s="3">
        <v>12730</v>
      </c>
      <c r="AB199" s="3">
        <v>13275</v>
      </c>
      <c r="AC199" s="3">
        <v>13275</v>
      </c>
      <c r="AD199" s="3">
        <v>13215</v>
      </c>
      <c r="AE199" s="3">
        <v>13220</v>
      </c>
      <c r="AF199" s="3">
        <v>13820</v>
      </c>
      <c r="AG199" s="3">
        <v>13830</v>
      </c>
      <c r="AH199" s="3">
        <v>14320</v>
      </c>
      <c r="AI199" s="3">
        <v>14320</v>
      </c>
      <c r="AJ199" s="3">
        <v>13690</v>
      </c>
      <c r="AK199" s="3">
        <v>13670</v>
      </c>
      <c r="AL199" s="3">
        <v>13730</v>
      </c>
      <c r="AM199" s="3">
        <v>13720</v>
      </c>
      <c r="AN199" s="3">
        <v>13390</v>
      </c>
      <c r="AO199" s="3">
        <v>13390</v>
      </c>
      <c r="AP199" s="3">
        <v>13465</v>
      </c>
      <c r="AQ199" s="3">
        <v>13485</v>
      </c>
      <c r="AR199" s="4">
        <f t="shared" si="104"/>
        <v>1.3009540329575131E-2</v>
      </c>
      <c r="AS199" s="4">
        <f t="shared" si="81"/>
        <v>3.8961038961038419E-3</v>
      </c>
      <c r="AT199" s="4">
        <f t="shared" si="82"/>
        <v>2.3327464788732488E-2</v>
      </c>
      <c r="AU199" s="4">
        <f t="shared" si="83"/>
        <v>3.4380305602716432E-2</v>
      </c>
      <c r="AV199" s="4">
        <f t="shared" si="84"/>
        <v>4.2771599657827064E-3</v>
      </c>
      <c r="AW199" s="4">
        <f t="shared" si="85"/>
        <v>1.5177065767284947E-2</v>
      </c>
      <c r="AX199" s="4">
        <f t="shared" si="86"/>
        <v>3.5905901774659466E-2</v>
      </c>
      <c r="AY199" s="4">
        <f t="shared" si="87"/>
        <v>9.3896713615023719E-3</v>
      </c>
      <c r="AZ199" s="4">
        <f t="shared" si="88"/>
        <v>3.1885213232363263E-3</v>
      </c>
      <c r="BA199" s="4">
        <f t="shared" si="89"/>
        <v>2.8282828282828465E-3</v>
      </c>
      <c r="BB199" s="4">
        <f t="shared" si="90"/>
        <v>3.8102959059586494E-2</v>
      </c>
      <c r="BC199" s="4">
        <f t="shared" si="91"/>
        <v>7.9145231499802016E-3</v>
      </c>
      <c r="BD199" s="4">
        <f t="shared" si="92"/>
        <v>8.5669781931464462E-3</v>
      </c>
      <c r="BE199" s="4">
        <f t="shared" si="93"/>
        <v>2.3910528345545634E-2</v>
      </c>
      <c r="BF199" s="4">
        <f t="shared" si="94"/>
        <v>9.931245225362817E-3</v>
      </c>
      <c r="BG199" s="4">
        <f t="shared" si="95"/>
        <v>3.7120359955005622E-2</v>
      </c>
      <c r="BH199" s="4">
        <f t="shared" si="96"/>
        <v>2.9475197699496691E-2</v>
      </c>
      <c r="BI199" s="4">
        <f t="shared" si="97"/>
        <v>1.4774774774774735E-2</v>
      </c>
      <c r="BJ199" s="4">
        <f t="shared" si="98"/>
        <v>0</v>
      </c>
      <c r="BK199" s="4">
        <f t="shared" si="99"/>
        <v>2.1556448666423145E-2</v>
      </c>
      <c r="BL199" s="4">
        <f t="shared" si="100"/>
        <v>2.2296544035673715E-3</v>
      </c>
      <c r="BM199" s="4">
        <f t="shared" si="105"/>
        <v>1.5771193662994502E-2</v>
      </c>
      <c r="BN199" s="9">
        <f t="shared" si="106"/>
        <v>13667.201410735592</v>
      </c>
      <c r="BO199" s="10">
        <f t="shared" si="107"/>
        <v>13114.848844440598</v>
      </c>
      <c r="BP199">
        <v>13820</v>
      </c>
      <c r="BQ199">
        <v>13835</v>
      </c>
      <c r="BR199">
        <v>13815</v>
      </c>
      <c r="BS199">
        <v>13830</v>
      </c>
      <c r="BT199">
        <v>18151</v>
      </c>
      <c r="BU199" s="13">
        <f t="shared" si="101"/>
        <v>13826.666666666666</v>
      </c>
      <c r="BV199" s="13">
        <f t="shared" si="102"/>
        <v>250967826.66666666</v>
      </c>
      <c r="BW199" s="13">
        <f>SUM($BV$3:BV199)</f>
        <v>189663036246.66672</v>
      </c>
      <c r="BX199" s="13">
        <f>SUM($BT$3:BT199)</f>
        <v>13854735</v>
      </c>
      <c r="BY199" s="3">
        <f t="shared" si="103"/>
        <v>13689.401944293177</v>
      </c>
    </row>
    <row r="200" spans="1:77" x14ac:dyDescent="0.3">
      <c r="A200" s="3" t="s">
        <v>240</v>
      </c>
      <c r="B200" s="3">
        <v>11680</v>
      </c>
      <c r="C200" s="3">
        <v>11675</v>
      </c>
      <c r="D200" s="3">
        <v>11505</v>
      </c>
      <c r="E200" s="3">
        <v>11505</v>
      </c>
      <c r="F200" s="3">
        <v>11625</v>
      </c>
      <c r="G200" s="3">
        <v>11625</v>
      </c>
      <c r="H200" s="3">
        <v>11375</v>
      </c>
      <c r="I200" s="3">
        <v>11385</v>
      </c>
      <c r="J200" s="3">
        <v>11735</v>
      </c>
      <c r="K200" s="3">
        <v>11735</v>
      </c>
      <c r="L200" s="3">
        <v>12035</v>
      </c>
      <c r="M200" s="3">
        <v>12035</v>
      </c>
      <c r="N200" s="3">
        <v>12550</v>
      </c>
      <c r="O200" s="3">
        <v>12555</v>
      </c>
      <c r="P200" s="3">
        <v>12660</v>
      </c>
      <c r="Q200" s="3">
        <v>12665</v>
      </c>
      <c r="R200" s="3">
        <v>12505</v>
      </c>
      <c r="S200" s="3">
        <v>12515</v>
      </c>
      <c r="T200" s="3">
        <v>12340</v>
      </c>
      <c r="U200" s="3">
        <v>12340</v>
      </c>
      <c r="V200" s="3">
        <v>12805</v>
      </c>
      <c r="W200" s="3">
        <v>12805</v>
      </c>
      <c r="X200" s="3">
        <v>12535</v>
      </c>
      <c r="Y200" s="3">
        <v>12540</v>
      </c>
      <c r="Z200" s="3">
        <v>12730</v>
      </c>
      <c r="AA200" s="3">
        <v>12730</v>
      </c>
      <c r="AB200" s="3">
        <v>13275</v>
      </c>
      <c r="AC200" s="3">
        <v>13280</v>
      </c>
      <c r="AD200" s="3">
        <v>13225</v>
      </c>
      <c r="AE200" s="3">
        <v>13230</v>
      </c>
      <c r="AF200" s="3">
        <v>13830</v>
      </c>
      <c r="AG200" s="3">
        <v>13825</v>
      </c>
      <c r="AH200" s="3">
        <v>14320</v>
      </c>
      <c r="AI200" s="3">
        <v>14340</v>
      </c>
      <c r="AJ200" s="3">
        <v>13670</v>
      </c>
      <c r="AK200" s="3">
        <v>13670</v>
      </c>
      <c r="AL200" s="3">
        <v>13725</v>
      </c>
      <c r="AM200" s="3">
        <v>13730</v>
      </c>
      <c r="AN200" s="3">
        <v>13390</v>
      </c>
      <c r="AO200" s="3">
        <v>13400</v>
      </c>
      <c r="AP200" s="3">
        <v>13485</v>
      </c>
      <c r="AQ200" s="3">
        <v>13490</v>
      </c>
      <c r="AR200" s="4">
        <f t="shared" si="104"/>
        <v>1.2575888985255856E-2</v>
      </c>
      <c r="AS200" s="4">
        <f t="shared" si="81"/>
        <v>3.8961038961038419E-3</v>
      </c>
      <c r="AT200" s="4">
        <f t="shared" si="82"/>
        <v>2.3327464788732488E-2</v>
      </c>
      <c r="AU200" s="4">
        <f t="shared" si="83"/>
        <v>3.3531409168081505E-2</v>
      </c>
      <c r="AV200" s="4">
        <f t="shared" si="84"/>
        <v>3.8494439692045024E-3</v>
      </c>
      <c r="AW200" s="4">
        <f t="shared" si="85"/>
        <v>1.4755480607082649E-2</v>
      </c>
      <c r="AX200" s="4">
        <f t="shared" si="86"/>
        <v>3.6318613289310742E-2</v>
      </c>
      <c r="AY200" s="4">
        <f t="shared" si="87"/>
        <v>8.9984350547730463E-3</v>
      </c>
      <c r="AZ200" s="4">
        <f t="shared" si="88"/>
        <v>2.3913909924272447E-3</v>
      </c>
      <c r="BA200" s="4">
        <f t="shared" si="89"/>
        <v>2.8282828282828465E-3</v>
      </c>
      <c r="BB200" s="4">
        <f t="shared" si="90"/>
        <v>3.8102959059586494E-2</v>
      </c>
      <c r="BC200" s="4">
        <f t="shared" si="91"/>
        <v>7.5187969924812581E-3</v>
      </c>
      <c r="BD200" s="4">
        <f t="shared" si="92"/>
        <v>8.5669781931464462E-3</v>
      </c>
      <c r="BE200" s="4">
        <f t="shared" si="93"/>
        <v>2.4296182028538338E-2</v>
      </c>
      <c r="BF200" s="4">
        <f t="shared" si="94"/>
        <v>1.0695187165775444E-2</v>
      </c>
      <c r="BG200" s="4">
        <f t="shared" si="95"/>
        <v>3.6745406824147064E-2</v>
      </c>
      <c r="BH200" s="4">
        <f t="shared" si="96"/>
        <v>3.0913012221423397E-2</v>
      </c>
      <c r="BI200" s="4">
        <f t="shared" si="97"/>
        <v>1.4774774774774735E-2</v>
      </c>
      <c r="BJ200" s="4">
        <f t="shared" si="98"/>
        <v>7.2886297376095754E-4</v>
      </c>
      <c r="BK200" s="4">
        <f t="shared" si="99"/>
        <v>2.0825721592985014E-2</v>
      </c>
      <c r="BL200" s="4">
        <f t="shared" si="100"/>
        <v>2.6012634708287852E-3</v>
      </c>
      <c r="BM200" s="4">
        <f t="shared" si="105"/>
        <v>1.5648337716680488E-2</v>
      </c>
      <c r="BN200" s="9">
        <f t="shared" si="106"/>
        <v>13665.548383977935</v>
      </c>
      <c r="BO200" s="10">
        <f t="shared" si="107"/>
        <v>13116.485899925232</v>
      </c>
      <c r="BP200">
        <v>13830</v>
      </c>
      <c r="BQ200">
        <v>13835</v>
      </c>
      <c r="BR200">
        <v>13825</v>
      </c>
      <c r="BS200">
        <v>13825</v>
      </c>
      <c r="BT200">
        <v>18887</v>
      </c>
      <c r="BU200" s="13">
        <f t="shared" si="101"/>
        <v>13828.333333333334</v>
      </c>
      <c r="BV200" s="13">
        <f t="shared" si="102"/>
        <v>261175731.66666669</v>
      </c>
      <c r="BW200" s="13">
        <f>SUM($BV$3:BV200)</f>
        <v>189924211978.33337</v>
      </c>
      <c r="BX200" s="13">
        <f>SUM($BT$3:BT200)</f>
        <v>13873622</v>
      </c>
      <c r="BY200" s="3">
        <f t="shared" si="103"/>
        <v>13689.591079988584</v>
      </c>
    </row>
    <row r="201" spans="1:77" x14ac:dyDescent="0.3">
      <c r="A201" s="3" t="s">
        <v>241</v>
      </c>
      <c r="B201" s="3">
        <v>11675</v>
      </c>
      <c r="C201" s="3">
        <v>11680</v>
      </c>
      <c r="D201" s="3">
        <v>11505</v>
      </c>
      <c r="E201" s="3">
        <v>11495</v>
      </c>
      <c r="F201" s="3">
        <v>11625</v>
      </c>
      <c r="G201" s="3">
        <v>11630</v>
      </c>
      <c r="H201" s="3">
        <v>11385</v>
      </c>
      <c r="I201" s="3">
        <v>11385</v>
      </c>
      <c r="J201" s="3">
        <v>11740</v>
      </c>
      <c r="K201" s="3">
        <v>11730</v>
      </c>
      <c r="L201" s="3">
        <v>12040</v>
      </c>
      <c r="M201" s="3">
        <v>12035</v>
      </c>
      <c r="N201" s="3">
        <v>12550</v>
      </c>
      <c r="O201" s="3">
        <v>12555</v>
      </c>
      <c r="P201" s="3">
        <v>12660</v>
      </c>
      <c r="Q201" s="3">
        <v>12670</v>
      </c>
      <c r="R201" s="3">
        <v>12515</v>
      </c>
      <c r="S201" s="3">
        <v>12515</v>
      </c>
      <c r="T201" s="3">
        <v>12340</v>
      </c>
      <c r="U201" s="3">
        <v>12340</v>
      </c>
      <c r="V201" s="3">
        <v>12800</v>
      </c>
      <c r="W201" s="3">
        <v>12805</v>
      </c>
      <c r="X201" s="3">
        <v>12535</v>
      </c>
      <c r="Y201" s="3">
        <v>12535</v>
      </c>
      <c r="Z201" s="3">
        <v>12735</v>
      </c>
      <c r="AA201" s="3">
        <v>12720</v>
      </c>
      <c r="AB201" s="3">
        <v>13280</v>
      </c>
      <c r="AC201" s="3">
        <v>13280</v>
      </c>
      <c r="AD201" s="3">
        <v>13225</v>
      </c>
      <c r="AE201" s="3">
        <v>13230</v>
      </c>
      <c r="AF201" s="3">
        <v>13820</v>
      </c>
      <c r="AG201" s="3">
        <v>13820</v>
      </c>
      <c r="AH201" s="3">
        <v>14345</v>
      </c>
      <c r="AI201" s="3">
        <v>14325</v>
      </c>
      <c r="AJ201" s="3">
        <v>13675</v>
      </c>
      <c r="AK201" s="3">
        <v>13670</v>
      </c>
      <c r="AL201" s="3">
        <v>13735</v>
      </c>
      <c r="AM201" s="3">
        <v>13750</v>
      </c>
      <c r="AN201" s="3">
        <v>13400</v>
      </c>
      <c r="AO201" s="3">
        <v>13395</v>
      </c>
      <c r="AP201" s="3">
        <v>13490</v>
      </c>
      <c r="AQ201" s="3">
        <v>13505</v>
      </c>
      <c r="AR201" s="4">
        <f t="shared" si="104"/>
        <v>1.3009540329575131E-2</v>
      </c>
      <c r="AS201" s="4">
        <f t="shared" si="81"/>
        <v>4.761904761904745E-3</v>
      </c>
      <c r="AT201" s="4">
        <f t="shared" si="82"/>
        <v>2.3767605633802757E-2</v>
      </c>
      <c r="AU201" s="4">
        <f t="shared" si="83"/>
        <v>3.3531409168081505E-2</v>
      </c>
      <c r="AV201" s="4">
        <f t="shared" si="84"/>
        <v>3.4217279726260763E-3</v>
      </c>
      <c r="AW201" s="4">
        <f t="shared" si="85"/>
        <v>1.4755480607082649E-2</v>
      </c>
      <c r="AX201" s="4">
        <f t="shared" si="86"/>
        <v>3.6318613289310742E-2</v>
      </c>
      <c r="AY201" s="4">
        <f t="shared" si="87"/>
        <v>8.6071987480438317E-3</v>
      </c>
      <c r="AZ201" s="4">
        <f t="shared" si="88"/>
        <v>2.3913909924272447E-3</v>
      </c>
      <c r="BA201" s="4">
        <f t="shared" si="89"/>
        <v>2.8282828282828465E-3</v>
      </c>
      <c r="BB201" s="4">
        <f t="shared" si="90"/>
        <v>3.8102959059586494E-2</v>
      </c>
      <c r="BC201" s="4">
        <f t="shared" si="91"/>
        <v>7.9145231499802016E-3</v>
      </c>
      <c r="BD201" s="4">
        <f t="shared" si="92"/>
        <v>9.3457943925233655E-3</v>
      </c>
      <c r="BE201" s="4">
        <f t="shared" si="93"/>
        <v>2.4296182028538338E-2</v>
      </c>
      <c r="BF201" s="4">
        <f t="shared" si="94"/>
        <v>1.0695187165775444E-2</v>
      </c>
      <c r="BG201" s="4">
        <f t="shared" si="95"/>
        <v>3.6370453693288285E-2</v>
      </c>
      <c r="BH201" s="4">
        <f t="shared" si="96"/>
        <v>2.9834651329978534E-2</v>
      </c>
      <c r="BI201" s="4">
        <f t="shared" si="97"/>
        <v>1.4774774774774735E-2</v>
      </c>
      <c r="BJ201" s="4">
        <f t="shared" si="98"/>
        <v>2.1865889212828726E-3</v>
      </c>
      <c r="BK201" s="4">
        <f t="shared" si="99"/>
        <v>2.1191085129704024E-2</v>
      </c>
      <c r="BL201" s="4">
        <f t="shared" si="100"/>
        <v>3.7160906726123599E-3</v>
      </c>
      <c r="BM201" s="4">
        <f t="shared" si="105"/>
        <v>1.5767018556997588E-2</v>
      </c>
      <c r="BN201" s="9">
        <f t="shared" si="106"/>
        <v>13667.145234684402</v>
      </c>
      <c r="BO201" s="10">
        <f t="shared" si="107"/>
        <v>13114.904477728007</v>
      </c>
      <c r="BP201">
        <v>13820</v>
      </c>
      <c r="BQ201">
        <v>13825</v>
      </c>
      <c r="BR201">
        <v>13815</v>
      </c>
      <c r="BS201">
        <v>13820</v>
      </c>
      <c r="BT201">
        <v>12619</v>
      </c>
      <c r="BU201" s="13">
        <f t="shared" si="101"/>
        <v>13820</v>
      </c>
      <c r="BV201" s="13">
        <f t="shared" si="102"/>
        <v>174394580</v>
      </c>
      <c r="BW201" s="13">
        <f>SUM($BV$3:BV201)</f>
        <v>190098606558.33337</v>
      </c>
      <c r="BX201" s="13">
        <f>SUM($BT$3:BT201)</f>
        <v>13886241</v>
      </c>
      <c r="BY201" s="3">
        <f t="shared" si="103"/>
        <v>13689.709587953526</v>
      </c>
    </row>
    <row r="202" spans="1:77" x14ac:dyDescent="0.3">
      <c r="A202" s="3" t="s">
        <v>242</v>
      </c>
      <c r="B202" s="3">
        <v>11675</v>
      </c>
      <c r="C202" s="3">
        <v>11675</v>
      </c>
      <c r="D202" s="3">
        <v>11495</v>
      </c>
      <c r="E202" s="3">
        <v>11495</v>
      </c>
      <c r="F202" s="3">
        <v>11635</v>
      </c>
      <c r="G202" s="3">
        <v>11630</v>
      </c>
      <c r="H202" s="3">
        <v>11385</v>
      </c>
      <c r="I202" s="3">
        <v>11395</v>
      </c>
      <c r="J202" s="3">
        <v>11730</v>
      </c>
      <c r="K202" s="3">
        <v>11745</v>
      </c>
      <c r="L202" s="3">
        <v>12035</v>
      </c>
      <c r="M202" s="3">
        <v>12030</v>
      </c>
      <c r="N202" s="3">
        <v>12555</v>
      </c>
      <c r="O202" s="3">
        <v>12550</v>
      </c>
      <c r="P202" s="3">
        <v>12670</v>
      </c>
      <c r="Q202" s="3">
        <v>12670</v>
      </c>
      <c r="R202" s="3">
        <v>12520</v>
      </c>
      <c r="S202" s="3">
        <v>12505</v>
      </c>
      <c r="T202" s="3">
        <v>12340</v>
      </c>
      <c r="U202" s="3">
        <v>12350</v>
      </c>
      <c r="V202" s="3">
        <v>12805</v>
      </c>
      <c r="W202" s="3">
        <v>12795</v>
      </c>
      <c r="X202" s="3">
        <v>12530</v>
      </c>
      <c r="Y202" s="3">
        <v>12530</v>
      </c>
      <c r="Z202" s="3">
        <v>12720</v>
      </c>
      <c r="AA202" s="3">
        <v>12715</v>
      </c>
      <c r="AB202" s="3">
        <v>13280</v>
      </c>
      <c r="AC202" s="3">
        <v>13280</v>
      </c>
      <c r="AD202" s="3">
        <v>13230</v>
      </c>
      <c r="AE202" s="3">
        <v>13230</v>
      </c>
      <c r="AF202" s="3">
        <v>13820</v>
      </c>
      <c r="AG202" s="3">
        <v>13815</v>
      </c>
      <c r="AH202" s="3">
        <v>14325</v>
      </c>
      <c r="AI202" s="3">
        <v>14310</v>
      </c>
      <c r="AJ202" s="3">
        <v>13665</v>
      </c>
      <c r="AK202" s="3">
        <v>13655</v>
      </c>
      <c r="AL202" s="3">
        <v>13750</v>
      </c>
      <c r="AM202" s="3">
        <v>13750</v>
      </c>
      <c r="AN202" s="3">
        <v>13390</v>
      </c>
      <c r="AO202" s="3">
        <v>13390</v>
      </c>
      <c r="AP202" s="3">
        <v>13505</v>
      </c>
      <c r="AQ202" s="3">
        <v>13500</v>
      </c>
      <c r="AR202" s="4">
        <f t="shared" si="104"/>
        <v>1.2575888985255856E-2</v>
      </c>
      <c r="AS202" s="4">
        <f t="shared" si="81"/>
        <v>4.761904761904745E-3</v>
      </c>
      <c r="AT202" s="4">
        <f t="shared" si="82"/>
        <v>2.3767605633802757E-2</v>
      </c>
      <c r="AU202" s="4">
        <f t="shared" si="83"/>
        <v>3.2682512733446467E-2</v>
      </c>
      <c r="AV202" s="4">
        <f t="shared" si="84"/>
        <v>4.7048759623609104E-3</v>
      </c>
      <c r="AW202" s="4">
        <f t="shared" si="85"/>
        <v>1.4333895446880351E-2</v>
      </c>
      <c r="AX202" s="4">
        <f t="shared" si="86"/>
        <v>3.5905901774659466E-2</v>
      </c>
      <c r="AY202" s="4">
        <f t="shared" si="87"/>
        <v>8.6071987480438317E-3</v>
      </c>
      <c r="AZ202" s="4">
        <f t="shared" si="88"/>
        <v>3.1885213232363263E-3</v>
      </c>
      <c r="BA202" s="4">
        <f t="shared" si="89"/>
        <v>2.0202020202020332E-3</v>
      </c>
      <c r="BB202" s="4">
        <f t="shared" si="90"/>
        <v>3.7292257802999496E-2</v>
      </c>
      <c r="BC202" s="4">
        <f t="shared" si="91"/>
        <v>8.3102493074792561E-3</v>
      </c>
      <c r="BD202" s="4">
        <f t="shared" si="92"/>
        <v>9.7352024922118252E-3</v>
      </c>
      <c r="BE202" s="4">
        <f t="shared" si="93"/>
        <v>2.4296182028538338E-2</v>
      </c>
      <c r="BF202" s="4">
        <f t="shared" si="94"/>
        <v>1.0695187165775444E-2</v>
      </c>
      <c r="BG202" s="4">
        <f t="shared" si="95"/>
        <v>3.5995500562429728E-2</v>
      </c>
      <c r="BH202" s="4">
        <f t="shared" si="96"/>
        <v>2.8756290438533449E-2</v>
      </c>
      <c r="BI202" s="4">
        <f t="shared" si="97"/>
        <v>1.5855855855855805E-2</v>
      </c>
      <c r="BJ202" s="4">
        <f t="shared" si="98"/>
        <v>2.1865889212828726E-3</v>
      </c>
      <c r="BK202" s="4">
        <f t="shared" si="99"/>
        <v>2.1556448666423145E-2</v>
      </c>
      <c r="BL202" s="4">
        <f t="shared" si="100"/>
        <v>3.3444816053511683E-3</v>
      </c>
      <c r="BM202" s="4">
        <f t="shared" si="105"/>
        <v>1.5735835514395804E-2</v>
      </c>
      <c r="BN202" s="9">
        <f t="shared" si="106"/>
        <v>13666.725666846194</v>
      </c>
      <c r="BO202" s="10">
        <f t="shared" si="107"/>
        <v>13115.319991770675</v>
      </c>
      <c r="BP202">
        <v>13820</v>
      </c>
      <c r="BQ202">
        <v>13825</v>
      </c>
      <c r="BR202">
        <v>13815</v>
      </c>
      <c r="BS202">
        <v>13815</v>
      </c>
      <c r="BT202">
        <v>10294</v>
      </c>
      <c r="BU202" s="13">
        <f t="shared" si="101"/>
        <v>13818.333333333334</v>
      </c>
      <c r="BV202" s="13">
        <f t="shared" si="102"/>
        <v>142245923.33333334</v>
      </c>
      <c r="BW202" s="13">
        <f>SUM($BV$3:BV202)</f>
        <v>190240852481.66672</v>
      </c>
      <c r="BX202" s="13">
        <f>SUM($BT$3:BT202)</f>
        <v>13896535</v>
      </c>
      <c r="BY202" s="3">
        <f t="shared" si="103"/>
        <v>13689.804867304456</v>
      </c>
    </row>
    <row r="203" spans="1:77" x14ac:dyDescent="0.3">
      <c r="A203" s="3" t="s">
        <v>243</v>
      </c>
      <c r="B203" s="3">
        <v>11675</v>
      </c>
      <c r="C203" s="3">
        <v>11665</v>
      </c>
      <c r="D203" s="3">
        <v>11495</v>
      </c>
      <c r="E203" s="3">
        <v>11495</v>
      </c>
      <c r="F203" s="3">
        <v>11630</v>
      </c>
      <c r="G203" s="3">
        <v>11630</v>
      </c>
      <c r="H203" s="3">
        <v>11400</v>
      </c>
      <c r="I203" s="3">
        <v>11390</v>
      </c>
      <c r="J203" s="3">
        <v>11745</v>
      </c>
      <c r="K203" s="3">
        <v>11745</v>
      </c>
      <c r="L203" s="3">
        <v>12035</v>
      </c>
      <c r="M203" s="3">
        <v>12035</v>
      </c>
      <c r="N203" s="3">
        <v>12550</v>
      </c>
      <c r="O203" s="3">
        <v>12555</v>
      </c>
      <c r="P203" s="3">
        <v>12675</v>
      </c>
      <c r="Q203" s="3">
        <v>12680</v>
      </c>
      <c r="R203" s="3">
        <v>12505</v>
      </c>
      <c r="S203" s="3">
        <v>12510</v>
      </c>
      <c r="T203" s="3">
        <v>12350</v>
      </c>
      <c r="U203" s="3">
        <v>12345</v>
      </c>
      <c r="V203" s="3">
        <v>12795</v>
      </c>
      <c r="W203" s="3">
        <v>12780</v>
      </c>
      <c r="X203" s="3">
        <v>12530</v>
      </c>
      <c r="Y203" s="3">
        <v>12535</v>
      </c>
      <c r="Z203" s="3">
        <v>12715</v>
      </c>
      <c r="AA203" s="3">
        <v>12715</v>
      </c>
      <c r="AB203" s="3">
        <v>13280</v>
      </c>
      <c r="AC203" s="3">
        <v>13275</v>
      </c>
      <c r="AD203" s="3">
        <v>13225</v>
      </c>
      <c r="AE203" s="3">
        <v>13225</v>
      </c>
      <c r="AF203" s="3">
        <v>13815</v>
      </c>
      <c r="AG203" s="3">
        <v>13805</v>
      </c>
      <c r="AH203" s="3">
        <v>14315</v>
      </c>
      <c r="AI203" s="3">
        <v>14315</v>
      </c>
      <c r="AJ203" s="3">
        <v>13655</v>
      </c>
      <c r="AK203" s="3">
        <v>13640</v>
      </c>
      <c r="AL203" s="3">
        <v>13750</v>
      </c>
      <c r="AM203" s="3">
        <v>13755</v>
      </c>
      <c r="AN203" s="3">
        <v>13385</v>
      </c>
      <c r="AO203" s="3">
        <v>13415</v>
      </c>
      <c r="AP203" s="3">
        <v>13500</v>
      </c>
      <c r="AQ203" s="3">
        <v>13505</v>
      </c>
      <c r="AR203" s="4">
        <f t="shared" si="104"/>
        <v>1.1708586296617529E-2</v>
      </c>
      <c r="AS203" s="4">
        <f t="shared" si="81"/>
        <v>4.761904761904745E-3</v>
      </c>
      <c r="AT203" s="4">
        <f t="shared" si="82"/>
        <v>2.3767605633802757E-2</v>
      </c>
      <c r="AU203" s="4">
        <f t="shared" si="83"/>
        <v>3.3106960950764042E-2</v>
      </c>
      <c r="AV203" s="4">
        <f t="shared" si="84"/>
        <v>4.7048759623609104E-3</v>
      </c>
      <c r="AW203" s="4">
        <f t="shared" si="85"/>
        <v>1.4755480607082649E-2</v>
      </c>
      <c r="AX203" s="4">
        <f t="shared" si="86"/>
        <v>3.6318613289310742E-2</v>
      </c>
      <c r="AY203" s="4">
        <f t="shared" si="87"/>
        <v>7.8247261345852914E-3</v>
      </c>
      <c r="AZ203" s="4">
        <f t="shared" si="88"/>
        <v>2.789956157831841E-3</v>
      </c>
      <c r="BA203" s="4">
        <f t="shared" si="89"/>
        <v>2.4242424242424399E-3</v>
      </c>
      <c r="BB203" s="4">
        <f t="shared" si="90"/>
        <v>3.607620591811922E-2</v>
      </c>
      <c r="BC203" s="4">
        <f t="shared" si="91"/>
        <v>7.9145231499802016E-3</v>
      </c>
      <c r="BD203" s="4">
        <f t="shared" si="92"/>
        <v>9.7352024922118252E-3</v>
      </c>
      <c r="BE203" s="4">
        <f t="shared" si="93"/>
        <v>2.3910528345545634E-2</v>
      </c>
      <c r="BF203" s="4">
        <f t="shared" si="94"/>
        <v>1.0313216195569241E-2</v>
      </c>
      <c r="BG203" s="4">
        <f t="shared" si="95"/>
        <v>3.5245594300712391E-2</v>
      </c>
      <c r="BH203" s="4">
        <f t="shared" si="96"/>
        <v>2.911574406901507E-2</v>
      </c>
      <c r="BI203" s="4">
        <f t="shared" si="97"/>
        <v>1.6936936936936986E-2</v>
      </c>
      <c r="BJ203" s="4">
        <f t="shared" si="98"/>
        <v>2.5510204081633514E-3</v>
      </c>
      <c r="BK203" s="4">
        <f t="shared" si="99"/>
        <v>1.9729630982827873E-2</v>
      </c>
      <c r="BL203" s="4">
        <f t="shared" si="100"/>
        <v>3.7160906726123599E-3</v>
      </c>
      <c r="BM203" s="4">
        <f t="shared" si="105"/>
        <v>1.5600288715950825E-2</v>
      </c>
      <c r="BN203" s="9">
        <f t="shared" si="106"/>
        <v>13664.901884673118</v>
      </c>
      <c r="BO203" s="10">
        <f t="shared" si="107"/>
        <v>13117.126152859955</v>
      </c>
      <c r="BP203">
        <v>13815</v>
      </c>
      <c r="BQ203">
        <v>13820</v>
      </c>
      <c r="BR203">
        <v>13800</v>
      </c>
      <c r="BS203">
        <v>13805</v>
      </c>
      <c r="BT203">
        <v>56054</v>
      </c>
      <c r="BU203" s="13">
        <f t="shared" si="101"/>
        <v>13808.333333333334</v>
      </c>
      <c r="BV203" s="13">
        <f t="shared" si="102"/>
        <v>774012316.66666675</v>
      </c>
      <c r="BW203" s="13">
        <f>SUM($BV$3:BV203)</f>
        <v>191014864798.33337</v>
      </c>
      <c r="BX203" s="13">
        <f>SUM($BT$3:BT203)</f>
        <v>13952589</v>
      </c>
      <c r="BY203" s="3">
        <f t="shared" si="103"/>
        <v>13690.281050945698</v>
      </c>
    </row>
    <row r="204" spans="1:77" x14ac:dyDescent="0.3">
      <c r="A204" s="3" t="s">
        <v>244</v>
      </c>
      <c r="B204" s="3">
        <v>11665</v>
      </c>
      <c r="C204" s="3">
        <v>11665</v>
      </c>
      <c r="D204" s="3">
        <v>11495</v>
      </c>
      <c r="E204" s="3">
        <v>11510</v>
      </c>
      <c r="F204" s="3">
        <v>11630</v>
      </c>
      <c r="G204" s="3">
        <v>11630</v>
      </c>
      <c r="H204" s="3">
        <v>11385</v>
      </c>
      <c r="I204" s="3">
        <v>11395</v>
      </c>
      <c r="J204" s="3">
        <v>11740</v>
      </c>
      <c r="K204" s="3">
        <v>11735</v>
      </c>
      <c r="L204" s="3">
        <v>12030</v>
      </c>
      <c r="M204" s="3">
        <v>12025</v>
      </c>
      <c r="N204" s="3">
        <v>12555</v>
      </c>
      <c r="O204" s="3">
        <v>12550</v>
      </c>
      <c r="P204" s="3">
        <v>12680</v>
      </c>
      <c r="Q204" s="3">
        <v>12695</v>
      </c>
      <c r="R204" s="3">
        <v>12510</v>
      </c>
      <c r="S204" s="3">
        <v>12510</v>
      </c>
      <c r="T204" s="3">
        <v>12345</v>
      </c>
      <c r="U204" s="3">
        <v>12335</v>
      </c>
      <c r="V204" s="3">
        <v>12780</v>
      </c>
      <c r="W204" s="3">
        <v>12770</v>
      </c>
      <c r="X204" s="3">
        <v>12540</v>
      </c>
      <c r="Y204" s="3">
        <v>12545</v>
      </c>
      <c r="Z204" s="3">
        <v>12715</v>
      </c>
      <c r="AA204" s="3">
        <v>12710</v>
      </c>
      <c r="AB204" s="3">
        <v>13275</v>
      </c>
      <c r="AC204" s="3">
        <v>13275</v>
      </c>
      <c r="AD204" s="3">
        <v>13220</v>
      </c>
      <c r="AE204" s="3">
        <v>13215</v>
      </c>
      <c r="AF204" s="3">
        <v>13805</v>
      </c>
      <c r="AG204" s="3">
        <v>13815</v>
      </c>
      <c r="AH204" s="3">
        <v>14320</v>
      </c>
      <c r="AI204" s="3">
        <v>14315</v>
      </c>
      <c r="AJ204" s="3">
        <v>13640</v>
      </c>
      <c r="AK204" s="3">
        <v>13650</v>
      </c>
      <c r="AL204" s="3">
        <v>13755</v>
      </c>
      <c r="AM204" s="3">
        <v>13750</v>
      </c>
      <c r="AN204" s="3">
        <v>13415</v>
      </c>
      <c r="AO204" s="3">
        <v>13420</v>
      </c>
      <c r="AP204" s="3">
        <v>13505</v>
      </c>
      <c r="AQ204" s="3">
        <v>13495</v>
      </c>
      <c r="AR204" s="4">
        <f t="shared" si="104"/>
        <v>1.1708586296617529E-2</v>
      </c>
      <c r="AS204" s="4">
        <f t="shared" si="81"/>
        <v>3.4632034632035014E-3</v>
      </c>
      <c r="AT204" s="4">
        <f t="shared" si="82"/>
        <v>2.3767605633802757E-2</v>
      </c>
      <c r="AU204" s="4">
        <f t="shared" si="83"/>
        <v>3.2682512733446467E-2</v>
      </c>
      <c r="AV204" s="4">
        <f t="shared" si="84"/>
        <v>3.8494439692045024E-3</v>
      </c>
      <c r="AW204" s="4">
        <f t="shared" si="85"/>
        <v>1.3912310286677831E-2</v>
      </c>
      <c r="AX204" s="4">
        <f t="shared" si="86"/>
        <v>3.5905901774659466E-2</v>
      </c>
      <c r="AY204" s="4">
        <f t="shared" si="87"/>
        <v>6.6510172143975366E-3</v>
      </c>
      <c r="AZ204" s="4">
        <f t="shared" si="88"/>
        <v>2.789956157831841E-3</v>
      </c>
      <c r="BA204" s="4">
        <f t="shared" si="89"/>
        <v>3.2323232323232531E-3</v>
      </c>
      <c r="BB204" s="4">
        <f t="shared" si="90"/>
        <v>3.5265504661532221E-2</v>
      </c>
      <c r="BC204" s="4">
        <f t="shared" si="91"/>
        <v>7.1230708349822036E-3</v>
      </c>
      <c r="BD204" s="4">
        <f t="shared" si="92"/>
        <v>1.0124610591900285E-2</v>
      </c>
      <c r="BE204" s="4">
        <f t="shared" si="93"/>
        <v>2.3910528345545634E-2</v>
      </c>
      <c r="BF204" s="4">
        <f t="shared" si="94"/>
        <v>9.5492742551566145E-3</v>
      </c>
      <c r="BG204" s="4">
        <f t="shared" si="95"/>
        <v>3.5995500562429728E-2</v>
      </c>
      <c r="BH204" s="4">
        <f t="shared" si="96"/>
        <v>2.911574406901507E-2</v>
      </c>
      <c r="BI204" s="4">
        <f t="shared" si="97"/>
        <v>1.6216216216216162E-2</v>
      </c>
      <c r="BJ204" s="4">
        <f t="shared" si="98"/>
        <v>2.1865889212828726E-3</v>
      </c>
      <c r="BK204" s="4">
        <f t="shared" si="99"/>
        <v>1.9364267446108863E-2</v>
      </c>
      <c r="BL204" s="4">
        <f t="shared" si="100"/>
        <v>2.9728725380899768E-3</v>
      </c>
      <c r="BM204" s="4">
        <f t="shared" si="105"/>
        <v>1.5159090225333152E-2</v>
      </c>
      <c r="BN204" s="9">
        <f t="shared" si="106"/>
        <v>13658.965558981858</v>
      </c>
      <c r="BO204" s="10">
        <f t="shared" si="107"/>
        <v>13123.005122747436</v>
      </c>
      <c r="BP204">
        <v>13805</v>
      </c>
      <c r="BQ204">
        <v>13820</v>
      </c>
      <c r="BR204">
        <v>13805</v>
      </c>
      <c r="BS204">
        <v>13815</v>
      </c>
      <c r="BT204">
        <v>14331</v>
      </c>
      <c r="BU204" s="13">
        <f t="shared" si="101"/>
        <v>13813.333333333334</v>
      </c>
      <c r="BV204" s="13">
        <f t="shared" si="102"/>
        <v>197958880</v>
      </c>
      <c r="BW204" s="13">
        <f>SUM($BV$3:BV204)</f>
        <v>191212823678.33337</v>
      </c>
      <c r="BX204" s="13">
        <f>SUM($BT$3:BT204)</f>
        <v>13966920</v>
      </c>
      <c r="BY204" s="3">
        <f t="shared" si="103"/>
        <v>13690.407310869781</v>
      </c>
    </row>
    <row r="205" spans="1:77" x14ac:dyDescent="0.3">
      <c r="A205" s="3" t="s">
        <v>245</v>
      </c>
      <c r="B205" s="3">
        <v>11665</v>
      </c>
      <c r="C205" s="3">
        <v>11660</v>
      </c>
      <c r="D205" s="3">
        <v>11510</v>
      </c>
      <c r="E205" s="3">
        <v>11510</v>
      </c>
      <c r="F205" s="3">
        <v>11635</v>
      </c>
      <c r="G205" s="3">
        <v>11640</v>
      </c>
      <c r="H205" s="3">
        <v>11390</v>
      </c>
      <c r="I205" s="3">
        <v>11400</v>
      </c>
      <c r="J205" s="3">
        <v>11735</v>
      </c>
      <c r="K205" s="3">
        <v>11735</v>
      </c>
      <c r="L205" s="3">
        <v>12020</v>
      </c>
      <c r="M205" s="3">
        <v>12030</v>
      </c>
      <c r="N205" s="3">
        <v>12555</v>
      </c>
      <c r="O205" s="3">
        <v>12555</v>
      </c>
      <c r="P205" s="3">
        <v>12695</v>
      </c>
      <c r="Q205" s="3">
        <v>12690</v>
      </c>
      <c r="R205" s="3">
        <v>12510</v>
      </c>
      <c r="S205" s="3">
        <v>12510</v>
      </c>
      <c r="T205" s="3">
        <v>12335</v>
      </c>
      <c r="U205" s="3">
        <v>12350</v>
      </c>
      <c r="V205" s="3">
        <v>12775</v>
      </c>
      <c r="W205" s="3">
        <v>12775</v>
      </c>
      <c r="X205" s="3">
        <v>12545</v>
      </c>
      <c r="Y205" s="3">
        <v>12535</v>
      </c>
      <c r="Z205" s="3">
        <v>12715</v>
      </c>
      <c r="AA205" s="3">
        <v>12735</v>
      </c>
      <c r="AB205" s="3">
        <v>13275</v>
      </c>
      <c r="AC205" s="3">
        <v>13280</v>
      </c>
      <c r="AD205" s="3">
        <v>13220</v>
      </c>
      <c r="AE205" s="3">
        <v>13230</v>
      </c>
      <c r="AF205" s="3">
        <v>13820</v>
      </c>
      <c r="AG205" s="3">
        <v>13825</v>
      </c>
      <c r="AH205" s="3">
        <v>14320</v>
      </c>
      <c r="AI205" s="3">
        <v>14315</v>
      </c>
      <c r="AJ205" s="3">
        <v>13650</v>
      </c>
      <c r="AK205" s="3">
        <v>13660</v>
      </c>
      <c r="AL205" s="3">
        <v>13755</v>
      </c>
      <c r="AM205" s="3">
        <v>13750</v>
      </c>
      <c r="AN205" s="3">
        <v>13420</v>
      </c>
      <c r="AO205" s="3">
        <v>13420</v>
      </c>
      <c r="AP205" s="3">
        <v>13490</v>
      </c>
      <c r="AQ205" s="3">
        <v>13490</v>
      </c>
      <c r="AR205" s="4">
        <f t="shared" si="104"/>
        <v>1.1274934952298254E-2</v>
      </c>
      <c r="AS205" s="4">
        <f t="shared" si="81"/>
        <v>3.4632034632035014E-3</v>
      </c>
      <c r="AT205" s="4">
        <f t="shared" si="82"/>
        <v>2.464788732394374E-2</v>
      </c>
      <c r="AU205" s="4">
        <f t="shared" si="83"/>
        <v>3.2258064516129004E-2</v>
      </c>
      <c r="AV205" s="4">
        <f t="shared" si="84"/>
        <v>3.8494439692045024E-3</v>
      </c>
      <c r="AW205" s="4">
        <f t="shared" si="85"/>
        <v>1.4333895446880351E-2</v>
      </c>
      <c r="AX205" s="4">
        <f t="shared" si="86"/>
        <v>3.6318613289310742E-2</v>
      </c>
      <c r="AY205" s="4">
        <f t="shared" si="87"/>
        <v>7.0422535211267512E-3</v>
      </c>
      <c r="AZ205" s="4">
        <f t="shared" si="88"/>
        <v>2.789956157831841E-3</v>
      </c>
      <c r="BA205" s="4">
        <f t="shared" si="89"/>
        <v>2.0202020202020332E-3</v>
      </c>
      <c r="BB205" s="4">
        <f t="shared" si="90"/>
        <v>3.567085528982572E-2</v>
      </c>
      <c r="BC205" s="4">
        <f t="shared" si="91"/>
        <v>7.9145231499802016E-3</v>
      </c>
      <c r="BD205" s="4">
        <f t="shared" si="92"/>
        <v>8.1775700934579865E-3</v>
      </c>
      <c r="BE205" s="4">
        <f t="shared" si="93"/>
        <v>2.4296182028538338E-2</v>
      </c>
      <c r="BF205" s="4">
        <f t="shared" si="94"/>
        <v>1.0695187165775444E-2</v>
      </c>
      <c r="BG205" s="4">
        <f t="shared" si="95"/>
        <v>3.6745406824147064E-2</v>
      </c>
      <c r="BH205" s="4">
        <f t="shared" si="96"/>
        <v>2.911574406901507E-2</v>
      </c>
      <c r="BI205" s="4">
        <f t="shared" si="97"/>
        <v>1.5495495495495448E-2</v>
      </c>
      <c r="BJ205" s="4">
        <f t="shared" si="98"/>
        <v>2.1865889212828726E-3</v>
      </c>
      <c r="BK205" s="4">
        <f t="shared" si="99"/>
        <v>1.9364267446108863E-2</v>
      </c>
      <c r="BL205" s="4">
        <f t="shared" si="100"/>
        <v>2.6012634708287852E-3</v>
      </c>
      <c r="BM205" s="4">
        <f t="shared" si="105"/>
        <v>1.5248416959672153E-2</v>
      </c>
      <c r="BN205" s="9">
        <f t="shared" si="106"/>
        <v>13660.167450192388</v>
      </c>
      <c r="BO205" s="10">
        <f t="shared" si="107"/>
        <v>13121.814844012368</v>
      </c>
      <c r="BP205">
        <v>13820</v>
      </c>
      <c r="BQ205">
        <v>13825</v>
      </c>
      <c r="BR205">
        <v>13815</v>
      </c>
      <c r="BS205">
        <v>13825</v>
      </c>
      <c r="BT205">
        <v>15050</v>
      </c>
      <c r="BU205" s="13">
        <f t="shared" si="101"/>
        <v>13821.666666666666</v>
      </c>
      <c r="BV205" s="13">
        <f t="shared" si="102"/>
        <v>208016083.33333331</v>
      </c>
      <c r="BW205" s="13">
        <f>SUM($BV$3:BV205)</f>
        <v>191420839761.66672</v>
      </c>
      <c r="BX205" s="13">
        <f>SUM($BT$3:BT205)</f>
        <v>13981970</v>
      </c>
      <c r="BY205" s="3">
        <f t="shared" si="103"/>
        <v>13690.548596633143</v>
      </c>
    </row>
    <row r="206" spans="1:77" x14ac:dyDescent="0.3">
      <c r="A206" s="3" t="s">
        <v>246</v>
      </c>
      <c r="B206" s="3">
        <v>11665</v>
      </c>
      <c r="C206" s="3">
        <v>11665</v>
      </c>
      <c r="D206" s="3">
        <v>11510</v>
      </c>
      <c r="E206" s="3">
        <v>11505</v>
      </c>
      <c r="F206" s="3">
        <v>11645</v>
      </c>
      <c r="G206" s="3">
        <v>11650</v>
      </c>
      <c r="H206" s="3">
        <v>11400</v>
      </c>
      <c r="I206" s="3">
        <v>11410</v>
      </c>
      <c r="J206" s="3">
        <v>11740</v>
      </c>
      <c r="K206" s="3">
        <v>11750</v>
      </c>
      <c r="L206" s="3">
        <v>12030</v>
      </c>
      <c r="M206" s="3">
        <v>12035</v>
      </c>
      <c r="N206" s="3">
        <v>12555</v>
      </c>
      <c r="O206" s="3">
        <v>12540</v>
      </c>
      <c r="P206" s="3">
        <v>12685</v>
      </c>
      <c r="Q206" s="3">
        <v>12680</v>
      </c>
      <c r="R206" s="3">
        <v>12505</v>
      </c>
      <c r="S206" s="3">
        <v>12505</v>
      </c>
      <c r="T206" s="3">
        <v>12350</v>
      </c>
      <c r="U206" s="3">
        <v>12345</v>
      </c>
      <c r="V206" s="3">
        <v>12770</v>
      </c>
      <c r="W206" s="3">
        <v>12755</v>
      </c>
      <c r="X206" s="3">
        <v>12535</v>
      </c>
      <c r="Y206" s="3">
        <v>12540</v>
      </c>
      <c r="Z206" s="3">
        <v>12735</v>
      </c>
      <c r="AA206" s="3">
        <v>12735</v>
      </c>
      <c r="AB206" s="3">
        <v>13275</v>
      </c>
      <c r="AC206" s="3">
        <v>13275</v>
      </c>
      <c r="AD206" s="3">
        <v>13230</v>
      </c>
      <c r="AE206" s="3">
        <v>13275</v>
      </c>
      <c r="AF206" s="3">
        <v>13815</v>
      </c>
      <c r="AG206" s="3">
        <v>13830</v>
      </c>
      <c r="AH206" s="3">
        <v>14315</v>
      </c>
      <c r="AI206" s="3">
        <v>14315</v>
      </c>
      <c r="AJ206" s="3">
        <v>13655</v>
      </c>
      <c r="AK206" s="3">
        <v>13645</v>
      </c>
      <c r="AL206" s="3">
        <v>13750</v>
      </c>
      <c r="AM206" s="3">
        <v>13745</v>
      </c>
      <c r="AN206" s="3">
        <v>13420</v>
      </c>
      <c r="AO206" s="3">
        <v>13425</v>
      </c>
      <c r="AP206" s="3">
        <v>13490</v>
      </c>
      <c r="AQ206" s="3">
        <v>13495</v>
      </c>
      <c r="AR206" s="4">
        <f t="shared" si="104"/>
        <v>1.1708586296617529E-2</v>
      </c>
      <c r="AS206" s="4">
        <f t="shared" si="81"/>
        <v>3.8961038961038419E-3</v>
      </c>
      <c r="AT206" s="4">
        <f t="shared" si="82"/>
        <v>2.5528169014084501E-2</v>
      </c>
      <c r="AU206" s="4">
        <f t="shared" si="83"/>
        <v>3.1409168081494077E-2</v>
      </c>
      <c r="AV206" s="4">
        <f t="shared" si="84"/>
        <v>5.1325919589393365E-3</v>
      </c>
      <c r="AW206" s="4">
        <f t="shared" si="85"/>
        <v>1.4755480607082649E-2</v>
      </c>
      <c r="AX206" s="4">
        <f t="shared" si="86"/>
        <v>3.5080478745356913E-2</v>
      </c>
      <c r="AY206" s="4">
        <f t="shared" si="87"/>
        <v>7.8247261345852914E-3</v>
      </c>
      <c r="AZ206" s="4">
        <f t="shared" si="88"/>
        <v>3.1885213232363263E-3</v>
      </c>
      <c r="BA206" s="4">
        <f t="shared" si="89"/>
        <v>2.4242424242424399E-3</v>
      </c>
      <c r="BB206" s="4">
        <f t="shared" si="90"/>
        <v>3.4049452776651723E-2</v>
      </c>
      <c r="BC206" s="4">
        <f t="shared" si="91"/>
        <v>7.5187969924812581E-3</v>
      </c>
      <c r="BD206" s="4">
        <f t="shared" si="92"/>
        <v>8.1775700934579865E-3</v>
      </c>
      <c r="BE206" s="4">
        <f t="shared" si="93"/>
        <v>2.3910528345545634E-2</v>
      </c>
      <c r="BF206" s="4">
        <f t="shared" si="94"/>
        <v>1.413292589763171E-2</v>
      </c>
      <c r="BG206" s="4">
        <f t="shared" si="95"/>
        <v>3.7120359955005622E-2</v>
      </c>
      <c r="BH206" s="4">
        <f t="shared" si="96"/>
        <v>2.911574406901507E-2</v>
      </c>
      <c r="BI206" s="4">
        <f t="shared" si="97"/>
        <v>1.6576576576576629E-2</v>
      </c>
      <c r="BJ206" s="4">
        <f t="shared" si="98"/>
        <v>1.8221574344023939E-3</v>
      </c>
      <c r="BK206" s="4">
        <f t="shared" si="99"/>
        <v>1.8998903909389853E-2</v>
      </c>
      <c r="BL206" s="4">
        <f t="shared" si="100"/>
        <v>2.9728725380899768E-3</v>
      </c>
      <c r="BM206" s="4">
        <f t="shared" si="105"/>
        <v>1.550205402077812E-2</v>
      </c>
      <c r="BN206" s="9">
        <f t="shared" si="106"/>
        <v>13663.58013684957</v>
      </c>
      <c r="BO206" s="10">
        <f t="shared" si="107"/>
        <v>13118.435130173131</v>
      </c>
      <c r="BP206">
        <v>13815</v>
      </c>
      <c r="BQ206">
        <v>13830</v>
      </c>
      <c r="BR206">
        <v>13815</v>
      </c>
      <c r="BS206">
        <v>13830</v>
      </c>
      <c r="BT206">
        <v>13086</v>
      </c>
      <c r="BU206" s="13">
        <f t="shared" si="101"/>
        <v>13825</v>
      </c>
      <c r="BV206" s="13">
        <f t="shared" si="102"/>
        <v>180913950</v>
      </c>
      <c r="BW206" s="13">
        <f>SUM($BV$3:BV206)</f>
        <v>191601753711.66672</v>
      </c>
      <c r="BX206" s="13">
        <f>SUM($BT$3:BT206)</f>
        <v>13995056</v>
      </c>
      <c r="BY206" s="3">
        <f t="shared" si="103"/>
        <v>13690.674314677035</v>
      </c>
    </row>
    <row r="207" spans="1:77" x14ac:dyDescent="0.3">
      <c r="A207" s="3" t="s">
        <v>247</v>
      </c>
      <c r="B207" s="3">
        <v>11665</v>
      </c>
      <c r="C207" s="3">
        <v>11650</v>
      </c>
      <c r="D207" s="3">
        <v>11510</v>
      </c>
      <c r="E207" s="3">
        <v>11510</v>
      </c>
      <c r="F207" s="3">
        <v>11650</v>
      </c>
      <c r="G207" s="3">
        <v>11640</v>
      </c>
      <c r="H207" s="3">
        <v>11415</v>
      </c>
      <c r="I207" s="3">
        <v>11445</v>
      </c>
      <c r="J207" s="3">
        <v>11750</v>
      </c>
      <c r="K207" s="3">
        <v>11785</v>
      </c>
      <c r="L207" s="3">
        <v>12035</v>
      </c>
      <c r="M207" s="3">
        <v>12045</v>
      </c>
      <c r="N207" s="3">
        <v>12540</v>
      </c>
      <c r="O207" s="3">
        <v>12530</v>
      </c>
      <c r="P207" s="3">
        <v>12680</v>
      </c>
      <c r="Q207" s="3">
        <v>12690</v>
      </c>
      <c r="R207" s="3">
        <v>12505</v>
      </c>
      <c r="S207" s="3">
        <v>12505</v>
      </c>
      <c r="T207" s="3">
        <v>12345</v>
      </c>
      <c r="U207" s="3">
        <v>12355</v>
      </c>
      <c r="V207" s="3">
        <v>12750</v>
      </c>
      <c r="W207" s="3">
        <v>12765</v>
      </c>
      <c r="X207" s="3">
        <v>12540</v>
      </c>
      <c r="Y207" s="3">
        <v>12535</v>
      </c>
      <c r="Z207" s="3">
        <v>12735</v>
      </c>
      <c r="AA207" s="3">
        <v>12725</v>
      </c>
      <c r="AB207" s="3">
        <v>13275</v>
      </c>
      <c r="AC207" s="3">
        <v>13275</v>
      </c>
      <c r="AD207" s="3">
        <v>13280</v>
      </c>
      <c r="AE207" s="3">
        <v>13275</v>
      </c>
      <c r="AF207" s="3">
        <v>13825</v>
      </c>
      <c r="AG207" s="3">
        <v>13830</v>
      </c>
      <c r="AH207" s="3">
        <v>14315</v>
      </c>
      <c r="AI207" s="3">
        <v>14315</v>
      </c>
      <c r="AJ207" s="3">
        <v>13645</v>
      </c>
      <c r="AK207" s="3">
        <v>13645</v>
      </c>
      <c r="AL207" s="3">
        <v>13745</v>
      </c>
      <c r="AM207" s="3">
        <v>13755</v>
      </c>
      <c r="AN207" s="3">
        <v>13425</v>
      </c>
      <c r="AO207" s="3">
        <v>13425</v>
      </c>
      <c r="AP207" s="3">
        <v>13495</v>
      </c>
      <c r="AQ207" s="3">
        <v>13490</v>
      </c>
      <c r="AR207" s="4">
        <f t="shared" si="104"/>
        <v>1.0407632263659927E-2</v>
      </c>
      <c r="AS207" s="4">
        <f t="shared" si="81"/>
        <v>3.4632034632035014E-3</v>
      </c>
      <c r="AT207" s="4">
        <f t="shared" si="82"/>
        <v>2.464788732394374E-2</v>
      </c>
      <c r="AU207" s="4">
        <f t="shared" si="83"/>
        <v>2.843803056027161E-2</v>
      </c>
      <c r="AV207" s="4">
        <f t="shared" si="84"/>
        <v>8.1266039349872088E-3</v>
      </c>
      <c r="AW207" s="4">
        <f t="shared" si="85"/>
        <v>1.5598650927487245E-2</v>
      </c>
      <c r="AX207" s="4">
        <f t="shared" si="86"/>
        <v>3.4255055716054583E-2</v>
      </c>
      <c r="AY207" s="4">
        <f t="shared" si="87"/>
        <v>7.0422535211267512E-3</v>
      </c>
      <c r="AZ207" s="4">
        <f t="shared" si="88"/>
        <v>3.1885213232363263E-3</v>
      </c>
      <c r="BA207" s="4">
        <f t="shared" si="89"/>
        <v>1.6161616161616266E-3</v>
      </c>
      <c r="BB207" s="4">
        <f t="shared" si="90"/>
        <v>3.4860154033238722E-2</v>
      </c>
      <c r="BC207" s="4">
        <f t="shared" si="91"/>
        <v>7.9145231499802016E-3</v>
      </c>
      <c r="BD207" s="4">
        <f t="shared" si="92"/>
        <v>8.9563862928349058E-3</v>
      </c>
      <c r="BE207" s="4">
        <f t="shared" si="93"/>
        <v>2.3910528345545634E-2</v>
      </c>
      <c r="BF207" s="4">
        <f t="shared" si="94"/>
        <v>1.413292589763171E-2</v>
      </c>
      <c r="BG207" s="4">
        <f t="shared" si="95"/>
        <v>3.7120359955005622E-2</v>
      </c>
      <c r="BH207" s="4">
        <f t="shared" si="96"/>
        <v>2.911574406901507E-2</v>
      </c>
      <c r="BI207" s="4">
        <f t="shared" si="97"/>
        <v>1.6576576576576629E-2</v>
      </c>
      <c r="BJ207" s="4">
        <f t="shared" si="98"/>
        <v>2.5510204081633514E-3</v>
      </c>
      <c r="BK207" s="4">
        <f t="shared" si="99"/>
        <v>1.8998903909389853E-2</v>
      </c>
      <c r="BL207" s="4">
        <f t="shared" si="100"/>
        <v>2.6012634708287852E-3</v>
      </c>
      <c r="BM207" s="4">
        <f t="shared" si="105"/>
        <v>1.5439349007550269E-2</v>
      </c>
      <c r="BN207" s="9">
        <f t="shared" si="106"/>
        <v>13662.736440896588</v>
      </c>
      <c r="BO207" s="10">
        <f t="shared" si="107"/>
        <v>13119.270674474392</v>
      </c>
      <c r="BP207">
        <v>13825</v>
      </c>
      <c r="BQ207">
        <v>13835</v>
      </c>
      <c r="BR207">
        <v>13825</v>
      </c>
      <c r="BS207">
        <v>13830</v>
      </c>
      <c r="BT207">
        <v>3655</v>
      </c>
      <c r="BU207" s="13">
        <f t="shared" si="101"/>
        <v>13830</v>
      </c>
      <c r="BV207" s="13">
        <f t="shared" si="102"/>
        <v>50548650</v>
      </c>
      <c r="BW207" s="13">
        <f>SUM($BV$3:BV207)</f>
        <v>191652302361.66672</v>
      </c>
      <c r="BX207" s="13">
        <f>SUM($BT$3:BT207)</f>
        <v>13998711</v>
      </c>
      <c r="BY207" s="3">
        <f t="shared" si="103"/>
        <v>13690.710691982049</v>
      </c>
    </row>
    <row r="208" spans="1:77" x14ac:dyDescent="0.3">
      <c r="A208" s="3" t="s">
        <v>248</v>
      </c>
      <c r="B208" s="3">
        <v>11655</v>
      </c>
      <c r="C208" s="3">
        <v>11655</v>
      </c>
      <c r="D208" s="3">
        <v>11510</v>
      </c>
      <c r="E208" s="3">
        <v>11505</v>
      </c>
      <c r="F208" s="3">
        <v>11645</v>
      </c>
      <c r="G208" s="3">
        <v>11645</v>
      </c>
      <c r="H208" s="3">
        <v>11445</v>
      </c>
      <c r="I208" s="3">
        <v>11445</v>
      </c>
      <c r="J208" s="3">
        <v>11785</v>
      </c>
      <c r="K208" s="3">
        <v>11795</v>
      </c>
      <c r="L208" s="3">
        <v>12045</v>
      </c>
      <c r="M208" s="3">
        <v>12055</v>
      </c>
      <c r="N208" s="3">
        <v>12530</v>
      </c>
      <c r="O208" s="3">
        <v>12520</v>
      </c>
      <c r="P208" s="3">
        <v>12690</v>
      </c>
      <c r="Q208" s="3">
        <v>12685</v>
      </c>
      <c r="R208" s="3">
        <v>12500</v>
      </c>
      <c r="S208" s="3">
        <v>12500</v>
      </c>
      <c r="T208" s="3">
        <v>12360</v>
      </c>
      <c r="U208" s="3">
        <v>12360</v>
      </c>
      <c r="V208" s="3">
        <v>12765</v>
      </c>
      <c r="W208" s="3">
        <v>12765</v>
      </c>
      <c r="X208" s="3">
        <v>12535</v>
      </c>
      <c r="Y208" s="3">
        <v>12535</v>
      </c>
      <c r="Z208" s="3">
        <v>12720</v>
      </c>
      <c r="AA208" s="3">
        <v>12730</v>
      </c>
      <c r="AB208" s="3">
        <v>13275</v>
      </c>
      <c r="AC208" s="3">
        <v>13280</v>
      </c>
      <c r="AD208" s="3">
        <v>13280</v>
      </c>
      <c r="AE208" s="3">
        <v>13290</v>
      </c>
      <c r="AF208" s="3">
        <v>13830</v>
      </c>
      <c r="AG208" s="3">
        <v>13830</v>
      </c>
      <c r="AH208" s="3">
        <v>14310</v>
      </c>
      <c r="AI208" s="3">
        <v>14305</v>
      </c>
      <c r="AJ208" s="3">
        <v>13645</v>
      </c>
      <c r="AK208" s="3">
        <v>13655</v>
      </c>
      <c r="AL208" s="3">
        <v>13760</v>
      </c>
      <c r="AM208" s="3">
        <v>13775</v>
      </c>
      <c r="AN208" s="3">
        <v>13425</v>
      </c>
      <c r="AO208" s="3">
        <v>13425</v>
      </c>
      <c r="AP208" s="3">
        <v>13490</v>
      </c>
      <c r="AQ208" s="3">
        <v>13490</v>
      </c>
      <c r="AR208" s="4">
        <f t="shared" si="104"/>
        <v>1.0841283607979202E-2</v>
      </c>
      <c r="AS208" s="4">
        <f t="shared" si="81"/>
        <v>3.8961038961038419E-3</v>
      </c>
      <c r="AT208" s="4">
        <f t="shared" si="82"/>
        <v>2.5088028169014009E-2</v>
      </c>
      <c r="AU208" s="4">
        <f t="shared" si="83"/>
        <v>2.843803056027161E-2</v>
      </c>
      <c r="AV208" s="4">
        <f t="shared" si="84"/>
        <v>8.9820359281436168E-3</v>
      </c>
      <c r="AW208" s="4">
        <f t="shared" si="85"/>
        <v>1.6441821247892063E-2</v>
      </c>
      <c r="AX208" s="4">
        <f t="shared" si="86"/>
        <v>3.3429632686752031E-2</v>
      </c>
      <c r="AY208" s="4">
        <f t="shared" si="87"/>
        <v>7.4334898278560768E-3</v>
      </c>
      <c r="AZ208" s="4">
        <f t="shared" si="88"/>
        <v>3.5870864886409226E-3</v>
      </c>
      <c r="BA208" s="4">
        <f t="shared" si="89"/>
        <v>1.2121212121212199E-3</v>
      </c>
      <c r="BB208" s="4">
        <f t="shared" si="90"/>
        <v>3.4860154033238722E-2</v>
      </c>
      <c r="BC208" s="4">
        <f t="shared" si="91"/>
        <v>7.9145231499802016E-3</v>
      </c>
      <c r="BD208" s="4">
        <f t="shared" si="92"/>
        <v>8.5669781931464462E-3</v>
      </c>
      <c r="BE208" s="4">
        <f t="shared" si="93"/>
        <v>2.4296182028538338E-2</v>
      </c>
      <c r="BF208" s="4">
        <f t="shared" si="94"/>
        <v>1.5278838808250539E-2</v>
      </c>
      <c r="BG208" s="4">
        <f t="shared" si="95"/>
        <v>3.7120359955005622E-2</v>
      </c>
      <c r="BH208" s="4">
        <f t="shared" si="96"/>
        <v>2.8396836808051829E-2</v>
      </c>
      <c r="BI208" s="4">
        <f t="shared" si="97"/>
        <v>1.5855855855855805E-2</v>
      </c>
      <c r="BJ208" s="4">
        <f t="shared" si="98"/>
        <v>4.0087463556850444E-3</v>
      </c>
      <c r="BK208" s="4">
        <f t="shared" si="99"/>
        <v>1.8998903909389853E-2</v>
      </c>
      <c r="BL208" s="4">
        <f t="shared" si="100"/>
        <v>2.6012634708287852E-3</v>
      </c>
      <c r="BM208" s="4">
        <f t="shared" si="105"/>
        <v>1.5673216159282116E-2</v>
      </c>
      <c r="BN208" s="9">
        <f t="shared" si="106"/>
        <v>13665.88312342314</v>
      </c>
      <c r="BO208" s="10">
        <f t="shared" si="107"/>
        <v>13116.154394677566</v>
      </c>
      <c r="BP208">
        <v>13830</v>
      </c>
      <c r="BQ208">
        <v>13835</v>
      </c>
      <c r="BR208">
        <v>13830</v>
      </c>
      <c r="BS208">
        <v>13830</v>
      </c>
      <c r="BT208">
        <v>5606</v>
      </c>
      <c r="BU208" s="13">
        <f t="shared" si="101"/>
        <v>13831.666666666666</v>
      </c>
      <c r="BV208" s="13">
        <f t="shared" si="102"/>
        <v>77540323.333333328</v>
      </c>
      <c r="BW208" s="13">
        <f>SUM($BV$3:BV208)</f>
        <v>191729842685.00006</v>
      </c>
      <c r="BX208" s="13">
        <f>SUM($BT$3:BT208)</f>
        <v>14004317</v>
      </c>
      <c r="BY208" s="3">
        <f t="shared" si="103"/>
        <v>13690.767117382451</v>
      </c>
    </row>
    <row r="209" spans="1:77" x14ac:dyDescent="0.3">
      <c r="A209" s="3" t="s">
        <v>249</v>
      </c>
      <c r="B209" s="3">
        <v>11655</v>
      </c>
      <c r="C209" s="3">
        <v>11660</v>
      </c>
      <c r="D209" s="3">
        <v>11505</v>
      </c>
      <c r="E209" s="3">
        <v>11510</v>
      </c>
      <c r="F209" s="3">
        <v>11640</v>
      </c>
      <c r="G209" s="3">
        <v>11640</v>
      </c>
      <c r="H209" s="3">
        <v>11445</v>
      </c>
      <c r="I209" s="3">
        <v>11450</v>
      </c>
      <c r="J209" s="3">
        <v>11795</v>
      </c>
      <c r="K209" s="3">
        <v>11795</v>
      </c>
      <c r="L209" s="3">
        <v>12060</v>
      </c>
      <c r="M209" s="3">
        <v>12055</v>
      </c>
      <c r="N209" s="3">
        <v>12525</v>
      </c>
      <c r="O209" s="3">
        <v>12525</v>
      </c>
      <c r="P209" s="3">
        <v>12685</v>
      </c>
      <c r="Q209" s="3">
        <v>12680</v>
      </c>
      <c r="R209" s="3">
        <v>12500</v>
      </c>
      <c r="S209" s="3">
        <v>12500</v>
      </c>
      <c r="T209" s="3">
        <v>12355</v>
      </c>
      <c r="U209" s="3">
        <v>12355</v>
      </c>
      <c r="V209" s="3">
        <v>12770</v>
      </c>
      <c r="W209" s="3">
        <v>12765</v>
      </c>
      <c r="X209" s="3">
        <v>12535</v>
      </c>
      <c r="Y209" s="3">
        <v>12530</v>
      </c>
      <c r="Z209" s="3">
        <v>12730</v>
      </c>
      <c r="AA209" s="3">
        <v>12735</v>
      </c>
      <c r="AB209" s="3">
        <v>13275</v>
      </c>
      <c r="AC209" s="3">
        <v>13280</v>
      </c>
      <c r="AD209" s="3">
        <v>13290</v>
      </c>
      <c r="AE209" s="3">
        <v>13290</v>
      </c>
      <c r="AF209" s="3">
        <v>13825</v>
      </c>
      <c r="AG209" s="3">
        <v>13825</v>
      </c>
      <c r="AH209" s="3">
        <v>14310</v>
      </c>
      <c r="AI209" s="3">
        <v>14280</v>
      </c>
      <c r="AJ209" s="3">
        <v>13655</v>
      </c>
      <c r="AK209" s="3">
        <v>13665</v>
      </c>
      <c r="AL209" s="3">
        <v>13775</v>
      </c>
      <c r="AM209" s="3">
        <v>13775</v>
      </c>
      <c r="AN209" s="3">
        <v>13425</v>
      </c>
      <c r="AO209" s="3">
        <v>13430</v>
      </c>
      <c r="AP209" s="3">
        <v>13490</v>
      </c>
      <c r="AQ209" s="3">
        <v>13475</v>
      </c>
      <c r="AR209" s="4">
        <f t="shared" si="104"/>
        <v>1.1274934952298254E-2</v>
      </c>
      <c r="AS209" s="4">
        <f t="shared" si="81"/>
        <v>3.4632034632035014E-3</v>
      </c>
      <c r="AT209" s="4">
        <f t="shared" si="82"/>
        <v>2.464788732394374E-2</v>
      </c>
      <c r="AU209" s="4">
        <f t="shared" si="83"/>
        <v>2.8013582342954146E-2</v>
      </c>
      <c r="AV209" s="4">
        <f t="shared" si="84"/>
        <v>8.9820359281436168E-3</v>
      </c>
      <c r="AW209" s="4">
        <f t="shared" si="85"/>
        <v>1.6441821247892063E-2</v>
      </c>
      <c r="AX209" s="4">
        <f t="shared" si="86"/>
        <v>3.3842344201403307E-2</v>
      </c>
      <c r="AY209" s="4">
        <f t="shared" si="87"/>
        <v>7.8247261345852914E-3</v>
      </c>
      <c r="AZ209" s="4">
        <f t="shared" si="88"/>
        <v>3.5870864886409226E-3</v>
      </c>
      <c r="BA209" s="4">
        <f t="shared" si="89"/>
        <v>1.6161616161616266E-3</v>
      </c>
      <c r="BB209" s="4">
        <f t="shared" si="90"/>
        <v>3.4860154033238722E-2</v>
      </c>
      <c r="BC209" s="4">
        <f t="shared" si="91"/>
        <v>8.3102493074792561E-3</v>
      </c>
      <c r="BD209" s="4">
        <f t="shared" si="92"/>
        <v>8.1775700934579865E-3</v>
      </c>
      <c r="BE209" s="4">
        <f t="shared" si="93"/>
        <v>2.4296182028538338E-2</v>
      </c>
      <c r="BF209" s="4">
        <f t="shared" si="94"/>
        <v>1.5278838808250539E-2</v>
      </c>
      <c r="BG209" s="4">
        <f t="shared" si="95"/>
        <v>3.6745406824147064E-2</v>
      </c>
      <c r="BH209" s="4">
        <f t="shared" si="96"/>
        <v>2.6599568655643502E-2</v>
      </c>
      <c r="BI209" s="4">
        <f t="shared" si="97"/>
        <v>1.5135135135135092E-2</v>
      </c>
      <c r="BJ209" s="4">
        <f t="shared" si="98"/>
        <v>4.0087463556850444E-3</v>
      </c>
      <c r="BK209" s="4">
        <f t="shared" si="99"/>
        <v>1.8633540372670843E-2</v>
      </c>
      <c r="BL209" s="4">
        <f t="shared" si="100"/>
        <v>1.4864362690449884E-3</v>
      </c>
      <c r="BM209" s="4">
        <f t="shared" si="105"/>
        <v>1.5667274501278076E-2</v>
      </c>
      <c r="BN209" s="9">
        <f t="shared" si="106"/>
        <v>13665.803178414695</v>
      </c>
      <c r="BO209" s="10">
        <f t="shared" si="107"/>
        <v>13116.23356727047</v>
      </c>
      <c r="BP209">
        <v>13825</v>
      </c>
      <c r="BQ209">
        <v>13830</v>
      </c>
      <c r="BR209">
        <v>13820</v>
      </c>
      <c r="BS209">
        <v>13825</v>
      </c>
      <c r="BT209">
        <v>435</v>
      </c>
      <c r="BU209" s="13">
        <f t="shared" si="101"/>
        <v>13825</v>
      </c>
      <c r="BV209" s="13">
        <f t="shared" si="102"/>
        <v>6013875</v>
      </c>
      <c r="BW209" s="13">
        <f>SUM($BV$3:BV209)</f>
        <v>191735856560.00006</v>
      </c>
      <c r="BX209" s="13">
        <f>SUM($BT$3:BT209)</f>
        <v>14004752</v>
      </c>
      <c r="BY209" s="3">
        <f t="shared" si="103"/>
        <v>13690.771286774665</v>
      </c>
    </row>
    <row r="210" spans="1:77" x14ac:dyDescent="0.3">
      <c r="A210" s="3" t="s">
        <v>250</v>
      </c>
      <c r="B210" s="3">
        <v>11660</v>
      </c>
      <c r="C210" s="3">
        <v>11660</v>
      </c>
      <c r="D210" s="3">
        <v>11510</v>
      </c>
      <c r="E210" s="3">
        <v>11515</v>
      </c>
      <c r="F210" s="3">
        <v>11645</v>
      </c>
      <c r="G210" s="3">
        <v>11640</v>
      </c>
      <c r="H210" s="3">
        <v>11450</v>
      </c>
      <c r="I210" s="3">
        <v>11430</v>
      </c>
      <c r="J210" s="3">
        <v>11795</v>
      </c>
      <c r="K210" s="3">
        <v>11840</v>
      </c>
      <c r="L210" s="3">
        <v>12050</v>
      </c>
      <c r="M210" s="3">
        <v>12050</v>
      </c>
      <c r="N210" s="3">
        <v>12525</v>
      </c>
      <c r="O210" s="3">
        <v>12530</v>
      </c>
      <c r="P210" s="3">
        <v>12680</v>
      </c>
      <c r="Q210" s="3">
        <v>12680</v>
      </c>
      <c r="R210" s="3">
        <v>12500</v>
      </c>
      <c r="S210" s="3">
        <v>12495</v>
      </c>
      <c r="T210" s="3">
        <v>12355</v>
      </c>
      <c r="U210" s="3">
        <v>12350</v>
      </c>
      <c r="V210" s="3">
        <v>12765</v>
      </c>
      <c r="W210" s="3">
        <v>12765</v>
      </c>
      <c r="X210" s="3">
        <v>12540</v>
      </c>
      <c r="Y210" s="3">
        <v>12535</v>
      </c>
      <c r="Z210" s="3">
        <v>12735</v>
      </c>
      <c r="AA210" s="3">
        <v>12730</v>
      </c>
      <c r="AB210" s="3">
        <v>13275</v>
      </c>
      <c r="AC210" s="3">
        <v>13275</v>
      </c>
      <c r="AD210" s="3">
        <v>13295</v>
      </c>
      <c r="AE210" s="3">
        <v>13275</v>
      </c>
      <c r="AF210" s="3">
        <v>13825</v>
      </c>
      <c r="AG210" s="3">
        <v>13825</v>
      </c>
      <c r="AH210" s="3">
        <v>14280</v>
      </c>
      <c r="AI210" s="3">
        <v>14290</v>
      </c>
      <c r="AJ210" s="3">
        <v>13660</v>
      </c>
      <c r="AK210" s="3">
        <v>13660</v>
      </c>
      <c r="AL210" s="3">
        <v>13780</v>
      </c>
      <c r="AM210" s="3">
        <v>13780</v>
      </c>
      <c r="AN210" s="3">
        <v>13430</v>
      </c>
      <c r="AO210" s="3">
        <v>13425</v>
      </c>
      <c r="AP210" s="3">
        <v>13470</v>
      </c>
      <c r="AQ210" s="3">
        <v>13475</v>
      </c>
      <c r="AR210" s="4">
        <f t="shared" si="104"/>
        <v>1.1274934952298254E-2</v>
      </c>
      <c r="AS210" s="4">
        <f t="shared" si="81"/>
        <v>3.0303030303030498E-3</v>
      </c>
      <c r="AT210" s="4">
        <f t="shared" si="82"/>
        <v>2.464788732394374E-2</v>
      </c>
      <c r="AU210" s="4">
        <f t="shared" si="83"/>
        <v>2.9711375212224111E-2</v>
      </c>
      <c r="AV210" s="4">
        <f t="shared" si="84"/>
        <v>1.2831479897348119E-2</v>
      </c>
      <c r="AW210" s="4">
        <f t="shared" si="85"/>
        <v>1.6020236087689765E-2</v>
      </c>
      <c r="AX210" s="4">
        <f t="shared" si="86"/>
        <v>3.4255055716054583E-2</v>
      </c>
      <c r="AY210" s="4">
        <f t="shared" si="87"/>
        <v>7.8247261345852914E-3</v>
      </c>
      <c r="AZ210" s="4">
        <f t="shared" si="88"/>
        <v>3.9856516540454079E-3</v>
      </c>
      <c r="BA210" s="4">
        <f t="shared" si="89"/>
        <v>2.0202020202020332E-3</v>
      </c>
      <c r="BB210" s="4">
        <f t="shared" si="90"/>
        <v>3.4860154033238722E-2</v>
      </c>
      <c r="BC210" s="4">
        <f t="shared" si="91"/>
        <v>7.9145231499802016E-3</v>
      </c>
      <c r="BD210" s="4">
        <f t="shared" si="92"/>
        <v>8.5669781931464462E-3</v>
      </c>
      <c r="BE210" s="4">
        <f t="shared" si="93"/>
        <v>2.3910528345545634E-2</v>
      </c>
      <c r="BF210" s="4">
        <f t="shared" si="94"/>
        <v>1.413292589763171E-2</v>
      </c>
      <c r="BG210" s="4">
        <f t="shared" si="95"/>
        <v>3.6745406824147064E-2</v>
      </c>
      <c r="BH210" s="4">
        <f t="shared" si="96"/>
        <v>2.7318475916606744E-2</v>
      </c>
      <c r="BI210" s="4">
        <f t="shared" si="97"/>
        <v>1.5495495495495448E-2</v>
      </c>
      <c r="BJ210" s="4">
        <f t="shared" si="98"/>
        <v>4.3731778425655232E-3</v>
      </c>
      <c r="BK210" s="4">
        <f t="shared" si="99"/>
        <v>1.8998903909389853E-2</v>
      </c>
      <c r="BL210" s="4">
        <f t="shared" si="100"/>
        <v>1.4864362690449884E-3</v>
      </c>
      <c r="BM210" s="4">
        <f t="shared" si="105"/>
        <v>1.5979430478281344E-2</v>
      </c>
      <c r="BN210" s="9">
        <f t="shared" si="106"/>
        <v>13670.003237085277</v>
      </c>
      <c r="BO210" s="10">
        <f t="shared" si="107"/>
        <v>13112.074088876901</v>
      </c>
      <c r="BP210">
        <v>13825</v>
      </c>
      <c r="BQ210">
        <v>13830</v>
      </c>
      <c r="BR210">
        <v>13825</v>
      </c>
      <c r="BS210">
        <v>13825</v>
      </c>
      <c r="BT210">
        <v>5635</v>
      </c>
      <c r="BU210" s="13">
        <f t="shared" si="101"/>
        <v>13826.666666666666</v>
      </c>
      <c r="BV210" s="13">
        <f t="shared" si="102"/>
        <v>77913266.666666657</v>
      </c>
      <c r="BW210" s="13">
        <f>SUM($BV$3:BV210)</f>
        <v>191813769826.66672</v>
      </c>
      <c r="BX210" s="13">
        <f>SUM($BT$3:BT210)</f>
        <v>14010387</v>
      </c>
      <c r="BY210" s="3">
        <f t="shared" si="103"/>
        <v>13690.82594411323</v>
      </c>
    </row>
    <row r="211" spans="1:77" x14ac:dyDescent="0.3">
      <c r="A211" s="3" t="s">
        <v>251</v>
      </c>
      <c r="B211" s="3">
        <v>11660</v>
      </c>
      <c r="C211" s="3">
        <v>11660</v>
      </c>
      <c r="D211" s="3">
        <v>11515</v>
      </c>
      <c r="E211" s="3">
        <v>11515</v>
      </c>
      <c r="F211" s="3">
        <v>11640</v>
      </c>
      <c r="G211" s="3">
        <v>11635</v>
      </c>
      <c r="H211" s="3">
        <v>11430</v>
      </c>
      <c r="I211" s="3">
        <v>11415</v>
      </c>
      <c r="J211" s="3">
        <v>11840</v>
      </c>
      <c r="K211" s="3">
        <v>11825</v>
      </c>
      <c r="L211" s="3">
        <v>12050</v>
      </c>
      <c r="M211" s="3">
        <v>12050</v>
      </c>
      <c r="N211" s="3">
        <v>12525</v>
      </c>
      <c r="O211" s="3">
        <v>12535</v>
      </c>
      <c r="P211" s="3">
        <v>12675</v>
      </c>
      <c r="Q211" s="3">
        <v>12680</v>
      </c>
      <c r="R211" s="3">
        <v>12495</v>
      </c>
      <c r="S211" s="3">
        <v>12485</v>
      </c>
      <c r="T211" s="3">
        <v>12345</v>
      </c>
      <c r="U211" s="3">
        <v>12350</v>
      </c>
      <c r="V211" s="3">
        <v>12770</v>
      </c>
      <c r="W211" s="3">
        <v>12785</v>
      </c>
      <c r="X211" s="3">
        <v>12530</v>
      </c>
      <c r="Y211" s="3">
        <v>12530</v>
      </c>
      <c r="Z211" s="3">
        <v>12730</v>
      </c>
      <c r="AA211" s="3">
        <v>12725</v>
      </c>
      <c r="AB211" s="3">
        <v>13275</v>
      </c>
      <c r="AC211" s="3">
        <v>13280</v>
      </c>
      <c r="AD211" s="3">
        <v>13275</v>
      </c>
      <c r="AE211" s="3">
        <v>13280</v>
      </c>
      <c r="AF211" s="3">
        <v>13830</v>
      </c>
      <c r="AG211" s="3">
        <v>13815</v>
      </c>
      <c r="AH211" s="3">
        <v>14290</v>
      </c>
      <c r="AI211" s="3">
        <v>14290</v>
      </c>
      <c r="AJ211" s="3">
        <v>13660</v>
      </c>
      <c r="AK211" s="3">
        <v>13655</v>
      </c>
      <c r="AL211" s="3">
        <v>13780</v>
      </c>
      <c r="AM211" s="3">
        <v>13775</v>
      </c>
      <c r="AN211" s="3">
        <v>13420</v>
      </c>
      <c r="AO211" s="3">
        <v>13435</v>
      </c>
      <c r="AP211" s="3">
        <v>13475</v>
      </c>
      <c r="AQ211" s="3">
        <v>13485</v>
      </c>
      <c r="AR211" s="4">
        <f t="shared" si="104"/>
        <v>1.1274934952298254E-2</v>
      </c>
      <c r="AS211" s="4">
        <f t="shared" si="81"/>
        <v>3.0303030303030498E-3</v>
      </c>
      <c r="AT211" s="4">
        <f t="shared" si="82"/>
        <v>2.4207746478873249E-2</v>
      </c>
      <c r="AU211" s="4">
        <f t="shared" si="83"/>
        <v>3.0984719864176613E-2</v>
      </c>
      <c r="AV211" s="4">
        <f t="shared" si="84"/>
        <v>1.1548331907613285E-2</v>
      </c>
      <c r="AW211" s="4">
        <f t="shared" si="85"/>
        <v>1.6020236087689765E-2</v>
      </c>
      <c r="AX211" s="4">
        <f t="shared" si="86"/>
        <v>3.4667767230705637E-2</v>
      </c>
      <c r="AY211" s="4">
        <f t="shared" si="87"/>
        <v>7.8247261345852914E-3</v>
      </c>
      <c r="AZ211" s="4">
        <f t="shared" si="88"/>
        <v>4.7827819848544895E-3</v>
      </c>
      <c r="BA211" s="4">
        <f t="shared" si="89"/>
        <v>2.0202020202020332E-3</v>
      </c>
      <c r="BB211" s="4">
        <f t="shared" si="90"/>
        <v>3.6481556546412719E-2</v>
      </c>
      <c r="BC211" s="4">
        <f t="shared" si="91"/>
        <v>8.3102493074792561E-3</v>
      </c>
      <c r="BD211" s="4">
        <f t="shared" si="92"/>
        <v>8.9563862928349058E-3</v>
      </c>
      <c r="BE211" s="4">
        <f t="shared" si="93"/>
        <v>2.4296182028538338E-2</v>
      </c>
      <c r="BF211" s="4">
        <f t="shared" si="94"/>
        <v>1.4514896867838134E-2</v>
      </c>
      <c r="BG211" s="4">
        <f t="shared" si="95"/>
        <v>3.5995500562429728E-2</v>
      </c>
      <c r="BH211" s="4">
        <f t="shared" si="96"/>
        <v>2.7318475916606744E-2</v>
      </c>
      <c r="BI211" s="4">
        <f t="shared" si="97"/>
        <v>1.5855855855855805E-2</v>
      </c>
      <c r="BJ211" s="4">
        <f t="shared" si="98"/>
        <v>4.0087463556850444E-3</v>
      </c>
      <c r="BK211" s="4">
        <f t="shared" si="99"/>
        <v>1.8268176835951722E-2</v>
      </c>
      <c r="BL211" s="4">
        <f t="shared" si="100"/>
        <v>2.2296544035673715E-3</v>
      </c>
      <c r="BM211" s="4">
        <f t="shared" si="105"/>
        <v>1.6260434698721911E-2</v>
      </c>
      <c r="BN211" s="9">
        <f t="shared" si="106"/>
        <v>13673.784148871302</v>
      </c>
      <c r="BO211" s="10">
        <f t="shared" si="107"/>
        <v>13108.32970763953</v>
      </c>
      <c r="BP211">
        <v>13830</v>
      </c>
      <c r="BQ211">
        <v>13830</v>
      </c>
      <c r="BR211">
        <v>13810</v>
      </c>
      <c r="BS211">
        <v>13815</v>
      </c>
      <c r="BT211">
        <v>19001</v>
      </c>
      <c r="BU211" s="13">
        <f t="shared" si="101"/>
        <v>13818.333333333334</v>
      </c>
      <c r="BV211" s="13">
        <f t="shared" si="102"/>
        <v>262562151.66666669</v>
      </c>
      <c r="BW211" s="13">
        <f>SUM($BV$3:BV211)</f>
        <v>192076331978.33337</v>
      </c>
      <c r="BX211" s="13">
        <f>SUM($BT$3:BT211)</f>
        <v>14029388</v>
      </c>
      <c r="BY211" s="3">
        <f t="shared" si="103"/>
        <v>13690.998636457511</v>
      </c>
    </row>
    <row r="212" spans="1:77" x14ac:dyDescent="0.3">
      <c r="A212" s="3" t="s">
        <v>252</v>
      </c>
      <c r="B212" s="3">
        <v>11660</v>
      </c>
      <c r="C212" s="3">
        <v>11660</v>
      </c>
      <c r="D212" s="3">
        <v>11515</v>
      </c>
      <c r="E212" s="3">
        <v>11525</v>
      </c>
      <c r="F212" s="3">
        <v>11640</v>
      </c>
      <c r="G212" s="3">
        <v>11635</v>
      </c>
      <c r="H212" s="3">
        <v>11415</v>
      </c>
      <c r="I212" s="3">
        <v>11425</v>
      </c>
      <c r="J212" s="3">
        <v>11830</v>
      </c>
      <c r="K212" s="3">
        <v>11835</v>
      </c>
      <c r="L212" s="3">
        <v>12050</v>
      </c>
      <c r="M212" s="3">
        <v>12060</v>
      </c>
      <c r="N212" s="3">
        <v>12540</v>
      </c>
      <c r="O212" s="3">
        <v>12540</v>
      </c>
      <c r="P212" s="3">
        <v>12675</v>
      </c>
      <c r="Q212" s="3">
        <v>12680</v>
      </c>
      <c r="R212" s="3">
        <v>12490</v>
      </c>
      <c r="S212" s="3">
        <v>12490</v>
      </c>
      <c r="T212" s="3">
        <v>12350</v>
      </c>
      <c r="U212" s="3">
        <v>12350</v>
      </c>
      <c r="V212" s="3">
        <v>12785</v>
      </c>
      <c r="W212" s="3">
        <v>12785</v>
      </c>
      <c r="X212" s="3">
        <v>12530</v>
      </c>
      <c r="Y212" s="3">
        <v>12525</v>
      </c>
      <c r="Z212" s="3">
        <v>12725</v>
      </c>
      <c r="AA212" s="3">
        <v>12730</v>
      </c>
      <c r="AB212" s="3">
        <v>13275</v>
      </c>
      <c r="AC212" s="3">
        <v>13285</v>
      </c>
      <c r="AD212" s="3">
        <v>13280</v>
      </c>
      <c r="AE212" s="3">
        <v>13270</v>
      </c>
      <c r="AF212" s="3">
        <v>13815</v>
      </c>
      <c r="AG212" s="3">
        <v>13815</v>
      </c>
      <c r="AH212" s="3">
        <v>14285</v>
      </c>
      <c r="AI212" s="3">
        <v>14280</v>
      </c>
      <c r="AJ212" s="3">
        <v>13655</v>
      </c>
      <c r="AK212" s="3">
        <v>13645</v>
      </c>
      <c r="AL212" s="3">
        <v>13775</v>
      </c>
      <c r="AM212" s="3">
        <v>13780</v>
      </c>
      <c r="AN212" s="3">
        <v>13430</v>
      </c>
      <c r="AO212" s="3">
        <v>13440</v>
      </c>
      <c r="AP212" s="3">
        <v>13480</v>
      </c>
      <c r="AQ212" s="3">
        <v>13485</v>
      </c>
      <c r="AR212" s="4">
        <f t="shared" si="104"/>
        <v>1.1274934952298254E-2</v>
      </c>
      <c r="AS212" s="4">
        <f t="shared" si="81"/>
        <v>2.1645021645021467E-3</v>
      </c>
      <c r="AT212" s="4">
        <f t="shared" si="82"/>
        <v>2.4207746478873249E-2</v>
      </c>
      <c r="AU212" s="4">
        <f t="shared" si="83"/>
        <v>3.0135823429541575E-2</v>
      </c>
      <c r="AV212" s="4">
        <f t="shared" si="84"/>
        <v>1.2403763900769915E-2</v>
      </c>
      <c r="AW212" s="4">
        <f t="shared" si="85"/>
        <v>1.6863406408094361E-2</v>
      </c>
      <c r="AX212" s="4">
        <f t="shared" si="86"/>
        <v>3.5080478745356913E-2</v>
      </c>
      <c r="AY212" s="4">
        <f t="shared" si="87"/>
        <v>7.8247261345852914E-3</v>
      </c>
      <c r="AZ212" s="4">
        <f t="shared" si="88"/>
        <v>4.3842168194500042E-3</v>
      </c>
      <c r="BA212" s="4">
        <f t="shared" si="89"/>
        <v>2.0202020202020332E-3</v>
      </c>
      <c r="BB212" s="4">
        <f t="shared" si="90"/>
        <v>3.6481556546412719E-2</v>
      </c>
      <c r="BC212" s="4">
        <f t="shared" si="91"/>
        <v>8.7059754649781995E-3</v>
      </c>
      <c r="BD212" s="4">
        <f t="shared" si="92"/>
        <v>8.5669781931464462E-3</v>
      </c>
      <c r="BE212" s="4">
        <f t="shared" si="93"/>
        <v>2.4681835711531042E-2</v>
      </c>
      <c r="BF212" s="4">
        <f t="shared" si="94"/>
        <v>1.3750954927425507E-2</v>
      </c>
      <c r="BG212" s="4">
        <f t="shared" si="95"/>
        <v>3.5995500562429728E-2</v>
      </c>
      <c r="BH212" s="4">
        <f t="shared" si="96"/>
        <v>2.6599568655643502E-2</v>
      </c>
      <c r="BI212" s="4">
        <f t="shared" si="97"/>
        <v>1.6576576576576629E-2</v>
      </c>
      <c r="BJ212" s="4">
        <f t="shared" si="98"/>
        <v>4.3731778425655232E-3</v>
      </c>
      <c r="BK212" s="4">
        <f t="shared" si="99"/>
        <v>1.7902813299232712E-2</v>
      </c>
      <c r="BL212" s="4">
        <f t="shared" si="100"/>
        <v>2.2296544035673715E-3</v>
      </c>
      <c r="BM212" s="4">
        <f t="shared" si="105"/>
        <v>1.6233726210347816E-2</v>
      </c>
      <c r="BN212" s="9">
        <f t="shared" si="106"/>
        <v>13673.424786160229</v>
      </c>
      <c r="BO212" s="10">
        <f t="shared" si="107"/>
        <v>13108.685598247115</v>
      </c>
      <c r="BP212">
        <v>13815</v>
      </c>
      <c r="BQ212">
        <v>13815</v>
      </c>
      <c r="BR212">
        <v>13815</v>
      </c>
      <c r="BS212">
        <v>13815</v>
      </c>
      <c r="BT212">
        <v>7257</v>
      </c>
      <c r="BU212" s="13">
        <f t="shared" si="101"/>
        <v>13815</v>
      </c>
      <c r="BV212" s="13">
        <f t="shared" si="102"/>
        <v>100255455</v>
      </c>
      <c r="BW212" s="13">
        <f>SUM($BV$3:BV212)</f>
        <v>192176587433.33337</v>
      </c>
      <c r="BX212" s="13">
        <f>SUM($BT$3:BT212)</f>
        <v>14036645</v>
      </c>
      <c r="BY212" s="3">
        <f t="shared" si="103"/>
        <v>13691.062745644231</v>
      </c>
    </row>
    <row r="213" spans="1:77" x14ac:dyDescent="0.3">
      <c r="A213" s="3" t="s">
        <v>253</v>
      </c>
      <c r="B213" s="3">
        <v>11660</v>
      </c>
      <c r="C213" s="3">
        <v>11655</v>
      </c>
      <c r="D213" s="3">
        <v>11525</v>
      </c>
      <c r="E213" s="3">
        <v>11530</v>
      </c>
      <c r="F213" s="3">
        <v>11635</v>
      </c>
      <c r="G213" s="3">
        <v>11640</v>
      </c>
      <c r="H213" s="3">
        <v>11425</v>
      </c>
      <c r="I213" s="3">
        <v>11425</v>
      </c>
      <c r="J213" s="3">
        <v>11835</v>
      </c>
      <c r="K213" s="3">
        <v>11810</v>
      </c>
      <c r="L213" s="3">
        <v>12060</v>
      </c>
      <c r="M213" s="3">
        <v>12075</v>
      </c>
      <c r="N213" s="3">
        <v>12540</v>
      </c>
      <c r="O213" s="3">
        <v>12545</v>
      </c>
      <c r="P213" s="3">
        <v>12680</v>
      </c>
      <c r="Q213" s="3">
        <v>12675</v>
      </c>
      <c r="R213" s="3">
        <v>12490</v>
      </c>
      <c r="S213" s="3">
        <v>12495</v>
      </c>
      <c r="T213" s="3">
        <v>12350</v>
      </c>
      <c r="U213" s="3">
        <v>12345</v>
      </c>
      <c r="V213" s="3">
        <v>12785</v>
      </c>
      <c r="W213" s="3">
        <v>12795</v>
      </c>
      <c r="X213" s="3">
        <v>12525</v>
      </c>
      <c r="Y213" s="3">
        <v>12525</v>
      </c>
      <c r="Z213" s="3">
        <v>12730</v>
      </c>
      <c r="AA213" s="3">
        <v>12730</v>
      </c>
      <c r="AB213" s="3">
        <v>13285</v>
      </c>
      <c r="AC213" s="3">
        <v>13280</v>
      </c>
      <c r="AD213" s="3">
        <v>13265</v>
      </c>
      <c r="AE213" s="3">
        <v>13250</v>
      </c>
      <c r="AF213" s="3">
        <v>13815</v>
      </c>
      <c r="AG213" s="3">
        <v>13805</v>
      </c>
      <c r="AH213" s="3">
        <v>14280</v>
      </c>
      <c r="AI213" s="3">
        <v>14275</v>
      </c>
      <c r="AJ213" s="3">
        <v>13645</v>
      </c>
      <c r="AK213" s="3">
        <v>13645</v>
      </c>
      <c r="AL213" s="3">
        <v>13780</v>
      </c>
      <c r="AM213" s="3">
        <v>13775</v>
      </c>
      <c r="AN213" s="3">
        <v>13435</v>
      </c>
      <c r="AO213" s="3">
        <v>13420</v>
      </c>
      <c r="AP213" s="3">
        <v>13485</v>
      </c>
      <c r="AQ213" s="3">
        <v>13475</v>
      </c>
      <c r="AR213" s="4">
        <f t="shared" si="104"/>
        <v>1.0841283607979202E-2</v>
      </c>
      <c r="AS213" s="4">
        <f t="shared" si="81"/>
        <v>1.7316017316016952E-3</v>
      </c>
      <c r="AT213" s="4">
        <f t="shared" si="82"/>
        <v>2.464788732394374E-2</v>
      </c>
      <c r="AU213" s="4">
        <f t="shared" si="83"/>
        <v>3.0135823429541575E-2</v>
      </c>
      <c r="AV213" s="4">
        <f t="shared" si="84"/>
        <v>1.0265183917878451E-2</v>
      </c>
      <c r="AW213" s="4">
        <f t="shared" si="85"/>
        <v>1.8128161888701477E-2</v>
      </c>
      <c r="AX213" s="4">
        <f t="shared" si="86"/>
        <v>3.5493190260008189E-2</v>
      </c>
      <c r="AY213" s="4">
        <f t="shared" si="87"/>
        <v>8.215962441314506E-3</v>
      </c>
      <c r="AZ213" s="4">
        <f t="shared" si="88"/>
        <v>3.9856516540454079E-3</v>
      </c>
      <c r="BA213" s="4">
        <f t="shared" si="89"/>
        <v>2.4242424242424399E-3</v>
      </c>
      <c r="BB213" s="4">
        <f t="shared" si="90"/>
        <v>3.7292257802999496E-2</v>
      </c>
      <c r="BC213" s="4">
        <f t="shared" si="91"/>
        <v>8.7059754649781995E-3</v>
      </c>
      <c r="BD213" s="4">
        <f t="shared" si="92"/>
        <v>8.5669781931464462E-3</v>
      </c>
      <c r="BE213" s="4">
        <f t="shared" si="93"/>
        <v>2.4296182028538338E-2</v>
      </c>
      <c r="BF213" s="4">
        <f t="shared" si="94"/>
        <v>1.2223071046600475E-2</v>
      </c>
      <c r="BG213" s="4">
        <f t="shared" si="95"/>
        <v>3.5245594300712391E-2</v>
      </c>
      <c r="BH213" s="4">
        <f t="shared" si="96"/>
        <v>2.6240115025161659E-2</v>
      </c>
      <c r="BI213" s="4">
        <f t="shared" si="97"/>
        <v>1.6576576576576629E-2</v>
      </c>
      <c r="BJ213" s="4">
        <f t="shared" si="98"/>
        <v>4.0087463556850444E-3</v>
      </c>
      <c r="BK213" s="4">
        <f t="shared" si="99"/>
        <v>1.9364267446108863E-2</v>
      </c>
      <c r="BL213" s="4">
        <f t="shared" si="100"/>
        <v>1.4864362690449884E-3</v>
      </c>
      <c r="BM213" s="4">
        <f t="shared" si="105"/>
        <v>1.6150869257681461E-2</v>
      </c>
      <c r="BN213" s="9">
        <f t="shared" si="106"/>
        <v>13672.309945862105</v>
      </c>
      <c r="BO213" s="10">
        <f t="shared" si="107"/>
        <v>13109.789667141395</v>
      </c>
      <c r="BP213">
        <v>13815</v>
      </c>
      <c r="BQ213">
        <v>13815</v>
      </c>
      <c r="BR213">
        <v>13800</v>
      </c>
      <c r="BS213">
        <v>13805</v>
      </c>
      <c r="BT213">
        <v>7574</v>
      </c>
      <c r="BU213" s="13">
        <f t="shared" si="101"/>
        <v>13806.666666666666</v>
      </c>
      <c r="BV213" s="13">
        <f t="shared" si="102"/>
        <v>104571693.33333333</v>
      </c>
      <c r="BW213" s="13">
        <f>SUM($BV$3:BV213)</f>
        <v>192281159126.66672</v>
      </c>
      <c r="BX213" s="13">
        <f>SUM($BT$3:BT213)</f>
        <v>14044219</v>
      </c>
      <c r="BY213" s="3">
        <f t="shared" si="103"/>
        <v>13691.125090449437</v>
      </c>
    </row>
    <row r="214" spans="1:77" x14ac:dyDescent="0.3">
      <c r="A214" s="3" t="s">
        <v>254</v>
      </c>
      <c r="B214" s="3">
        <v>11660</v>
      </c>
      <c r="C214" s="3">
        <v>11660</v>
      </c>
      <c r="D214" s="3">
        <v>11530</v>
      </c>
      <c r="E214" s="3">
        <v>11535</v>
      </c>
      <c r="F214" s="3">
        <v>11645</v>
      </c>
      <c r="G214" s="3">
        <v>11640</v>
      </c>
      <c r="H214" s="3">
        <v>11420</v>
      </c>
      <c r="I214" s="3">
        <v>11395</v>
      </c>
      <c r="J214" s="3">
        <v>11810</v>
      </c>
      <c r="K214" s="3">
        <v>11810</v>
      </c>
      <c r="L214" s="3">
        <v>12075</v>
      </c>
      <c r="M214" s="3">
        <v>12080</v>
      </c>
      <c r="N214" s="3">
        <v>12545</v>
      </c>
      <c r="O214" s="3">
        <v>12545</v>
      </c>
      <c r="P214" s="3">
        <v>12675</v>
      </c>
      <c r="Q214" s="3">
        <v>12690</v>
      </c>
      <c r="R214" s="3">
        <v>12490</v>
      </c>
      <c r="S214" s="3">
        <v>12500</v>
      </c>
      <c r="T214" s="3">
        <v>12345</v>
      </c>
      <c r="U214" s="3">
        <v>12330</v>
      </c>
      <c r="V214" s="3">
        <v>12795</v>
      </c>
      <c r="W214" s="3">
        <v>12795</v>
      </c>
      <c r="X214" s="3">
        <v>12525</v>
      </c>
      <c r="Y214" s="3">
        <v>12515</v>
      </c>
      <c r="Z214" s="3">
        <v>12730</v>
      </c>
      <c r="AA214" s="3">
        <v>12740</v>
      </c>
      <c r="AB214" s="3">
        <v>13285</v>
      </c>
      <c r="AC214" s="3">
        <v>13285</v>
      </c>
      <c r="AD214" s="3">
        <v>13245</v>
      </c>
      <c r="AE214" s="3">
        <v>13245</v>
      </c>
      <c r="AF214" s="3">
        <v>13805</v>
      </c>
      <c r="AG214" s="3">
        <v>13785</v>
      </c>
      <c r="AH214" s="3">
        <v>14275</v>
      </c>
      <c r="AI214" s="3">
        <v>14290</v>
      </c>
      <c r="AJ214" s="3">
        <v>13650</v>
      </c>
      <c r="AK214" s="3">
        <v>13670</v>
      </c>
      <c r="AL214" s="3">
        <v>13780</v>
      </c>
      <c r="AM214" s="3">
        <v>13780</v>
      </c>
      <c r="AN214" s="3">
        <v>13415</v>
      </c>
      <c r="AO214" s="3">
        <v>13425</v>
      </c>
      <c r="AP214" s="3">
        <v>13480</v>
      </c>
      <c r="AQ214" s="3">
        <v>13480</v>
      </c>
      <c r="AR214" s="4">
        <f t="shared" si="104"/>
        <v>1.1274934952298254E-2</v>
      </c>
      <c r="AS214" s="4">
        <f t="shared" si="81"/>
        <v>1.2987012987012436E-3</v>
      </c>
      <c r="AT214" s="4">
        <f t="shared" si="82"/>
        <v>2.464788732394374E-2</v>
      </c>
      <c r="AU214" s="4">
        <f t="shared" si="83"/>
        <v>3.2682512733446467E-2</v>
      </c>
      <c r="AV214" s="4">
        <f t="shared" si="84"/>
        <v>1.0265183917878451E-2</v>
      </c>
      <c r="AW214" s="4">
        <f t="shared" si="85"/>
        <v>1.8549747048903775E-2</v>
      </c>
      <c r="AX214" s="4">
        <f t="shared" si="86"/>
        <v>3.5493190260008189E-2</v>
      </c>
      <c r="AY214" s="4">
        <f t="shared" si="87"/>
        <v>7.0422535211267512E-3</v>
      </c>
      <c r="AZ214" s="4">
        <f t="shared" si="88"/>
        <v>3.5870864886409226E-3</v>
      </c>
      <c r="BA214" s="4">
        <f t="shared" si="89"/>
        <v>3.6363636363636598E-3</v>
      </c>
      <c r="BB214" s="4">
        <f t="shared" si="90"/>
        <v>3.7292257802999496E-2</v>
      </c>
      <c r="BC214" s="4">
        <f t="shared" si="91"/>
        <v>9.4974277799763085E-3</v>
      </c>
      <c r="BD214" s="4">
        <f t="shared" si="92"/>
        <v>7.7881619937694158E-3</v>
      </c>
      <c r="BE214" s="4">
        <f t="shared" si="93"/>
        <v>2.4681835711531042E-2</v>
      </c>
      <c r="BF214" s="4">
        <f t="shared" si="94"/>
        <v>1.1841100076394273E-2</v>
      </c>
      <c r="BG214" s="4">
        <f t="shared" si="95"/>
        <v>3.3745781777277939E-2</v>
      </c>
      <c r="BH214" s="4">
        <f t="shared" si="96"/>
        <v>2.7318475916606744E-2</v>
      </c>
      <c r="BI214" s="4">
        <f t="shared" si="97"/>
        <v>1.4774774774774735E-2</v>
      </c>
      <c r="BJ214" s="4">
        <f t="shared" si="98"/>
        <v>4.3731778425655232E-3</v>
      </c>
      <c r="BK214" s="4">
        <f t="shared" si="99"/>
        <v>1.8998903909389853E-2</v>
      </c>
      <c r="BL214" s="4">
        <f t="shared" si="100"/>
        <v>1.85804533630618E-3</v>
      </c>
      <c r="BM214" s="4">
        <f t="shared" si="105"/>
        <v>1.6307407828120266E-2</v>
      </c>
      <c r="BN214" s="9">
        <f t="shared" si="106"/>
        <v>13674.416172327357</v>
      </c>
      <c r="BO214" s="10">
        <f t="shared" si="107"/>
        <v>13107.703790690299</v>
      </c>
      <c r="BP214">
        <v>13805</v>
      </c>
      <c r="BQ214">
        <v>13805</v>
      </c>
      <c r="BR214">
        <v>13770</v>
      </c>
      <c r="BS214">
        <v>13785</v>
      </c>
      <c r="BT214">
        <v>91257</v>
      </c>
      <c r="BU214" s="13">
        <f t="shared" si="101"/>
        <v>13786.666666666666</v>
      </c>
      <c r="BV214" s="13">
        <f t="shared" si="102"/>
        <v>1258129840</v>
      </c>
      <c r="BW214" s="13">
        <f>SUM($BV$3:BV214)</f>
        <v>193539288966.66672</v>
      </c>
      <c r="BX214" s="13">
        <f>SUM($BT$3:BT214)</f>
        <v>14135476</v>
      </c>
      <c r="BY214" s="3">
        <f t="shared" si="103"/>
        <v>13691.741895827683</v>
      </c>
    </row>
    <row r="215" spans="1:77" x14ac:dyDescent="0.3">
      <c r="A215" s="3" t="s">
        <v>255</v>
      </c>
      <c r="B215" s="3">
        <v>11660</v>
      </c>
      <c r="C215" s="3">
        <v>11655</v>
      </c>
      <c r="D215" s="3">
        <v>11535</v>
      </c>
      <c r="E215" s="3">
        <v>11535</v>
      </c>
      <c r="F215" s="3">
        <v>11645</v>
      </c>
      <c r="G215" s="3">
        <v>11645</v>
      </c>
      <c r="H215" s="3">
        <v>11400</v>
      </c>
      <c r="I215" s="3">
        <v>11405</v>
      </c>
      <c r="J215" s="3">
        <v>11810</v>
      </c>
      <c r="K215" s="3">
        <v>11820</v>
      </c>
      <c r="L215" s="3">
        <v>12080</v>
      </c>
      <c r="M215" s="3">
        <v>12070</v>
      </c>
      <c r="N215" s="3">
        <v>12545</v>
      </c>
      <c r="O215" s="3">
        <v>12545</v>
      </c>
      <c r="P215" s="3">
        <v>12690</v>
      </c>
      <c r="Q215" s="3">
        <v>12685</v>
      </c>
      <c r="R215" s="3">
        <v>12495</v>
      </c>
      <c r="S215" s="3">
        <v>12505</v>
      </c>
      <c r="T215" s="3">
        <v>12335</v>
      </c>
      <c r="U215" s="3">
        <v>12335</v>
      </c>
      <c r="V215" s="3">
        <v>12795</v>
      </c>
      <c r="W215" s="3">
        <v>12805</v>
      </c>
      <c r="X215" s="3">
        <v>12510</v>
      </c>
      <c r="Y215" s="3">
        <v>12500</v>
      </c>
      <c r="Z215" s="3">
        <v>12740</v>
      </c>
      <c r="AA215" s="3">
        <v>12745</v>
      </c>
      <c r="AB215" s="3">
        <v>13285</v>
      </c>
      <c r="AC215" s="3">
        <v>13280</v>
      </c>
      <c r="AD215" s="3">
        <v>13250</v>
      </c>
      <c r="AE215" s="3">
        <v>13260</v>
      </c>
      <c r="AF215" s="3">
        <v>13790</v>
      </c>
      <c r="AG215" s="3">
        <v>13805</v>
      </c>
      <c r="AH215" s="3">
        <v>14285</v>
      </c>
      <c r="AI215" s="3">
        <v>14285</v>
      </c>
      <c r="AJ215" s="3">
        <v>13670</v>
      </c>
      <c r="AK215" s="3">
        <v>13665</v>
      </c>
      <c r="AL215" s="3">
        <v>13780</v>
      </c>
      <c r="AM215" s="3">
        <v>13775</v>
      </c>
      <c r="AN215" s="3">
        <v>13425</v>
      </c>
      <c r="AO215" s="3">
        <v>13430</v>
      </c>
      <c r="AP215" s="3">
        <v>13475</v>
      </c>
      <c r="AQ215" s="3">
        <v>13485</v>
      </c>
      <c r="AR215" s="4">
        <f t="shared" si="104"/>
        <v>1.0841283607979202E-2</v>
      </c>
      <c r="AS215" s="4">
        <f t="shared" si="81"/>
        <v>1.2987012987012436E-3</v>
      </c>
      <c r="AT215" s="4">
        <f t="shared" si="82"/>
        <v>2.5088028169014009E-2</v>
      </c>
      <c r="AU215" s="4">
        <f t="shared" si="83"/>
        <v>3.183361629881154E-2</v>
      </c>
      <c r="AV215" s="4">
        <f t="shared" si="84"/>
        <v>1.1120615911035081E-2</v>
      </c>
      <c r="AW215" s="4">
        <f t="shared" si="85"/>
        <v>1.7706576728499179E-2</v>
      </c>
      <c r="AX215" s="4">
        <f t="shared" si="86"/>
        <v>3.5493190260008189E-2</v>
      </c>
      <c r="AY215" s="4">
        <f t="shared" si="87"/>
        <v>7.4334898278560768E-3</v>
      </c>
      <c r="AZ215" s="4">
        <f t="shared" si="88"/>
        <v>3.1885213232363263E-3</v>
      </c>
      <c r="BA215" s="4">
        <f t="shared" si="89"/>
        <v>3.2323232323232531E-3</v>
      </c>
      <c r="BB215" s="4">
        <f t="shared" si="90"/>
        <v>3.8102959059586494E-2</v>
      </c>
      <c r="BC215" s="4">
        <f t="shared" si="91"/>
        <v>1.068460625247325E-2</v>
      </c>
      <c r="BD215" s="4">
        <f t="shared" si="92"/>
        <v>7.3987538940809561E-3</v>
      </c>
      <c r="BE215" s="4">
        <f t="shared" si="93"/>
        <v>2.4296182028538338E-2</v>
      </c>
      <c r="BF215" s="4">
        <f t="shared" si="94"/>
        <v>1.298701298701288E-2</v>
      </c>
      <c r="BG215" s="4">
        <f t="shared" si="95"/>
        <v>3.5245594300712391E-2</v>
      </c>
      <c r="BH215" s="4">
        <f t="shared" si="96"/>
        <v>2.6959022286125123E-2</v>
      </c>
      <c r="BI215" s="4">
        <f t="shared" si="97"/>
        <v>1.5135135135135092E-2</v>
      </c>
      <c r="BJ215" s="4">
        <f t="shared" si="98"/>
        <v>4.0087463556850444E-3</v>
      </c>
      <c r="BK215" s="4">
        <f t="shared" si="99"/>
        <v>1.8633540372670843E-2</v>
      </c>
      <c r="BL215" s="4">
        <f t="shared" si="100"/>
        <v>2.2296544035673715E-3</v>
      </c>
      <c r="BM215" s="4">
        <f t="shared" si="105"/>
        <v>1.6418898376512631E-2</v>
      </c>
      <c r="BN215" s="9">
        <f t="shared" si="106"/>
        <v>13675.916277655977</v>
      </c>
      <c r="BO215" s="10">
        <f t="shared" si="107"/>
        <v>13106.218179132969</v>
      </c>
      <c r="BP215">
        <v>13790</v>
      </c>
      <c r="BQ215">
        <v>13805</v>
      </c>
      <c r="BR215">
        <v>13790</v>
      </c>
      <c r="BS215">
        <v>13805</v>
      </c>
      <c r="BT215">
        <v>17529</v>
      </c>
      <c r="BU215" s="13">
        <f t="shared" si="101"/>
        <v>13800</v>
      </c>
      <c r="BV215" s="13">
        <f t="shared" si="102"/>
        <v>241900200</v>
      </c>
      <c r="BW215" s="13">
        <f>SUM($BV$3:BV215)</f>
        <v>193781189166.66672</v>
      </c>
      <c r="BX215" s="13">
        <f>SUM($BT$3:BT215)</f>
        <v>14153005</v>
      </c>
      <c r="BY215" s="3">
        <f t="shared" si="103"/>
        <v>13691.875977339563</v>
      </c>
    </row>
    <row r="216" spans="1:77" x14ac:dyDescent="0.3">
      <c r="A216" s="3" t="s">
        <v>256</v>
      </c>
      <c r="B216" s="3">
        <v>11655</v>
      </c>
      <c r="C216" s="3">
        <v>11645</v>
      </c>
      <c r="D216" s="3">
        <v>11540</v>
      </c>
      <c r="E216" s="3">
        <v>11535</v>
      </c>
      <c r="F216" s="3">
        <v>11650</v>
      </c>
      <c r="G216" s="3">
        <v>11645</v>
      </c>
      <c r="H216" s="3">
        <v>11405</v>
      </c>
      <c r="I216" s="3">
        <v>11415</v>
      </c>
      <c r="J216" s="3">
        <v>11825</v>
      </c>
      <c r="K216" s="3">
        <v>11830</v>
      </c>
      <c r="L216" s="3">
        <v>12070</v>
      </c>
      <c r="M216" s="3">
        <v>12060</v>
      </c>
      <c r="N216" s="3">
        <v>12545</v>
      </c>
      <c r="O216" s="3">
        <v>12545</v>
      </c>
      <c r="P216" s="3">
        <v>12680</v>
      </c>
      <c r="Q216" s="3">
        <v>12670</v>
      </c>
      <c r="R216" s="3">
        <v>12500</v>
      </c>
      <c r="S216" s="3">
        <v>12495</v>
      </c>
      <c r="T216" s="3">
        <v>12340</v>
      </c>
      <c r="U216" s="3">
        <v>12330</v>
      </c>
      <c r="V216" s="3">
        <v>12805</v>
      </c>
      <c r="W216" s="3">
        <v>12815</v>
      </c>
      <c r="X216" s="3">
        <v>12500</v>
      </c>
      <c r="Y216" s="3">
        <v>12515</v>
      </c>
      <c r="Z216" s="3">
        <v>12740</v>
      </c>
      <c r="AA216" s="3">
        <v>12755</v>
      </c>
      <c r="AB216" s="3">
        <v>13280</v>
      </c>
      <c r="AC216" s="3">
        <v>13275</v>
      </c>
      <c r="AD216" s="3">
        <v>13265</v>
      </c>
      <c r="AE216" s="3">
        <v>13245</v>
      </c>
      <c r="AF216" s="3">
        <v>13805</v>
      </c>
      <c r="AG216" s="3">
        <v>13790</v>
      </c>
      <c r="AH216" s="3">
        <v>14285</v>
      </c>
      <c r="AI216" s="3">
        <v>14275</v>
      </c>
      <c r="AJ216" s="3">
        <v>13660</v>
      </c>
      <c r="AK216" s="3">
        <v>13660</v>
      </c>
      <c r="AL216" s="3">
        <v>13775</v>
      </c>
      <c r="AM216" s="3">
        <v>13760</v>
      </c>
      <c r="AN216" s="3">
        <v>13435</v>
      </c>
      <c r="AO216" s="3">
        <v>13415</v>
      </c>
      <c r="AP216" s="3">
        <v>13485</v>
      </c>
      <c r="AQ216" s="3">
        <v>13500</v>
      </c>
      <c r="AR216" s="4">
        <f t="shared" si="104"/>
        <v>9.9739809193408746E-3</v>
      </c>
      <c r="AS216" s="4">
        <f t="shared" si="81"/>
        <v>1.2987012987012436E-3</v>
      </c>
      <c r="AT216" s="4">
        <f t="shared" si="82"/>
        <v>2.5088028169014009E-2</v>
      </c>
      <c r="AU216" s="4">
        <f t="shared" si="83"/>
        <v>3.0984719864176613E-2</v>
      </c>
      <c r="AV216" s="4">
        <f t="shared" si="84"/>
        <v>1.1976047904191711E-2</v>
      </c>
      <c r="AW216" s="4">
        <f t="shared" si="85"/>
        <v>1.6863406408094361E-2</v>
      </c>
      <c r="AX216" s="4">
        <f t="shared" si="86"/>
        <v>3.5493190260008189E-2</v>
      </c>
      <c r="AY216" s="4">
        <f t="shared" si="87"/>
        <v>8.6071987480438317E-3</v>
      </c>
      <c r="AZ216" s="4">
        <f t="shared" si="88"/>
        <v>3.9856516540454079E-3</v>
      </c>
      <c r="BA216" s="4">
        <f t="shared" si="89"/>
        <v>3.6363636363636598E-3</v>
      </c>
      <c r="BB216" s="4">
        <f t="shared" si="90"/>
        <v>3.8913660316173493E-2</v>
      </c>
      <c r="BC216" s="4">
        <f t="shared" si="91"/>
        <v>9.4974277799763085E-3</v>
      </c>
      <c r="BD216" s="4">
        <f t="shared" si="92"/>
        <v>6.6199376947040367E-3</v>
      </c>
      <c r="BE216" s="4">
        <f t="shared" si="93"/>
        <v>2.3910528345545634E-2</v>
      </c>
      <c r="BF216" s="4">
        <f t="shared" si="94"/>
        <v>1.1841100076394273E-2</v>
      </c>
      <c r="BG216" s="4">
        <f t="shared" si="95"/>
        <v>3.4120734908136496E-2</v>
      </c>
      <c r="BH216" s="4">
        <f t="shared" si="96"/>
        <v>2.6240115025161659E-2</v>
      </c>
      <c r="BI216" s="4">
        <f t="shared" si="97"/>
        <v>1.5495495495495448E-2</v>
      </c>
      <c r="BJ216" s="4">
        <f t="shared" si="98"/>
        <v>2.9154518950438302E-3</v>
      </c>
      <c r="BK216" s="4">
        <f t="shared" si="99"/>
        <v>1.9729630982827873E-2</v>
      </c>
      <c r="BL216" s="4">
        <f t="shared" si="100"/>
        <v>3.3444816053511683E-3</v>
      </c>
      <c r="BM216" s="4">
        <f t="shared" si="105"/>
        <v>1.6336854439673771E-2</v>
      </c>
      <c r="BN216" s="9">
        <f t="shared" si="106"/>
        <v>13674.812376485812</v>
      </c>
      <c r="BO216" s="10">
        <f t="shared" si="107"/>
        <v>13107.311414591346</v>
      </c>
      <c r="BP216">
        <v>13805</v>
      </c>
      <c r="BQ216">
        <v>13805</v>
      </c>
      <c r="BR216">
        <v>13790</v>
      </c>
      <c r="BS216">
        <v>13790</v>
      </c>
      <c r="BT216">
        <v>14267</v>
      </c>
      <c r="BU216" s="13">
        <f t="shared" si="101"/>
        <v>13795</v>
      </c>
      <c r="BV216" s="13">
        <f t="shared" si="102"/>
        <v>196813265</v>
      </c>
      <c r="BW216" s="13">
        <f>SUM($BV$3:BV216)</f>
        <v>193978002431.66672</v>
      </c>
      <c r="BX216" s="13">
        <f>SUM($BT$3:BT216)</f>
        <v>14167272</v>
      </c>
      <c r="BY216" s="3">
        <f t="shared" si="103"/>
        <v>13691.979827285501</v>
      </c>
    </row>
    <row r="217" spans="1:77" x14ac:dyDescent="0.3">
      <c r="A217" s="3" t="s">
        <v>257</v>
      </c>
      <c r="B217" s="3">
        <v>11645</v>
      </c>
      <c r="C217" s="3">
        <v>11650</v>
      </c>
      <c r="D217" s="3">
        <v>11535</v>
      </c>
      <c r="E217" s="3">
        <v>11530</v>
      </c>
      <c r="F217" s="3">
        <v>11645</v>
      </c>
      <c r="G217" s="3">
        <v>11655</v>
      </c>
      <c r="H217" s="3">
        <v>11415</v>
      </c>
      <c r="I217" s="3">
        <v>11405</v>
      </c>
      <c r="J217" s="3">
        <v>11830</v>
      </c>
      <c r="K217" s="3">
        <v>11815</v>
      </c>
      <c r="L217" s="3">
        <v>12060</v>
      </c>
      <c r="M217" s="3">
        <v>12060</v>
      </c>
      <c r="N217" s="3">
        <v>12545</v>
      </c>
      <c r="O217" s="3">
        <v>12540</v>
      </c>
      <c r="P217" s="3">
        <v>12675</v>
      </c>
      <c r="Q217" s="3">
        <v>12670</v>
      </c>
      <c r="R217" s="3">
        <v>12495</v>
      </c>
      <c r="S217" s="3">
        <v>12495</v>
      </c>
      <c r="T217" s="3">
        <v>12335</v>
      </c>
      <c r="U217" s="3">
        <v>12330</v>
      </c>
      <c r="V217" s="3">
        <v>12815</v>
      </c>
      <c r="W217" s="3">
        <v>12825</v>
      </c>
      <c r="X217" s="3">
        <v>12510</v>
      </c>
      <c r="Y217" s="3">
        <v>12515</v>
      </c>
      <c r="Z217" s="3">
        <v>12755</v>
      </c>
      <c r="AA217" s="3">
        <v>12755</v>
      </c>
      <c r="AB217" s="3">
        <v>13275</v>
      </c>
      <c r="AC217" s="3">
        <v>13275</v>
      </c>
      <c r="AD217" s="3">
        <v>13250</v>
      </c>
      <c r="AE217" s="3">
        <v>13235</v>
      </c>
      <c r="AF217" s="3">
        <v>13790</v>
      </c>
      <c r="AG217" s="3">
        <v>13785</v>
      </c>
      <c r="AH217" s="3">
        <v>14275</v>
      </c>
      <c r="AI217" s="3">
        <v>14275</v>
      </c>
      <c r="AJ217" s="3">
        <v>13665</v>
      </c>
      <c r="AK217" s="3">
        <v>13680</v>
      </c>
      <c r="AL217" s="3">
        <v>13765</v>
      </c>
      <c r="AM217" s="3">
        <v>13765</v>
      </c>
      <c r="AN217" s="3">
        <v>13415</v>
      </c>
      <c r="AO217" s="3">
        <v>13420</v>
      </c>
      <c r="AP217" s="3">
        <v>13500</v>
      </c>
      <c r="AQ217" s="3">
        <v>13505</v>
      </c>
      <c r="AR217" s="4">
        <f t="shared" si="104"/>
        <v>1.0407632263659927E-2</v>
      </c>
      <c r="AS217" s="4">
        <f t="shared" si="81"/>
        <v>1.7316017316016952E-3</v>
      </c>
      <c r="AT217" s="4">
        <f t="shared" si="82"/>
        <v>2.5968309859154992E-2</v>
      </c>
      <c r="AU217" s="4">
        <f t="shared" si="83"/>
        <v>3.183361629881154E-2</v>
      </c>
      <c r="AV217" s="4">
        <f t="shared" si="84"/>
        <v>1.0692899914456877E-2</v>
      </c>
      <c r="AW217" s="4">
        <f t="shared" si="85"/>
        <v>1.6863406408094361E-2</v>
      </c>
      <c r="AX217" s="4">
        <f t="shared" si="86"/>
        <v>3.5080478745356913E-2</v>
      </c>
      <c r="AY217" s="4">
        <f t="shared" si="87"/>
        <v>8.6071987480438317E-3</v>
      </c>
      <c r="AZ217" s="4">
        <f t="shared" si="88"/>
        <v>3.9856516540454079E-3</v>
      </c>
      <c r="BA217" s="4">
        <f t="shared" si="89"/>
        <v>3.6363636363636598E-3</v>
      </c>
      <c r="BB217" s="4">
        <f t="shared" si="90"/>
        <v>3.9724361572760492E-2</v>
      </c>
      <c r="BC217" s="4">
        <f t="shared" si="91"/>
        <v>9.4974277799763085E-3</v>
      </c>
      <c r="BD217" s="4">
        <f t="shared" si="92"/>
        <v>6.6199376947040367E-3</v>
      </c>
      <c r="BE217" s="4">
        <f t="shared" si="93"/>
        <v>2.3910528345545634E-2</v>
      </c>
      <c r="BF217" s="4">
        <f t="shared" si="94"/>
        <v>1.1077158135981646E-2</v>
      </c>
      <c r="BG217" s="4">
        <f t="shared" si="95"/>
        <v>3.3745781777277939E-2</v>
      </c>
      <c r="BH217" s="4">
        <f t="shared" si="96"/>
        <v>2.6240115025161659E-2</v>
      </c>
      <c r="BI217" s="4">
        <f t="shared" si="97"/>
        <v>1.4054054054054022E-2</v>
      </c>
      <c r="BJ217" s="4">
        <f t="shared" si="98"/>
        <v>3.2798833819243089E-3</v>
      </c>
      <c r="BK217" s="4">
        <f t="shared" si="99"/>
        <v>1.9364267446108863E-2</v>
      </c>
      <c r="BL217" s="4">
        <f t="shared" si="100"/>
        <v>3.7160906726123599E-3</v>
      </c>
      <c r="BM217" s="4">
        <f t="shared" si="105"/>
        <v>1.6373495751778384E-2</v>
      </c>
      <c r="BN217" s="9">
        <f t="shared" si="106"/>
        <v>13675.30538534018</v>
      </c>
      <c r="BO217" s="10">
        <f t="shared" si="107"/>
        <v>13106.823169107553</v>
      </c>
      <c r="BP217">
        <v>13790</v>
      </c>
      <c r="BQ217">
        <v>13790</v>
      </c>
      <c r="BR217">
        <v>13780</v>
      </c>
      <c r="BS217">
        <v>13785</v>
      </c>
      <c r="BT217">
        <v>6010</v>
      </c>
      <c r="BU217" s="13">
        <f t="shared" si="101"/>
        <v>13785</v>
      </c>
      <c r="BV217" s="13">
        <f t="shared" si="102"/>
        <v>82847850</v>
      </c>
      <c r="BW217" s="13">
        <f>SUM($BV$3:BV217)</f>
        <v>194060850281.66672</v>
      </c>
      <c r="BX217" s="13">
        <f>SUM($BT$3:BT217)</f>
        <v>14173282</v>
      </c>
      <c r="BY217" s="3">
        <f t="shared" si="103"/>
        <v>13692.019271306866</v>
      </c>
    </row>
    <row r="218" spans="1:77" x14ac:dyDescent="0.3">
      <c r="A218" s="3" t="s">
        <v>258</v>
      </c>
      <c r="B218" s="3">
        <v>11650</v>
      </c>
      <c r="C218" s="3">
        <v>11650</v>
      </c>
      <c r="D218" s="3">
        <v>11535</v>
      </c>
      <c r="E218" s="3">
        <v>11535</v>
      </c>
      <c r="F218" s="3">
        <v>11655</v>
      </c>
      <c r="G218" s="3">
        <v>11640</v>
      </c>
      <c r="H218" s="3">
        <v>11405</v>
      </c>
      <c r="I218" s="3">
        <v>11395</v>
      </c>
      <c r="J218" s="3">
        <v>11820</v>
      </c>
      <c r="K218" s="3">
        <v>11815</v>
      </c>
      <c r="L218" s="3">
        <v>12060</v>
      </c>
      <c r="M218" s="3">
        <v>12050</v>
      </c>
      <c r="N218" s="3">
        <v>12540</v>
      </c>
      <c r="O218" s="3">
        <v>12540</v>
      </c>
      <c r="P218" s="3">
        <v>12670</v>
      </c>
      <c r="Q218" s="3">
        <v>12670</v>
      </c>
      <c r="R218" s="3">
        <v>12495</v>
      </c>
      <c r="S218" s="3">
        <v>12490</v>
      </c>
      <c r="T218" s="3">
        <v>12330</v>
      </c>
      <c r="U218" s="3">
        <v>12300</v>
      </c>
      <c r="V218" s="3">
        <v>12830</v>
      </c>
      <c r="W218" s="3">
        <v>12825</v>
      </c>
      <c r="X218" s="3">
        <v>12515</v>
      </c>
      <c r="Y218" s="3">
        <v>12470</v>
      </c>
      <c r="Z218" s="3">
        <v>12755</v>
      </c>
      <c r="AA218" s="3">
        <v>12760</v>
      </c>
      <c r="AB218" s="3">
        <v>13275</v>
      </c>
      <c r="AC218" s="3">
        <v>13260</v>
      </c>
      <c r="AD218" s="3">
        <v>13235</v>
      </c>
      <c r="AE218" s="3">
        <v>13230</v>
      </c>
      <c r="AF218" s="3">
        <v>13780</v>
      </c>
      <c r="AG218" s="3">
        <v>13785</v>
      </c>
      <c r="AH218" s="3">
        <v>14275</v>
      </c>
      <c r="AI218" s="3">
        <v>14255</v>
      </c>
      <c r="AJ218" s="3">
        <v>13675</v>
      </c>
      <c r="AK218" s="3">
        <v>13690</v>
      </c>
      <c r="AL218" s="3">
        <v>13765</v>
      </c>
      <c r="AM218" s="3">
        <v>13750</v>
      </c>
      <c r="AN218" s="3">
        <v>13420</v>
      </c>
      <c r="AO218" s="3">
        <v>13400</v>
      </c>
      <c r="AP218" s="3">
        <v>13505</v>
      </c>
      <c r="AQ218" s="3">
        <v>13495</v>
      </c>
      <c r="AR218" s="4">
        <f t="shared" si="104"/>
        <v>1.0407632263659927E-2</v>
      </c>
      <c r="AS218" s="4">
        <f t="shared" si="81"/>
        <v>1.2987012987012436E-3</v>
      </c>
      <c r="AT218" s="4">
        <f t="shared" si="82"/>
        <v>2.464788732394374E-2</v>
      </c>
      <c r="AU218" s="4">
        <f t="shared" si="83"/>
        <v>3.2682512733446467E-2</v>
      </c>
      <c r="AV218" s="4">
        <f t="shared" si="84"/>
        <v>1.0692899914456877E-2</v>
      </c>
      <c r="AW218" s="4">
        <f t="shared" si="85"/>
        <v>1.6020236087689765E-2</v>
      </c>
      <c r="AX218" s="4">
        <f t="shared" si="86"/>
        <v>3.5080478745356913E-2</v>
      </c>
      <c r="AY218" s="4">
        <f t="shared" si="87"/>
        <v>8.6071987480438317E-3</v>
      </c>
      <c r="AZ218" s="4">
        <f t="shared" si="88"/>
        <v>4.3842168194500042E-3</v>
      </c>
      <c r="BA218" s="4">
        <f t="shared" si="89"/>
        <v>6.0606060606060996E-3</v>
      </c>
      <c r="BB218" s="4">
        <f t="shared" si="90"/>
        <v>3.9724361572760492E-2</v>
      </c>
      <c r="BC218" s="4">
        <f t="shared" si="91"/>
        <v>1.3058963197467355E-2</v>
      </c>
      <c r="BD218" s="4">
        <f t="shared" si="92"/>
        <v>6.230529595015577E-3</v>
      </c>
      <c r="BE218" s="4">
        <f t="shared" si="93"/>
        <v>2.2753567296567745E-2</v>
      </c>
      <c r="BF218" s="4">
        <f t="shared" si="94"/>
        <v>1.0695187165775444E-2</v>
      </c>
      <c r="BG218" s="4">
        <f t="shared" si="95"/>
        <v>3.3745781777277939E-2</v>
      </c>
      <c r="BH218" s="4">
        <f t="shared" si="96"/>
        <v>2.4802300503235175E-2</v>
      </c>
      <c r="BI218" s="4">
        <f t="shared" si="97"/>
        <v>1.3333333333333308E-2</v>
      </c>
      <c r="BJ218" s="4">
        <f t="shared" si="98"/>
        <v>2.1865889212828726E-3</v>
      </c>
      <c r="BK218" s="4">
        <f t="shared" si="99"/>
        <v>2.0825721592985014E-2</v>
      </c>
      <c r="BL218" s="4">
        <f t="shared" si="100"/>
        <v>2.9728725380899768E-3</v>
      </c>
      <c r="BM218" s="4">
        <f t="shared" si="105"/>
        <v>1.6566953325662968E-2</v>
      </c>
      <c r="BN218" s="9">
        <f t="shared" si="106"/>
        <v>13677.908356996795</v>
      </c>
      <c r="BO218" s="10">
        <f t="shared" si="107"/>
        <v>13104.245346935541</v>
      </c>
      <c r="BP218">
        <v>13780</v>
      </c>
      <c r="BQ218">
        <v>13790</v>
      </c>
      <c r="BR218">
        <v>13780</v>
      </c>
      <c r="BS218">
        <v>13785</v>
      </c>
      <c r="BT218">
        <v>10779</v>
      </c>
      <c r="BU218" s="13">
        <f t="shared" si="101"/>
        <v>13785</v>
      </c>
      <c r="BV218" s="13">
        <f t="shared" si="102"/>
        <v>148588515</v>
      </c>
      <c r="BW218" s="13">
        <f>SUM($BV$3:BV218)</f>
        <v>194209438796.66672</v>
      </c>
      <c r="BX218" s="13">
        <f>SUM($BT$3:BT218)</f>
        <v>14184061</v>
      </c>
      <c r="BY218" s="3">
        <f t="shared" si="103"/>
        <v>13692.089930850319</v>
      </c>
    </row>
    <row r="219" spans="1:77" x14ac:dyDescent="0.3">
      <c r="A219" s="3" t="s">
        <v>259</v>
      </c>
      <c r="B219" s="3">
        <v>11650</v>
      </c>
      <c r="C219" s="3">
        <v>11665</v>
      </c>
      <c r="D219" s="3">
        <v>11535</v>
      </c>
      <c r="E219" s="3">
        <v>11555</v>
      </c>
      <c r="F219" s="3">
        <v>11645</v>
      </c>
      <c r="G219" s="3">
        <v>11650</v>
      </c>
      <c r="H219" s="3">
        <v>11395</v>
      </c>
      <c r="I219" s="3">
        <v>11390</v>
      </c>
      <c r="J219" s="3">
        <v>11815</v>
      </c>
      <c r="K219" s="3">
        <v>11800</v>
      </c>
      <c r="L219" s="3">
        <v>12050</v>
      </c>
      <c r="M219" s="3">
        <v>12035</v>
      </c>
      <c r="N219" s="3">
        <v>12540</v>
      </c>
      <c r="O219" s="3">
        <v>12540</v>
      </c>
      <c r="P219" s="3">
        <v>12670</v>
      </c>
      <c r="Q219" s="3">
        <v>12670</v>
      </c>
      <c r="R219" s="3">
        <v>12490</v>
      </c>
      <c r="S219" s="3">
        <v>12505</v>
      </c>
      <c r="T219" s="3">
        <v>12305</v>
      </c>
      <c r="U219" s="3">
        <v>12275</v>
      </c>
      <c r="V219" s="3">
        <v>12825</v>
      </c>
      <c r="W219" s="3">
        <v>12825</v>
      </c>
      <c r="X219" s="3">
        <v>12470</v>
      </c>
      <c r="Y219" s="3">
        <v>12465</v>
      </c>
      <c r="Z219" s="3">
        <v>12760</v>
      </c>
      <c r="AA219" s="3">
        <v>12750</v>
      </c>
      <c r="AB219" s="3">
        <v>13255</v>
      </c>
      <c r="AC219" s="3">
        <v>13265</v>
      </c>
      <c r="AD219" s="3">
        <v>13230</v>
      </c>
      <c r="AE219" s="3">
        <v>13245</v>
      </c>
      <c r="AF219" s="3">
        <v>13785</v>
      </c>
      <c r="AG219" s="3">
        <v>13800</v>
      </c>
      <c r="AH219" s="3">
        <v>14255</v>
      </c>
      <c r="AI219" s="3">
        <v>14245</v>
      </c>
      <c r="AJ219" s="3">
        <v>13690</v>
      </c>
      <c r="AK219" s="3">
        <v>13685</v>
      </c>
      <c r="AL219" s="3">
        <v>13750</v>
      </c>
      <c r="AM219" s="3">
        <v>13740</v>
      </c>
      <c r="AN219" s="3">
        <v>13400</v>
      </c>
      <c r="AO219" s="3">
        <v>13405</v>
      </c>
      <c r="AP219" s="3">
        <v>13490</v>
      </c>
      <c r="AQ219" s="3">
        <v>13500</v>
      </c>
      <c r="AR219" s="4">
        <f t="shared" si="104"/>
        <v>1.1708586296617529E-2</v>
      </c>
      <c r="AS219" s="4">
        <f t="shared" si="81"/>
        <v>4.3290043290045155E-4</v>
      </c>
      <c r="AT219" s="4">
        <f t="shared" si="82"/>
        <v>2.5528169014084501E-2</v>
      </c>
      <c r="AU219" s="4">
        <f t="shared" si="83"/>
        <v>3.3106960950764042E-2</v>
      </c>
      <c r="AV219" s="4">
        <f t="shared" si="84"/>
        <v>9.4097519247220429E-3</v>
      </c>
      <c r="AW219" s="4">
        <f t="shared" si="85"/>
        <v>1.4755480607082649E-2</v>
      </c>
      <c r="AX219" s="4">
        <f t="shared" si="86"/>
        <v>3.5080478745356913E-2</v>
      </c>
      <c r="AY219" s="4">
        <f t="shared" si="87"/>
        <v>8.6071987480438317E-3</v>
      </c>
      <c r="AZ219" s="4">
        <f t="shared" si="88"/>
        <v>3.1885213232363263E-3</v>
      </c>
      <c r="BA219" s="4">
        <f t="shared" si="89"/>
        <v>8.0808080808081328E-3</v>
      </c>
      <c r="BB219" s="4">
        <f t="shared" si="90"/>
        <v>3.9724361572760492E-2</v>
      </c>
      <c r="BC219" s="4">
        <f t="shared" si="91"/>
        <v>1.3454689354966409E-2</v>
      </c>
      <c r="BD219" s="4">
        <f t="shared" si="92"/>
        <v>7.0093457943924964E-3</v>
      </c>
      <c r="BE219" s="4">
        <f t="shared" si="93"/>
        <v>2.3139220979560449E-2</v>
      </c>
      <c r="BF219" s="4">
        <f t="shared" si="94"/>
        <v>1.1841100076394273E-2</v>
      </c>
      <c r="BG219" s="4">
        <f t="shared" si="95"/>
        <v>3.4870641169853833E-2</v>
      </c>
      <c r="BH219" s="4">
        <f t="shared" si="96"/>
        <v>2.4083393242271711E-2</v>
      </c>
      <c r="BI219" s="4">
        <f t="shared" si="97"/>
        <v>1.3693693693693665E-2</v>
      </c>
      <c r="BJ219" s="4">
        <f t="shared" si="98"/>
        <v>1.4577259475219151E-3</v>
      </c>
      <c r="BK219" s="4">
        <f t="shared" si="99"/>
        <v>2.0460358056266004E-2</v>
      </c>
      <c r="BL219" s="4">
        <f t="shared" si="100"/>
        <v>3.3444816053511683E-3</v>
      </c>
      <c r="BM219" s="4">
        <f t="shared" si="105"/>
        <v>1.6668499114648072E-2</v>
      </c>
      <c r="BN219" s="9">
        <f t="shared" si="106"/>
        <v>13679.274655587589</v>
      </c>
      <c r="BO219" s="10">
        <f t="shared" si="107"/>
        <v>13102.892249297314</v>
      </c>
      <c r="BP219">
        <v>13785</v>
      </c>
      <c r="BQ219">
        <v>13800</v>
      </c>
      <c r="BR219">
        <v>13785</v>
      </c>
      <c r="BS219">
        <v>13800</v>
      </c>
      <c r="BT219">
        <v>11384</v>
      </c>
      <c r="BU219" s="13">
        <f t="shared" si="101"/>
        <v>13795</v>
      </c>
      <c r="BV219" s="13">
        <f t="shared" si="102"/>
        <v>157042280</v>
      </c>
      <c r="BW219" s="13">
        <f>SUM($BV$3:BV219)</f>
        <v>194366481076.66672</v>
      </c>
      <c r="BX219" s="13">
        <f>SUM($BT$3:BT219)</f>
        <v>14195445</v>
      </c>
      <c r="BY219" s="3">
        <f t="shared" si="103"/>
        <v>13692.172459311189</v>
      </c>
    </row>
    <row r="220" spans="1:77" x14ac:dyDescent="0.3">
      <c r="A220" s="3" t="s">
        <v>260</v>
      </c>
      <c r="B220" s="3">
        <v>11665</v>
      </c>
      <c r="C220" s="3">
        <v>11665</v>
      </c>
      <c r="D220" s="3">
        <v>11555</v>
      </c>
      <c r="E220" s="3">
        <v>11550</v>
      </c>
      <c r="F220" s="3">
        <v>11650</v>
      </c>
      <c r="G220" s="3">
        <v>11650</v>
      </c>
      <c r="H220" s="3">
        <v>11390</v>
      </c>
      <c r="I220" s="3">
        <v>11365</v>
      </c>
      <c r="J220" s="3">
        <v>11800</v>
      </c>
      <c r="K220" s="3">
        <v>11795</v>
      </c>
      <c r="L220" s="3">
        <v>12035</v>
      </c>
      <c r="M220" s="3">
        <v>12045</v>
      </c>
      <c r="N220" s="3">
        <v>12545</v>
      </c>
      <c r="O220" s="3">
        <v>12535</v>
      </c>
      <c r="P220" s="3">
        <v>12670</v>
      </c>
      <c r="Q220" s="3">
        <v>12675</v>
      </c>
      <c r="R220" s="3">
        <v>12500</v>
      </c>
      <c r="S220" s="3">
        <v>12500</v>
      </c>
      <c r="T220" s="3">
        <v>12275</v>
      </c>
      <c r="U220" s="3">
        <v>12285</v>
      </c>
      <c r="V220" s="3">
        <v>12825</v>
      </c>
      <c r="W220" s="3">
        <v>12830</v>
      </c>
      <c r="X220" s="3">
        <v>12465</v>
      </c>
      <c r="Y220" s="3">
        <v>12450</v>
      </c>
      <c r="Z220" s="3">
        <v>12750</v>
      </c>
      <c r="AA220" s="3">
        <v>12740</v>
      </c>
      <c r="AB220" s="3">
        <v>13265</v>
      </c>
      <c r="AC220" s="3">
        <v>13265</v>
      </c>
      <c r="AD220" s="3">
        <v>13250</v>
      </c>
      <c r="AE220" s="3">
        <v>13260</v>
      </c>
      <c r="AF220" s="3">
        <v>13800</v>
      </c>
      <c r="AG220" s="3">
        <v>13805</v>
      </c>
      <c r="AH220" s="3">
        <v>14245</v>
      </c>
      <c r="AI220" s="3">
        <v>14235</v>
      </c>
      <c r="AJ220" s="3">
        <v>13680</v>
      </c>
      <c r="AK220" s="3">
        <v>13665</v>
      </c>
      <c r="AL220" s="3">
        <v>13740</v>
      </c>
      <c r="AM220" s="3">
        <v>13735</v>
      </c>
      <c r="AN220" s="3">
        <v>13405</v>
      </c>
      <c r="AO220" s="3">
        <v>13410</v>
      </c>
      <c r="AP220" s="3">
        <v>13505</v>
      </c>
      <c r="AQ220" s="3">
        <v>13495</v>
      </c>
      <c r="AR220" s="4">
        <f t="shared" si="104"/>
        <v>1.1708586296617529E-2</v>
      </c>
      <c r="AS220" s="4">
        <f t="shared" si="81"/>
        <v>0</v>
      </c>
      <c r="AT220" s="4">
        <f t="shared" si="82"/>
        <v>2.5528169014084501E-2</v>
      </c>
      <c r="AU220" s="4">
        <f t="shared" si="83"/>
        <v>3.522920203735147E-2</v>
      </c>
      <c r="AV220" s="4">
        <f t="shared" si="84"/>
        <v>8.9820359281436168E-3</v>
      </c>
      <c r="AW220" s="4">
        <f t="shared" si="85"/>
        <v>1.5598650927487245E-2</v>
      </c>
      <c r="AX220" s="4">
        <f t="shared" si="86"/>
        <v>3.4667767230705637E-2</v>
      </c>
      <c r="AY220" s="4">
        <f t="shared" si="87"/>
        <v>8.215962441314506E-3</v>
      </c>
      <c r="AZ220" s="4">
        <f t="shared" si="88"/>
        <v>3.5870864886409226E-3</v>
      </c>
      <c r="BA220" s="4">
        <f t="shared" si="89"/>
        <v>7.2727272727273196E-3</v>
      </c>
      <c r="BB220" s="4">
        <f t="shared" si="90"/>
        <v>4.0129712201053991E-2</v>
      </c>
      <c r="BC220" s="4">
        <f t="shared" si="91"/>
        <v>1.4641867827463351E-2</v>
      </c>
      <c r="BD220" s="4">
        <f t="shared" si="92"/>
        <v>7.7881619937694158E-3</v>
      </c>
      <c r="BE220" s="4">
        <f t="shared" si="93"/>
        <v>2.3139220979560449E-2</v>
      </c>
      <c r="BF220" s="4">
        <f t="shared" si="94"/>
        <v>1.298701298701288E-2</v>
      </c>
      <c r="BG220" s="4">
        <f t="shared" si="95"/>
        <v>3.5245594300712391E-2</v>
      </c>
      <c r="BH220" s="4">
        <f t="shared" si="96"/>
        <v>2.3364485981308469E-2</v>
      </c>
      <c r="BI220" s="4">
        <f t="shared" si="97"/>
        <v>1.5135135135135092E-2</v>
      </c>
      <c r="BJ220" s="4">
        <f t="shared" si="98"/>
        <v>1.0932944606414363E-3</v>
      </c>
      <c r="BK220" s="4">
        <f t="shared" si="99"/>
        <v>2.0094994519546994E-2</v>
      </c>
      <c r="BL220" s="4">
        <f t="shared" si="100"/>
        <v>2.9728725380899768E-3</v>
      </c>
      <c r="BM220" s="4">
        <f t="shared" si="105"/>
        <v>1.6983398380665378E-2</v>
      </c>
      <c r="BN220" s="9">
        <f t="shared" si="106"/>
        <v>13683.511625211851</v>
      </c>
      <c r="BO220" s="10">
        <f t="shared" si="107"/>
        <v>13098.696216577633</v>
      </c>
      <c r="BP220">
        <v>13800</v>
      </c>
      <c r="BQ220">
        <v>13815</v>
      </c>
      <c r="BR220">
        <v>13800</v>
      </c>
      <c r="BS220">
        <v>13805</v>
      </c>
      <c r="BT220">
        <v>11585</v>
      </c>
      <c r="BU220" s="13">
        <f t="shared" si="101"/>
        <v>13806.666666666666</v>
      </c>
      <c r="BV220" s="13">
        <f t="shared" si="102"/>
        <v>159950233.33333331</v>
      </c>
      <c r="BW220" s="13">
        <f>SUM($BV$3:BV220)</f>
        <v>194526431310.00006</v>
      </c>
      <c r="BX220" s="13">
        <f>SUM($BT$3:BT220)</f>
        <v>14207030</v>
      </c>
      <c r="BY220" s="3">
        <f t="shared" si="103"/>
        <v>13692.265822624437</v>
      </c>
    </row>
    <row r="221" spans="1:77" x14ac:dyDescent="0.3">
      <c r="A221" s="3" t="s">
        <v>261</v>
      </c>
      <c r="B221" s="3">
        <v>11670</v>
      </c>
      <c r="C221" s="3">
        <v>11665</v>
      </c>
      <c r="D221" s="3">
        <v>11555</v>
      </c>
      <c r="E221" s="3">
        <v>11555</v>
      </c>
      <c r="F221" s="3">
        <v>11655</v>
      </c>
      <c r="G221" s="3">
        <v>11655</v>
      </c>
      <c r="H221" s="3">
        <v>11365</v>
      </c>
      <c r="I221" s="3">
        <v>11385</v>
      </c>
      <c r="J221" s="3">
        <v>11790</v>
      </c>
      <c r="K221" s="3">
        <v>11805</v>
      </c>
      <c r="L221" s="3">
        <v>12045</v>
      </c>
      <c r="M221" s="3">
        <v>12055</v>
      </c>
      <c r="N221" s="3">
        <v>12540</v>
      </c>
      <c r="O221" s="3">
        <v>12540</v>
      </c>
      <c r="P221" s="3">
        <v>12675</v>
      </c>
      <c r="Q221" s="3">
        <v>12680</v>
      </c>
      <c r="R221" s="3">
        <v>12500</v>
      </c>
      <c r="S221" s="3">
        <v>12500</v>
      </c>
      <c r="T221" s="3">
        <v>12285</v>
      </c>
      <c r="U221" s="3">
        <v>12270</v>
      </c>
      <c r="V221" s="3">
        <v>12830</v>
      </c>
      <c r="W221" s="3">
        <v>12825</v>
      </c>
      <c r="X221" s="3">
        <v>12455</v>
      </c>
      <c r="Y221" s="3">
        <v>12405</v>
      </c>
      <c r="Z221" s="3">
        <v>12740</v>
      </c>
      <c r="AA221" s="3">
        <v>12730</v>
      </c>
      <c r="AB221" s="3">
        <v>13265</v>
      </c>
      <c r="AC221" s="3">
        <v>13275</v>
      </c>
      <c r="AD221" s="3">
        <v>13265</v>
      </c>
      <c r="AE221" s="3">
        <v>13245</v>
      </c>
      <c r="AF221" s="3">
        <v>13800</v>
      </c>
      <c r="AG221" s="3">
        <v>13795</v>
      </c>
      <c r="AH221" s="3">
        <v>14235</v>
      </c>
      <c r="AI221" s="3">
        <v>14235</v>
      </c>
      <c r="AJ221" s="3">
        <v>13665</v>
      </c>
      <c r="AK221" s="3">
        <v>13660</v>
      </c>
      <c r="AL221" s="3">
        <v>13740</v>
      </c>
      <c r="AM221" s="3">
        <v>13735</v>
      </c>
      <c r="AN221" s="3">
        <v>13410</v>
      </c>
      <c r="AO221" s="3">
        <v>13410</v>
      </c>
      <c r="AP221" s="3">
        <v>13495</v>
      </c>
      <c r="AQ221" s="3">
        <v>13495</v>
      </c>
      <c r="AR221" s="4">
        <f t="shared" si="104"/>
        <v>1.1708586296617529E-2</v>
      </c>
      <c r="AS221" s="4">
        <f t="shared" si="81"/>
        <v>4.3290043290045155E-4</v>
      </c>
      <c r="AT221" s="4">
        <f t="shared" si="82"/>
        <v>2.5968309859154992E-2</v>
      </c>
      <c r="AU221" s="4">
        <f t="shared" si="83"/>
        <v>3.3531409168081505E-2</v>
      </c>
      <c r="AV221" s="4">
        <f t="shared" si="84"/>
        <v>9.8374679213002469E-3</v>
      </c>
      <c r="AW221" s="4">
        <f t="shared" si="85"/>
        <v>1.6441821247892063E-2</v>
      </c>
      <c r="AX221" s="4">
        <f t="shared" si="86"/>
        <v>3.5080478745356913E-2</v>
      </c>
      <c r="AY221" s="4">
        <f t="shared" si="87"/>
        <v>7.8247261345852914E-3</v>
      </c>
      <c r="AZ221" s="4">
        <f t="shared" si="88"/>
        <v>3.5870864886409226E-3</v>
      </c>
      <c r="BA221" s="4">
        <f t="shared" si="89"/>
        <v>8.4848484848485395E-3</v>
      </c>
      <c r="BB221" s="4">
        <f t="shared" si="90"/>
        <v>3.9724361572760492E-2</v>
      </c>
      <c r="BC221" s="4">
        <f t="shared" si="91"/>
        <v>1.8203403244954508E-2</v>
      </c>
      <c r="BD221" s="4">
        <f t="shared" si="92"/>
        <v>8.5669781931464462E-3</v>
      </c>
      <c r="BE221" s="4">
        <f t="shared" si="93"/>
        <v>2.3910528345545634E-2</v>
      </c>
      <c r="BF221" s="4">
        <f t="shared" si="94"/>
        <v>1.1841100076394273E-2</v>
      </c>
      <c r="BG221" s="4">
        <f t="shared" si="95"/>
        <v>3.4495688038995054E-2</v>
      </c>
      <c r="BH221" s="4">
        <f t="shared" si="96"/>
        <v>2.3364485981308469E-2</v>
      </c>
      <c r="BI221" s="4">
        <f t="shared" si="97"/>
        <v>1.5495495495495448E-2</v>
      </c>
      <c r="BJ221" s="4">
        <f t="shared" si="98"/>
        <v>1.0932944606414363E-3</v>
      </c>
      <c r="BK221" s="4">
        <f t="shared" si="99"/>
        <v>2.0094994519546994E-2</v>
      </c>
      <c r="BL221" s="4">
        <f t="shared" si="100"/>
        <v>2.9728725380899768E-3</v>
      </c>
      <c r="BM221" s="4">
        <f t="shared" si="105"/>
        <v>1.738824427968302E-2</v>
      </c>
      <c r="BN221" s="9">
        <f t="shared" si="106"/>
        <v>13688.958826783137</v>
      </c>
      <c r="BO221" s="10">
        <f t="shared" si="107"/>
        <v>13093.301644973224</v>
      </c>
      <c r="BP221">
        <v>13800</v>
      </c>
      <c r="BQ221">
        <v>13800</v>
      </c>
      <c r="BR221">
        <v>13795</v>
      </c>
      <c r="BS221">
        <v>13795</v>
      </c>
      <c r="BT221">
        <v>8083</v>
      </c>
      <c r="BU221" s="13">
        <f t="shared" si="101"/>
        <v>13796.666666666666</v>
      </c>
      <c r="BV221" s="13">
        <f t="shared" si="102"/>
        <v>111518456.66666666</v>
      </c>
      <c r="BW221" s="13">
        <f>SUM($BV$3:BV221)</f>
        <v>194637949766.66672</v>
      </c>
      <c r="BX221" s="13">
        <f>SUM($BT$3:BT221)</f>
        <v>14215113</v>
      </c>
      <c r="BY221" s="3">
        <f t="shared" si="103"/>
        <v>13692.325187050339</v>
      </c>
    </row>
    <row r="222" spans="1:77" x14ac:dyDescent="0.3">
      <c r="A222" s="3" t="s">
        <v>262</v>
      </c>
      <c r="B222" s="3">
        <v>11665</v>
      </c>
      <c r="C222" s="3">
        <v>11680</v>
      </c>
      <c r="D222" s="3">
        <v>11555</v>
      </c>
      <c r="E222" s="3">
        <v>11570</v>
      </c>
      <c r="F222" s="3">
        <v>11660</v>
      </c>
      <c r="G222" s="3">
        <v>11665</v>
      </c>
      <c r="H222" s="3">
        <v>11385</v>
      </c>
      <c r="I222" s="3">
        <v>11380</v>
      </c>
      <c r="J222" s="3">
        <v>11805</v>
      </c>
      <c r="K222" s="3">
        <v>11795</v>
      </c>
      <c r="L222" s="3">
        <v>12055</v>
      </c>
      <c r="M222" s="3">
        <v>12045</v>
      </c>
      <c r="N222" s="3">
        <v>12540</v>
      </c>
      <c r="O222" s="3">
        <v>12565</v>
      </c>
      <c r="P222" s="3">
        <v>12675</v>
      </c>
      <c r="Q222" s="3">
        <v>12655</v>
      </c>
      <c r="R222" s="3">
        <v>12500</v>
      </c>
      <c r="S222" s="3">
        <v>12475</v>
      </c>
      <c r="T222" s="3">
        <v>12275</v>
      </c>
      <c r="U222" s="3">
        <v>12285</v>
      </c>
      <c r="V222" s="3">
        <v>12825</v>
      </c>
      <c r="W222" s="3">
        <v>12815</v>
      </c>
      <c r="X222" s="3">
        <v>12410</v>
      </c>
      <c r="Y222" s="3">
        <v>12425</v>
      </c>
      <c r="Z222" s="3">
        <v>12735</v>
      </c>
      <c r="AA222" s="3">
        <v>12745</v>
      </c>
      <c r="AB222" s="3">
        <v>13275</v>
      </c>
      <c r="AC222" s="3">
        <v>13270</v>
      </c>
      <c r="AD222" s="3">
        <v>13255</v>
      </c>
      <c r="AE222" s="3">
        <v>13260</v>
      </c>
      <c r="AF222" s="3">
        <v>13800</v>
      </c>
      <c r="AG222" s="3">
        <v>13805</v>
      </c>
      <c r="AH222" s="3">
        <v>14235</v>
      </c>
      <c r="AI222" s="3">
        <v>14230</v>
      </c>
      <c r="AJ222" s="3">
        <v>13660</v>
      </c>
      <c r="AK222" s="3">
        <v>13675</v>
      </c>
      <c r="AL222" s="3">
        <v>13740</v>
      </c>
      <c r="AM222" s="3">
        <v>13710</v>
      </c>
      <c r="AN222" s="3">
        <v>13405</v>
      </c>
      <c r="AO222" s="3">
        <v>13415</v>
      </c>
      <c r="AP222" s="3">
        <v>13495</v>
      </c>
      <c r="AQ222" s="3">
        <v>13485</v>
      </c>
      <c r="AR222" s="4">
        <f t="shared" si="104"/>
        <v>1.3009540329575131E-2</v>
      </c>
      <c r="AS222" s="4">
        <f t="shared" si="81"/>
        <v>1.7316017316018062E-3</v>
      </c>
      <c r="AT222" s="4">
        <f t="shared" si="82"/>
        <v>2.6848591549295753E-2</v>
      </c>
      <c r="AU222" s="4">
        <f t="shared" si="83"/>
        <v>3.3955857385398969E-2</v>
      </c>
      <c r="AV222" s="4">
        <f t="shared" si="84"/>
        <v>8.9820359281436168E-3</v>
      </c>
      <c r="AW222" s="4">
        <f t="shared" si="85"/>
        <v>1.5598650927487245E-2</v>
      </c>
      <c r="AX222" s="4">
        <f t="shared" si="86"/>
        <v>3.7144036318613294E-2</v>
      </c>
      <c r="AY222" s="4">
        <f t="shared" si="87"/>
        <v>9.7809076682315865E-3</v>
      </c>
      <c r="AZ222" s="4">
        <f t="shared" si="88"/>
        <v>5.579912315663571E-3</v>
      </c>
      <c r="BA222" s="4">
        <f t="shared" si="89"/>
        <v>7.2727272727273196E-3</v>
      </c>
      <c r="BB222" s="4">
        <f t="shared" si="90"/>
        <v>3.8913660316173493E-2</v>
      </c>
      <c r="BC222" s="4">
        <f t="shared" si="91"/>
        <v>1.6620498614958401E-2</v>
      </c>
      <c r="BD222" s="4">
        <f t="shared" si="92"/>
        <v>7.3987538940809561E-3</v>
      </c>
      <c r="BE222" s="4">
        <f t="shared" si="93"/>
        <v>2.352487466255293E-2</v>
      </c>
      <c r="BF222" s="4">
        <f t="shared" si="94"/>
        <v>1.298701298701288E-2</v>
      </c>
      <c r="BG222" s="4">
        <f t="shared" si="95"/>
        <v>3.5245594300712391E-2</v>
      </c>
      <c r="BH222" s="4">
        <f t="shared" si="96"/>
        <v>2.3005032350826848E-2</v>
      </c>
      <c r="BI222" s="4">
        <f t="shared" si="97"/>
        <v>1.4414414414414378E-2</v>
      </c>
      <c r="BJ222" s="4">
        <f t="shared" si="98"/>
        <v>7.2886297376095754E-4</v>
      </c>
      <c r="BK222" s="4">
        <f t="shared" si="99"/>
        <v>1.9729630982827873E-2</v>
      </c>
      <c r="BL222" s="4">
        <f t="shared" si="100"/>
        <v>2.2296544035673715E-3</v>
      </c>
      <c r="BM222" s="4">
        <f t="shared" si="105"/>
        <v>1.7595651540852988E-2</v>
      </c>
      <c r="BN222" s="9">
        <f t="shared" si="106"/>
        <v>13691.749491482178</v>
      </c>
      <c r="BO222" s="10">
        <f t="shared" si="107"/>
        <v>13090.537943218134</v>
      </c>
      <c r="BP222">
        <v>13800</v>
      </c>
      <c r="BQ222">
        <v>13805</v>
      </c>
      <c r="BR222">
        <v>13795</v>
      </c>
      <c r="BS222">
        <v>13805</v>
      </c>
      <c r="BT222">
        <v>11159</v>
      </c>
      <c r="BU222" s="13">
        <f t="shared" si="101"/>
        <v>13801.666666666666</v>
      </c>
      <c r="BV222" s="13">
        <f t="shared" si="102"/>
        <v>154012798.33333331</v>
      </c>
      <c r="BW222" s="13">
        <f>SUM($BV$3:BV222)</f>
        <v>194791962565.00006</v>
      </c>
      <c r="BX222" s="13">
        <f>SUM($BT$3:BT222)</f>
        <v>14226272</v>
      </c>
      <c r="BY222" s="3">
        <f t="shared" si="103"/>
        <v>13692.410953832463</v>
      </c>
    </row>
    <row r="223" spans="1:77" x14ac:dyDescent="0.3">
      <c r="A223" s="3" t="s">
        <v>263</v>
      </c>
      <c r="B223" s="3">
        <v>11680</v>
      </c>
      <c r="C223" s="3">
        <v>11680</v>
      </c>
      <c r="D223" s="3">
        <v>11580</v>
      </c>
      <c r="E223" s="3">
        <v>11690</v>
      </c>
      <c r="F223" s="3">
        <v>11670</v>
      </c>
      <c r="G223" s="3">
        <v>11675</v>
      </c>
      <c r="H223" s="3">
        <v>11380</v>
      </c>
      <c r="I223" s="3">
        <v>11370</v>
      </c>
      <c r="J223" s="3">
        <v>11795</v>
      </c>
      <c r="K223" s="3">
        <v>11795</v>
      </c>
      <c r="L223" s="3">
        <v>12045</v>
      </c>
      <c r="M223" s="3">
        <v>12040</v>
      </c>
      <c r="N223" s="3">
        <v>12570</v>
      </c>
      <c r="O223" s="3">
        <v>12565</v>
      </c>
      <c r="P223" s="3">
        <v>12655</v>
      </c>
      <c r="Q223" s="3">
        <v>12640</v>
      </c>
      <c r="R223" s="3">
        <v>12480</v>
      </c>
      <c r="S223" s="3">
        <v>12480</v>
      </c>
      <c r="T223" s="3">
        <v>12290</v>
      </c>
      <c r="U223" s="3">
        <v>12290</v>
      </c>
      <c r="V223" s="3">
        <v>12815</v>
      </c>
      <c r="W223" s="3">
        <v>12810</v>
      </c>
      <c r="X223" s="3">
        <v>12420</v>
      </c>
      <c r="Y223" s="3">
        <v>12435</v>
      </c>
      <c r="Z223" s="3">
        <v>12745</v>
      </c>
      <c r="AA223" s="3">
        <v>12740</v>
      </c>
      <c r="AB223" s="3">
        <v>13270</v>
      </c>
      <c r="AC223" s="3">
        <v>13270</v>
      </c>
      <c r="AD223" s="3">
        <v>13265</v>
      </c>
      <c r="AE223" s="3">
        <v>13265</v>
      </c>
      <c r="AF223" s="3">
        <v>13805</v>
      </c>
      <c r="AG223" s="3">
        <v>13800</v>
      </c>
      <c r="AH223" s="3">
        <v>14235</v>
      </c>
      <c r="AI223" s="3">
        <v>14220</v>
      </c>
      <c r="AJ223" s="3">
        <v>13670</v>
      </c>
      <c r="AK223" s="3">
        <v>13675</v>
      </c>
      <c r="AL223" s="3">
        <v>13710</v>
      </c>
      <c r="AM223" s="3">
        <v>13675</v>
      </c>
      <c r="AN223" s="3">
        <v>13415</v>
      </c>
      <c r="AO223" s="3">
        <v>13410</v>
      </c>
      <c r="AP223" s="3">
        <v>13490</v>
      </c>
      <c r="AQ223" s="3">
        <v>13490</v>
      </c>
      <c r="AR223" s="4">
        <f t="shared" si="104"/>
        <v>1.3009540329575131E-2</v>
      </c>
      <c r="AS223" s="4">
        <f t="shared" si="81"/>
        <v>1.2121212121212199E-2</v>
      </c>
      <c r="AT223" s="4">
        <f t="shared" si="82"/>
        <v>2.7728873239436513E-2</v>
      </c>
      <c r="AU223" s="4">
        <f t="shared" si="83"/>
        <v>3.4804753820034007E-2</v>
      </c>
      <c r="AV223" s="4">
        <f t="shared" si="84"/>
        <v>8.9820359281436168E-3</v>
      </c>
      <c r="AW223" s="4">
        <f t="shared" si="85"/>
        <v>1.5177065767284947E-2</v>
      </c>
      <c r="AX223" s="4">
        <f t="shared" si="86"/>
        <v>3.7144036318613294E-2</v>
      </c>
      <c r="AY223" s="4">
        <f t="shared" si="87"/>
        <v>1.0954616588419452E-2</v>
      </c>
      <c r="AZ223" s="4">
        <f t="shared" si="88"/>
        <v>5.1813471502590858E-3</v>
      </c>
      <c r="BA223" s="4">
        <f t="shared" si="89"/>
        <v>6.8686868686869129E-3</v>
      </c>
      <c r="BB223" s="4">
        <f t="shared" si="90"/>
        <v>3.8508309687879994E-2</v>
      </c>
      <c r="BC223" s="4">
        <f t="shared" si="91"/>
        <v>1.5829046299960403E-2</v>
      </c>
      <c r="BD223" s="4">
        <f t="shared" si="92"/>
        <v>7.7881619937694158E-3</v>
      </c>
      <c r="BE223" s="4">
        <f t="shared" si="93"/>
        <v>2.352487466255293E-2</v>
      </c>
      <c r="BF223" s="4">
        <f t="shared" si="94"/>
        <v>1.3368983957219305E-2</v>
      </c>
      <c r="BG223" s="4">
        <f t="shared" si="95"/>
        <v>3.4870641169853833E-2</v>
      </c>
      <c r="BH223" s="4">
        <f t="shared" si="96"/>
        <v>2.2286125089863384E-2</v>
      </c>
      <c r="BI223" s="4">
        <f t="shared" si="97"/>
        <v>1.4414414414414378E-2</v>
      </c>
      <c r="BJ223" s="4">
        <f t="shared" si="98"/>
        <v>3.2798833819241979E-3</v>
      </c>
      <c r="BK223" s="4">
        <f t="shared" si="99"/>
        <v>2.0094994519546994E-2</v>
      </c>
      <c r="BL223" s="4">
        <f t="shared" si="100"/>
        <v>2.6012634708287852E-3</v>
      </c>
      <c r="BM223" s="4">
        <f t="shared" si="105"/>
        <v>1.8427286028819434E-2</v>
      </c>
      <c r="BN223" s="9">
        <f t="shared" si="106"/>
        <v>13702.939133517766</v>
      </c>
      <c r="BO223" s="10">
        <f t="shared" si="107"/>
        <v>13079.456413665981</v>
      </c>
      <c r="BP223">
        <v>13805</v>
      </c>
      <c r="BQ223">
        <v>13805</v>
      </c>
      <c r="BR223">
        <v>13790</v>
      </c>
      <c r="BS223">
        <v>13800</v>
      </c>
      <c r="BT223">
        <v>10588</v>
      </c>
      <c r="BU223" s="13">
        <f t="shared" si="101"/>
        <v>13798.333333333334</v>
      </c>
      <c r="BV223" s="13">
        <f t="shared" si="102"/>
        <v>146096753.33333334</v>
      </c>
      <c r="BW223" s="13">
        <f>SUM($BV$3:BV223)</f>
        <v>194938059318.3334</v>
      </c>
      <c r="BX223" s="13">
        <f>SUM($BT$3:BT223)</f>
        <v>14236860</v>
      </c>
      <c r="BY223" s="3">
        <f t="shared" si="103"/>
        <v>13692.489728657401</v>
      </c>
    </row>
    <row r="224" spans="1:77" x14ac:dyDescent="0.3">
      <c r="A224" s="3" t="s">
        <v>264</v>
      </c>
      <c r="B224" s="3">
        <v>11675</v>
      </c>
      <c r="C224" s="3">
        <v>11680</v>
      </c>
      <c r="D224" s="3">
        <v>11690</v>
      </c>
      <c r="E224" s="3">
        <v>11650</v>
      </c>
      <c r="F224" s="3">
        <v>11675</v>
      </c>
      <c r="G224" s="3">
        <v>11665</v>
      </c>
      <c r="H224" s="3">
        <v>11375</v>
      </c>
      <c r="I224" s="3">
        <v>11400</v>
      </c>
      <c r="J224" s="3">
        <v>11795</v>
      </c>
      <c r="K224" s="3">
        <v>11800</v>
      </c>
      <c r="L224" s="3">
        <v>12045</v>
      </c>
      <c r="M224" s="3">
        <v>12055</v>
      </c>
      <c r="N224" s="3">
        <v>12565</v>
      </c>
      <c r="O224" s="3">
        <v>12565</v>
      </c>
      <c r="P224" s="3">
        <v>12640</v>
      </c>
      <c r="Q224" s="3">
        <v>12645</v>
      </c>
      <c r="R224" s="3">
        <v>12480</v>
      </c>
      <c r="S224" s="3">
        <v>12485</v>
      </c>
      <c r="T224" s="3">
        <v>12285</v>
      </c>
      <c r="U224" s="3">
        <v>12285</v>
      </c>
      <c r="V224" s="3">
        <v>12815</v>
      </c>
      <c r="W224" s="3">
        <v>12795</v>
      </c>
      <c r="X224" s="3">
        <v>12435</v>
      </c>
      <c r="Y224" s="3">
        <v>12450</v>
      </c>
      <c r="Z224" s="3">
        <v>12740</v>
      </c>
      <c r="AA224" s="3">
        <v>12750</v>
      </c>
      <c r="AB224" s="3">
        <v>13270</v>
      </c>
      <c r="AC224" s="3">
        <v>13270</v>
      </c>
      <c r="AD224" s="3">
        <v>13270</v>
      </c>
      <c r="AE224" s="3">
        <v>13245</v>
      </c>
      <c r="AF224" s="3">
        <v>13805</v>
      </c>
      <c r="AG224" s="3">
        <v>13800</v>
      </c>
      <c r="AH224" s="3">
        <v>14220</v>
      </c>
      <c r="AI224" s="3">
        <v>14180</v>
      </c>
      <c r="AJ224" s="3">
        <v>13675</v>
      </c>
      <c r="AK224" s="3">
        <v>13670</v>
      </c>
      <c r="AL224" s="3">
        <v>13670</v>
      </c>
      <c r="AM224" s="3">
        <v>13670</v>
      </c>
      <c r="AN224" s="3">
        <v>13410</v>
      </c>
      <c r="AO224" s="3">
        <v>13400</v>
      </c>
      <c r="AP224" s="3">
        <v>13490</v>
      </c>
      <c r="AQ224" s="3">
        <v>13505</v>
      </c>
      <c r="AR224" s="4">
        <f t="shared" si="104"/>
        <v>1.3009540329575131E-2</v>
      </c>
      <c r="AS224" s="4">
        <f t="shared" si="81"/>
        <v>8.6580086580085869E-3</v>
      </c>
      <c r="AT224" s="4">
        <f t="shared" si="82"/>
        <v>2.6848591549295753E-2</v>
      </c>
      <c r="AU224" s="4">
        <f t="shared" si="83"/>
        <v>3.2258064516129004E-2</v>
      </c>
      <c r="AV224" s="4">
        <f t="shared" si="84"/>
        <v>9.4097519247220429E-3</v>
      </c>
      <c r="AW224" s="4">
        <f t="shared" si="85"/>
        <v>1.6441821247892063E-2</v>
      </c>
      <c r="AX224" s="4">
        <f t="shared" si="86"/>
        <v>3.7144036318613294E-2</v>
      </c>
      <c r="AY224" s="4">
        <f t="shared" si="87"/>
        <v>1.0563380281690127E-2</v>
      </c>
      <c r="AZ224" s="4">
        <f t="shared" si="88"/>
        <v>4.7827819848544895E-3</v>
      </c>
      <c r="BA224" s="4">
        <f t="shared" si="89"/>
        <v>7.2727272727273196E-3</v>
      </c>
      <c r="BB224" s="4">
        <f t="shared" si="90"/>
        <v>3.7292257802999496E-2</v>
      </c>
      <c r="BC224" s="4">
        <f t="shared" si="91"/>
        <v>1.4641867827463351E-2</v>
      </c>
      <c r="BD224" s="4">
        <f t="shared" si="92"/>
        <v>7.0093457943924964E-3</v>
      </c>
      <c r="BE224" s="4">
        <f t="shared" si="93"/>
        <v>2.352487466255293E-2</v>
      </c>
      <c r="BF224" s="4">
        <f t="shared" si="94"/>
        <v>1.1841100076394273E-2</v>
      </c>
      <c r="BG224" s="4">
        <f t="shared" si="95"/>
        <v>3.4870641169853833E-2</v>
      </c>
      <c r="BH224" s="4">
        <f t="shared" si="96"/>
        <v>1.9410496046009973E-2</v>
      </c>
      <c r="BI224" s="4">
        <f t="shared" si="97"/>
        <v>1.4774774774774735E-2</v>
      </c>
      <c r="BJ224" s="4">
        <f t="shared" si="98"/>
        <v>3.6443148688046767E-3</v>
      </c>
      <c r="BK224" s="4">
        <f t="shared" si="99"/>
        <v>2.0825721592985014E-2</v>
      </c>
      <c r="BL224" s="4">
        <f t="shared" si="100"/>
        <v>3.7160906726123599E-3</v>
      </c>
      <c r="BM224" s="4">
        <f t="shared" si="105"/>
        <v>1.7692043565552516E-2</v>
      </c>
      <c r="BN224" s="9">
        <f t="shared" si="106"/>
        <v>13693.046446174509</v>
      </c>
      <c r="BO224" s="10">
        <f t="shared" si="107"/>
        <v>13089.253519489012</v>
      </c>
      <c r="BP224">
        <v>13805</v>
      </c>
      <c r="BQ224">
        <v>13805</v>
      </c>
      <c r="BR224">
        <v>13795</v>
      </c>
      <c r="BS224">
        <v>13800</v>
      </c>
      <c r="BT224">
        <v>6400</v>
      </c>
      <c r="BU224" s="13">
        <f t="shared" si="101"/>
        <v>13800</v>
      </c>
      <c r="BV224" s="13">
        <f t="shared" si="102"/>
        <v>88320000</v>
      </c>
      <c r="BW224" s="13">
        <f>SUM($BV$3:BV224)</f>
        <v>195026379318.3334</v>
      </c>
      <c r="BX224" s="13">
        <f>SUM($BT$3:BT224)</f>
        <v>14243260</v>
      </c>
      <c r="BY224" s="3">
        <f t="shared" si="103"/>
        <v>13692.538036821163</v>
      </c>
    </row>
    <row r="225" spans="1:77" x14ac:dyDescent="0.3">
      <c r="A225" s="3" t="s">
        <v>265</v>
      </c>
      <c r="B225" s="3">
        <v>11680</v>
      </c>
      <c r="C225" s="3">
        <v>11685</v>
      </c>
      <c r="D225" s="3">
        <v>11650</v>
      </c>
      <c r="E225" s="3">
        <v>11660</v>
      </c>
      <c r="F225" s="3">
        <v>11670</v>
      </c>
      <c r="G225" s="3">
        <v>11675</v>
      </c>
      <c r="H225" s="3">
        <v>11395</v>
      </c>
      <c r="I225" s="3">
        <v>11420</v>
      </c>
      <c r="J225" s="3">
        <v>11800</v>
      </c>
      <c r="K225" s="3">
        <v>11780</v>
      </c>
      <c r="L225" s="3">
        <v>12060</v>
      </c>
      <c r="M225" s="3">
        <v>12045</v>
      </c>
      <c r="N225" s="3">
        <v>12565</v>
      </c>
      <c r="O225" s="3">
        <v>12560</v>
      </c>
      <c r="P225" s="3">
        <v>12645</v>
      </c>
      <c r="Q225" s="3">
        <v>12650</v>
      </c>
      <c r="R225" s="3">
        <v>12480</v>
      </c>
      <c r="S225" s="3">
        <v>12480</v>
      </c>
      <c r="T225" s="3">
        <v>12280</v>
      </c>
      <c r="U225" s="3">
        <v>12270</v>
      </c>
      <c r="V225" s="3">
        <v>12795</v>
      </c>
      <c r="W225" s="3">
        <v>12790</v>
      </c>
      <c r="X225" s="3">
        <v>12455</v>
      </c>
      <c r="Y225" s="3">
        <v>12445</v>
      </c>
      <c r="Z225" s="3">
        <v>12745</v>
      </c>
      <c r="AA225" s="3">
        <v>12730</v>
      </c>
      <c r="AB225" s="3">
        <v>13270</v>
      </c>
      <c r="AC225" s="3">
        <v>13265</v>
      </c>
      <c r="AD225" s="3">
        <v>13250</v>
      </c>
      <c r="AE225" s="3">
        <v>13240</v>
      </c>
      <c r="AF225" s="3">
        <v>13795</v>
      </c>
      <c r="AG225" s="3">
        <v>13810</v>
      </c>
      <c r="AH225" s="3">
        <v>14180</v>
      </c>
      <c r="AI225" s="3">
        <v>14150</v>
      </c>
      <c r="AJ225" s="3">
        <v>13670</v>
      </c>
      <c r="AK225" s="3">
        <v>13665</v>
      </c>
      <c r="AL225" s="3">
        <v>13665</v>
      </c>
      <c r="AM225" s="3">
        <v>13655</v>
      </c>
      <c r="AN225" s="3">
        <v>13400</v>
      </c>
      <c r="AO225" s="3">
        <v>13415</v>
      </c>
      <c r="AP225" s="3">
        <v>13500</v>
      </c>
      <c r="AQ225" s="3">
        <v>13505</v>
      </c>
      <c r="AR225" s="4">
        <f t="shared" si="104"/>
        <v>1.3443191673894184E-2</v>
      </c>
      <c r="AS225" s="4">
        <f t="shared" si="81"/>
        <v>9.52380952380949E-3</v>
      </c>
      <c r="AT225" s="4">
        <f t="shared" si="82"/>
        <v>2.7728873239436513E-2</v>
      </c>
      <c r="AU225" s="4">
        <f t="shared" si="83"/>
        <v>3.0560271646859039E-2</v>
      </c>
      <c r="AV225" s="4">
        <f t="shared" si="84"/>
        <v>7.6988879384090048E-3</v>
      </c>
      <c r="AW225" s="4">
        <f t="shared" si="85"/>
        <v>1.5598650927487245E-2</v>
      </c>
      <c r="AX225" s="4">
        <f t="shared" si="86"/>
        <v>3.6731324803962018E-2</v>
      </c>
      <c r="AY225" s="4">
        <f t="shared" si="87"/>
        <v>1.0172143974960912E-2</v>
      </c>
      <c r="AZ225" s="4">
        <f t="shared" si="88"/>
        <v>5.1813471502590858E-3</v>
      </c>
      <c r="BA225" s="4">
        <f t="shared" si="89"/>
        <v>8.4848484848485395E-3</v>
      </c>
      <c r="BB225" s="4">
        <f t="shared" si="90"/>
        <v>3.6886907174706218E-2</v>
      </c>
      <c r="BC225" s="4">
        <f t="shared" si="91"/>
        <v>1.5037593984962405E-2</v>
      </c>
      <c r="BD225" s="4">
        <f t="shared" si="92"/>
        <v>8.5669781931464462E-3</v>
      </c>
      <c r="BE225" s="4">
        <f t="shared" si="93"/>
        <v>2.3139220979560449E-2</v>
      </c>
      <c r="BF225" s="4">
        <f t="shared" si="94"/>
        <v>1.1459129106187849E-2</v>
      </c>
      <c r="BG225" s="4">
        <f t="shared" si="95"/>
        <v>3.5620547431570948E-2</v>
      </c>
      <c r="BH225" s="4">
        <f t="shared" si="96"/>
        <v>1.7253774263120025E-2</v>
      </c>
      <c r="BI225" s="4">
        <f t="shared" si="97"/>
        <v>1.5135135135135092E-2</v>
      </c>
      <c r="BJ225" s="4">
        <f t="shared" si="98"/>
        <v>4.737609329446113E-3</v>
      </c>
      <c r="BK225" s="4">
        <f t="shared" si="99"/>
        <v>1.9729630982827873E-2</v>
      </c>
      <c r="BL225" s="4">
        <f t="shared" si="100"/>
        <v>3.7160906726123599E-3</v>
      </c>
      <c r="BM225" s="4">
        <f t="shared" si="105"/>
        <v>1.7626427652042514E-2</v>
      </c>
      <c r="BN225" s="9">
        <f t="shared" si="106"/>
        <v>13692.163584058233</v>
      </c>
      <c r="BO225" s="10">
        <f t="shared" si="107"/>
        <v>13090.127851536534</v>
      </c>
      <c r="BP225">
        <v>13795</v>
      </c>
      <c r="BQ225">
        <v>13810</v>
      </c>
      <c r="BR225">
        <v>13795</v>
      </c>
      <c r="BS225">
        <v>13810</v>
      </c>
      <c r="BT225">
        <v>14424</v>
      </c>
      <c r="BU225" s="13">
        <f t="shared" si="101"/>
        <v>13805</v>
      </c>
      <c r="BV225" s="13">
        <f t="shared" si="102"/>
        <v>199123320</v>
      </c>
      <c r="BW225" s="13">
        <f>SUM($BV$3:BV225)</f>
        <v>195225502638.3334</v>
      </c>
      <c r="BX225" s="13">
        <f>SUM($BT$3:BT225)</f>
        <v>14257684</v>
      </c>
      <c r="BY225" s="3">
        <f t="shared" si="103"/>
        <v>13692.651810654059</v>
      </c>
    </row>
    <row r="226" spans="1:77" x14ac:dyDescent="0.3">
      <c r="A226" s="3" t="s">
        <v>266</v>
      </c>
      <c r="B226" s="3">
        <v>11685</v>
      </c>
      <c r="C226" s="3">
        <v>11685</v>
      </c>
      <c r="D226" s="3">
        <v>11660</v>
      </c>
      <c r="E226" s="3">
        <v>11650</v>
      </c>
      <c r="F226" s="3">
        <v>11675</v>
      </c>
      <c r="G226" s="3">
        <v>11680</v>
      </c>
      <c r="H226" s="3">
        <v>11420</v>
      </c>
      <c r="I226" s="3">
        <v>11405</v>
      </c>
      <c r="J226" s="3">
        <v>11780</v>
      </c>
      <c r="K226" s="3">
        <v>11800</v>
      </c>
      <c r="L226" s="3">
        <v>12045</v>
      </c>
      <c r="M226" s="3">
        <v>12035</v>
      </c>
      <c r="N226" s="3">
        <v>12565</v>
      </c>
      <c r="O226" s="3">
        <v>12565</v>
      </c>
      <c r="P226" s="3">
        <v>12655</v>
      </c>
      <c r="Q226" s="3">
        <v>12645</v>
      </c>
      <c r="R226" s="3">
        <v>12475</v>
      </c>
      <c r="S226" s="3">
        <v>12485</v>
      </c>
      <c r="T226" s="3">
        <v>12270</v>
      </c>
      <c r="U226" s="3">
        <v>12275</v>
      </c>
      <c r="V226" s="3">
        <v>12790</v>
      </c>
      <c r="W226" s="3">
        <v>12775</v>
      </c>
      <c r="X226" s="3">
        <v>12445</v>
      </c>
      <c r="Y226" s="3">
        <v>12455</v>
      </c>
      <c r="Z226" s="3">
        <v>12730</v>
      </c>
      <c r="AA226" s="3">
        <v>12730</v>
      </c>
      <c r="AB226" s="3">
        <v>13260</v>
      </c>
      <c r="AC226" s="3">
        <v>13260</v>
      </c>
      <c r="AD226" s="3">
        <v>13240</v>
      </c>
      <c r="AE226" s="3">
        <v>13245</v>
      </c>
      <c r="AF226" s="3">
        <v>13810</v>
      </c>
      <c r="AG226" s="3">
        <v>13825</v>
      </c>
      <c r="AH226" s="3">
        <v>14150</v>
      </c>
      <c r="AI226" s="3">
        <v>14120</v>
      </c>
      <c r="AJ226" s="3">
        <v>13660</v>
      </c>
      <c r="AK226" s="3">
        <v>13650</v>
      </c>
      <c r="AL226" s="3">
        <v>13650</v>
      </c>
      <c r="AM226" s="3">
        <v>13645</v>
      </c>
      <c r="AN226" s="3">
        <v>13415</v>
      </c>
      <c r="AO226" s="3">
        <v>13420</v>
      </c>
      <c r="AP226" s="3">
        <v>13505</v>
      </c>
      <c r="AQ226" s="3">
        <v>13505</v>
      </c>
      <c r="AR226" s="4">
        <f t="shared" si="104"/>
        <v>1.3443191673894184E-2</v>
      </c>
      <c r="AS226" s="4">
        <f t="shared" si="81"/>
        <v>8.6580086580085869E-3</v>
      </c>
      <c r="AT226" s="4">
        <f t="shared" si="82"/>
        <v>2.8169014084507005E-2</v>
      </c>
      <c r="AU226" s="4">
        <f t="shared" si="83"/>
        <v>3.183361629881154E-2</v>
      </c>
      <c r="AV226" s="4">
        <f t="shared" si="84"/>
        <v>9.4097519247220429E-3</v>
      </c>
      <c r="AW226" s="4">
        <f t="shared" si="85"/>
        <v>1.4755480607082649E-2</v>
      </c>
      <c r="AX226" s="4">
        <f t="shared" si="86"/>
        <v>3.7144036318613294E-2</v>
      </c>
      <c r="AY226" s="4">
        <f t="shared" si="87"/>
        <v>1.0563380281690127E-2</v>
      </c>
      <c r="AZ226" s="4">
        <f t="shared" si="88"/>
        <v>4.7827819848544895E-3</v>
      </c>
      <c r="BA226" s="4">
        <f t="shared" si="89"/>
        <v>8.0808080808081328E-3</v>
      </c>
      <c r="BB226" s="4">
        <f t="shared" si="90"/>
        <v>3.567085528982572E-2</v>
      </c>
      <c r="BC226" s="4">
        <f t="shared" si="91"/>
        <v>1.4246141669964407E-2</v>
      </c>
      <c r="BD226" s="4">
        <f t="shared" si="92"/>
        <v>8.5669781931464462E-3</v>
      </c>
      <c r="BE226" s="4">
        <f t="shared" si="93"/>
        <v>2.2753567296567745E-2</v>
      </c>
      <c r="BF226" s="4">
        <f t="shared" si="94"/>
        <v>1.1841100076394273E-2</v>
      </c>
      <c r="BG226" s="4">
        <f t="shared" si="95"/>
        <v>3.6745406824147064E-2</v>
      </c>
      <c r="BH226" s="4">
        <f t="shared" si="96"/>
        <v>1.5097052480230078E-2</v>
      </c>
      <c r="BI226" s="4">
        <f t="shared" si="97"/>
        <v>1.6216216216216162E-2</v>
      </c>
      <c r="BJ226" s="4">
        <f t="shared" si="98"/>
        <v>5.4664723032069595E-3</v>
      </c>
      <c r="BK226" s="4">
        <f t="shared" si="99"/>
        <v>1.9364267446108863E-2</v>
      </c>
      <c r="BL226" s="4">
        <f t="shared" si="100"/>
        <v>3.7160906726123599E-3</v>
      </c>
      <c r="BM226" s="4">
        <f t="shared" si="105"/>
        <v>1.7605394340356888E-2</v>
      </c>
      <c r="BN226" s="9">
        <f t="shared" si="106"/>
        <v>13691.880580849502</v>
      </c>
      <c r="BO226" s="10">
        <f t="shared" si="107"/>
        <v>13090.408120414744</v>
      </c>
      <c r="BP226">
        <v>13810</v>
      </c>
      <c r="BQ226">
        <v>13830</v>
      </c>
      <c r="BR226">
        <v>13805</v>
      </c>
      <c r="BS226">
        <v>13825</v>
      </c>
      <c r="BT226">
        <v>21123</v>
      </c>
      <c r="BU226" s="13">
        <f t="shared" si="101"/>
        <v>13820</v>
      </c>
      <c r="BV226" s="13">
        <f t="shared" si="102"/>
        <v>291919860</v>
      </c>
      <c r="BW226" s="13">
        <f>SUM($BV$3:BV226)</f>
        <v>195517422498.3334</v>
      </c>
      <c r="BX226" s="13">
        <f>SUM($BT$3:BT226)</f>
        <v>14278807</v>
      </c>
      <c r="BY226" s="3">
        <f t="shared" si="103"/>
        <v>13692.840200048464</v>
      </c>
    </row>
    <row r="227" spans="1:77" x14ac:dyDescent="0.3">
      <c r="A227" s="3" t="s">
        <v>267</v>
      </c>
      <c r="B227" s="3">
        <v>11685</v>
      </c>
      <c r="C227" s="3">
        <v>11675</v>
      </c>
      <c r="D227" s="3">
        <v>11650</v>
      </c>
      <c r="E227" s="3">
        <v>11635</v>
      </c>
      <c r="F227" s="3">
        <v>11680</v>
      </c>
      <c r="G227" s="3">
        <v>11680</v>
      </c>
      <c r="H227" s="3">
        <v>11400</v>
      </c>
      <c r="I227" s="3">
        <v>11415</v>
      </c>
      <c r="J227" s="3">
        <v>11800</v>
      </c>
      <c r="K227" s="3">
        <v>11790</v>
      </c>
      <c r="L227" s="3">
        <v>12030</v>
      </c>
      <c r="M227" s="3">
        <v>12040</v>
      </c>
      <c r="N227" s="3">
        <v>12565</v>
      </c>
      <c r="O227" s="3">
        <v>12555</v>
      </c>
      <c r="P227" s="3">
        <v>12645</v>
      </c>
      <c r="Q227" s="3">
        <v>12645</v>
      </c>
      <c r="R227" s="3">
        <v>12485</v>
      </c>
      <c r="S227" s="3">
        <v>12485</v>
      </c>
      <c r="T227" s="3">
        <v>12275</v>
      </c>
      <c r="U227" s="3">
        <v>12280</v>
      </c>
      <c r="V227" s="3">
        <v>12775</v>
      </c>
      <c r="W227" s="3">
        <v>12780</v>
      </c>
      <c r="X227" s="3">
        <v>12450</v>
      </c>
      <c r="Y227" s="3">
        <v>12435</v>
      </c>
      <c r="Z227" s="3">
        <v>12730</v>
      </c>
      <c r="AA227" s="3">
        <v>12725</v>
      </c>
      <c r="AB227" s="3">
        <v>13260</v>
      </c>
      <c r="AC227" s="3">
        <v>13260</v>
      </c>
      <c r="AD227" s="3">
        <v>13250</v>
      </c>
      <c r="AE227" s="3">
        <v>13240</v>
      </c>
      <c r="AF227" s="3">
        <v>13825</v>
      </c>
      <c r="AG227" s="3">
        <v>13815</v>
      </c>
      <c r="AH227" s="3">
        <v>14120</v>
      </c>
      <c r="AI227" s="3">
        <v>14075</v>
      </c>
      <c r="AJ227" s="3">
        <v>13640</v>
      </c>
      <c r="AK227" s="3">
        <v>13635</v>
      </c>
      <c r="AL227" s="3">
        <v>13640</v>
      </c>
      <c r="AM227" s="3">
        <v>13625</v>
      </c>
      <c r="AN227" s="3">
        <v>13420</v>
      </c>
      <c r="AO227" s="3">
        <v>13415</v>
      </c>
      <c r="AP227" s="3">
        <v>13510</v>
      </c>
      <c r="AQ227" s="3">
        <v>13510</v>
      </c>
      <c r="AR227" s="4">
        <f t="shared" si="104"/>
        <v>1.2575888985255856E-2</v>
      </c>
      <c r="AS227" s="4">
        <f t="shared" si="81"/>
        <v>7.3593073593074543E-3</v>
      </c>
      <c r="AT227" s="4">
        <f t="shared" si="82"/>
        <v>2.8169014084507005E-2</v>
      </c>
      <c r="AU227" s="4">
        <f t="shared" si="83"/>
        <v>3.0984719864176613E-2</v>
      </c>
      <c r="AV227" s="4">
        <f t="shared" si="84"/>
        <v>8.5543199315654128E-3</v>
      </c>
      <c r="AW227" s="4">
        <f t="shared" si="85"/>
        <v>1.5177065767284947E-2</v>
      </c>
      <c r="AX227" s="4">
        <f t="shared" si="86"/>
        <v>3.6318613289310742E-2</v>
      </c>
      <c r="AY227" s="4">
        <f t="shared" si="87"/>
        <v>1.0563380281690127E-2</v>
      </c>
      <c r="AZ227" s="4">
        <f t="shared" si="88"/>
        <v>4.7827819848544895E-3</v>
      </c>
      <c r="BA227" s="4">
        <f t="shared" si="89"/>
        <v>7.6767676767677262E-3</v>
      </c>
      <c r="BB227" s="4">
        <f t="shared" si="90"/>
        <v>3.607620591811922E-2</v>
      </c>
      <c r="BC227" s="4">
        <f t="shared" si="91"/>
        <v>1.5829046299960403E-2</v>
      </c>
      <c r="BD227" s="4">
        <f t="shared" si="92"/>
        <v>8.9563862928349058E-3</v>
      </c>
      <c r="BE227" s="4">
        <f t="shared" si="93"/>
        <v>2.2753567296567745E-2</v>
      </c>
      <c r="BF227" s="4">
        <f t="shared" si="94"/>
        <v>1.1459129106187849E-2</v>
      </c>
      <c r="BG227" s="4">
        <f t="shared" si="95"/>
        <v>3.5995500562429728E-2</v>
      </c>
      <c r="BH227" s="4">
        <f t="shared" si="96"/>
        <v>1.1861969805895045E-2</v>
      </c>
      <c r="BI227" s="4">
        <f t="shared" si="97"/>
        <v>1.7297297297297343E-2</v>
      </c>
      <c r="BJ227" s="4">
        <f t="shared" si="98"/>
        <v>6.9241982507288746E-3</v>
      </c>
      <c r="BK227" s="4">
        <f t="shared" si="99"/>
        <v>1.9729630982827873E-2</v>
      </c>
      <c r="BL227" s="4">
        <f t="shared" si="100"/>
        <v>4.0876997398735515E-3</v>
      </c>
      <c r="BM227" s="4">
        <f t="shared" si="105"/>
        <v>1.7475736082366761E-2</v>
      </c>
      <c r="BN227" s="9">
        <f t="shared" si="106"/>
        <v>13690.136028988245</v>
      </c>
      <c r="BO227" s="10">
        <f t="shared" si="107"/>
        <v>13092.135816702463</v>
      </c>
      <c r="BP227">
        <v>13825</v>
      </c>
      <c r="BQ227">
        <v>13830</v>
      </c>
      <c r="BR227">
        <v>13815</v>
      </c>
      <c r="BS227">
        <v>13815</v>
      </c>
      <c r="BT227">
        <v>11362</v>
      </c>
      <c r="BU227" s="13">
        <f t="shared" si="101"/>
        <v>13820</v>
      </c>
      <c r="BV227" s="13">
        <f t="shared" si="102"/>
        <v>157022840</v>
      </c>
      <c r="BW227" s="13">
        <f>SUM($BV$3:BV227)</f>
        <v>195674445338.3334</v>
      </c>
      <c r="BX227" s="13">
        <f>SUM($BT$3:BT227)</f>
        <v>14290169</v>
      </c>
      <c r="BY227" s="3">
        <f t="shared" si="103"/>
        <v>13692.941303796575</v>
      </c>
    </row>
    <row r="228" spans="1:77" x14ac:dyDescent="0.3">
      <c r="A228" s="3" t="s">
        <v>268</v>
      </c>
      <c r="B228" s="3">
        <v>11675</v>
      </c>
      <c r="C228" s="3">
        <v>11685</v>
      </c>
      <c r="D228" s="3">
        <v>11635</v>
      </c>
      <c r="E228" s="3">
        <v>11620</v>
      </c>
      <c r="F228" s="3">
        <v>11680</v>
      </c>
      <c r="G228" s="3">
        <v>11675</v>
      </c>
      <c r="H228" s="3">
        <v>11415</v>
      </c>
      <c r="I228" s="3">
        <v>11410</v>
      </c>
      <c r="J228" s="3">
        <v>11795</v>
      </c>
      <c r="K228" s="3">
        <v>11805</v>
      </c>
      <c r="L228" s="3">
        <v>12040</v>
      </c>
      <c r="M228" s="3">
        <v>12040</v>
      </c>
      <c r="N228" s="3">
        <v>12555</v>
      </c>
      <c r="O228" s="3">
        <v>12560</v>
      </c>
      <c r="P228" s="3">
        <v>12645</v>
      </c>
      <c r="Q228" s="3">
        <v>12625</v>
      </c>
      <c r="R228" s="3">
        <v>12485</v>
      </c>
      <c r="S228" s="3">
        <v>12490</v>
      </c>
      <c r="T228" s="3">
        <v>12280</v>
      </c>
      <c r="U228" s="3">
        <v>12280</v>
      </c>
      <c r="V228" s="3">
        <v>12780</v>
      </c>
      <c r="W228" s="3">
        <v>12785</v>
      </c>
      <c r="X228" s="3">
        <v>12435</v>
      </c>
      <c r="Y228" s="3">
        <v>12435</v>
      </c>
      <c r="Z228" s="3">
        <v>12730</v>
      </c>
      <c r="AA228" s="3">
        <v>12720</v>
      </c>
      <c r="AB228" s="3">
        <v>13260</v>
      </c>
      <c r="AC228" s="3">
        <v>13265</v>
      </c>
      <c r="AD228" s="3">
        <v>13240</v>
      </c>
      <c r="AE228" s="3">
        <v>13230</v>
      </c>
      <c r="AF228" s="3">
        <v>13820</v>
      </c>
      <c r="AG228" s="3">
        <v>13805</v>
      </c>
      <c r="AH228" s="3">
        <v>14075</v>
      </c>
      <c r="AI228" s="3">
        <v>14110</v>
      </c>
      <c r="AJ228" s="3">
        <v>13630</v>
      </c>
      <c r="AK228" s="3">
        <v>13630</v>
      </c>
      <c r="AL228" s="3">
        <v>13625</v>
      </c>
      <c r="AM228" s="3">
        <v>13640</v>
      </c>
      <c r="AN228" s="3">
        <v>13420</v>
      </c>
      <c r="AO228" s="3">
        <v>13420</v>
      </c>
      <c r="AP228" s="3">
        <v>13505</v>
      </c>
      <c r="AQ228" s="3">
        <v>13505</v>
      </c>
      <c r="AR228" s="4">
        <f t="shared" si="104"/>
        <v>1.3443191673894184E-2</v>
      </c>
      <c r="AS228" s="4">
        <f t="shared" si="81"/>
        <v>6.0606060606060996E-3</v>
      </c>
      <c r="AT228" s="4">
        <f t="shared" si="82"/>
        <v>2.7728873239436513E-2</v>
      </c>
      <c r="AU228" s="4">
        <f t="shared" si="83"/>
        <v>3.1409168081494077E-2</v>
      </c>
      <c r="AV228" s="4">
        <f t="shared" si="84"/>
        <v>9.8374679213002469E-3</v>
      </c>
      <c r="AW228" s="4">
        <f t="shared" si="85"/>
        <v>1.5177065767284947E-2</v>
      </c>
      <c r="AX228" s="4">
        <f t="shared" si="86"/>
        <v>3.6731324803962018E-2</v>
      </c>
      <c r="AY228" s="4">
        <f t="shared" si="87"/>
        <v>1.2128325508607207E-2</v>
      </c>
      <c r="AZ228" s="4">
        <f t="shared" si="88"/>
        <v>4.3842168194500042E-3</v>
      </c>
      <c r="BA228" s="4">
        <f t="shared" si="89"/>
        <v>7.6767676767677262E-3</v>
      </c>
      <c r="BB228" s="4">
        <f t="shared" si="90"/>
        <v>3.6481556546412719E-2</v>
      </c>
      <c r="BC228" s="4">
        <f t="shared" si="91"/>
        <v>1.5829046299960403E-2</v>
      </c>
      <c r="BD228" s="4">
        <f t="shared" si="92"/>
        <v>9.3457943925233655E-3</v>
      </c>
      <c r="BE228" s="4">
        <f t="shared" si="93"/>
        <v>2.3139220979560449E-2</v>
      </c>
      <c r="BF228" s="4">
        <f t="shared" si="94"/>
        <v>1.0695187165775444E-2</v>
      </c>
      <c r="BG228" s="4">
        <f t="shared" si="95"/>
        <v>3.5245594300712391E-2</v>
      </c>
      <c r="BH228" s="4">
        <f t="shared" si="96"/>
        <v>1.4378145219266614E-2</v>
      </c>
      <c r="BI228" s="4">
        <f t="shared" si="97"/>
        <v>1.7657657657657699E-2</v>
      </c>
      <c r="BJ228" s="4">
        <f t="shared" si="98"/>
        <v>5.8309037900874383E-3</v>
      </c>
      <c r="BK228" s="4">
        <f t="shared" si="99"/>
        <v>1.9364267446108863E-2</v>
      </c>
      <c r="BL228" s="4">
        <f t="shared" si="100"/>
        <v>3.7160906726123599E-3</v>
      </c>
      <c r="BM228" s="4">
        <f t="shared" si="105"/>
        <v>1.761604437593866E-2</v>
      </c>
      <c r="BN228" s="9">
        <f t="shared" si="106"/>
        <v>13692.023877078253</v>
      </c>
      <c r="BO228" s="10">
        <f t="shared" si="107"/>
        <v>13090.266208690617</v>
      </c>
      <c r="BP228">
        <v>13820</v>
      </c>
      <c r="BQ228">
        <v>13820</v>
      </c>
      <c r="BR228">
        <v>13805</v>
      </c>
      <c r="BS228">
        <v>13805</v>
      </c>
      <c r="BT228">
        <v>833</v>
      </c>
      <c r="BU228" s="13">
        <f t="shared" si="101"/>
        <v>13810</v>
      </c>
      <c r="BV228" s="13">
        <f t="shared" si="102"/>
        <v>11503730</v>
      </c>
      <c r="BW228" s="13">
        <f>SUM($BV$3:BV228)</f>
        <v>195685949068.3334</v>
      </c>
      <c r="BX228" s="13">
        <f>SUM($BT$3:BT228)</f>
        <v>14291002</v>
      </c>
      <c r="BY228" s="3">
        <f t="shared" si="103"/>
        <v>13692.948126963624</v>
      </c>
    </row>
    <row r="229" spans="1:77" x14ac:dyDescent="0.3">
      <c r="A229" s="3" t="s">
        <v>269</v>
      </c>
      <c r="B229" s="3">
        <v>11685</v>
      </c>
      <c r="C229" s="3">
        <v>11685</v>
      </c>
      <c r="D229" s="3">
        <v>11620</v>
      </c>
      <c r="E229" s="3">
        <v>11610</v>
      </c>
      <c r="F229" s="3">
        <v>11675</v>
      </c>
      <c r="G229" s="3">
        <v>11680</v>
      </c>
      <c r="H229" s="3">
        <v>11405</v>
      </c>
      <c r="I229" s="3">
        <v>11405</v>
      </c>
      <c r="J229" s="3">
        <v>11805</v>
      </c>
      <c r="K229" s="3">
        <v>11815</v>
      </c>
      <c r="L229" s="3">
        <v>12040</v>
      </c>
      <c r="M229" s="3">
        <v>12035</v>
      </c>
      <c r="N229" s="3">
        <v>12560</v>
      </c>
      <c r="O229" s="3">
        <v>12565</v>
      </c>
      <c r="P229" s="3">
        <v>12625</v>
      </c>
      <c r="Q229" s="3">
        <v>12635</v>
      </c>
      <c r="R229" s="3">
        <v>12495</v>
      </c>
      <c r="S229" s="3">
        <v>12510</v>
      </c>
      <c r="T229" s="3">
        <v>12280</v>
      </c>
      <c r="U229" s="3">
        <v>12280</v>
      </c>
      <c r="V229" s="3">
        <v>12785</v>
      </c>
      <c r="W229" s="3">
        <v>12785</v>
      </c>
      <c r="X229" s="3">
        <v>12435</v>
      </c>
      <c r="Y229" s="3">
        <v>12445</v>
      </c>
      <c r="Z229" s="3">
        <v>12715</v>
      </c>
      <c r="AA229" s="3">
        <v>12720</v>
      </c>
      <c r="AB229" s="3">
        <v>13265</v>
      </c>
      <c r="AC229" s="3">
        <v>13255</v>
      </c>
      <c r="AD229" s="3">
        <v>13245</v>
      </c>
      <c r="AE229" s="3">
        <v>13225</v>
      </c>
      <c r="AF229" s="3">
        <v>13810</v>
      </c>
      <c r="AG229" s="3">
        <v>13805</v>
      </c>
      <c r="AH229" s="3">
        <v>14110</v>
      </c>
      <c r="AI229" s="3">
        <v>14115</v>
      </c>
      <c r="AJ229" s="3">
        <v>13635</v>
      </c>
      <c r="AK229" s="3">
        <v>13615</v>
      </c>
      <c r="AL229" s="3">
        <v>13640</v>
      </c>
      <c r="AM229" s="3">
        <v>13650</v>
      </c>
      <c r="AN229" s="3">
        <v>13420</v>
      </c>
      <c r="AO229" s="3">
        <v>13425</v>
      </c>
      <c r="AP229" s="3">
        <v>13505</v>
      </c>
      <c r="AQ229" s="3">
        <v>13495</v>
      </c>
      <c r="AR229" s="4">
        <f t="shared" si="104"/>
        <v>1.3443191673894184E-2</v>
      </c>
      <c r="AS229" s="4">
        <f t="shared" si="81"/>
        <v>5.1948051948051965E-3</v>
      </c>
      <c r="AT229" s="4">
        <f t="shared" si="82"/>
        <v>2.8169014084507005E-2</v>
      </c>
      <c r="AU229" s="4">
        <f t="shared" si="83"/>
        <v>3.183361629881154E-2</v>
      </c>
      <c r="AV229" s="4">
        <f t="shared" si="84"/>
        <v>1.0692899914456877E-2</v>
      </c>
      <c r="AW229" s="4">
        <f t="shared" si="85"/>
        <v>1.4755480607082649E-2</v>
      </c>
      <c r="AX229" s="4">
        <f t="shared" si="86"/>
        <v>3.7144036318613294E-2</v>
      </c>
      <c r="AY229" s="4">
        <f t="shared" si="87"/>
        <v>1.1345852895148667E-2</v>
      </c>
      <c r="AZ229" s="4">
        <f t="shared" si="88"/>
        <v>2.789956157831841E-3</v>
      </c>
      <c r="BA229" s="4">
        <f t="shared" si="89"/>
        <v>7.6767676767677262E-3</v>
      </c>
      <c r="BB229" s="4">
        <f t="shared" si="90"/>
        <v>3.6481556546412719E-2</v>
      </c>
      <c r="BC229" s="4">
        <f t="shared" si="91"/>
        <v>1.5037593984962405E-2</v>
      </c>
      <c r="BD229" s="4">
        <f t="shared" si="92"/>
        <v>9.3457943925233655E-3</v>
      </c>
      <c r="BE229" s="4">
        <f t="shared" si="93"/>
        <v>2.2367913613575041E-2</v>
      </c>
      <c r="BF229" s="4">
        <f t="shared" si="94"/>
        <v>1.0313216195569241E-2</v>
      </c>
      <c r="BG229" s="4">
        <f t="shared" si="95"/>
        <v>3.5245594300712391E-2</v>
      </c>
      <c r="BH229" s="4">
        <f t="shared" si="96"/>
        <v>1.4737598849748457E-2</v>
      </c>
      <c r="BI229" s="4">
        <f t="shared" si="97"/>
        <v>1.8738738738738769E-2</v>
      </c>
      <c r="BJ229" s="4">
        <f t="shared" si="98"/>
        <v>5.1020408163264808E-3</v>
      </c>
      <c r="BK229" s="4">
        <f t="shared" si="99"/>
        <v>1.8998903909389853E-2</v>
      </c>
      <c r="BL229" s="4">
        <f t="shared" si="100"/>
        <v>2.9728725380899768E-3</v>
      </c>
      <c r="BM229" s="4">
        <f t="shared" si="105"/>
        <v>1.7367750277219113E-2</v>
      </c>
      <c r="BN229" s="9">
        <f t="shared" si="106"/>
        <v>13688.683079979985</v>
      </c>
      <c r="BO229" s="10">
        <f t="shared" si="107"/>
        <v>13093.574727556055</v>
      </c>
      <c r="BP229">
        <v>13810</v>
      </c>
      <c r="BQ229">
        <v>13810</v>
      </c>
      <c r="BR229">
        <v>13795</v>
      </c>
      <c r="BS229">
        <v>13805</v>
      </c>
      <c r="BT229">
        <v>4010</v>
      </c>
      <c r="BU229" s="13">
        <f t="shared" si="101"/>
        <v>13803.333333333334</v>
      </c>
      <c r="BV229" s="13">
        <f t="shared" si="102"/>
        <v>55351366.666666672</v>
      </c>
      <c r="BW229" s="13">
        <f>SUM($BV$3:BV229)</f>
        <v>195741300435.00006</v>
      </c>
      <c r="BX229" s="13">
        <f>SUM($BT$3:BT229)</f>
        <v>14295012</v>
      </c>
      <c r="BY229" s="3">
        <f t="shared" si="103"/>
        <v>13692.979091937808</v>
      </c>
    </row>
    <row r="230" spans="1:77" x14ac:dyDescent="0.3">
      <c r="A230" s="3" t="s">
        <v>270</v>
      </c>
      <c r="B230" s="3">
        <v>11685</v>
      </c>
      <c r="C230" s="3">
        <v>11690</v>
      </c>
      <c r="D230" s="3">
        <v>11610</v>
      </c>
      <c r="E230" s="3">
        <v>11605</v>
      </c>
      <c r="F230" s="3">
        <v>11680</v>
      </c>
      <c r="G230" s="3">
        <v>11675</v>
      </c>
      <c r="H230" s="3">
        <v>11405</v>
      </c>
      <c r="I230" s="3">
        <v>11395</v>
      </c>
      <c r="J230" s="3">
        <v>11815</v>
      </c>
      <c r="K230" s="3">
        <v>11800</v>
      </c>
      <c r="L230" s="3">
        <v>12040</v>
      </c>
      <c r="M230" s="3">
        <v>12050</v>
      </c>
      <c r="N230" s="3">
        <v>12570</v>
      </c>
      <c r="O230" s="3">
        <v>12570</v>
      </c>
      <c r="P230" s="3">
        <v>12635</v>
      </c>
      <c r="Q230" s="3">
        <v>12650</v>
      </c>
      <c r="R230" s="3">
        <v>12515</v>
      </c>
      <c r="S230" s="3">
        <v>12520</v>
      </c>
      <c r="T230" s="3">
        <v>12285</v>
      </c>
      <c r="U230" s="3">
        <v>12290</v>
      </c>
      <c r="V230" s="3">
        <v>12785</v>
      </c>
      <c r="W230" s="3">
        <v>12775</v>
      </c>
      <c r="X230" s="3">
        <v>12450</v>
      </c>
      <c r="Y230" s="3">
        <v>12440</v>
      </c>
      <c r="Z230" s="3">
        <v>12725</v>
      </c>
      <c r="AA230" s="3">
        <v>12720</v>
      </c>
      <c r="AB230" s="3">
        <v>13260</v>
      </c>
      <c r="AC230" s="3">
        <v>13265</v>
      </c>
      <c r="AD230" s="3">
        <v>13230</v>
      </c>
      <c r="AE230" s="3">
        <v>13225</v>
      </c>
      <c r="AF230" s="3">
        <v>13805</v>
      </c>
      <c r="AG230" s="3">
        <v>13820</v>
      </c>
      <c r="AH230" s="3">
        <v>14115</v>
      </c>
      <c r="AI230" s="3">
        <v>14115</v>
      </c>
      <c r="AJ230" s="3">
        <v>13620</v>
      </c>
      <c r="AK230" s="3">
        <v>13635</v>
      </c>
      <c r="AL230" s="3">
        <v>13650</v>
      </c>
      <c r="AM230" s="3">
        <v>13665</v>
      </c>
      <c r="AN230" s="3">
        <v>13425</v>
      </c>
      <c r="AO230" s="3">
        <v>13435</v>
      </c>
      <c r="AP230" s="3">
        <v>13495</v>
      </c>
      <c r="AQ230" s="3">
        <v>13505</v>
      </c>
      <c r="AR230" s="4">
        <f t="shared" si="104"/>
        <v>1.3876843018213458E-2</v>
      </c>
      <c r="AS230" s="4">
        <f t="shared" si="81"/>
        <v>4.761904761904745E-3</v>
      </c>
      <c r="AT230" s="4">
        <f t="shared" si="82"/>
        <v>2.7728873239436513E-2</v>
      </c>
      <c r="AU230" s="4">
        <f t="shared" si="83"/>
        <v>3.2682512733446467E-2</v>
      </c>
      <c r="AV230" s="4">
        <f t="shared" si="84"/>
        <v>9.4097519247220429E-3</v>
      </c>
      <c r="AW230" s="4">
        <f t="shared" si="85"/>
        <v>1.6020236087689765E-2</v>
      </c>
      <c r="AX230" s="4">
        <f t="shared" si="86"/>
        <v>3.755674783326457E-2</v>
      </c>
      <c r="AY230" s="4">
        <f t="shared" si="87"/>
        <v>1.0172143974960912E-2</v>
      </c>
      <c r="AZ230" s="4">
        <f t="shared" si="88"/>
        <v>1.9928258270227595E-3</v>
      </c>
      <c r="BA230" s="4">
        <f t="shared" si="89"/>
        <v>6.8686868686869129E-3</v>
      </c>
      <c r="BB230" s="4">
        <f t="shared" si="90"/>
        <v>3.567085528982572E-2</v>
      </c>
      <c r="BC230" s="4">
        <f t="shared" si="91"/>
        <v>1.543332014246146E-2</v>
      </c>
      <c r="BD230" s="4">
        <f t="shared" si="92"/>
        <v>9.3457943925233655E-3</v>
      </c>
      <c r="BE230" s="4">
        <f t="shared" si="93"/>
        <v>2.3139220979560449E-2</v>
      </c>
      <c r="BF230" s="4">
        <f t="shared" si="94"/>
        <v>1.0313216195569241E-2</v>
      </c>
      <c r="BG230" s="4">
        <f t="shared" si="95"/>
        <v>3.6370453693288285E-2</v>
      </c>
      <c r="BH230" s="4">
        <f t="shared" si="96"/>
        <v>1.4737598849748457E-2</v>
      </c>
      <c r="BI230" s="4">
        <f t="shared" si="97"/>
        <v>1.7297297297297343E-2</v>
      </c>
      <c r="BJ230" s="4">
        <f t="shared" si="98"/>
        <v>4.0087463556851555E-3</v>
      </c>
      <c r="BK230" s="4">
        <f t="shared" si="99"/>
        <v>1.8268176835951722E-2</v>
      </c>
      <c r="BL230" s="4">
        <f t="shared" si="100"/>
        <v>3.7160906726123599E-3</v>
      </c>
      <c r="BM230" s="4">
        <f t="shared" si="105"/>
        <v>1.7221149303648209E-2</v>
      </c>
      <c r="BN230" s="9">
        <f t="shared" si="106"/>
        <v>13686.710563880588</v>
      </c>
      <c r="BO230" s="10">
        <f t="shared" si="107"/>
        <v>13095.528185528887</v>
      </c>
      <c r="BP230">
        <v>13805</v>
      </c>
      <c r="BQ230">
        <v>13825</v>
      </c>
      <c r="BR230">
        <v>13805</v>
      </c>
      <c r="BS230">
        <v>13820</v>
      </c>
      <c r="BT230">
        <v>7431</v>
      </c>
      <c r="BU230" s="13">
        <f t="shared" si="101"/>
        <v>13816.666666666666</v>
      </c>
      <c r="BV230" s="13">
        <f t="shared" si="102"/>
        <v>102671650</v>
      </c>
      <c r="BW230" s="13">
        <f>SUM($BV$3:BV230)</f>
        <v>195843972085.00006</v>
      </c>
      <c r="BX230" s="13">
        <f>SUM($BT$3:BT230)</f>
        <v>14302443</v>
      </c>
      <c r="BY230" s="3">
        <f t="shared" si="103"/>
        <v>13693.043355250573</v>
      </c>
    </row>
    <row r="231" spans="1:77" x14ac:dyDescent="0.3">
      <c r="A231" s="3" t="s">
        <v>271</v>
      </c>
      <c r="B231" s="3">
        <v>11690</v>
      </c>
      <c r="C231" s="3">
        <v>11695</v>
      </c>
      <c r="D231" s="3">
        <v>11605</v>
      </c>
      <c r="E231" s="3">
        <v>11610</v>
      </c>
      <c r="F231" s="3">
        <v>11680</v>
      </c>
      <c r="G231" s="3">
        <v>11675</v>
      </c>
      <c r="H231" s="3">
        <v>11400</v>
      </c>
      <c r="I231" s="3">
        <v>11410</v>
      </c>
      <c r="J231" s="3">
        <v>11800</v>
      </c>
      <c r="K231" s="3">
        <v>11795</v>
      </c>
      <c r="L231" s="3">
        <v>12050</v>
      </c>
      <c r="M231" s="3">
        <v>12045</v>
      </c>
      <c r="N231" s="3">
        <v>12570</v>
      </c>
      <c r="O231" s="3">
        <v>12570</v>
      </c>
      <c r="P231" s="3">
        <v>12655</v>
      </c>
      <c r="Q231" s="3">
        <v>12665</v>
      </c>
      <c r="R231" s="3">
        <v>12525</v>
      </c>
      <c r="S231" s="3">
        <v>12525</v>
      </c>
      <c r="T231" s="3">
        <v>12295</v>
      </c>
      <c r="U231" s="3">
        <v>12295</v>
      </c>
      <c r="V231" s="3">
        <v>12770</v>
      </c>
      <c r="W231" s="3">
        <v>12765</v>
      </c>
      <c r="X231" s="3">
        <v>12445</v>
      </c>
      <c r="Y231" s="3">
        <v>12440</v>
      </c>
      <c r="Z231" s="3">
        <v>12715</v>
      </c>
      <c r="AA231" s="3">
        <v>12730</v>
      </c>
      <c r="AB231" s="3">
        <v>13265</v>
      </c>
      <c r="AC231" s="3">
        <v>13260</v>
      </c>
      <c r="AD231" s="3">
        <v>13225</v>
      </c>
      <c r="AE231" s="3">
        <v>13220</v>
      </c>
      <c r="AF231" s="3">
        <v>13815</v>
      </c>
      <c r="AG231" s="3">
        <v>13840</v>
      </c>
      <c r="AH231" s="3">
        <v>14110</v>
      </c>
      <c r="AI231" s="3">
        <v>14080</v>
      </c>
      <c r="AJ231" s="3">
        <v>13640</v>
      </c>
      <c r="AK231" s="3">
        <v>13635</v>
      </c>
      <c r="AL231" s="3">
        <v>13660</v>
      </c>
      <c r="AM231" s="3">
        <v>13655</v>
      </c>
      <c r="AN231" s="3">
        <v>13435</v>
      </c>
      <c r="AO231" s="3">
        <v>13440</v>
      </c>
      <c r="AP231" s="3">
        <v>13505</v>
      </c>
      <c r="AQ231" s="3">
        <v>13500</v>
      </c>
      <c r="AR231" s="4">
        <f t="shared" si="104"/>
        <v>1.4310494362532511E-2</v>
      </c>
      <c r="AS231" s="4">
        <f t="shared" si="81"/>
        <v>5.1948051948051965E-3</v>
      </c>
      <c r="AT231" s="4">
        <f t="shared" si="82"/>
        <v>2.7728873239436513E-2</v>
      </c>
      <c r="AU231" s="4">
        <f t="shared" si="83"/>
        <v>3.1409168081494077E-2</v>
      </c>
      <c r="AV231" s="4">
        <f t="shared" si="84"/>
        <v>8.9820359281436168E-3</v>
      </c>
      <c r="AW231" s="4">
        <f t="shared" si="85"/>
        <v>1.5598650927487245E-2</v>
      </c>
      <c r="AX231" s="4">
        <f t="shared" si="86"/>
        <v>3.755674783326457E-2</v>
      </c>
      <c r="AY231" s="4">
        <f t="shared" si="87"/>
        <v>8.9984350547730463E-3</v>
      </c>
      <c r="AZ231" s="4">
        <f t="shared" si="88"/>
        <v>1.5942606616181632E-3</v>
      </c>
      <c r="BA231" s="4">
        <f t="shared" si="89"/>
        <v>6.4646464646465063E-3</v>
      </c>
      <c r="BB231" s="4">
        <f t="shared" si="90"/>
        <v>3.4860154033238722E-2</v>
      </c>
      <c r="BC231" s="4">
        <f t="shared" si="91"/>
        <v>1.543332014246146E-2</v>
      </c>
      <c r="BD231" s="4">
        <f t="shared" si="92"/>
        <v>8.5669781931464462E-3</v>
      </c>
      <c r="BE231" s="4">
        <f t="shared" si="93"/>
        <v>2.2753567296567745E-2</v>
      </c>
      <c r="BF231" s="4">
        <f t="shared" si="94"/>
        <v>9.931245225362817E-3</v>
      </c>
      <c r="BG231" s="4">
        <f t="shared" si="95"/>
        <v>3.7870266216722959E-2</v>
      </c>
      <c r="BH231" s="4">
        <f t="shared" si="96"/>
        <v>1.2221423436376666E-2</v>
      </c>
      <c r="BI231" s="4">
        <f t="shared" si="97"/>
        <v>1.7297297297297343E-2</v>
      </c>
      <c r="BJ231" s="4">
        <f t="shared" si="98"/>
        <v>4.737609329446113E-3</v>
      </c>
      <c r="BK231" s="4">
        <f t="shared" si="99"/>
        <v>1.7902813299232712E-2</v>
      </c>
      <c r="BL231" s="4">
        <f t="shared" si="100"/>
        <v>3.3444816053511683E-3</v>
      </c>
      <c r="BM231" s="4">
        <f t="shared" si="105"/>
        <v>1.6790920591174725E-2</v>
      </c>
      <c r="BN231" s="9">
        <f t="shared" si="106"/>
        <v>13680.921836554257</v>
      </c>
      <c r="BO231" s="10">
        <f t="shared" si="107"/>
        <v>13101.260983122596</v>
      </c>
      <c r="BP231">
        <v>13815</v>
      </c>
      <c r="BQ231">
        <v>13840</v>
      </c>
      <c r="BR231">
        <v>13815</v>
      </c>
      <c r="BS231">
        <v>13840</v>
      </c>
      <c r="BT231">
        <v>63569</v>
      </c>
      <c r="BU231" s="13">
        <f t="shared" si="101"/>
        <v>13831.666666666666</v>
      </c>
      <c r="BV231" s="13">
        <f t="shared" si="102"/>
        <v>879265218.33333325</v>
      </c>
      <c r="BW231" s="13">
        <f>SUM($BV$3:BV231)</f>
        <v>196723237303.3334</v>
      </c>
      <c r="BX231" s="13">
        <f>SUM($BT$3:BT231)</f>
        <v>14366012</v>
      </c>
      <c r="BY231" s="3">
        <f t="shared" si="103"/>
        <v>13693.65675758404</v>
      </c>
    </row>
    <row r="232" spans="1:77" x14ac:dyDescent="0.3">
      <c r="A232" s="3" t="s">
        <v>272</v>
      </c>
      <c r="B232" s="3">
        <v>11695</v>
      </c>
      <c r="C232" s="3">
        <v>11705</v>
      </c>
      <c r="D232" s="3">
        <v>11610</v>
      </c>
      <c r="E232" s="3">
        <v>11600</v>
      </c>
      <c r="F232" s="3">
        <v>11675</v>
      </c>
      <c r="G232" s="3">
        <v>11670</v>
      </c>
      <c r="H232" s="3">
        <v>11405</v>
      </c>
      <c r="I232" s="3">
        <v>11410</v>
      </c>
      <c r="J232" s="3">
        <v>11795</v>
      </c>
      <c r="K232" s="3">
        <v>11790</v>
      </c>
      <c r="L232" s="3">
        <v>12045</v>
      </c>
      <c r="M232" s="3">
        <v>12055</v>
      </c>
      <c r="N232" s="3">
        <v>12570</v>
      </c>
      <c r="O232" s="3">
        <v>12565</v>
      </c>
      <c r="P232" s="3">
        <v>12670</v>
      </c>
      <c r="Q232" s="3">
        <v>12680</v>
      </c>
      <c r="R232" s="3">
        <v>12525</v>
      </c>
      <c r="S232" s="3">
        <v>12515</v>
      </c>
      <c r="T232" s="3">
        <v>12295</v>
      </c>
      <c r="U232" s="3">
        <v>12285</v>
      </c>
      <c r="V232" s="3">
        <v>12765</v>
      </c>
      <c r="W232" s="3">
        <v>12750</v>
      </c>
      <c r="X232" s="3">
        <v>12445</v>
      </c>
      <c r="Y232" s="3">
        <v>12470</v>
      </c>
      <c r="Z232" s="3">
        <v>12730</v>
      </c>
      <c r="AA232" s="3">
        <v>12735</v>
      </c>
      <c r="AB232" s="3">
        <v>13265</v>
      </c>
      <c r="AC232" s="3">
        <v>13265</v>
      </c>
      <c r="AD232" s="3">
        <v>13225</v>
      </c>
      <c r="AE232" s="3">
        <v>13230</v>
      </c>
      <c r="AF232" s="3">
        <v>13840</v>
      </c>
      <c r="AG232" s="3">
        <v>13835</v>
      </c>
      <c r="AH232" s="3">
        <v>14080</v>
      </c>
      <c r="AI232" s="3">
        <v>14110</v>
      </c>
      <c r="AJ232" s="3">
        <v>13630</v>
      </c>
      <c r="AK232" s="3">
        <v>13630</v>
      </c>
      <c r="AL232" s="3">
        <v>13655</v>
      </c>
      <c r="AM232" s="3">
        <v>13645</v>
      </c>
      <c r="AN232" s="3">
        <v>13435</v>
      </c>
      <c r="AO232" s="3">
        <v>13440</v>
      </c>
      <c r="AP232" s="3">
        <v>13500</v>
      </c>
      <c r="AQ232" s="3">
        <v>13505</v>
      </c>
      <c r="AR232" s="4">
        <f t="shared" si="104"/>
        <v>1.5177797051170838E-2</v>
      </c>
      <c r="AS232" s="4">
        <f t="shared" si="81"/>
        <v>4.3290043290042934E-3</v>
      </c>
      <c r="AT232" s="4">
        <f t="shared" si="82"/>
        <v>2.7288732394366244E-2</v>
      </c>
      <c r="AU232" s="4">
        <f t="shared" si="83"/>
        <v>3.1409168081494077E-2</v>
      </c>
      <c r="AV232" s="4">
        <f t="shared" si="84"/>
        <v>8.5543199315654128E-3</v>
      </c>
      <c r="AW232" s="4">
        <f t="shared" si="85"/>
        <v>1.6441821247892063E-2</v>
      </c>
      <c r="AX232" s="4">
        <f t="shared" si="86"/>
        <v>3.7144036318613294E-2</v>
      </c>
      <c r="AY232" s="4">
        <f t="shared" si="87"/>
        <v>7.8247261345852914E-3</v>
      </c>
      <c r="AZ232" s="4">
        <f t="shared" si="88"/>
        <v>2.3913909924272447E-3</v>
      </c>
      <c r="BA232" s="4">
        <f t="shared" si="89"/>
        <v>7.2727272727273196E-3</v>
      </c>
      <c r="BB232" s="4">
        <f t="shared" si="90"/>
        <v>3.3644102148358224E-2</v>
      </c>
      <c r="BC232" s="4">
        <f t="shared" si="91"/>
        <v>1.3058963197467355E-2</v>
      </c>
      <c r="BD232" s="4">
        <f t="shared" si="92"/>
        <v>8.1775700934579865E-3</v>
      </c>
      <c r="BE232" s="4">
        <f t="shared" si="93"/>
        <v>2.3139220979560449E-2</v>
      </c>
      <c r="BF232" s="4">
        <f t="shared" si="94"/>
        <v>1.0695187165775444E-2</v>
      </c>
      <c r="BG232" s="4">
        <f t="shared" si="95"/>
        <v>3.7495313085864179E-2</v>
      </c>
      <c r="BH232" s="4">
        <f t="shared" si="96"/>
        <v>1.4378145219266614E-2</v>
      </c>
      <c r="BI232" s="4">
        <f t="shared" si="97"/>
        <v>1.7657657657657699E-2</v>
      </c>
      <c r="BJ232" s="4">
        <f t="shared" si="98"/>
        <v>5.4664723032069595E-3</v>
      </c>
      <c r="BK232" s="4">
        <f t="shared" si="99"/>
        <v>1.7902813299232712E-2</v>
      </c>
      <c r="BL232" s="4">
        <f t="shared" si="100"/>
        <v>3.7160906726123599E-3</v>
      </c>
      <c r="BM232" s="4">
        <f t="shared" si="105"/>
        <v>1.6526497877663908E-2</v>
      </c>
      <c r="BN232" s="9">
        <f t="shared" si="106"/>
        <v>13677.364028943966</v>
      </c>
      <c r="BO232" s="10">
        <f t="shared" si="107"/>
        <v>13104.784415780128</v>
      </c>
      <c r="BP232">
        <v>13840</v>
      </c>
      <c r="BQ232">
        <v>13845</v>
      </c>
      <c r="BR232">
        <v>13835</v>
      </c>
      <c r="BS232">
        <v>13835</v>
      </c>
      <c r="BT232">
        <v>5796</v>
      </c>
      <c r="BU232" s="13">
        <f t="shared" si="101"/>
        <v>13838.333333333334</v>
      </c>
      <c r="BV232" s="13">
        <f t="shared" si="102"/>
        <v>80206980</v>
      </c>
      <c r="BW232" s="13">
        <f>SUM($BV$3:BV232)</f>
        <v>196803444283.3334</v>
      </c>
      <c r="BX232" s="13">
        <f>SUM($BT$3:BT232)</f>
        <v>14371808</v>
      </c>
      <c r="BY232" s="3">
        <f t="shared" si="103"/>
        <v>13693.715104135361</v>
      </c>
    </row>
    <row r="233" spans="1:77" x14ac:dyDescent="0.3">
      <c r="A233" s="3" t="s">
        <v>273</v>
      </c>
      <c r="B233" s="3">
        <v>11705</v>
      </c>
      <c r="C233" s="3">
        <v>11705</v>
      </c>
      <c r="D233" s="3">
        <v>11600</v>
      </c>
      <c r="E233" s="3">
        <v>11585</v>
      </c>
      <c r="F233" s="3">
        <v>11665</v>
      </c>
      <c r="G233" s="3">
        <v>11670</v>
      </c>
      <c r="H233" s="3">
        <v>11415</v>
      </c>
      <c r="I233" s="3">
        <v>11430</v>
      </c>
      <c r="J233" s="3">
        <v>11790</v>
      </c>
      <c r="K233" s="3">
        <v>11800</v>
      </c>
      <c r="L233" s="3">
        <v>12055</v>
      </c>
      <c r="M233" s="3">
        <v>12050</v>
      </c>
      <c r="N233" s="3">
        <v>12565</v>
      </c>
      <c r="O233" s="3">
        <v>12575</v>
      </c>
      <c r="P233" s="3">
        <v>12675</v>
      </c>
      <c r="Q233" s="3">
        <v>12675</v>
      </c>
      <c r="R233" s="3">
        <v>12510</v>
      </c>
      <c r="S233" s="3">
        <v>12505</v>
      </c>
      <c r="T233" s="3">
        <v>12280</v>
      </c>
      <c r="U233" s="3">
        <v>12295</v>
      </c>
      <c r="V233" s="3">
        <v>12750</v>
      </c>
      <c r="W233" s="3">
        <v>12750</v>
      </c>
      <c r="X233" s="3">
        <v>12475</v>
      </c>
      <c r="Y233" s="3">
        <v>12455</v>
      </c>
      <c r="Z233" s="3">
        <v>12735</v>
      </c>
      <c r="AA233" s="3">
        <v>12730</v>
      </c>
      <c r="AB233" s="3">
        <v>13265</v>
      </c>
      <c r="AC233" s="3">
        <v>13250</v>
      </c>
      <c r="AD233" s="3">
        <v>13230</v>
      </c>
      <c r="AE233" s="3">
        <v>13215</v>
      </c>
      <c r="AF233" s="3">
        <v>13840</v>
      </c>
      <c r="AG233" s="3">
        <v>13840</v>
      </c>
      <c r="AH233" s="3">
        <v>14115</v>
      </c>
      <c r="AI233" s="3">
        <v>14080</v>
      </c>
      <c r="AJ233" s="3">
        <v>13630</v>
      </c>
      <c r="AK233" s="3">
        <v>13635</v>
      </c>
      <c r="AL233" s="3">
        <v>13650</v>
      </c>
      <c r="AM233" s="3">
        <v>13645</v>
      </c>
      <c r="AN233" s="3">
        <v>13440</v>
      </c>
      <c r="AO233" s="3">
        <v>13450</v>
      </c>
      <c r="AP233" s="3">
        <v>13505</v>
      </c>
      <c r="AQ233" s="3">
        <v>13505</v>
      </c>
      <c r="AR233" s="4">
        <f t="shared" si="104"/>
        <v>1.5177797051170838E-2</v>
      </c>
      <c r="AS233" s="4">
        <f t="shared" si="81"/>
        <v>3.0303030303029388E-3</v>
      </c>
      <c r="AT233" s="4">
        <f t="shared" si="82"/>
        <v>2.7288732394366244E-2</v>
      </c>
      <c r="AU233" s="4">
        <f t="shared" si="83"/>
        <v>2.9711375212224111E-2</v>
      </c>
      <c r="AV233" s="4">
        <f t="shared" si="84"/>
        <v>9.4097519247220429E-3</v>
      </c>
      <c r="AW233" s="4">
        <f t="shared" si="85"/>
        <v>1.6020236087689765E-2</v>
      </c>
      <c r="AX233" s="4">
        <f t="shared" si="86"/>
        <v>3.7969459347915846E-2</v>
      </c>
      <c r="AY233" s="4">
        <f t="shared" si="87"/>
        <v>8.215962441314506E-3</v>
      </c>
      <c r="AZ233" s="4">
        <f t="shared" si="88"/>
        <v>3.1885213232363263E-3</v>
      </c>
      <c r="BA233" s="4">
        <f t="shared" si="89"/>
        <v>6.4646464646465063E-3</v>
      </c>
      <c r="BB233" s="4">
        <f t="shared" si="90"/>
        <v>3.3644102148358224E-2</v>
      </c>
      <c r="BC233" s="4">
        <f t="shared" si="91"/>
        <v>1.4246141669964407E-2</v>
      </c>
      <c r="BD233" s="4">
        <f t="shared" si="92"/>
        <v>8.5669781931464462E-3</v>
      </c>
      <c r="BE233" s="4">
        <f t="shared" si="93"/>
        <v>2.1982259930582337E-2</v>
      </c>
      <c r="BF233" s="4">
        <f t="shared" si="94"/>
        <v>9.5492742551566145E-3</v>
      </c>
      <c r="BG233" s="4">
        <f t="shared" si="95"/>
        <v>3.7870266216722959E-2</v>
      </c>
      <c r="BH233" s="4">
        <f t="shared" si="96"/>
        <v>1.2221423436376666E-2</v>
      </c>
      <c r="BI233" s="4">
        <f t="shared" si="97"/>
        <v>1.7297297297297343E-2</v>
      </c>
      <c r="BJ233" s="4">
        <f t="shared" si="98"/>
        <v>5.4664723032069595E-3</v>
      </c>
      <c r="BK233" s="4">
        <f t="shared" si="99"/>
        <v>1.7172086225794692E-2</v>
      </c>
      <c r="BL233" s="4">
        <f t="shared" si="100"/>
        <v>3.7160906726123599E-3</v>
      </c>
      <c r="BM233" s="4">
        <f t="shared" si="105"/>
        <v>1.6377696030259022E-2</v>
      </c>
      <c r="BN233" s="9">
        <f t="shared" si="106"/>
        <v>13675.361900087135</v>
      </c>
      <c r="BO233" s="10">
        <f t="shared" si="107"/>
        <v>13106.767200396798</v>
      </c>
      <c r="BP233">
        <v>13840</v>
      </c>
      <c r="BQ233">
        <v>13840</v>
      </c>
      <c r="BR233">
        <v>13830</v>
      </c>
      <c r="BS233">
        <v>13840</v>
      </c>
      <c r="BT233">
        <v>11236</v>
      </c>
      <c r="BU233" s="13">
        <f t="shared" si="101"/>
        <v>13836.666666666666</v>
      </c>
      <c r="BV233" s="13">
        <f t="shared" si="102"/>
        <v>155468786.66666666</v>
      </c>
      <c r="BW233" s="13">
        <f>SUM($BV$3:BV233)</f>
        <v>196958913070.00006</v>
      </c>
      <c r="BX233" s="13">
        <f>SUM($BT$3:BT233)</f>
        <v>14383044</v>
      </c>
      <c r="BY233" s="3">
        <f t="shared" si="103"/>
        <v>13693.826777558357</v>
      </c>
    </row>
    <row r="234" spans="1:77" x14ac:dyDescent="0.3">
      <c r="A234" s="3" t="s">
        <v>274</v>
      </c>
      <c r="B234" s="3">
        <v>11710</v>
      </c>
      <c r="C234" s="3">
        <v>11710</v>
      </c>
      <c r="D234" s="3">
        <v>11585</v>
      </c>
      <c r="E234" s="3">
        <v>11575</v>
      </c>
      <c r="F234" s="3">
        <v>11670</v>
      </c>
      <c r="G234" s="3">
        <v>11675</v>
      </c>
      <c r="H234" s="3">
        <v>11425</v>
      </c>
      <c r="I234" s="3">
        <v>11450</v>
      </c>
      <c r="J234" s="3">
        <v>11795</v>
      </c>
      <c r="K234" s="3">
        <v>11795</v>
      </c>
      <c r="L234" s="3">
        <v>12050</v>
      </c>
      <c r="M234" s="3">
        <v>12050</v>
      </c>
      <c r="N234" s="3">
        <v>12575</v>
      </c>
      <c r="O234" s="3">
        <v>12575</v>
      </c>
      <c r="P234" s="3">
        <v>12675</v>
      </c>
      <c r="Q234" s="3">
        <v>12665</v>
      </c>
      <c r="R234" s="3">
        <v>12510</v>
      </c>
      <c r="S234" s="3">
        <v>12505</v>
      </c>
      <c r="T234" s="3">
        <v>12300</v>
      </c>
      <c r="U234" s="3">
        <v>12290</v>
      </c>
      <c r="V234" s="3">
        <v>12750</v>
      </c>
      <c r="W234" s="3">
        <v>12755</v>
      </c>
      <c r="X234" s="3">
        <v>12455</v>
      </c>
      <c r="Y234" s="3">
        <v>12460</v>
      </c>
      <c r="Z234" s="3">
        <v>12730</v>
      </c>
      <c r="AA234" s="3">
        <v>12740</v>
      </c>
      <c r="AB234" s="3">
        <v>13255</v>
      </c>
      <c r="AC234" s="3">
        <v>13250</v>
      </c>
      <c r="AD234" s="3">
        <v>13215</v>
      </c>
      <c r="AE234" s="3">
        <v>13205</v>
      </c>
      <c r="AF234" s="3">
        <v>13840</v>
      </c>
      <c r="AG234" s="3">
        <v>13840</v>
      </c>
      <c r="AH234" s="3">
        <v>14085</v>
      </c>
      <c r="AI234" s="3">
        <v>13990</v>
      </c>
      <c r="AJ234" s="3">
        <v>13635</v>
      </c>
      <c r="AK234" s="3">
        <v>13650</v>
      </c>
      <c r="AL234" s="3">
        <v>13645</v>
      </c>
      <c r="AM234" s="3">
        <v>13645</v>
      </c>
      <c r="AN234" s="3">
        <v>13450</v>
      </c>
      <c r="AO234" s="3">
        <v>13440</v>
      </c>
      <c r="AP234" s="3">
        <v>13505</v>
      </c>
      <c r="AQ234" s="3">
        <v>13495</v>
      </c>
      <c r="AR234" s="4">
        <f t="shared" si="104"/>
        <v>1.5611448395490113E-2</v>
      </c>
      <c r="AS234" s="4">
        <f t="shared" si="81"/>
        <v>2.1645021645022577E-3</v>
      </c>
      <c r="AT234" s="4">
        <f t="shared" si="82"/>
        <v>2.7728873239436513E-2</v>
      </c>
      <c r="AU234" s="4">
        <f t="shared" si="83"/>
        <v>2.8013582342954146E-2</v>
      </c>
      <c r="AV234" s="4">
        <f t="shared" si="84"/>
        <v>8.9820359281436168E-3</v>
      </c>
      <c r="AW234" s="4">
        <f t="shared" si="85"/>
        <v>1.6020236087689765E-2</v>
      </c>
      <c r="AX234" s="4">
        <f t="shared" si="86"/>
        <v>3.7969459347915846E-2</v>
      </c>
      <c r="AY234" s="4">
        <f t="shared" si="87"/>
        <v>8.9984350547730463E-3</v>
      </c>
      <c r="AZ234" s="4">
        <f t="shared" si="88"/>
        <v>3.1885213232363263E-3</v>
      </c>
      <c r="BA234" s="4">
        <f t="shared" si="89"/>
        <v>6.8686868686869129E-3</v>
      </c>
      <c r="BB234" s="4">
        <f t="shared" si="90"/>
        <v>3.4049452776651723E-2</v>
      </c>
      <c r="BC234" s="4">
        <f t="shared" si="91"/>
        <v>1.3850415512465353E-2</v>
      </c>
      <c r="BD234" s="4">
        <f t="shared" si="92"/>
        <v>7.7881619937694158E-3</v>
      </c>
      <c r="BE234" s="4">
        <f t="shared" si="93"/>
        <v>2.1982259930582337E-2</v>
      </c>
      <c r="BF234" s="4">
        <f t="shared" si="94"/>
        <v>8.7853323147439877E-3</v>
      </c>
      <c r="BG234" s="4">
        <f t="shared" si="95"/>
        <v>3.7870266216722959E-2</v>
      </c>
      <c r="BH234" s="4">
        <f t="shared" si="96"/>
        <v>5.7512580877066011E-3</v>
      </c>
      <c r="BI234" s="4">
        <f t="shared" si="97"/>
        <v>1.6216216216216162E-2</v>
      </c>
      <c r="BJ234" s="4">
        <f t="shared" si="98"/>
        <v>5.4664723032069595E-3</v>
      </c>
      <c r="BK234" s="4">
        <f t="shared" si="99"/>
        <v>1.7902813299232712E-2</v>
      </c>
      <c r="BL234" s="4">
        <f t="shared" si="100"/>
        <v>2.9728725380899768E-3</v>
      </c>
      <c r="BM234" s="4">
        <f t="shared" si="105"/>
        <v>1.617071106325366E-2</v>
      </c>
      <c r="BN234" s="9">
        <f t="shared" si="106"/>
        <v>13672.576917356078</v>
      </c>
      <c r="BO234" s="10">
        <f t="shared" si="107"/>
        <v>13109.525275082146</v>
      </c>
      <c r="BP234">
        <v>13840</v>
      </c>
      <c r="BQ234">
        <v>13840</v>
      </c>
      <c r="BR234">
        <v>13830</v>
      </c>
      <c r="BS234">
        <v>13840</v>
      </c>
      <c r="BT234">
        <v>20799</v>
      </c>
      <c r="BU234" s="13">
        <f t="shared" si="101"/>
        <v>13836.666666666666</v>
      </c>
      <c r="BV234" s="13">
        <f t="shared" si="102"/>
        <v>287788830</v>
      </c>
      <c r="BW234" s="13">
        <f>SUM($BV$3:BV234)</f>
        <v>197246701900.00006</v>
      </c>
      <c r="BX234" s="13">
        <f>SUM($BT$3:BT234)</f>
        <v>14403843</v>
      </c>
      <c r="BY234" s="3">
        <f t="shared" si="103"/>
        <v>13694.033036877732</v>
      </c>
    </row>
    <row r="235" spans="1:77" x14ac:dyDescent="0.3">
      <c r="A235" s="3" t="s">
        <v>275</v>
      </c>
      <c r="B235" s="3">
        <v>11710</v>
      </c>
      <c r="C235" s="3">
        <v>11690</v>
      </c>
      <c r="D235" s="3">
        <v>11580</v>
      </c>
      <c r="E235" s="3">
        <v>11580</v>
      </c>
      <c r="F235" s="3">
        <v>11675</v>
      </c>
      <c r="G235" s="3">
        <v>11665</v>
      </c>
      <c r="H235" s="3">
        <v>11450</v>
      </c>
      <c r="I235" s="3">
        <v>11455</v>
      </c>
      <c r="J235" s="3">
        <v>11790</v>
      </c>
      <c r="K235" s="3">
        <v>11800</v>
      </c>
      <c r="L235" s="3">
        <v>12055</v>
      </c>
      <c r="M235" s="3">
        <v>12045</v>
      </c>
      <c r="N235" s="3">
        <v>12575</v>
      </c>
      <c r="O235" s="3">
        <v>12575</v>
      </c>
      <c r="P235" s="3">
        <v>12665</v>
      </c>
      <c r="Q235" s="3">
        <v>12665</v>
      </c>
      <c r="R235" s="3">
        <v>12505</v>
      </c>
      <c r="S235" s="3">
        <v>12480</v>
      </c>
      <c r="T235" s="3">
        <v>12295</v>
      </c>
      <c r="U235" s="3">
        <v>12295</v>
      </c>
      <c r="V235" s="3">
        <v>12760</v>
      </c>
      <c r="W235" s="3">
        <v>12770</v>
      </c>
      <c r="X235" s="3">
        <v>12465</v>
      </c>
      <c r="Y235" s="3">
        <v>12465</v>
      </c>
      <c r="Z235" s="3">
        <v>12735</v>
      </c>
      <c r="AA235" s="3">
        <v>12730</v>
      </c>
      <c r="AB235" s="3">
        <v>13250</v>
      </c>
      <c r="AC235" s="3">
        <v>13255</v>
      </c>
      <c r="AD235" s="3">
        <v>13210</v>
      </c>
      <c r="AE235" s="3">
        <v>13220</v>
      </c>
      <c r="AF235" s="3">
        <v>13840</v>
      </c>
      <c r="AG235" s="3">
        <v>13830</v>
      </c>
      <c r="AH235" s="3">
        <v>13990</v>
      </c>
      <c r="AI235" s="3">
        <v>13995</v>
      </c>
      <c r="AJ235" s="3">
        <v>13655</v>
      </c>
      <c r="AK235" s="3">
        <v>13650</v>
      </c>
      <c r="AL235" s="3">
        <v>13645</v>
      </c>
      <c r="AM235" s="3">
        <v>13635</v>
      </c>
      <c r="AN235" s="3">
        <v>13435</v>
      </c>
      <c r="AO235" s="3">
        <v>13455</v>
      </c>
      <c r="AP235" s="3">
        <v>13495</v>
      </c>
      <c r="AQ235" s="3">
        <v>13500</v>
      </c>
      <c r="AR235" s="4">
        <f t="shared" si="104"/>
        <v>1.3876843018213458E-2</v>
      </c>
      <c r="AS235" s="4">
        <f t="shared" si="81"/>
        <v>2.5974025974024872E-3</v>
      </c>
      <c r="AT235" s="4">
        <f t="shared" si="82"/>
        <v>2.6848591549295753E-2</v>
      </c>
      <c r="AU235" s="4">
        <f t="shared" si="83"/>
        <v>2.7589134125636683E-2</v>
      </c>
      <c r="AV235" s="4">
        <f t="shared" si="84"/>
        <v>9.4097519247220429E-3</v>
      </c>
      <c r="AW235" s="4">
        <f t="shared" si="85"/>
        <v>1.5598650927487245E-2</v>
      </c>
      <c r="AX235" s="4">
        <f t="shared" si="86"/>
        <v>3.7969459347915846E-2</v>
      </c>
      <c r="AY235" s="4">
        <f t="shared" si="87"/>
        <v>8.9984350547730463E-3</v>
      </c>
      <c r="AZ235" s="4">
        <f t="shared" si="88"/>
        <v>5.1813471502590858E-3</v>
      </c>
      <c r="BA235" s="4">
        <f t="shared" si="89"/>
        <v>6.4646464646465063E-3</v>
      </c>
      <c r="BB235" s="4">
        <f t="shared" si="90"/>
        <v>3.5265504661532221E-2</v>
      </c>
      <c r="BC235" s="4">
        <f t="shared" si="91"/>
        <v>1.3454689354966409E-2</v>
      </c>
      <c r="BD235" s="4">
        <f t="shared" si="92"/>
        <v>8.5669781931464462E-3</v>
      </c>
      <c r="BE235" s="4">
        <f t="shared" si="93"/>
        <v>2.2367913613575041E-2</v>
      </c>
      <c r="BF235" s="4">
        <f t="shared" si="94"/>
        <v>9.931245225362817E-3</v>
      </c>
      <c r="BG235" s="4">
        <f t="shared" si="95"/>
        <v>3.7120359955005622E-2</v>
      </c>
      <c r="BH235" s="4">
        <f t="shared" si="96"/>
        <v>6.1107117181884441E-3</v>
      </c>
      <c r="BI235" s="4">
        <f t="shared" si="97"/>
        <v>1.6216216216216162E-2</v>
      </c>
      <c r="BJ235" s="4">
        <f t="shared" si="98"/>
        <v>6.1953352769679171E-3</v>
      </c>
      <c r="BK235" s="4">
        <f t="shared" si="99"/>
        <v>1.6806722689075682E-2</v>
      </c>
      <c r="BL235" s="4">
        <f t="shared" si="100"/>
        <v>3.3444816053511683E-3</v>
      </c>
      <c r="BM235" s="4">
        <f t="shared" si="105"/>
        <v>1.6445982156480115E-2</v>
      </c>
      <c r="BN235" s="9">
        <f t="shared" si="106"/>
        <v>13676.28068991544</v>
      </c>
      <c r="BO235" s="10">
        <f t="shared" si="107"/>
        <v>13105.857287764902</v>
      </c>
      <c r="BP235">
        <v>13840</v>
      </c>
      <c r="BQ235">
        <v>13845</v>
      </c>
      <c r="BR235">
        <v>13830</v>
      </c>
      <c r="BS235">
        <v>13830</v>
      </c>
      <c r="BT235">
        <v>4672</v>
      </c>
      <c r="BU235" s="13">
        <f t="shared" si="101"/>
        <v>13835</v>
      </c>
      <c r="BV235" s="13">
        <f t="shared" si="102"/>
        <v>64637120</v>
      </c>
      <c r="BW235" s="13">
        <f>SUM($BV$3:BV235)</f>
        <v>197311339020.00006</v>
      </c>
      <c r="BX235" s="13">
        <f>SUM($BT$3:BT235)</f>
        <v>14408515</v>
      </c>
      <c r="BY235" s="3">
        <f t="shared" si="103"/>
        <v>13694.078745797195</v>
      </c>
    </row>
    <row r="236" spans="1:77" x14ac:dyDescent="0.3">
      <c r="A236" s="3" t="s">
        <v>276</v>
      </c>
      <c r="B236" s="3">
        <v>11695</v>
      </c>
      <c r="C236" s="3">
        <v>11690</v>
      </c>
      <c r="D236" s="3">
        <v>11580</v>
      </c>
      <c r="E236" s="3">
        <v>11595</v>
      </c>
      <c r="F236" s="3">
        <v>11670</v>
      </c>
      <c r="G236" s="3">
        <v>11670</v>
      </c>
      <c r="H236" s="3">
        <v>11460</v>
      </c>
      <c r="I236" s="3">
        <v>11460</v>
      </c>
      <c r="J236" s="3">
        <v>11800</v>
      </c>
      <c r="K236" s="3">
        <v>11795</v>
      </c>
      <c r="L236" s="3">
        <v>12045</v>
      </c>
      <c r="M236" s="3">
        <v>12040</v>
      </c>
      <c r="N236" s="3">
        <v>12575</v>
      </c>
      <c r="O236" s="3">
        <v>12575</v>
      </c>
      <c r="P236" s="3">
        <v>12675</v>
      </c>
      <c r="Q236" s="3">
        <v>12675</v>
      </c>
      <c r="R236" s="3">
        <v>12480</v>
      </c>
      <c r="S236" s="3">
        <v>12475</v>
      </c>
      <c r="T236" s="3">
        <v>12295</v>
      </c>
      <c r="U236" s="3">
        <v>12290</v>
      </c>
      <c r="V236" s="3">
        <v>12770</v>
      </c>
      <c r="W236" s="3">
        <v>12765</v>
      </c>
      <c r="X236" s="3">
        <v>12465</v>
      </c>
      <c r="Y236" s="3">
        <v>12455</v>
      </c>
      <c r="Z236" s="3">
        <v>12725</v>
      </c>
      <c r="AA236" s="3">
        <v>12720</v>
      </c>
      <c r="AB236" s="3">
        <v>13255</v>
      </c>
      <c r="AC236" s="3">
        <v>13255</v>
      </c>
      <c r="AD236" s="3">
        <v>13220</v>
      </c>
      <c r="AE236" s="3">
        <v>13225</v>
      </c>
      <c r="AF236" s="3">
        <v>13835</v>
      </c>
      <c r="AG236" s="3">
        <v>13830</v>
      </c>
      <c r="AH236" s="3">
        <v>14000</v>
      </c>
      <c r="AI236" s="3">
        <v>13900</v>
      </c>
      <c r="AJ236" s="3">
        <v>13645</v>
      </c>
      <c r="AK236" s="3">
        <v>13660</v>
      </c>
      <c r="AL236" s="3">
        <v>13635</v>
      </c>
      <c r="AM236" s="3">
        <v>13640</v>
      </c>
      <c r="AN236" s="3">
        <v>13455</v>
      </c>
      <c r="AO236" s="3">
        <v>13450</v>
      </c>
      <c r="AP236" s="3">
        <v>13500</v>
      </c>
      <c r="AQ236" s="3">
        <v>13485</v>
      </c>
      <c r="AR236" s="4">
        <f t="shared" si="104"/>
        <v>1.3876843018213458E-2</v>
      </c>
      <c r="AS236" s="4">
        <f t="shared" si="81"/>
        <v>3.8961038961038419E-3</v>
      </c>
      <c r="AT236" s="4">
        <f t="shared" si="82"/>
        <v>2.7288732394366244E-2</v>
      </c>
      <c r="AU236" s="4">
        <f t="shared" si="83"/>
        <v>2.7164685908319219E-2</v>
      </c>
      <c r="AV236" s="4">
        <f t="shared" si="84"/>
        <v>8.9820359281436168E-3</v>
      </c>
      <c r="AW236" s="4">
        <f t="shared" si="85"/>
        <v>1.5177065767284947E-2</v>
      </c>
      <c r="AX236" s="4">
        <f t="shared" si="86"/>
        <v>3.7969459347915846E-2</v>
      </c>
      <c r="AY236" s="4">
        <f t="shared" si="87"/>
        <v>8.215962441314506E-3</v>
      </c>
      <c r="AZ236" s="4">
        <f t="shared" si="88"/>
        <v>5.579912315663571E-3</v>
      </c>
      <c r="BA236" s="4">
        <f t="shared" si="89"/>
        <v>6.8686868686869129E-3</v>
      </c>
      <c r="BB236" s="4">
        <f t="shared" si="90"/>
        <v>3.4860154033238722E-2</v>
      </c>
      <c r="BC236" s="4">
        <f t="shared" si="91"/>
        <v>1.4246141669964407E-2</v>
      </c>
      <c r="BD236" s="4">
        <f t="shared" si="92"/>
        <v>9.3457943925233655E-3</v>
      </c>
      <c r="BE236" s="4">
        <f t="shared" si="93"/>
        <v>2.2367913613575041E-2</v>
      </c>
      <c r="BF236" s="4">
        <f t="shared" si="94"/>
        <v>1.0313216195569241E-2</v>
      </c>
      <c r="BG236" s="4">
        <f t="shared" si="95"/>
        <v>3.7120359955005622E-2</v>
      </c>
      <c r="BH236" s="4">
        <f t="shared" si="96"/>
        <v>7.1890726096335289E-4</v>
      </c>
      <c r="BI236" s="4">
        <f t="shared" si="97"/>
        <v>1.5495495495495448E-2</v>
      </c>
      <c r="BJ236" s="4">
        <f t="shared" si="98"/>
        <v>5.8309037900874383E-3</v>
      </c>
      <c r="BK236" s="4">
        <f t="shared" si="99"/>
        <v>1.7172086225794692E-2</v>
      </c>
      <c r="BL236" s="4">
        <f t="shared" si="100"/>
        <v>2.2296544035673715E-3</v>
      </c>
      <c r="BM236" s="4">
        <f t="shared" si="105"/>
        <v>1.6591133198047819E-2</v>
      </c>
      <c r="BN236" s="9">
        <f t="shared" si="106"/>
        <v>13678.233697179732</v>
      </c>
      <c r="BO236" s="10">
        <f t="shared" si="107"/>
        <v>13103.923150136012</v>
      </c>
      <c r="BP236">
        <v>13835</v>
      </c>
      <c r="BQ236">
        <v>13840</v>
      </c>
      <c r="BR236">
        <v>13825</v>
      </c>
      <c r="BS236">
        <v>13830</v>
      </c>
      <c r="BT236">
        <v>12804</v>
      </c>
      <c r="BU236" s="13">
        <f t="shared" si="101"/>
        <v>13831.666666666666</v>
      </c>
      <c r="BV236" s="13">
        <f t="shared" si="102"/>
        <v>177100660</v>
      </c>
      <c r="BW236" s="13">
        <f>SUM($BV$3:BV236)</f>
        <v>197488439680.00006</v>
      </c>
      <c r="BX236" s="13">
        <f>SUM($BT$3:BT236)</f>
        <v>14421319</v>
      </c>
      <c r="BY236" s="3">
        <f t="shared" si="103"/>
        <v>13694.20090353733</v>
      </c>
    </row>
    <row r="237" spans="1:77" x14ac:dyDescent="0.3">
      <c r="A237" s="3" t="s">
        <v>277</v>
      </c>
      <c r="B237" s="3">
        <v>11690</v>
      </c>
      <c r="C237" s="3">
        <v>11670</v>
      </c>
      <c r="D237" s="3">
        <v>11595</v>
      </c>
      <c r="E237" s="3">
        <v>11605</v>
      </c>
      <c r="F237" s="3">
        <v>11675</v>
      </c>
      <c r="G237" s="3">
        <v>11675</v>
      </c>
      <c r="H237" s="3">
        <v>11460</v>
      </c>
      <c r="I237" s="3">
        <v>11470</v>
      </c>
      <c r="J237" s="3">
        <v>11795</v>
      </c>
      <c r="K237" s="3">
        <v>11800</v>
      </c>
      <c r="L237" s="3">
        <v>12040</v>
      </c>
      <c r="M237" s="3">
        <v>12035</v>
      </c>
      <c r="N237" s="3">
        <v>12575</v>
      </c>
      <c r="O237" s="3">
        <v>12575</v>
      </c>
      <c r="P237" s="3">
        <v>12675</v>
      </c>
      <c r="Q237" s="3">
        <v>12690</v>
      </c>
      <c r="R237" s="3">
        <v>12480</v>
      </c>
      <c r="S237" s="3">
        <v>12490</v>
      </c>
      <c r="T237" s="3">
        <v>12290</v>
      </c>
      <c r="U237" s="3">
        <v>12290</v>
      </c>
      <c r="V237" s="3">
        <v>12765</v>
      </c>
      <c r="W237" s="3">
        <v>12760</v>
      </c>
      <c r="X237" s="3">
        <v>12450</v>
      </c>
      <c r="Y237" s="3">
        <v>12450</v>
      </c>
      <c r="Z237" s="3">
        <v>12715</v>
      </c>
      <c r="AA237" s="3">
        <v>12715</v>
      </c>
      <c r="AB237" s="3">
        <v>13255</v>
      </c>
      <c r="AC237" s="3">
        <v>13255</v>
      </c>
      <c r="AD237" s="3">
        <v>13230</v>
      </c>
      <c r="AE237" s="3">
        <v>13230</v>
      </c>
      <c r="AF237" s="3">
        <v>13830</v>
      </c>
      <c r="AG237" s="3">
        <v>13820</v>
      </c>
      <c r="AH237" s="3">
        <v>13900</v>
      </c>
      <c r="AI237" s="3">
        <v>13925</v>
      </c>
      <c r="AJ237" s="3">
        <v>13660</v>
      </c>
      <c r="AK237" s="3">
        <v>13645</v>
      </c>
      <c r="AL237" s="3">
        <v>13635</v>
      </c>
      <c r="AM237" s="3">
        <v>13640</v>
      </c>
      <c r="AN237" s="3">
        <v>13455</v>
      </c>
      <c r="AO237" s="3">
        <v>13460</v>
      </c>
      <c r="AP237" s="3">
        <v>13485</v>
      </c>
      <c r="AQ237" s="3">
        <v>13480</v>
      </c>
      <c r="AR237" s="4">
        <f t="shared" si="104"/>
        <v>1.2142237640936582E-2</v>
      </c>
      <c r="AS237" s="4">
        <f t="shared" si="81"/>
        <v>4.761904761904745E-3</v>
      </c>
      <c r="AT237" s="4">
        <f t="shared" si="82"/>
        <v>2.7728873239436513E-2</v>
      </c>
      <c r="AU237" s="4">
        <f t="shared" si="83"/>
        <v>2.6315789473684181E-2</v>
      </c>
      <c r="AV237" s="4">
        <f t="shared" si="84"/>
        <v>9.4097519247220429E-3</v>
      </c>
      <c r="AW237" s="4">
        <f t="shared" si="85"/>
        <v>1.4755480607082649E-2</v>
      </c>
      <c r="AX237" s="4">
        <f t="shared" si="86"/>
        <v>3.7969459347915846E-2</v>
      </c>
      <c r="AY237" s="4">
        <f t="shared" si="87"/>
        <v>7.0422535211267512E-3</v>
      </c>
      <c r="AZ237" s="4">
        <f t="shared" si="88"/>
        <v>4.3842168194500042E-3</v>
      </c>
      <c r="BA237" s="4">
        <f t="shared" si="89"/>
        <v>6.8686868686869129E-3</v>
      </c>
      <c r="BB237" s="4">
        <f t="shared" si="90"/>
        <v>3.4454803404945222E-2</v>
      </c>
      <c r="BC237" s="4">
        <f t="shared" si="91"/>
        <v>1.4641867827463351E-2</v>
      </c>
      <c r="BD237" s="4">
        <f t="shared" si="92"/>
        <v>9.7352024922118252E-3</v>
      </c>
      <c r="BE237" s="4">
        <f t="shared" si="93"/>
        <v>2.2367913613575041E-2</v>
      </c>
      <c r="BF237" s="4">
        <f t="shared" si="94"/>
        <v>1.0695187165775444E-2</v>
      </c>
      <c r="BG237" s="4">
        <f t="shared" si="95"/>
        <v>3.6370453693288285E-2</v>
      </c>
      <c r="BH237" s="4">
        <f t="shared" si="96"/>
        <v>1.0783608914450848E-3</v>
      </c>
      <c r="BI237" s="4">
        <f t="shared" si="97"/>
        <v>1.6576576576576629E-2</v>
      </c>
      <c r="BJ237" s="4">
        <f t="shared" si="98"/>
        <v>5.8309037900874383E-3</v>
      </c>
      <c r="BK237" s="4">
        <f t="shared" si="99"/>
        <v>1.6441359152356561E-2</v>
      </c>
      <c r="BL237" s="4">
        <f t="shared" si="100"/>
        <v>1.85804533630618E-3</v>
      </c>
      <c r="BM237" s="4">
        <f t="shared" si="105"/>
        <v>1.6509385076284324E-2</v>
      </c>
      <c r="BN237" s="9">
        <f t="shared" si="106"/>
        <v>13677.133776201405</v>
      </c>
      <c r="BO237" s="10">
        <f t="shared" si="107"/>
        <v>13105.012443858512</v>
      </c>
      <c r="BP237">
        <v>13830</v>
      </c>
      <c r="BQ237">
        <v>13830</v>
      </c>
      <c r="BR237">
        <v>13820</v>
      </c>
      <c r="BS237">
        <v>13820</v>
      </c>
      <c r="BT237">
        <v>7142</v>
      </c>
      <c r="BU237" s="13">
        <f t="shared" si="101"/>
        <v>13823.333333333334</v>
      </c>
      <c r="BV237" s="13">
        <f t="shared" si="102"/>
        <v>98726246.666666672</v>
      </c>
      <c r="BW237" s="13">
        <f>SUM($BV$3:BV237)</f>
        <v>197587165926.66672</v>
      </c>
      <c r="BX237" s="13">
        <f>SUM($BT$3:BT237)</f>
        <v>14428461</v>
      </c>
      <c r="BY237" s="3">
        <f t="shared" si="103"/>
        <v>13694.264823300748</v>
      </c>
    </row>
    <row r="238" spans="1:77" x14ac:dyDescent="0.3">
      <c r="A238" s="3" t="s">
        <v>278</v>
      </c>
      <c r="B238" s="3">
        <v>11670</v>
      </c>
      <c r="C238" s="3">
        <v>11665</v>
      </c>
      <c r="D238" s="3">
        <v>11610</v>
      </c>
      <c r="E238" s="3">
        <v>11605</v>
      </c>
      <c r="F238" s="3">
        <v>11675</v>
      </c>
      <c r="G238" s="3">
        <v>11675</v>
      </c>
      <c r="H238" s="3">
        <v>11465</v>
      </c>
      <c r="I238" s="3">
        <v>11465</v>
      </c>
      <c r="J238" s="3">
        <v>11800</v>
      </c>
      <c r="K238" s="3">
        <v>11805</v>
      </c>
      <c r="L238" s="3">
        <v>12040</v>
      </c>
      <c r="M238" s="3">
        <v>12030</v>
      </c>
      <c r="N238" s="3">
        <v>12575</v>
      </c>
      <c r="O238" s="3">
        <v>12560</v>
      </c>
      <c r="P238" s="3">
        <v>12695</v>
      </c>
      <c r="Q238" s="3">
        <v>12685</v>
      </c>
      <c r="R238" s="3">
        <v>12490</v>
      </c>
      <c r="S238" s="3">
        <v>12480</v>
      </c>
      <c r="T238" s="3">
        <v>12290</v>
      </c>
      <c r="U238" s="3">
        <v>12290</v>
      </c>
      <c r="V238" s="3">
        <v>12755</v>
      </c>
      <c r="W238" s="3">
        <v>12765</v>
      </c>
      <c r="X238" s="3">
        <v>12450</v>
      </c>
      <c r="Y238" s="3">
        <v>12465</v>
      </c>
      <c r="Z238" s="3">
        <v>12720</v>
      </c>
      <c r="AA238" s="3">
        <v>12720</v>
      </c>
      <c r="AB238" s="3">
        <v>13255</v>
      </c>
      <c r="AC238" s="3">
        <v>13255</v>
      </c>
      <c r="AD238" s="3">
        <v>13230</v>
      </c>
      <c r="AE238" s="3">
        <v>13235</v>
      </c>
      <c r="AF238" s="3">
        <v>13825</v>
      </c>
      <c r="AG238" s="3">
        <v>13840</v>
      </c>
      <c r="AH238" s="3">
        <v>13930</v>
      </c>
      <c r="AI238" s="3">
        <v>13970</v>
      </c>
      <c r="AJ238" s="3">
        <v>13655</v>
      </c>
      <c r="AK238" s="3">
        <v>13645</v>
      </c>
      <c r="AL238" s="3">
        <v>13645</v>
      </c>
      <c r="AM238" s="3">
        <v>13625</v>
      </c>
      <c r="AN238" s="3">
        <v>13455</v>
      </c>
      <c r="AO238" s="3">
        <v>13465</v>
      </c>
      <c r="AP238" s="3">
        <v>13485</v>
      </c>
      <c r="AQ238" s="3">
        <v>13485</v>
      </c>
      <c r="AR238" s="4">
        <f t="shared" si="104"/>
        <v>1.1708586296617529E-2</v>
      </c>
      <c r="AS238" s="4">
        <f t="shared" si="81"/>
        <v>4.761904761904745E-3</v>
      </c>
      <c r="AT238" s="4">
        <f t="shared" si="82"/>
        <v>2.7728873239436513E-2</v>
      </c>
      <c r="AU238" s="4">
        <f t="shared" si="83"/>
        <v>2.6740237691001645E-2</v>
      </c>
      <c r="AV238" s="4">
        <f t="shared" si="84"/>
        <v>9.8374679213002469E-3</v>
      </c>
      <c r="AW238" s="4">
        <f t="shared" si="85"/>
        <v>1.4333895446880351E-2</v>
      </c>
      <c r="AX238" s="4">
        <f t="shared" si="86"/>
        <v>3.6731324803962018E-2</v>
      </c>
      <c r="AY238" s="4">
        <f t="shared" si="87"/>
        <v>7.4334898278560768E-3</v>
      </c>
      <c r="AZ238" s="4">
        <f t="shared" si="88"/>
        <v>5.1813471502590858E-3</v>
      </c>
      <c r="BA238" s="4">
        <f t="shared" si="89"/>
        <v>6.8686868686869129E-3</v>
      </c>
      <c r="BB238" s="4">
        <f t="shared" si="90"/>
        <v>3.4860154033238722E-2</v>
      </c>
      <c r="BC238" s="4">
        <f t="shared" si="91"/>
        <v>1.3454689354966409E-2</v>
      </c>
      <c r="BD238" s="4">
        <f t="shared" si="92"/>
        <v>9.3457943925233655E-3</v>
      </c>
      <c r="BE238" s="4">
        <f t="shared" si="93"/>
        <v>2.2367913613575041E-2</v>
      </c>
      <c r="BF238" s="4">
        <f t="shared" si="94"/>
        <v>1.1077158135981646E-2</v>
      </c>
      <c r="BG238" s="4">
        <f t="shared" si="95"/>
        <v>3.7870266216722959E-2</v>
      </c>
      <c r="BH238" s="4">
        <f t="shared" si="96"/>
        <v>4.3134435657801173E-3</v>
      </c>
      <c r="BI238" s="4">
        <f t="shared" si="97"/>
        <v>1.6576576576576629E-2</v>
      </c>
      <c r="BJ238" s="4">
        <f t="shared" si="98"/>
        <v>6.9241982507288746E-3</v>
      </c>
      <c r="BK238" s="4">
        <f t="shared" si="99"/>
        <v>1.6075995615637551E-2</v>
      </c>
      <c r="BL238" s="4">
        <f t="shared" si="100"/>
        <v>2.2296544035673715E-3</v>
      </c>
      <c r="BM238" s="4">
        <f t="shared" si="105"/>
        <v>1.6480209802969485E-2</v>
      </c>
      <c r="BN238" s="9">
        <f t="shared" si="106"/>
        <v>13676.741222898954</v>
      </c>
      <c r="BO238" s="10">
        <f t="shared" si="107"/>
        <v>13105.401204375432</v>
      </c>
      <c r="BP238">
        <v>13825</v>
      </c>
      <c r="BQ238">
        <v>13845</v>
      </c>
      <c r="BR238">
        <v>13825</v>
      </c>
      <c r="BS238">
        <v>13840</v>
      </c>
      <c r="BT238">
        <v>25120</v>
      </c>
      <c r="BU238" s="13">
        <f t="shared" si="101"/>
        <v>13836.666666666666</v>
      </c>
      <c r="BV238" s="13">
        <f t="shared" si="102"/>
        <v>347577066.66666663</v>
      </c>
      <c r="BW238" s="13">
        <f>SUM($BV$3:BV238)</f>
        <v>197934742993.33337</v>
      </c>
      <c r="BX238" s="13">
        <f>SUM($BT$3:BT238)</f>
        <v>14453581</v>
      </c>
      <c r="BY238" s="3">
        <f t="shared" si="103"/>
        <v>13694.512314514539</v>
      </c>
    </row>
    <row r="239" spans="1:77" x14ac:dyDescent="0.3">
      <c r="A239" s="3" t="s">
        <v>279</v>
      </c>
      <c r="B239" s="3">
        <v>11665</v>
      </c>
      <c r="C239" s="3">
        <v>11675</v>
      </c>
      <c r="D239" s="3">
        <v>11610</v>
      </c>
      <c r="E239" s="3">
        <v>11595</v>
      </c>
      <c r="F239" s="3">
        <v>11675</v>
      </c>
      <c r="G239" s="3">
        <v>11675</v>
      </c>
      <c r="H239" s="3">
        <v>11470</v>
      </c>
      <c r="I239" s="3">
        <v>11465</v>
      </c>
      <c r="J239" s="3">
        <v>11810</v>
      </c>
      <c r="K239" s="3">
        <v>11815</v>
      </c>
      <c r="L239" s="3">
        <v>12030</v>
      </c>
      <c r="M239" s="3">
        <v>12040</v>
      </c>
      <c r="N239" s="3">
        <v>12560</v>
      </c>
      <c r="O239" s="3">
        <v>12560</v>
      </c>
      <c r="P239" s="3">
        <v>12685</v>
      </c>
      <c r="Q239" s="3">
        <v>12700</v>
      </c>
      <c r="R239" s="3">
        <v>12480</v>
      </c>
      <c r="S239" s="3">
        <v>12490</v>
      </c>
      <c r="T239" s="3">
        <v>12290</v>
      </c>
      <c r="U239" s="3">
        <v>12290</v>
      </c>
      <c r="V239" s="3">
        <v>12765</v>
      </c>
      <c r="W239" s="3">
        <v>12745</v>
      </c>
      <c r="X239" s="3">
        <v>12460</v>
      </c>
      <c r="Y239" s="3">
        <v>12460</v>
      </c>
      <c r="Z239" s="3">
        <v>12720</v>
      </c>
      <c r="AA239" s="3">
        <v>12730</v>
      </c>
      <c r="AB239" s="3">
        <v>13255</v>
      </c>
      <c r="AC239" s="3">
        <v>13255</v>
      </c>
      <c r="AD239" s="3">
        <v>13235</v>
      </c>
      <c r="AE239" s="3">
        <v>13235</v>
      </c>
      <c r="AF239" s="3">
        <v>13840</v>
      </c>
      <c r="AG239" s="3">
        <v>13855</v>
      </c>
      <c r="AH239" s="3">
        <v>13975</v>
      </c>
      <c r="AI239" s="3">
        <v>13920</v>
      </c>
      <c r="AJ239" s="3">
        <v>13650</v>
      </c>
      <c r="AK239" s="3">
        <v>13630</v>
      </c>
      <c r="AL239" s="3">
        <v>13625</v>
      </c>
      <c r="AM239" s="3">
        <v>13625</v>
      </c>
      <c r="AN239" s="3">
        <v>13465</v>
      </c>
      <c r="AO239" s="3">
        <v>13465</v>
      </c>
      <c r="AP239" s="3">
        <v>13485</v>
      </c>
      <c r="AQ239" s="3">
        <v>13475</v>
      </c>
      <c r="AR239" s="4">
        <f t="shared" si="104"/>
        <v>1.2575888985255856E-2</v>
      </c>
      <c r="AS239" s="4">
        <f t="shared" si="81"/>
        <v>3.8961038961038419E-3</v>
      </c>
      <c r="AT239" s="4">
        <f t="shared" si="82"/>
        <v>2.7728873239436513E-2</v>
      </c>
      <c r="AU239" s="4">
        <f t="shared" si="83"/>
        <v>2.6740237691001645E-2</v>
      </c>
      <c r="AV239" s="4">
        <f t="shared" si="84"/>
        <v>1.0692899914456877E-2</v>
      </c>
      <c r="AW239" s="4">
        <f t="shared" si="85"/>
        <v>1.5177065767284947E-2</v>
      </c>
      <c r="AX239" s="4">
        <f t="shared" si="86"/>
        <v>3.6731324803962018E-2</v>
      </c>
      <c r="AY239" s="4">
        <f t="shared" si="87"/>
        <v>6.2597809076682109E-3</v>
      </c>
      <c r="AZ239" s="4">
        <f t="shared" si="88"/>
        <v>4.3842168194500042E-3</v>
      </c>
      <c r="BA239" s="4">
        <f t="shared" si="89"/>
        <v>6.8686868686869129E-3</v>
      </c>
      <c r="BB239" s="4">
        <f t="shared" si="90"/>
        <v>3.3238751520064946E-2</v>
      </c>
      <c r="BC239" s="4">
        <f t="shared" si="91"/>
        <v>1.3850415512465353E-2</v>
      </c>
      <c r="BD239" s="4">
        <f t="shared" si="92"/>
        <v>8.5669781931464462E-3</v>
      </c>
      <c r="BE239" s="4">
        <f t="shared" si="93"/>
        <v>2.2367913613575041E-2</v>
      </c>
      <c r="BF239" s="4">
        <f t="shared" si="94"/>
        <v>1.1077158135981646E-2</v>
      </c>
      <c r="BG239" s="4">
        <f t="shared" si="95"/>
        <v>3.8995125609298853E-2</v>
      </c>
      <c r="BH239" s="4">
        <f t="shared" si="96"/>
        <v>7.1890726096324187E-4</v>
      </c>
      <c r="BI239" s="4">
        <f t="shared" si="97"/>
        <v>1.7657657657657699E-2</v>
      </c>
      <c r="BJ239" s="4">
        <f t="shared" si="98"/>
        <v>6.9241982507288746E-3</v>
      </c>
      <c r="BK239" s="4">
        <f t="shared" si="99"/>
        <v>1.6075995615637551E-2</v>
      </c>
      <c r="BL239" s="4">
        <f t="shared" si="100"/>
        <v>1.4864362690449884E-3</v>
      </c>
      <c r="BM239" s="4">
        <f t="shared" si="105"/>
        <v>1.6255743348806029E-2</v>
      </c>
      <c r="BN239" s="9">
        <f t="shared" si="106"/>
        <v>13673.721026758185</v>
      </c>
      <c r="BO239" s="10">
        <f t="shared" si="107"/>
        <v>13108.39221987716</v>
      </c>
      <c r="BP239">
        <v>13840</v>
      </c>
      <c r="BQ239">
        <v>13860</v>
      </c>
      <c r="BR239">
        <v>13840</v>
      </c>
      <c r="BS239">
        <v>13855</v>
      </c>
      <c r="BT239">
        <v>45975</v>
      </c>
      <c r="BU239" s="13">
        <f t="shared" si="101"/>
        <v>13851.666666666666</v>
      </c>
      <c r="BV239" s="13">
        <f t="shared" si="102"/>
        <v>636830375</v>
      </c>
      <c r="BW239" s="13">
        <f>SUM($BV$3:BV239)</f>
        <v>198571573368.33337</v>
      </c>
      <c r="BX239" s="13">
        <f>SUM($BT$3:BT239)</f>
        <v>14499556</v>
      </c>
      <c r="BY239" s="3">
        <f t="shared" si="103"/>
        <v>13695.010617451553</v>
      </c>
    </row>
    <row r="240" spans="1:77" x14ac:dyDescent="0.3">
      <c r="A240" s="3" t="s">
        <v>280</v>
      </c>
      <c r="B240" s="3">
        <v>11675</v>
      </c>
      <c r="C240" s="3">
        <v>11645</v>
      </c>
      <c r="D240" s="3">
        <v>11600</v>
      </c>
      <c r="E240" s="3">
        <v>11620</v>
      </c>
      <c r="F240" s="3">
        <v>11675</v>
      </c>
      <c r="G240" s="3">
        <v>11675</v>
      </c>
      <c r="H240" s="3">
        <v>11470</v>
      </c>
      <c r="I240" s="3">
        <v>11455</v>
      </c>
      <c r="J240" s="3">
        <v>11815</v>
      </c>
      <c r="K240" s="3">
        <v>11805</v>
      </c>
      <c r="L240" s="3">
        <v>12035</v>
      </c>
      <c r="M240" s="3">
        <v>12025</v>
      </c>
      <c r="N240" s="3">
        <v>12560</v>
      </c>
      <c r="O240" s="3">
        <v>12570</v>
      </c>
      <c r="P240" s="3">
        <v>12695</v>
      </c>
      <c r="Q240" s="3">
        <v>12705</v>
      </c>
      <c r="R240" s="3">
        <v>12490</v>
      </c>
      <c r="S240" s="3">
        <v>12490</v>
      </c>
      <c r="T240" s="3">
        <v>12285</v>
      </c>
      <c r="U240" s="3">
        <v>12280</v>
      </c>
      <c r="V240" s="3">
        <v>12745</v>
      </c>
      <c r="W240" s="3">
        <v>12750</v>
      </c>
      <c r="X240" s="3">
        <v>12455</v>
      </c>
      <c r="Y240" s="3">
        <v>12450</v>
      </c>
      <c r="Z240" s="3">
        <v>12730</v>
      </c>
      <c r="AA240" s="3">
        <v>12725</v>
      </c>
      <c r="AB240" s="3">
        <v>13255</v>
      </c>
      <c r="AC240" s="3">
        <v>13260</v>
      </c>
      <c r="AD240" s="3">
        <v>13230</v>
      </c>
      <c r="AE240" s="3">
        <v>13240</v>
      </c>
      <c r="AF240" s="3">
        <v>13855</v>
      </c>
      <c r="AG240" s="3">
        <v>13855</v>
      </c>
      <c r="AH240" s="3">
        <v>13915</v>
      </c>
      <c r="AI240" s="3">
        <v>13895</v>
      </c>
      <c r="AJ240" s="3">
        <v>13635</v>
      </c>
      <c r="AK240" s="3">
        <v>13645</v>
      </c>
      <c r="AL240" s="3">
        <v>13630</v>
      </c>
      <c r="AM240" s="3">
        <v>13660</v>
      </c>
      <c r="AN240" s="3">
        <v>13465</v>
      </c>
      <c r="AO240" s="3">
        <v>13470</v>
      </c>
      <c r="AP240" s="3">
        <v>13475</v>
      </c>
      <c r="AQ240" s="3">
        <v>13475</v>
      </c>
      <c r="AR240" s="4">
        <f t="shared" si="104"/>
        <v>9.9739809193408746E-3</v>
      </c>
      <c r="AS240" s="4">
        <f t="shared" si="81"/>
        <v>6.0606060606060996E-3</v>
      </c>
      <c r="AT240" s="4">
        <f t="shared" si="82"/>
        <v>2.7728873239436513E-2</v>
      </c>
      <c r="AU240" s="4">
        <f t="shared" si="83"/>
        <v>2.7589134125636683E-2</v>
      </c>
      <c r="AV240" s="4">
        <f t="shared" si="84"/>
        <v>9.8374679213002469E-3</v>
      </c>
      <c r="AW240" s="4">
        <f t="shared" si="85"/>
        <v>1.3912310286677831E-2</v>
      </c>
      <c r="AX240" s="4">
        <f t="shared" si="86"/>
        <v>3.755674783326457E-2</v>
      </c>
      <c r="AY240" s="4">
        <f t="shared" si="87"/>
        <v>5.8685446009389963E-3</v>
      </c>
      <c r="AZ240" s="4">
        <f t="shared" si="88"/>
        <v>4.3842168194500042E-3</v>
      </c>
      <c r="BA240" s="4">
        <f t="shared" si="89"/>
        <v>7.6767676767677262E-3</v>
      </c>
      <c r="BB240" s="4">
        <f t="shared" si="90"/>
        <v>3.3644102148358224E-2</v>
      </c>
      <c r="BC240" s="4">
        <f t="shared" si="91"/>
        <v>1.4641867827463351E-2</v>
      </c>
      <c r="BD240" s="4">
        <f t="shared" si="92"/>
        <v>8.9563862928349058E-3</v>
      </c>
      <c r="BE240" s="4">
        <f t="shared" si="93"/>
        <v>2.2753567296567745E-2</v>
      </c>
      <c r="BF240" s="4">
        <f t="shared" si="94"/>
        <v>1.1459129106187849E-2</v>
      </c>
      <c r="BG240" s="4">
        <f t="shared" si="95"/>
        <v>3.8995125609298853E-2</v>
      </c>
      <c r="BH240" s="4">
        <f t="shared" si="96"/>
        <v>1.0783608914449738E-3</v>
      </c>
      <c r="BI240" s="4">
        <f t="shared" si="97"/>
        <v>1.6576576576576629E-2</v>
      </c>
      <c r="BJ240" s="4">
        <f t="shared" si="98"/>
        <v>4.3731778425656342E-3</v>
      </c>
      <c r="BK240" s="4">
        <f t="shared" si="99"/>
        <v>1.5710632078918541E-2</v>
      </c>
      <c r="BL240" s="4">
        <f t="shared" si="100"/>
        <v>1.4864362690449884E-3</v>
      </c>
      <c r="BM240" s="4">
        <f t="shared" si="105"/>
        <v>1.657640865967791E-2</v>
      </c>
      <c r="BN240" s="9">
        <f t="shared" si="106"/>
        <v>13678.035578515965</v>
      </c>
      <c r="BO240" s="10">
        <f t="shared" si="107"/>
        <v>13104.119354609791</v>
      </c>
      <c r="BP240">
        <v>13855</v>
      </c>
      <c r="BQ240">
        <v>13865</v>
      </c>
      <c r="BR240">
        <v>13850</v>
      </c>
      <c r="BS240">
        <v>13855</v>
      </c>
      <c r="BT240">
        <v>62693</v>
      </c>
      <c r="BU240" s="13">
        <f t="shared" si="101"/>
        <v>13856.666666666666</v>
      </c>
      <c r="BV240" s="13">
        <f t="shared" si="102"/>
        <v>868716003.33333325</v>
      </c>
      <c r="BW240" s="13">
        <f>SUM($BV$3:BV240)</f>
        <v>199440289371.66672</v>
      </c>
      <c r="BX240" s="13">
        <f>SUM($BT$3:BT240)</f>
        <v>14562249</v>
      </c>
      <c r="BY240" s="3">
        <f t="shared" si="103"/>
        <v>13695.706574696444</v>
      </c>
    </row>
    <row r="241" spans="1:77" x14ac:dyDescent="0.3">
      <c r="A241" s="3" t="s">
        <v>281</v>
      </c>
      <c r="B241" s="3">
        <v>11645</v>
      </c>
      <c r="C241" s="3">
        <v>11630</v>
      </c>
      <c r="D241" s="3">
        <v>11620</v>
      </c>
      <c r="E241" s="3">
        <v>11635</v>
      </c>
      <c r="F241" s="3">
        <v>11675</v>
      </c>
      <c r="G241" s="3">
        <v>11670</v>
      </c>
      <c r="H241" s="3">
        <v>11455</v>
      </c>
      <c r="I241" s="3">
        <v>11470</v>
      </c>
      <c r="J241" s="3">
        <v>11810</v>
      </c>
      <c r="K241" s="3">
        <v>11810</v>
      </c>
      <c r="L241" s="3">
        <v>12025</v>
      </c>
      <c r="M241" s="3">
        <v>12025</v>
      </c>
      <c r="N241" s="3">
        <v>12570</v>
      </c>
      <c r="O241" s="3">
        <v>12560</v>
      </c>
      <c r="P241" s="3">
        <v>12705</v>
      </c>
      <c r="Q241" s="3">
        <v>12710</v>
      </c>
      <c r="R241" s="3">
        <v>12490</v>
      </c>
      <c r="S241" s="3">
        <v>12490</v>
      </c>
      <c r="T241" s="3">
        <v>12285</v>
      </c>
      <c r="U241" s="3">
        <v>12280</v>
      </c>
      <c r="V241" s="3">
        <v>12755</v>
      </c>
      <c r="W241" s="3">
        <v>12740</v>
      </c>
      <c r="X241" s="3">
        <v>12450</v>
      </c>
      <c r="Y241" s="3">
        <v>12470</v>
      </c>
      <c r="Z241" s="3">
        <v>12730</v>
      </c>
      <c r="AA241" s="3">
        <v>12725</v>
      </c>
      <c r="AB241" s="3">
        <v>13255</v>
      </c>
      <c r="AC241" s="3">
        <v>13255</v>
      </c>
      <c r="AD241" s="3">
        <v>13235</v>
      </c>
      <c r="AE241" s="3">
        <v>13235</v>
      </c>
      <c r="AF241" s="3">
        <v>13855</v>
      </c>
      <c r="AG241" s="3">
        <v>13855</v>
      </c>
      <c r="AH241" s="3">
        <v>13895</v>
      </c>
      <c r="AI241" s="3">
        <v>13915</v>
      </c>
      <c r="AJ241" s="3">
        <v>13640</v>
      </c>
      <c r="AK241" s="3">
        <v>13630</v>
      </c>
      <c r="AL241" s="3">
        <v>13660</v>
      </c>
      <c r="AM241" s="3">
        <v>13660</v>
      </c>
      <c r="AN241" s="3">
        <v>13475</v>
      </c>
      <c r="AO241" s="3">
        <v>13470</v>
      </c>
      <c r="AP241" s="3">
        <v>13475</v>
      </c>
      <c r="AQ241" s="3">
        <v>13485</v>
      </c>
      <c r="AR241" s="4">
        <f t="shared" si="104"/>
        <v>8.6730268863832727E-3</v>
      </c>
      <c r="AS241" s="4">
        <f t="shared" si="81"/>
        <v>7.3593073593074543E-3</v>
      </c>
      <c r="AT241" s="4">
        <f t="shared" si="82"/>
        <v>2.7288732394366244E-2</v>
      </c>
      <c r="AU241" s="4">
        <f t="shared" si="83"/>
        <v>2.6315789473684181E-2</v>
      </c>
      <c r="AV241" s="4">
        <f t="shared" si="84"/>
        <v>1.0265183917878451E-2</v>
      </c>
      <c r="AW241" s="4">
        <f t="shared" si="85"/>
        <v>1.3912310286677831E-2</v>
      </c>
      <c r="AX241" s="4">
        <f t="shared" si="86"/>
        <v>3.6731324803962018E-2</v>
      </c>
      <c r="AY241" s="4">
        <f t="shared" si="87"/>
        <v>5.4773082942096707E-3</v>
      </c>
      <c r="AZ241" s="4">
        <f t="shared" si="88"/>
        <v>4.3842168194500042E-3</v>
      </c>
      <c r="BA241" s="4">
        <f t="shared" si="89"/>
        <v>7.6767676767677262E-3</v>
      </c>
      <c r="BB241" s="4">
        <f t="shared" si="90"/>
        <v>3.2833400891771447E-2</v>
      </c>
      <c r="BC241" s="4">
        <f t="shared" si="91"/>
        <v>1.3058963197467355E-2</v>
      </c>
      <c r="BD241" s="4">
        <f t="shared" si="92"/>
        <v>8.9563862928349058E-3</v>
      </c>
      <c r="BE241" s="4">
        <f t="shared" si="93"/>
        <v>2.2367913613575041E-2</v>
      </c>
      <c r="BF241" s="4">
        <f t="shared" si="94"/>
        <v>1.1077158135981646E-2</v>
      </c>
      <c r="BG241" s="4">
        <f t="shared" si="95"/>
        <v>3.8995125609298853E-2</v>
      </c>
      <c r="BH241" s="4">
        <f t="shared" si="96"/>
        <v>3.5945363048162093E-4</v>
      </c>
      <c r="BI241" s="4">
        <f t="shared" si="97"/>
        <v>1.7657657657657699E-2</v>
      </c>
      <c r="BJ241" s="4">
        <f t="shared" si="98"/>
        <v>4.3731778425656342E-3</v>
      </c>
      <c r="BK241" s="4">
        <f t="shared" si="99"/>
        <v>1.5710632078918541E-2</v>
      </c>
      <c r="BL241" s="4">
        <f t="shared" si="100"/>
        <v>2.2296544035673715E-3</v>
      </c>
      <c r="BM241" s="4">
        <f t="shared" si="105"/>
        <v>1.6264625939852426E-2</v>
      </c>
      <c r="BN241" s="9">
        <f t="shared" si="106"/>
        <v>13673.840542020715</v>
      </c>
      <c r="BO241" s="10">
        <f t="shared" si="107"/>
        <v>13108.273859351466</v>
      </c>
      <c r="BP241">
        <v>13855</v>
      </c>
      <c r="BQ241">
        <v>13860</v>
      </c>
      <c r="BR241">
        <v>13845</v>
      </c>
      <c r="BS241">
        <v>13855</v>
      </c>
      <c r="BT241">
        <v>7756</v>
      </c>
      <c r="BU241" s="13">
        <f t="shared" si="101"/>
        <v>13853.333333333334</v>
      </c>
      <c r="BV241" s="13">
        <f t="shared" si="102"/>
        <v>107446453.33333334</v>
      </c>
      <c r="BW241" s="13">
        <f>SUM($BV$3:BV241)</f>
        <v>199547735825.00006</v>
      </c>
      <c r="BX241" s="13">
        <f>SUM($BT$3:BT241)</f>
        <v>14570005</v>
      </c>
      <c r="BY241" s="3">
        <f t="shared" si="103"/>
        <v>13695.790483599701</v>
      </c>
    </row>
    <row r="242" spans="1:77" x14ac:dyDescent="0.3">
      <c r="A242" s="3" t="s">
        <v>282</v>
      </c>
      <c r="B242" s="3">
        <v>11630</v>
      </c>
      <c r="C242" s="3">
        <v>11635</v>
      </c>
      <c r="D242" s="3">
        <v>11635</v>
      </c>
      <c r="E242" s="3">
        <v>11630</v>
      </c>
      <c r="F242" s="3">
        <v>11670</v>
      </c>
      <c r="G242" s="3">
        <v>11670</v>
      </c>
      <c r="H242" s="3">
        <v>11470</v>
      </c>
      <c r="I242" s="3">
        <v>11485</v>
      </c>
      <c r="J242" s="3">
        <v>11815</v>
      </c>
      <c r="K242" s="3">
        <v>11835</v>
      </c>
      <c r="L242" s="3">
        <v>12025</v>
      </c>
      <c r="M242" s="3">
        <v>12025</v>
      </c>
      <c r="N242" s="3">
        <v>12560</v>
      </c>
      <c r="O242" s="3">
        <v>12560</v>
      </c>
      <c r="P242" s="3">
        <v>12710</v>
      </c>
      <c r="Q242" s="3">
        <v>12705</v>
      </c>
      <c r="R242" s="3">
        <v>12490</v>
      </c>
      <c r="S242" s="3">
        <v>12485</v>
      </c>
      <c r="T242" s="3">
        <v>12280</v>
      </c>
      <c r="U242" s="3">
        <v>12275</v>
      </c>
      <c r="V242" s="3">
        <v>12745</v>
      </c>
      <c r="W242" s="3">
        <v>12755</v>
      </c>
      <c r="X242" s="3">
        <v>12470</v>
      </c>
      <c r="Y242" s="3">
        <v>12485</v>
      </c>
      <c r="Z242" s="3">
        <v>12720</v>
      </c>
      <c r="AA242" s="3">
        <v>12725</v>
      </c>
      <c r="AB242" s="3">
        <v>13255</v>
      </c>
      <c r="AC242" s="3">
        <v>13255</v>
      </c>
      <c r="AD242" s="3">
        <v>13240</v>
      </c>
      <c r="AE242" s="3">
        <v>13245</v>
      </c>
      <c r="AF242" s="3">
        <v>13860</v>
      </c>
      <c r="AG242" s="3">
        <v>13860</v>
      </c>
      <c r="AH242" s="3">
        <v>13915</v>
      </c>
      <c r="AI242" s="3">
        <v>13845</v>
      </c>
      <c r="AJ242" s="3">
        <v>13625</v>
      </c>
      <c r="AK242" s="3">
        <v>13660</v>
      </c>
      <c r="AL242" s="3">
        <v>13660</v>
      </c>
      <c r="AM242" s="3">
        <v>13650</v>
      </c>
      <c r="AN242" s="3">
        <v>13475</v>
      </c>
      <c r="AO242" s="3">
        <v>13480</v>
      </c>
      <c r="AP242" s="3">
        <v>13480</v>
      </c>
      <c r="AQ242" s="3">
        <v>13475</v>
      </c>
      <c r="AR242" s="4">
        <f t="shared" si="104"/>
        <v>9.1066782307025473E-3</v>
      </c>
      <c r="AS242" s="4">
        <f t="shared" si="81"/>
        <v>6.9264069264070027E-3</v>
      </c>
      <c r="AT242" s="4">
        <f t="shared" si="82"/>
        <v>2.7288732394366244E-2</v>
      </c>
      <c r="AU242" s="4">
        <f t="shared" si="83"/>
        <v>2.5042444821731791E-2</v>
      </c>
      <c r="AV242" s="4">
        <f t="shared" si="84"/>
        <v>1.2403763900769915E-2</v>
      </c>
      <c r="AW242" s="4">
        <f t="shared" si="85"/>
        <v>1.3912310286677831E-2</v>
      </c>
      <c r="AX242" s="4">
        <f t="shared" si="86"/>
        <v>3.6731324803962018E-2</v>
      </c>
      <c r="AY242" s="4">
        <f t="shared" si="87"/>
        <v>5.8685446009389963E-3</v>
      </c>
      <c r="AZ242" s="4">
        <f t="shared" si="88"/>
        <v>4.7827819848544895E-3</v>
      </c>
      <c r="BA242" s="4">
        <f t="shared" si="89"/>
        <v>8.0808080808081328E-3</v>
      </c>
      <c r="BB242" s="4">
        <f t="shared" si="90"/>
        <v>3.4049452776651723E-2</v>
      </c>
      <c r="BC242" s="4">
        <f t="shared" si="91"/>
        <v>1.1871784724970302E-2</v>
      </c>
      <c r="BD242" s="4">
        <f t="shared" si="92"/>
        <v>8.9563862928349058E-3</v>
      </c>
      <c r="BE242" s="4">
        <f t="shared" si="93"/>
        <v>2.2367913613575041E-2</v>
      </c>
      <c r="BF242" s="4">
        <f t="shared" si="94"/>
        <v>1.1841100076394273E-2</v>
      </c>
      <c r="BG242" s="4">
        <f t="shared" si="95"/>
        <v>3.937007874015741E-2</v>
      </c>
      <c r="BH242" s="4">
        <f t="shared" si="96"/>
        <v>4.6728971962616273E-3</v>
      </c>
      <c r="BI242" s="4">
        <f t="shared" si="97"/>
        <v>1.5495495495495448E-2</v>
      </c>
      <c r="BJ242" s="4">
        <f t="shared" si="98"/>
        <v>5.1020408163264808E-3</v>
      </c>
      <c r="BK242" s="4">
        <f t="shared" si="99"/>
        <v>1.4979905005480409E-2</v>
      </c>
      <c r="BL242" s="4">
        <f t="shared" si="100"/>
        <v>1.4864362690449884E-3</v>
      </c>
      <c r="BM242" s="4">
        <f t="shared" si="105"/>
        <v>1.6437411091781619E-2</v>
      </c>
      <c r="BN242" s="9">
        <f t="shared" si="106"/>
        <v>13676.16536623992</v>
      </c>
      <c r="BO242" s="10">
        <f t="shared" si="107"/>
        <v>13105.97149720201</v>
      </c>
      <c r="BP242">
        <v>13860</v>
      </c>
      <c r="BQ242">
        <v>13870</v>
      </c>
      <c r="BR242">
        <v>13850</v>
      </c>
      <c r="BS242">
        <v>13860</v>
      </c>
      <c r="BT242">
        <v>62996</v>
      </c>
      <c r="BU242" s="13">
        <f t="shared" si="101"/>
        <v>13860</v>
      </c>
      <c r="BV242" s="13">
        <f t="shared" si="102"/>
        <v>873124560</v>
      </c>
      <c r="BW242" s="13">
        <f>SUM($BV$3:BV242)</f>
        <v>200420860385.00006</v>
      </c>
      <c r="BX242" s="13">
        <f>SUM($BT$3:BT242)</f>
        <v>14633001</v>
      </c>
      <c r="BY242" s="3">
        <f t="shared" si="103"/>
        <v>13696.497416011935</v>
      </c>
    </row>
    <row r="243" spans="1:77" x14ac:dyDescent="0.3">
      <c r="A243" s="3" t="s">
        <v>283</v>
      </c>
      <c r="B243" s="3">
        <v>11635</v>
      </c>
      <c r="C243" s="3">
        <v>11635</v>
      </c>
      <c r="D243" s="3">
        <v>11630</v>
      </c>
      <c r="E243" s="3">
        <v>11625</v>
      </c>
      <c r="F243" s="3">
        <v>11670</v>
      </c>
      <c r="G243" s="3">
        <v>11670</v>
      </c>
      <c r="H243" s="3">
        <v>11485</v>
      </c>
      <c r="I243" s="3">
        <v>11495</v>
      </c>
      <c r="J243" s="3">
        <v>11835</v>
      </c>
      <c r="K243" s="3">
        <v>11825</v>
      </c>
      <c r="L243" s="3">
        <v>12025</v>
      </c>
      <c r="M243" s="3">
        <v>12020</v>
      </c>
      <c r="N243" s="3">
        <v>12560</v>
      </c>
      <c r="O243" s="3">
        <v>12560</v>
      </c>
      <c r="P243" s="3">
        <v>12705</v>
      </c>
      <c r="Q243" s="3">
        <v>12695</v>
      </c>
      <c r="R243" s="3">
        <v>12485</v>
      </c>
      <c r="S243" s="3">
        <v>12495</v>
      </c>
      <c r="T243" s="3">
        <v>12275</v>
      </c>
      <c r="U243" s="3">
        <v>12285</v>
      </c>
      <c r="V243" s="3">
        <v>12755</v>
      </c>
      <c r="W243" s="3">
        <v>12750</v>
      </c>
      <c r="X243" s="3">
        <v>12485</v>
      </c>
      <c r="Y243" s="3">
        <v>12480</v>
      </c>
      <c r="Z243" s="3">
        <v>12720</v>
      </c>
      <c r="AA243" s="3">
        <v>12725</v>
      </c>
      <c r="AB243" s="3">
        <v>13255</v>
      </c>
      <c r="AC243" s="3">
        <v>13255</v>
      </c>
      <c r="AD243" s="3">
        <v>13245</v>
      </c>
      <c r="AE243" s="3">
        <v>13250</v>
      </c>
      <c r="AF243" s="3">
        <v>13860</v>
      </c>
      <c r="AG243" s="3">
        <v>13885</v>
      </c>
      <c r="AH243" s="3">
        <v>13850</v>
      </c>
      <c r="AI243" s="3">
        <v>13790</v>
      </c>
      <c r="AJ243" s="3">
        <v>13665</v>
      </c>
      <c r="AK243" s="3">
        <v>13700</v>
      </c>
      <c r="AL243" s="3">
        <v>13650</v>
      </c>
      <c r="AM243" s="3">
        <v>13660</v>
      </c>
      <c r="AN243" s="3">
        <v>13480</v>
      </c>
      <c r="AO243" s="3">
        <v>13465</v>
      </c>
      <c r="AP243" s="3">
        <v>13485</v>
      </c>
      <c r="AQ243" s="3">
        <v>13490</v>
      </c>
      <c r="AR243" s="4">
        <f t="shared" si="104"/>
        <v>9.1066782307025473E-3</v>
      </c>
      <c r="AS243" s="4">
        <f t="shared" si="81"/>
        <v>6.4935064935065512E-3</v>
      </c>
      <c r="AT243" s="4">
        <f t="shared" si="82"/>
        <v>2.7288732394366244E-2</v>
      </c>
      <c r="AU243" s="4">
        <f t="shared" si="83"/>
        <v>2.4193548387096753E-2</v>
      </c>
      <c r="AV243" s="4">
        <f t="shared" si="84"/>
        <v>1.1548331907613285E-2</v>
      </c>
      <c r="AW243" s="4">
        <f t="shared" si="85"/>
        <v>1.3490725126475533E-2</v>
      </c>
      <c r="AX243" s="4">
        <f t="shared" si="86"/>
        <v>3.6731324803962018E-2</v>
      </c>
      <c r="AY243" s="4">
        <f t="shared" si="87"/>
        <v>6.6510172143975366E-3</v>
      </c>
      <c r="AZ243" s="4">
        <f t="shared" si="88"/>
        <v>3.9856516540454079E-3</v>
      </c>
      <c r="BA243" s="4">
        <f t="shared" si="89"/>
        <v>7.2727272727273196E-3</v>
      </c>
      <c r="BB243" s="4">
        <f t="shared" si="90"/>
        <v>3.3644102148358224E-2</v>
      </c>
      <c r="BC243" s="4">
        <f t="shared" si="91"/>
        <v>1.2267510882469357E-2</v>
      </c>
      <c r="BD243" s="4">
        <f t="shared" si="92"/>
        <v>8.9563862928349058E-3</v>
      </c>
      <c r="BE243" s="4">
        <f t="shared" si="93"/>
        <v>2.2367913613575041E-2</v>
      </c>
      <c r="BF243" s="4">
        <f t="shared" si="94"/>
        <v>1.2223071046600475E-2</v>
      </c>
      <c r="BG243" s="4">
        <f t="shared" si="95"/>
        <v>4.1244844394450642E-2</v>
      </c>
      <c r="BH243" s="4">
        <f t="shared" si="96"/>
        <v>8.6268871315600126E-3</v>
      </c>
      <c r="BI243" s="4">
        <f t="shared" si="97"/>
        <v>1.2612612612612595E-2</v>
      </c>
      <c r="BJ243" s="4">
        <f t="shared" si="98"/>
        <v>4.3731778425656342E-3</v>
      </c>
      <c r="BK243" s="4">
        <f t="shared" si="99"/>
        <v>1.6075995615637551E-2</v>
      </c>
      <c r="BL243" s="4">
        <f t="shared" si="100"/>
        <v>2.6012634708287852E-3</v>
      </c>
      <c r="BM243" s="4">
        <f t="shared" si="105"/>
        <v>1.6222467802716332E-2</v>
      </c>
      <c r="BN243" s="9">
        <f t="shared" si="106"/>
        <v>13673.273304285547</v>
      </c>
      <c r="BO243" s="10">
        <f t="shared" si="107"/>
        <v>13108.835616528806</v>
      </c>
      <c r="BP243">
        <v>13860</v>
      </c>
      <c r="BQ243">
        <v>13890</v>
      </c>
      <c r="BR243">
        <v>13860</v>
      </c>
      <c r="BS243">
        <v>13885</v>
      </c>
      <c r="BT243">
        <v>143781</v>
      </c>
      <c r="BU243" s="13">
        <f t="shared" si="101"/>
        <v>13878.333333333334</v>
      </c>
      <c r="BV243" s="13">
        <f t="shared" si="102"/>
        <v>1995440645</v>
      </c>
      <c r="BW243" s="13">
        <f>SUM($BV$3:BV243)</f>
        <v>202416301030.00006</v>
      </c>
      <c r="BX243" s="13">
        <f>SUM($BT$3:BT243)</f>
        <v>14776782</v>
      </c>
      <c r="BY243" s="3">
        <f t="shared" si="103"/>
        <v>13698.26671531055</v>
      </c>
    </row>
    <row r="244" spans="1:77" x14ac:dyDescent="0.3">
      <c r="A244" s="3" t="s">
        <v>284</v>
      </c>
      <c r="B244" s="3">
        <v>11635</v>
      </c>
      <c r="C244" s="3">
        <v>11640</v>
      </c>
      <c r="D244" s="3">
        <v>11625</v>
      </c>
      <c r="E244" s="3">
        <v>11635</v>
      </c>
      <c r="F244" s="3">
        <v>11670</v>
      </c>
      <c r="G244" s="3">
        <v>11665</v>
      </c>
      <c r="H244" s="3">
        <v>11495</v>
      </c>
      <c r="I244" s="3">
        <v>11490</v>
      </c>
      <c r="J244" s="3">
        <v>11835</v>
      </c>
      <c r="K244" s="3">
        <v>11830</v>
      </c>
      <c r="L244" s="3">
        <v>12020</v>
      </c>
      <c r="M244" s="3">
        <v>12010</v>
      </c>
      <c r="N244" s="3">
        <v>12560</v>
      </c>
      <c r="O244" s="3">
        <v>12565</v>
      </c>
      <c r="P244" s="3">
        <v>12700</v>
      </c>
      <c r="Q244" s="3">
        <v>12705</v>
      </c>
      <c r="R244" s="3">
        <v>12500</v>
      </c>
      <c r="S244" s="3">
        <v>12490</v>
      </c>
      <c r="T244" s="3">
        <v>12285</v>
      </c>
      <c r="U244" s="3">
        <v>12290</v>
      </c>
      <c r="V244" s="3">
        <v>12750</v>
      </c>
      <c r="W244" s="3">
        <v>12765</v>
      </c>
      <c r="X244" s="3">
        <v>12480</v>
      </c>
      <c r="Y244" s="3">
        <v>12490</v>
      </c>
      <c r="Z244" s="3">
        <v>12725</v>
      </c>
      <c r="AA244" s="3">
        <v>12730</v>
      </c>
      <c r="AB244" s="3">
        <v>13255</v>
      </c>
      <c r="AC244" s="3">
        <v>13255</v>
      </c>
      <c r="AD244" s="3">
        <v>13250</v>
      </c>
      <c r="AE244" s="3">
        <v>13255</v>
      </c>
      <c r="AF244" s="3">
        <v>13890</v>
      </c>
      <c r="AG244" s="3">
        <v>13870</v>
      </c>
      <c r="AH244" s="3">
        <v>13790</v>
      </c>
      <c r="AI244" s="3">
        <v>13785</v>
      </c>
      <c r="AJ244" s="3">
        <v>13700</v>
      </c>
      <c r="AK244" s="3">
        <v>13675</v>
      </c>
      <c r="AL244" s="3">
        <v>13660</v>
      </c>
      <c r="AM244" s="3">
        <v>13650</v>
      </c>
      <c r="AN244" s="3">
        <v>13465</v>
      </c>
      <c r="AO244" s="3">
        <v>13460</v>
      </c>
      <c r="AP244" s="3">
        <v>13495</v>
      </c>
      <c r="AQ244" s="3">
        <v>13500</v>
      </c>
      <c r="AR244" s="4">
        <f t="shared" si="104"/>
        <v>9.5403295750216E-3</v>
      </c>
      <c r="AS244" s="4">
        <f t="shared" si="81"/>
        <v>7.3593073593074543E-3</v>
      </c>
      <c r="AT244" s="4">
        <f t="shared" si="82"/>
        <v>2.6848591549295753E-2</v>
      </c>
      <c r="AU244" s="4">
        <f t="shared" si="83"/>
        <v>2.4617996604414216E-2</v>
      </c>
      <c r="AV244" s="4">
        <f t="shared" si="84"/>
        <v>1.1976047904191711E-2</v>
      </c>
      <c r="AW244" s="4">
        <f t="shared" si="85"/>
        <v>1.2647554806070715E-2</v>
      </c>
      <c r="AX244" s="4">
        <f t="shared" si="86"/>
        <v>3.7144036318613294E-2</v>
      </c>
      <c r="AY244" s="4">
        <f t="shared" si="87"/>
        <v>5.8685446009389963E-3</v>
      </c>
      <c r="AZ244" s="4">
        <f t="shared" si="88"/>
        <v>4.3842168194500042E-3</v>
      </c>
      <c r="BA244" s="4">
        <f t="shared" si="89"/>
        <v>6.8686868686869129E-3</v>
      </c>
      <c r="BB244" s="4">
        <f t="shared" si="90"/>
        <v>3.4860154033238722E-2</v>
      </c>
      <c r="BC244" s="4">
        <f t="shared" si="91"/>
        <v>1.1476058567471359E-2</v>
      </c>
      <c r="BD244" s="4">
        <f t="shared" si="92"/>
        <v>8.5669781931464462E-3</v>
      </c>
      <c r="BE244" s="4">
        <f t="shared" si="93"/>
        <v>2.2367913613575041E-2</v>
      </c>
      <c r="BF244" s="4">
        <f t="shared" si="94"/>
        <v>1.2605042016806678E-2</v>
      </c>
      <c r="BG244" s="4">
        <f t="shared" si="95"/>
        <v>4.0119985001874747E-2</v>
      </c>
      <c r="BH244" s="4">
        <f t="shared" si="96"/>
        <v>8.9863407620417446E-3</v>
      </c>
      <c r="BI244" s="4">
        <f t="shared" si="97"/>
        <v>1.4414414414414378E-2</v>
      </c>
      <c r="BJ244" s="4">
        <f t="shared" si="98"/>
        <v>5.1020408163264808E-3</v>
      </c>
      <c r="BK244" s="4">
        <f t="shared" si="99"/>
        <v>1.6441359152356561E-2</v>
      </c>
      <c r="BL244" s="4">
        <f t="shared" si="100"/>
        <v>3.3444816053511683E-3</v>
      </c>
      <c r="BM244" s="4">
        <f t="shared" si="105"/>
        <v>1.6256509232514808E-2</v>
      </c>
      <c r="BN244" s="9">
        <f t="shared" si="106"/>
        <v>13673.731331723488</v>
      </c>
      <c r="BO244" s="10">
        <f t="shared" si="107"/>
        <v>13108.382014476741</v>
      </c>
      <c r="BP244">
        <v>13890</v>
      </c>
      <c r="BQ244">
        <v>13890</v>
      </c>
      <c r="BR244">
        <v>13860</v>
      </c>
      <c r="BS244">
        <v>13870</v>
      </c>
      <c r="BT244">
        <v>35667</v>
      </c>
      <c r="BU244" s="13">
        <f t="shared" si="101"/>
        <v>13873.333333333334</v>
      </c>
      <c r="BV244" s="13">
        <f t="shared" si="102"/>
        <v>494820180</v>
      </c>
      <c r="BW244" s="13">
        <f>SUM($BV$3:BV244)</f>
        <v>202911121210.00006</v>
      </c>
      <c r="BX244" s="13">
        <f>SUM($BT$3:BT244)</f>
        <v>14812449</v>
      </c>
      <c r="BY244" s="3">
        <f t="shared" si="103"/>
        <v>13698.688259449877</v>
      </c>
    </row>
    <row r="245" spans="1:77" x14ac:dyDescent="0.3">
      <c r="A245" s="3" t="s">
        <v>285</v>
      </c>
      <c r="B245" s="3">
        <v>11645</v>
      </c>
      <c r="C245" s="3">
        <v>11645</v>
      </c>
      <c r="D245" s="3">
        <v>11635</v>
      </c>
      <c r="E245" s="3">
        <v>11630</v>
      </c>
      <c r="F245" s="3">
        <v>11665</v>
      </c>
      <c r="G245" s="3">
        <v>11665</v>
      </c>
      <c r="H245" s="3">
        <v>11490</v>
      </c>
      <c r="I245" s="3">
        <v>11490</v>
      </c>
      <c r="J245" s="3">
        <v>11830</v>
      </c>
      <c r="K245" s="3">
        <v>11835</v>
      </c>
      <c r="L245" s="3">
        <v>12010</v>
      </c>
      <c r="M245" s="3">
        <v>12010</v>
      </c>
      <c r="N245" s="3">
        <v>12565</v>
      </c>
      <c r="O245" s="3">
        <v>12565</v>
      </c>
      <c r="P245" s="3">
        <v>12705</v>
      </c>
      <c r="Q245" s="3">
        <v>12710</v>
      </c>
      <c r="R245" s="3">
        <v>12485</v>
      </c>
      <c r="S245" s="3">
        <v>12480</v>
      </c>
      <c r="T245" s="3">
        <v>12290</v>
      </c>
      <c r="U245" s="3">
        <v>12285</v>
      </c>
      <c r="V245" s="3">
        <v>12770</v>
      </c>
      <c r="W245" s="3">
        <v>12775</v>
      </c>
      <c r="X245" s="3">
        <v>12495</v>
      </c>
      <c r="Y245" s="3">
        <v>12500</v>
      </c>
      <c r="Z245" s="3">
        <v>12730</v>
      </c>
      <c r="AA245" s="3">
        <v>12740</v>
      </c>
      <c r="AB245" s="3">
        <v>13255</v>
      </c>
      <c r="AC245" s="3">
        <v>13265</v>
      </c>
      <c r="AD245" s="3">
        <v>13255</v>
      </c>
      <c r="AE245" s="3">
        <v>13250</v>
      </c>
      <c r="AF245" s="3">
        <v>13870</v>
      </c>
      <c r="AG245" s="3">
        <v>13865</v>
      </c>
      <c r="AH245" s="3">
        <v>13785</v>
      </c>
      <c r="AI245" s="3">
        <v>13825</v>
      </c>
      <c r="AJ245" s="3">
        <v>13680</v>
      </c>
      <c r="AK245" s="3">
        <v>13705</v>
      </c>
      <c r="AL245" s="3">
        <v>13650</v>
      </c>
      <c r="AM245" s="3">
        <v>13650</v>
      </c>
      <c r="AN245" s="3">
        <v>13465</v>
      </c>
      <c r="AO245" s="3">
        <v>13450</v>
      </c>
      <c r="AP245" s="3">
        <v>13505</v>
      </c>
      <c r="AQ245" s="3">
        <v>13500</v>
      </c>
      <c r="AR245" s="4">
        <f t="shared" si="104"/>
        <v>9.9739809193408746E-3</v>
      </c>
      <c r="AS245" s="4">
        <f t="shared" si="81"/>
        <v>6.9264069264070027E-3</v>
      </c>
      <c r="AT245" s="4">
        <f t="shared" si="82"/>
        <v>2.6848591549295753E-2</v>
      </c>
      <c r="AU245" s="4">
        <f t="shared" si="83"/>
        <v>2.4617996604414216E-2</v>
      </c>
      <c r="AV245" s="4">
        <f t="shared" si="84"/>
        <v>1.2403763900769915E-2</v>
      </c>
      <c r="AW245" s="4">
        <f t="shared" si="85"/>
        <v>1.2647554806070715E-2</v>
      </c>
      <c r="AX245" s="4">
        <f t="shared" si="86"/>
        <v>3.7144036318613294E-2</v>
      </c>
      <c r="AY245" s="4">
        <f t="shared" si="87"/>
        <v>5.4773082942096707E-3</v>
      </c>
      <c r="AZ245" s="4">
        <f t="shared" si="88"/>
        <v>5.1813471502590858E-3</v>
      </c>
      <c r="BA245" s="4">
        <f t="shared" si="89"/>
        <v>7.2727272727273196E-3</v>
      </c>
      <c r="BB245" s="4">
        <f t="shared" si="90"/>
        <v>3.567085528982572E-2</v>
      </c>
      <c r="BC245" s="4">
        <f t="shared" si="91"/>
        <v>1.068460625247325E-2</v>
      </c>
      <c r="BD245" s="4">
        <f t="shared" si="92"/>
        <v>7.7881619937694158E-3</v>
      </c>
      <c r="BE245" s="4">
        <f t="shared" si="93"/>
        <v>2.3139220979560449E-2</v>
      </c>
      <c r="BF245" s="4">
        <f t="shared" si="94"/>
        <v>1.2223071046600475E-2</v>
      </c>
      <c r="BG245" s="4">
        <f t="shared" si="95"/>
        <v>3.974503187101619E-2</v>
      </c>
      <c r="BH245" s="4">
        <f t="shared" si="96"/>
        <v>6.110711718188333E-3</v>
      </c>
      <c r="BI245" s="4">
        <f t="shared" si="97"/>
        <v>1.2252252252252238E-2</v>
      </c>
      <c r="BJ245" s="4">
        <f t="shared" si="98"/>
        <v>5.1020408163264808E-3</v>
      </c>
      <c r="BK245" s="4">
        <f t="shared" si="99"/>
        <v>1.7172086225794692E-2</v>
      </c>
      <c r="BL245" s="4">
        <f t="shared" si="100"/>
        <v>3.3444816053511683E-3</v>
      </c>
      <c r="BM245" s="4">
        <f t="shared" si="105"/>
        <v>1.6287546313214021E-2</v>
      </c>
      <c r="BN245" s="9">
        <f t="shared" si="106"/>
        <v>13674.148935644294</v>
      </c>
      <c r="BO245" s="10">
        <f t="shared" si="107"/>
        <v>13107.968445376422</v>
      </c>
      <c r="BP245">
        <v>13870</v>
      </c>
      <c r="BQ245">
        <v>13870</v>
      </c>
      <c r="BR245">
        <v>13860</v>
      </c>
      <c r="BS245">
        <v>13865</v>
      </c>
      <c r="BT245">
        <v>11509</v>
      </c>
      <c r="BU245" s="13">
        <f t="shared" si="101"/>
        <v>13865</v>
      </c>
      <c r="BV245" s="13">
        <f t="shared" si="102"/>
        <v>159572285</v>
      </c>
      <c r="BW245" s="13">
        <f>SUM($BV$3:BV245)</f>
        <v>203070693495.00006</v>
      </c>
      <c r="BX245" s="13">
        <f>SUM($BT$3:BT245)</f>
        <v>14823958</v>
      </c>
      <c r="BY245" s="3">
        <f t="shared" si="103"/>
        <v>13698.817380284001</v>
      </c>
    </row>
    <row r="246" spans="1:77" x14ac:dyDescent="0.3">
      <c r="A246" s="3" t="s">
        <v>286</v>
      </c>
      <c r="B246" s="3">
        <v>11645</v>
      </c>
      <c r="C246" s="3">
        <v>11655</v>
      </c>
      <c r="D246" s="3">
        <v>11630</v>
      </c>
      <c r="E246" s="3">
        <v>11610</v>
      </c>
      <c r="F246" s="3">
        <v>11670</v>
      </c>
      <c r="G246" s="3">
        <v>11665</v>
      </c>
      <c r="H246" s="3">
        <v>11490</v>
      </c>
      <c r="I246" s="3">
        <v>11500</v>
      </c>
      <c r="J246" s="3">
        <v>11835</v>
      </c>
      <c r="K246" s="3">
        <v>11835</v>
      </c>
      <c r="L246" s="3">
        <v>12010</v>
      </c>
      <c r="M246" s="3">
        <v>12000</v>
      </c>
      <c r="N246" s="3">
        <v>12565</v>
      </c>
      <c r="O246" s="3">
        <v>12580</v>
      </c>
      <c r="P246" s="3">
        <v>12710</v>
      </c>
      <c r="Q246" s="3">
        <v>12715</v>
      </c>
      <c r="R246" s="3">
        <v>12480</v>
      </c>
      <c r="S246" s="3">
        <v>12485</v>
      </c>
      <c r="T246" s="3">
        <v>12285</v>
      </c>
      <c r="U246" s="3">
        <v>12290</v>
      </c>
      <c r="V246" s="3">
        <v>12775</v>
      </c>
      <c r="W246" s="3">
        <v>12775</v>
      </c>
      <c r="X246" s="3">
        <v>12495</v>
      </c>
      <c r="Y246" s="3">
        <v>12505</v>
      </c>
      <c r="Z246" s="3">
        <v>12740</v>
      </c>
      <c r="AA246" s="3">
        <v>12740</v>
      </c>
      <c r="AB246" s="3">
        <v>13265</v>
      </c>
      <c r="AC246" s="3">
        <v>13260</v>
      </c>
      <c r="AD246" s="3">
        <v>13250</v>
      </c>
      <c r="AE246" s="3">
        <v>13250</v>
      </c>
      <c r="AF246" s="3">
        <v>13865</v>
      </c>
      <c r="AG246" s="3">
        <v>13865</v>
      </c>
      <c r="AH246" s="3">
        <v>13825</v>
      </c>
      <c r="AI246" s="3">
        <v>13825</v>
      </c>
      <c r="AJ246" s="3">
        <v>13710</v>
      </c>
      <c r="AK246" s="3">
        <v>13705</v>
      </c>
      <c r="AL246" s="3">
        <v>13650</v>
      </c>
      <c r="AM246" s="3">
        <v>13660</v>
      </c>
      <c r="AN246" s="3">
        <v>13450</v>
      </c>
      <c r="AO246" s="3">
        <v>13445</v>
      </c>
      <c r="AP246" s="3">
        <v>13500</v>
      </c>
      <c r="AQ246" s="3">
        <v>13495</v>
      </c>
      <c r="AR246" s="4">
        <f t="shared" si="104"/>
        <v>1.0841283607979202E-2</v>
      </c>
      <c r="AS246" s="4">
        <f t="shared" si="81"/>
        <v>5.1948051948051965E-3</v>
      </c>
      <c r="AT246" s="4">
        <f t="shared" si="82"/>
        <v>2.6848591549295753E-2</v>
      </c>
      <c r="AU246" s="4">
        <f t="shared" si="83"/>
        <v>2.3769100169779289E-2</v>
      </c>
      <c r="AV246" s="4">
        <f t="shared" si="84"/>
        <v>1.2403763900769915E-2</v>
      </c>
      <c r="AW246" s="4">
        <f t="shared" si="85"/>
        <v>1.180438448566612E-2</v>
      </c>
      <c r="AX246" s="4">
        <f t="shared" si="86"/>
        <v>3.8382170862567122E-2</v>
      </c>
      <c r="AY246" s="4">
        <f t="shared" si="87"/>
        <v>5.0860719874804561E-3</v>
      </c>
      <c r="AZ246" s="4">
        <f t="shared" si="88"/>
        <v>4.7827819848544895E-3</v>
      </c>
      <c r="BA246" s="4">
        <f t="shared" si="89"/>
        <v>6.8686868686869129E-3</v>
      </c>
      <c r="BB246" s="4">
        <f t="shared" si="90"/>
        <v>3.567085528982572E-2</v>
      </c>
      <c r="BC246" s="4">
        <f t="shared" si="91"/>
        <v>1.0288880094974306E-2</v>
      </c>
      <c r="BD246" s="4">
        <f t="shared" si="92"/>
        <v>7.7881619937694158E-3</v>
      </c>
      <c r="BE246" s="4">
        <f t="shared" si="93"/>
        <v>2.2753567296567745E-2</v>
      </c>
      <c r="BF246" s="4">
        <f t="shared" si="94"/>
        <v>1.2223071046600475E-2</v>
      </c>
      <c r="BG246" s="4">
        <f t="shared" si="95"/>
        <v>3.974503187101619E-2</v>
      </c>
      <c r="BH246" s="4">
        <f t="shared" si="96"/>
        <v>6.110711718188333E-3</v>
      </c>
      <c r="BI246" s="4">
        <f t="shared" si="97"/>
        <v>1.2252252252252238E-2</v>
      </c>
      <c r="BJ246" s="4">
        <f t="shared" si="98"/>
        <v>4.3731778425656342E-3</v>
      </c>
      <c r="BK246" s="4">
        <f t="shared" si="99"/>
        <v>1.7537449762513702E-2</v>
      </c>
      <c r="BL246" s="4">
        <f t="shared" si="100"/>
        <v>2.9728725380899768E-3</v>
      </c>
      <c r="BM246" s="4">
        <f t="shared" si="105"/>
        <v>1.5990349480403065E-2</v>
      </c>
      <c r="BN246" s="9">
        <f t="shared" si="106"/>
        <v>13670.150152258822</v>
      </c>
      <c r="BO246" s="10">
        <f t="shared" si="107"/>
        <v>13111.92859317363</v>
      </c>
      <c r="BP246">
        <v>13865</v>
      </c>
      <c r="BQ246">
        <v>13875</v>
      </c>
      <c r="BR246">
        <v>13865</v>
      </c>
      <c r="BS246">
        <v>13865</v>
      </c>
      <c r="BT246">
        <v>26360</v>
      </c>
      <c r="BU246" s="13">
        <f t="shared" si="101"/>
        <v>13868.333333333334</v>
      </c>
      <c r="BV246" s="13">
        <f t="shared" si="102"/>
        <v>365569266.66666669</v>
      </c>
      <c r="BW246" s="13">
        <f>SUM($BV$3:BV246)</f>
        <v>203436262761.66672</v>
      </c>
      <c r="BX246" s="13">
        <f>SUM($BT$3:BT246)</f>
        <v>14850318</v>
      </c>
      <c r="BY246" s="3">
        <f t="shared" si="103"/>
        <v>13699.118278926197</v>
      </c>
    </row>
    <row r="247" spans="1:77" x14ac:dyDescent="0.3">
      <c r="A247" s="3" t="s">
        <v>287</v>
      </c>
      <c r="B247" s="3">
        <v>11655</v>
      </c>
      <c r="C247" s="3">
        <v>11655</v>
      </c>
      <c r="D247" s="3">
        <v>11610</v>
      </c>
      <c r="E247" s="3">
        <v>11605</v>
      </c>
      <c r="F247" s="3">
        <v>11665</v>
      </c>
      <c r="G247" s="3">
        <v>11665</v>
      </c>
      <c r="H247" s="3">
        <v>11500</v>
      </c>
      <c r="I247" s="3">
        <v>11500</v>
      </c>
      <c r="J247" s="3">
        <v>11835</v>
      </c>
      <c r="K247" s="3">
        <v>11840</v>
      </c>
      <c r="L247" s="3">
        <v>12000</v>
      </c>
      <c r="M247" s="3">
        <v>11995</v>
      </c>
      <c r="N247" s="3">
        <v>12585</v>
      </c>
      <c r="O247" s="3">
        <v>12580</v>
      </c>
      <c r="P247" s="3">
        <v>12720</v>
      </c>
      <c r="Q247" s="3">
        <v>12700</v>
      </c>
      <c r="R247" s="3">
        <v>12480</v>
      </c>
      <c r="S247" s="3">
        <v>12485</v>
      </c>
      <c r="T247" s="3">
        <v>12285</v>
      </c>
      <c r="U247" s="3">
        <v>12275</v>
      </c>
      <c r="V247" s="3">
        <v>12775</v>
      </c>
      <c r="W247" s="3">
        <v>12775</v>
      </c>
      <c r="X247" s="3">
        <v>12510</v>
      </c>
      <c r="Y247" s="3">
        <v>12525</v>
      </c>
      <c r="Z247" s="3">
        <v>12735</v>
      </c>
      <c r="AA247" s="3">
        <v>12745</v>
      </c>
      <c r="AB247" s="3">
        <v>13260</v>
      </c>
      <c r="AC247" s="3">
        <v>13250</v>
      </c>
      <c r="AD247" s="3">
        <v>13250</v>
      </c>
      <c r="AE247" s="3">
        <v>13240</v>
      </c>
      <c r="AF247" s="3">
        <v>13865</v>
      </c>
      <c r="AG247" s="3">
        <v>13860</v>
      </c>
      <c r="AH247" s="3">
        <v>13820</v>
      </c>
      <c r="AI247" s="3">
        <v>13795</v>
      </c>
      <c r="AJ247" s="3">
        <v>13705</v>
      </c>
      <c r="AK247" s="3">
        <v>13715</v>
      </c>
      <c r="AL247" s="3">
        <v>13655</v>
      </c>
      <c r="AM247" s="3">
        <v>13655</v>
      </c>
      <c r="AN247" s="3">
        <v>13440</v>
      </c>
      <c r="AO247" s="3">
        <v>13450</v>
      </c>
      <c r="AP247" s="3">
        <v>13495</v>
      </c>
      <c r="AQ247" s="3">
        <v>13490</v>
      </c>
      <c r="AR247" s="4">
        <f t="shared" si="104"/>
        <v>1.0841283607979202E-2</v>
      </c>
      <c r="AS247" s="4">
        <f t="shared" si="81"/>
        <v>4.761904761904745E-3</v>
      </c>
      <c r="AT247" s="4">
        <f t="shared" si="82"/>
        <v>2.6848591549295753E-2</v>
      </c>
      <c r="AU247" s="4">
        <f t="shared" si="83"/>
        <v>2.3769100169779289E-2</v>
      </c>
      <c r="AV247" s="4">
        <f t="shared" si="84"/>
        <v>1.2831479897348119E-2</v>
      </c>
      <c r="AW247" s="4">
        <f t="shared" si="85"/>
        <v>1.1382799325463822E-2</v>
      </c>
      <c r="AX247" s="4">
        <f t="shared" si="86"/>
        <v>3.8382170862567122E-2</v>
      </c>
      <c r="AY247" s="4">
        <f t="shared" si="87"/>
        <v>6.2597809076682109E-3</v>
      </c>
      <c r="AZ247" s="4">
        <f t="shared" si="88"/>
        <v>4.7827819848544895E-3</v>
      </c>
      <c r="BA247" s="4">
        <f t="shared" si="89"/>
        <v>8.0808080808081328E-3</v>
      </c>
      <c r="BB247" s="4">
        <f t="shared" si="90"/>
        <v>3.567085528982572E-2</v>
      </c>
      <c r="BC247" s="4">
        <f t="shared" si="91"/>
        <v>8.7059754649781995E-3</v>
      </c>
      <c r="BD247" s="4">
        <f t="shared" si="92"/>
        <v>7.3987538940809561E-3</v>
      </c>
      <c r="BE247" s="4">
        <f t="shared" si="93"/>
        <v>2.1982259930582337E-2</v>
      </c>
      <c r="BF247" s="4">
        <f t="shared" si="94"/>
        <v>1.1459129106187849E-2</v>
      </c>
      <c r="BG247" s="4">
        <f t="shared" si="95"/>
        <v>3.937007874015741E-2</v>
      </c>
      <c r="BH247" s="4">
        <f t="shared" si="96"/>
        <v>8.2674335010783917E-3</v>
      </c>
      <c r="BI247" s="4">
        <f t="shared" si="97"/>
        <v>1.1531531531531525E-2</v>
      </c>
      <c r="BJ247" s="4">
        <f t="shared" si="98"/>
        <v>4.737609329446113E-3</v>
      </c>
      <c r="BK247" s="4">
        <f t="shared" si="99"/>
        <v>1.7172086225794692E-2</v>
      </c>
      <c r="BL247" s="4">
        <f t="shared" si="100"/>
        <v>2.6012634708287852E-3</v>
      </c>
      <c r="BM247" s="4">
        <f t="shared" si="105"/>
        <v>1.5879742230381768E-2</v>
      </c>
      <c r="BN247" s="9">
        <f t="shared" si="106"/>
        <v>13668.661931709787</v>
      </c>
      <c r="BO247" s="10">
        <f t="shared" si="107"/>
        <v>13113.402434780162</v>
      </c>
      <c r="BP247">
        <v>13865</v>
      </c>
      <c r="BQ247">
        <v>13870</v>
      </c>
      <c r="BR247">
        <v>13850</v>
      </c>
      <c r="BS247">
        <v>13860</v>
      </c>
      <c r="BT247">
        <v>8873</v>
      </c>
      <c r="BU247" s="13">
        <f t="shared" si="101"/>
        <v>13860</v>
      </c>
      <c r="BV247" s="13">
        <f t="shared" si="102"/>
        <v>122979780</v>
      </c>
      <c r="BW247" s="13">
        <f>SUM($BV$3:BV247)</f>
        <v>203559242541.66672</v>
      </c>
      <c r="BX247" s="13">
        <f>SUM($BT$3:BT247)</f>
        <v>14859191</v>
      </c>
      <c r="BY247" s="3">
        <f t="shared" si="103"/>
        <v>13699.21434764966</v>
      </c>
    </row>
    <row r="248" spans="1:77" x14ac:dyDescent="0.3">
      <c r="A248" s="3" t="s">
        <v>288</v>
      </c>
      <c r="B248" s="3">
        <v>11655</v>
      </c>
      <c r="C248" s="3">
        <v>11655</v>
      </c>
      <c r="D248" s="3">
        <v>11605</v>
      </c>
      <c r="E248" s="3">
        <v>11585</v>
      </c>
      <c r="F248" s="3">
        <v>11665</v>
      </c>
      <c r="G248" s="3">
        <v>11660</v>
      </c>
      <c r="H248" s="3">
        <v>11500</v>
      </c>
      <c r="I248" s="3">
        <v>11495</v>
      </c>
      <c r="J248" s="3">
        <v>11840</v>
      </c>
      <c r="K248" s="3">
        <v>11840</v>
      </c>
      <c r="L248" s="3">
        <v>11995</v>
      </c>
      <c r="M248" s="3">
        <v>11980</v>
      </c>
      <c r="N248" s="3">
        <v>12580</v>
      </c>
      <c r="O248" s="3">
        <v>12590</v>
      </c>
      <c r="P248" s="3">
        <v>12695</v>
      </c>
      <c r="Q248" s="3">
        <v>12700</v>
      </c>
      <c r="R248" s="3">
        <v>12480</v>
      </c>
      <c r="S248" s="3">
        <v>12475</v>
      </c>
      <c r="T248" s="3">
        <v>12275</v>
      </c>
      <c r="U248" s="3">
        <v>12280</v>
      </c>
      <c r="V248" s="3">
        <v>12775</v>
      </c>
      <c r="W248" s="3">
        <v>12780</v>
      </c>
      <c r="X248" s="3">
        <v>12525</v>
      </c>
      <c r="Y248" s="3">
        <v>12535</v>
      </c>
      <c r="Z248" s="3">
        <v>12745</v>
      </c>
      <c r="AA248" s="3">
        <v>12750</v>
      </c>
      <c r="AB248" s="3">
        <v>13255</v>
      </c>
      <c r="AC248" s="3">
        <v>13250</v>
      </c>
      <c r="AD248" s="3">
        <v>13240</v>
      </c>
      <c r="AE248" s="3">
        <v>13255</v>
      </c>
      <c r="AF248" s="3">
        <v>13860</v>
      </c>
      <c r="AG248" s="3">
        <v>13870</v>
      </c>
      <c r="AH248" s="3">
        <v>13800</v>
      </c>
      <c r="AI248" s="3">
        <v>13795</v>
      </c>
      <c r="AJ248" s="3">
        <v>13715</v>
      </c>
      <c r="AK248" s="3">
        <v>13710</v>
      </c>
      <c r="AL248" s="3">
        <v>13650</v>
      </c>
      <c r="AM248" s="3">
        <v>13640</v>
      </c>
      <c r="AN248" s="3">
        <v>13450</v>
      </c>
      <c r="AO248" s="3">
        <v>13450</v>
      </c>
      <c r="AP248" s="3">
        <v>13495</v>
      </c>
      <c r="AQ248" s="3">
        <v>13490</v>
      </c>
      <c r="AR248" s="4">
        <f t="shared" si="104"/>
        <v>1.0841283607979202E-2</v>
      </c>
      <c r="AS248" s="4">
        <f t="shared" si="81"/>
        <v>3.0303030303029388E-3</v>
      </c>
      <c r="AT248" s="4">
        <f t="shared" si="82"/>
        <v>2.6408450704225261E-2</v>
      </c>
      <c r="AU248" s="4">
        <f t="shared" si="83"/>
        <v>2.4193548387096753E-2</v>
      </c>
      <c r="AV248" s="4">
        <f t="shared" si="84"/>
        <v>1.2831479897348119E-2</v>
      </c>
      <c r="AW248" s="4">
        <f t="shared" si="85"/>
        <v>1.0118043844856706E-2</v>
      </c>
      <c r="AX248" s="4">
        <f t="shared" si="86"/>
        <v>3.9207593891869674E-2</v>
      </c>
      <c r="AY248" s="4">
        <f t="shared" si="87"/>
        <v>6.2597809076682109E-3</v>
      </c>
      <c r="AZ248" s="4">
        <f t="shared" si="88"/>
        <v>5.579912315663571E-3</v>
      </c>
      <c r="BA248" s="4">
        <f t="shared" si="89"/>
        <v>7.6767676767677262E-3</v>
      </c>
      <c r="BB248" s="4">
        <f t="shared" si="90"/>
        <v>3.607620591811922E-2</v>
      </c>
      <c r="BC248" s="4">
        <f t="shared" si="91"/>
        <v>7.9145231499802016E-3</v>
      </c>
      <c r="BD248" s="4">
        <f t="shared" si="92"/>
        <v>7.0093457943924964E-3</v>
      </c>
      <c r="BE248" s="4">
        <f t="shared" si="93"/>
        <v>2.1982259930582337E-2</v>
      </c>
      <c r="BF248" s="4">
        <f t="shared" si="94"/>
        <v>1.2605042016806678E-2</v>
      </c>
      <c r="BG248" s="4">
        <f t="shared" si="95"/>
        <v>4.0119985001874747E-2</v>
      </c>
      <c r="BH248" s="4">
        <f t="shared" si="96"/>
        <v>8.2674335010783917E-3</v>
      </c>
      <c r="BI248" s="4">
        <f t="shared" si="97"/>
        <v>1.1891891891891881E-2</v>
      </c>
      <c r="BJ248" s="4">
        <f t="shared" si="98"/>
        <v>5.8309037900874383E-3</v>
      </c>
      <c r="BK248" s="4">
        <f t="shared" si="99"/>
        <v>1.7172086225794692E-2</v>
      </c>
      <c r="BL248" s="4">
        <f t="shared" si="100"/>
        <v>2.6012634708287852E-3</v>
      </c>
      <c r="BM248" s="4">
        <f t="shared" si="105"/>
        <v>1.5778089818977135E-2</v>
      </c>
      <c r="BN248" s="9">
        <f t="shared" si="106"/>
        <v>13667.294198514339</v>
      </c>
      <c r="BO248" s="10">
        <f t="shared" si="107"/>
        <v>13114.75695316213</v>
      </c>
      <c r="BP248">
        <v>13860</v>
      </c>
      <c r="BQ248">
        <v>13875</v>
      </c>
      <c r="BR248">
        <v>13860</v>
      </c>
      <c r="BS248">
        <v>13870</v>
      </c>
      <c r="BT248">
        <v>21477</v>
      </c>
      <c r="BU248" s="13">
        <f t="shared" si="101"/>
        <v>13868.333333333334</v>
      </c>
      <c r="BV248" s="13">
        <f t="shared" si="102"/>
        <v>297850195</v>
      </c>
      <c r="BW248" s="13">
        <f>SUM($BV$3:BV248)</f>
        <v>203857092736.66672</v>
      </c>
      <c r="BX248" s="13">
        <f>SUM($BT$3:BT248)</f>
        <v>14880668</v>
      </c>
      <c r="BY248" s="3">
        <f t="shared" si="103"/>
        <v>13699.458434034461</v>
      </c>
    </row>
    <row r="249" spans="1:77" x14ac:dyDescent="0.3">
      <c r="A249" s="3" t="s">
        <v>289</v>
      </c>
      <c r="B249" s="3">
        <v>11655</v>
      </c>
      <c r="C249" s="3">
        <v>11660</v>
      </c>
      <c r="D249" s="3">
        <v>11590</v>
      </c>
      <c r="E249" s="3">
        <v>11595</v>
      </c>
      <c r="F249" s="3">
        <v>11660</v>
      </c>
      <c r="G249" s="3">
        <v>11660</v>
      </c>
      <c r="H249" s="3">
        <v>11495</v>
      </c>
      <c r="I249" s="3">
        <v>11490</v>
      </c>
      <c r="J249" s="3">
        <v>11845</v>
      </c>
      <c r="K249" s="3">
        <v>11850</v>
      </c>
      <c r="L249" s="3">
        <v>11985</v>
      </c>
      <c r="M249" s="3">
        <v>11985</v>
      </c>
      <c r="N249" s="3">
        <v>12585</v>
      </c>
      <c r="O249" s="3">
        <v>12585</v>
      </c>
      <c r="P249" s="3">
        <v>12695</v>
      </c>
      <c r="Q249" s="3">
        <v>12695</v>
      </c>
      <c r="R249" s="3">
        <v>12475</v>
      </c>
      <c r="S249" s="3">
        <v>12475</v>
      </c>
      <c r="T249" s="3">
        <v>12280</v>
      </c>
      <c r="U249" s="3">
        <v>12280</v>
      </c>
      <c r="V249" s="3">
        <v>12780</v>
      </c>
      <c r="W249" s="3">
        <v>12785</v>
      </c>
      <c r="X249" s="3">
        <v>12535</v>
      </c>
      <c r="Y249" s="3">
        <v>12520</v>
      </c>
      <c r="Z249" s="3">
        <v>12750</v>
      </c>
      <c r="AA249" s="3">
        <v>12750</v>
      </c>
      <c r="AB249" s="3">
        <v>13255</v>
      </c>
      <c r="AC249" s="3">
        <v>13250</v>
      </c>
      <c r="AD249" s="3">
        <v>13260</v>
      </c>
      <c r="AE249" s="3">
        <v>13270</v>
      </c>
      <c r="AF249" s="3">
        <v>13870</v>
      </c>
      <c r="AG249" s="3">
        <v>13870</v>
      </c>
      <c r="AH249" s="3">
        <v>13795</v>
      </c>
      <c r="AI249" s="3">
        <v>13815</v>
      </c>
      <c r="AJ249" s="3">
        <v>13710</v>
      </c>
      <c r="AK249" s="3">
        <v>13725</v>
      </c>
      <c r="AL249" s="3">
        <v>13645</v>
      </c>
      <c r="AM249" s="3">
        <v>13635</v>
      </c>
      <c r="AN249" s="3">
        <v>13450</v>
      </c>
      <c r="AO249" s="3">
        <v>13450</v>
      </c>
      <c r="AP249" s="3">
        <v>13490</v>
      </c>
      <c r="AQ249" s="3">
        <v>13480</v>
      </c>
      <c r="AR249" s="4">
        <f t="shared" si="104"/>
        <v>1.1274934952298254E-2</v>
      </c>
      <c r="AS249" s="4">
        <f t="shared" si="81"/>
        <v>3.8961038961038419E-3</v>
      </c>
      <c r="AT249" s="4">
        <f t="shared" si="82"/>
        <v>2.6408450704225261E-2</v>
      </c>
      <c r="AU249" s="4">
        <f t="shared" si="83"/>
        <v>2.4617996604414216E-2</v>
      </c>
      <c r="AV249" s="4">
        <f t="shared" si="84"/>
        <v>1.3686911890504749E-2</v>
      </c>
      <c r="AW249" s="4">
        <f t="shared" si="85"/>
        <v>1.0539629005059004E-2</v>
      </c>
      <c r="AX249" s="4">
        <f t="shared" si="86"/>
        <v>3.8794882377218398E-2</v>
      </c>
      <c r="AY249" s="4">
        <f t="shared" si="87"/>
        <v>6.6510172143975366E-3</v>
      </c>
      <c r="AZ249" s="4">
        <f t="shared" si="88"/>
        <v>5.579912315663571E-3</v>
      </c>
      <c r="BA249" s="4">
        <f t="shared" si="89"/>
        <v>7.6767676767677262E-3</v>
      </c>
      <c r="BB249" s="4">
        <f t="shared" si="90"/>
        <v>3.6481556546412719E-2</v>
      </c>
      <c r="BC249" s="4">
        <f t="shared" si="91"/>
        <v>9.101701622477254E-3</v>
      </c>
      <c r="BD249" s="4">
        <f t="shared" si="92"/>
        <v>7.0093457943924964E-3</v>
      </c>
      <c r="BE249" s="4">
        <f t="shared" si="93"/>
        <v>2.1982259930582337E-2</v>
      </c>
      <c r="BF249" s="4">
        <f t="shared" si="94"/>
        <v>1.3750954927425507E-2</v>
      </c>
      <c r="BG249" s="4">
        <f t="shared" si="95"/>
        <v>4.0119985001874747E-2</v>
      </c>
      <c r="BH249" s="4">
        <f t="shared" si="96"/>
        <v>6.8296189791516859E-3</v>
      </c>
      <c r="BI249" s="4">
        <f t="shared" si="97"/>
        <v>1.0810810810810811E-2</v>
      </c>
      <c r="BJ249" s="4">
        <f t="shared" si="98"/>
        <v>6.1953352769679171E-3</v>
      </c>
      <c r="BK249" s="4">
        <f t="shared" si="99"/>
        <v>1.7172086225794692E-2</v>
      </c>
      <c r="BL249" s="4">
        <f t="shared" si="100"/>
        <v>1.85804533630618E-3</v>
      </c>
      <c r="BM249" s="4">
        <f t="shared" si="105"/>
        <v>1.6155535036117472E-2</v>
      </c>
      <c r="BN249" s="9">
        <f t="shared" si="106"/>
        <v>13672.372723910961</v>
      </c>
      <c r="BO249" s="10">
        <f t="shared" si="107"/>
        <v>13109.727495643736</v>
      </c>
      <c r="BP249">
        <v>13870</v>
      </c>
      <c r="BQ249">
        <v>13870</v>
      </c>
      <c r="BR249">
        <v>13865</v>
      </c>
      <c r="BS249">
        <v>13870</v>
      </c>
      <c r="BT249">
        <v>8501</v>
      </c>
      <c r="BU249" s="13">
        <f t="shared" si="101"/>
        <v>13868.333333333334</v>
      </c>
      <c r="BV249" s="13">
        <f t="shared" si="102"/>
        <v>117894701.66666667</v>
      </c>
      <c r="BW249" s="13">
        <f>SUM($BV$3:BV249)</f>
        <v>203974987438.33337</v>
      </c>
      <c r="BX249" s="13">
        <f>SUM($BT$3:BT249)</f>
        <v>14889169</v>
      </c>
      <c r="BY249" s="3">
        <f t="shared" si="103"/>
        <v>13699.554853486678</v>
      </c>
    </row>
    <row r="250" spans="1:77" x14ac:dyDescent="0.3">
      <c r="A250" s="3" t="s">
        <v>290</v>
      </c>
      <c r="B250" s="3">
        <v>11660</v>
      </c>
      <c r="C250" s="3">
        <v>11665</v>
      </c>
      <c r="D250" s="3">
        <v>11595</v>
      </c>
      <c r="E250" s="3">
        <v>11570</v>
      </c>
      <c r="F250" s="3">
        <v>11660</v>
      </c>
      <c r="G250" s="3">
        <v>11645</v>
      </c>
      <c r="H250" s="3">
        <v>11485</v>
      </c>
      <c r="I250" s="3">
        <v>11475</v>
      </c>
      <c r="J250" s="3">
        <v>11850</v>
      </c>
      <c r="K250" s="3">
        <v>11845</v>
      </c>
      <c r="L250" s="3">
        <v>11985</v>
      </c>
      <c r="M250" s="3">
        <v>11970</v>
      </c>
      <c r="N250" s="3">
        <v>12585</v>
      </c>
      <c r="O250" s="3">
        <v>12590</v>
      </c>
      <c r="P250" s="3">
        <v>12695</v>
      </c>
      <c r="Q250" s="3">
        <v>12685</v>
      </c>
      <c r="R250" s="3">
        <v>12470</v>
      </c>
      <c r="S250" s="3">
        <v>12475</v>
      </c>
      <c r="T250" s="3">
        <v>12275</v>
      </c>
      <c r="U250" s="3">
        <v>12275</v>
      </c>
      <c r="V250" s="3">
        <v>12785</v>
      </c>
      <c r="W250" s="3">
        <v>12790</v>
      </c>
      <c r="X250" s="3">
        <v>12525</v>
      </c>
      <c r="Y250" s="3">
        <v>12505</v>
      </c>
      <c r="Z250" s="3">
        <v>12750</v>
      </c>
      <c r="AA250" s="3">
        <v>12740</v>
      </c>
      <c r="AB250" s="3">
        <v>13255</v>
      </c>
      <c r="AC250" s="3">
        <v>13245</v>
      </c>
      <c r="AD250" s="3">
        <v>13270</v>
      </c>
      <c r="AE250" s="3">
        <v>13270</v>
      </c>
      <c r="AF250" s="3">
        <v>13865</v>
      </c>
      <c r="AG250" s="3">
        <v>13880</v>
      </c>
      <c r="AH250" s="3">
        <v>13810</v>
      </c>
      <c r="AI250" s="3">
        <v>13800</v>
      </c>
      <c r="AJ250" s="3">
        <v>13725</v>
      </c>
      <c r="AK250" s="3">
        <v>13705</v>
      </c>
      <c r="AL250" s="3">
        <v>13635</v>
      </c>
      <c r="AM250" s="3">
        <v>13625</v>
      </c>
      <c r="AN250" s="3">
        <v>13455</v>
      </c>
      <c r="AO250" s="3">
        <v>13455</v>
      </c>
      <c r="AP250" s="3">
        <v>13480</v>
      </c>
      <c r="AQ250" s="3">
        <v>13480</v>
      </c>
      <c r="AR250" s="4">
        <f t="shared" si="104"/>
        <v>1.1708586296617529E-2</v>
      </c>
      <c r="AS250" s="4">
        <f t="shared" si="81"/>
        <v>1.7316017316018062E-3</v>
      </c>
      <c r="AT250" s="4">
        <f t="shared" si="82"/>
        <v>2.5088028169014009E-2</v>
      </c>
      <c r="AU250" s="4">
        <f t="shared" si="83"/>
        <v>2.5891341256366718E-2</v>
      </c>
      <c r="AV250" s="4">
        <f t="shared" si="84"/>
        <v>1.3259195893926323E-2</v>
      </c>
      <c r="AW250" s="4">
        <f t="shared" si="85"/>
        <v>9.2748735244518876E-3</v>
      </c>
      <c r="AX250" s="4">
        <f t="shared" si="86"/>
        <v>3.9207593891869674E-2</v>
      </c>
      <c r="AY250" s="4">
        <f t="shared" si="87"/>
        <v>7.4334898278560768E-3</v>
      </c>
      <c r="AZ250" s="4">
        <f t="shared" si="88"/>
        <v>5.579912315663571E-3</v>
      </c>
      <c r="BA250" s="4">
        <f t="shared" si="89"/>
        <v>8.0808080808081328E-3</v>
      </c>
      <c r="BB250" s="4">
        <f t="shared" si="90"/>
        <v>3.6886907174706218E-2</v>
      </c>
      <c r="BC250" s="4">
        <f t="shared" si="91"/>
        <v>1.0288880094974306E-2</v>
      </c>
      <c r="BD250" s="4">
        <f t="shared" si="92"/>
        <v>7.7881619937694158E-3</v>
      </c>
      <c r="BE250" s="4">
        <f t="shared" si="93"/>
        <v>2.1596606247589634E-2</v>
      </c>
      <c r="BF250" s="4">
        <f t="shared" si="94"/>
        <v>1.3750954927425507E-2</v>
      </c>
      <c r="BG250" s="4">
        <f t="shared" si="95"/>
        <v>4.0869891263592084E-2</v>
      </c>
      <c r="BH250" s="4">
        <f t="shared" si="96"/>
        <v>7.9079798705966597E-3</v>
      </c>
      <c r="BI250" s="4">
        <f t="shared" si="97"/>
        <v>1.2252252252252238E-2</v>
      </c>
      <c r="BJ250" s="4">
        <f t="shared" si="98"/>
        <v>6.9241982507288746E-3</v>
      </c>
      <c r="BK250" s="4">
        <f t="shared" si="99"/>
        <v>1.6806722689075682E-2</v>
      </c>
      <c r="BL250" s="4">
        <f t="shared" si="100"/>
        <v>1.85804533630618E-3</v>
      </c>
      <c r="BM250" s="4">
        <f t="shared" si="105"/>
        <v>1.6132739652144519E-2</v>
      </c>
      <c r="BN250" s="9">
        <f t="shared" si="106"/>
        <v>13672.066012019604</v>
      </c>
      <c r="BO250" s="10">
        <f t="shared" si="107"/>
        <v>13110.031244135174</v>
      </c>
      <c r="BP250">
        <v>13865</v>
      </c>
      <c r="BQ250">
        <v>13880</v>
      </c>
      <c r="BR250">
        <v>13860</v>
      </c>
      <c r="BS250">
        <v>13880</v>
      </c>
      <c r="BT250">
        <v>17108</v>
      </c>
      <c r="BU250" s="13">
        <f t="shared" si="101"/>
        <v>13873.333333333334</v>
      </c>
      <c r="BV250" s="13">
        <f t="shared" si="102"/>
        <v>237344986.66666669</v>
      </c>
      <c r="BW250" s="13">
        <f>SUM($BV$3:BV250)</f>
        <v>204212332425.00003</v>
      </c>
      <c r="BX250" s="13">
        <f>SUM($BT$3:BT250)</f>
        <v>14906277</v>
      </c>
      <c r="BY250" s="3">
        <f t="shared" si="103"/>
        <v>13699.754299816113</v>
      </c>
    </row>
    <row r="251" spans="1:77" x14ac:dyDescent="0.3">
      <c r="A251" s="3" t="s">
        <v>291</v>
      </c>
      <c r="B251" s="3">
        <v>11665</v>
      </c>
      <c r="C251" s="3">
        <v>11665</v>
      </c>
      <c r="D251" s="3">
        <v>11570</v>
      </c>
      <c r="E251" s="3">
        <v>11575</v>
      </c>
      <c r="F251" s="3">
        <v>11650</v>
      </c>
      <c r="G251" s="3">
        <v>11650</v>
      </c>
      <c r="H251" s="3">
        <v>11480</v>
      </c>
      <c r="I251" s="3">
        <v>11480</v>
      </c>
      <c r="J251" s="3">
        <v>11845</v>
      </c>
      <c r="K251" s="3">
        <v>11875</v>
      </c>
      <c r="L251" s="3">
        <v>11970</v>
      </c>
      <c r="M251" s="3">
        <v>11965</v>
      </c>
      <c r="N251" s="3">
        <v>12590</v>
      </c>
      <c r="O251" s="3">
        <v>12585</v>
      </c>
      <c r="P251" s="3">
        <v>12690</v>
      </c>
      <c r="Q251" s="3">
        <v>12695</v>
      </c>
      <c r="R251" s="3">
        <v>12480</v>
      </c>
      <c r="S251" s="3">
        <v>12480</v>
      </c>
      <c r="T251" s="3">
        <v>12280</v>
      </c>
      <c r="U251" s="3">
        <v>12290</v>
      </c>
      <c r="V251" s="3">
        <v>12795</v>
      </c>
      <c r="W251" s="3">
        <v>12795</v>
      </c>
      <c r="X251" s="3">
        <v>12510</v>
      </c>
      <c r="Y251" s="3">
        <v>12495</v>
      </c>
      <c r="Z251" s="3">
        <v>12735</v>
      </c>
      <c r="AA251" s="3">
        <v>12740</v>
      </c>
      <c r="AB251" s="3">
        <v>13245</v>
      </c>
      <c r="AC251" s="3">
        <v>13250</v>
      </c>
      <c r="AD251" s="3">
        <v>13260</v>
      </c>
      <c r="AE251" s="3">
        <v>13265</v>
      </c>
      <c r="AF251" s="3">
        <v>13880</v>
      </c>
      <c r="AG251" s="3">
        <v>13880</v>
      </c>
      <c r="AH251" s="3">
        <v>13805</v>
      </c>
      <c r="AI251" s="3">
        <v>13820</v>
      </c>
      <c r="AJ251" s="3">
        <v>13710</v>
      </c>
      <c r="AK251" s="3">
        <v>13725</v>
      </c>
      <c r="AL251" s="3">
        <v>13625</v>
      </c>
      <c r="AM251" s="3">
        <v>13640</v>
      </c>
      <c r="AN251" s="3">
        <v>13460</v>
      </c>
      <c r="AO251" s="3">
        <v>13460</v>
      </c>
      <c r="AP251" s="3">
        <v>13475</v>
      </c>
      <c r="AQ251" s="3">
        <v>13470</v>
      </c>
      <c r="AR251" s="4">
        <f t="shared" si="104"/>
        <v>1.1708586296617529E-2</v>
      </c>
      <c r="AS251" s="4">
        <f t="shared" si="81"/>
        <v>2.1645021645022577E-3</v>
      </c>
      <c r="AT251" s="4">
        <f t="shared" si="82"/>
        <v>2.5528169014084501E-2</v>
      </c>
      <c r="AU251" s="4">
        <f t="shared" si="83"/>
        <v>2.5466893039049254E-2</v>
      </c>
      <c r="AV251" s="4">
        <f t="shared" si="84"/>
        <v>1.5825491873395992E-2</v>
      </c>
      <c r="AW251" s="4">
        <f t="shared" si="85"/>
        <v>8.8532883642495896E-3</v>
      </c>
      <c r="AX251" s="4">
        <f t="shared" si="86"/>
        <v>3.8794882377218398E-2</v>
      </c>
      <c r="AY251" s="4">
        <f t="shared" si="87"/>
        <v>6.6510172143975366E-3</v>
      </c>
      <c r="AZ251" s="4">
        <f t="shared" si="88"/>
        <v>5.1813471502590858E-3</v>
      </c>
      <c r="BA251" s="4">
        <f t="shared" si="89"/>
        <v>6.8686868686869129E-3</v>
      </c>
      <c r="BB251" s="4">
        <f t="shared" si="90"/>
        <v>3.7292257802999496E-2</v>
      </c>
      <c r="BC251" s="4">
        <f t="shared" si="91"/>
        <v>1.1080332409972304E-2</v>
      </c>
      <c r="BD251" s="4">
        <f t="shared" si="92"/>
        <v>7.7881619937694158E-3</v>
      </c>
      <c r="BE251" s="4">
        <f t="shared" si="93"/>
        <v>2.1982259930582337E-2</v>
      </c>
      <c r="BF251" s="4">
        <f t="shared" si="94"/>
        <v>1.3368983957219305E-2</v>
      </c>
      <c r="BG251" s="4">
        <f t="shared" si="95"/>
        <v>4.0869891263592084E-2</v>
      </c>
      <c r="BH251" s="4">
        <f t="shared" si="96"/>
        <v>6.470165348670065E-3</v>
      </c>
      <c r="BI251" s="4">
        <f t="shared" si="97"/>
        <v>1.0810810810810811E-2</v>
      </c>
      <c r="BJ251" s="4">
        <f t="shared" si="98"/>
        <v>5.8309037900874383E-3</v>
      </c>
      <c r="BK251" s="4">
        <f t="shared" si="99"/>
        <v>1.6441359152356561E-2</v>
      </c>
      <c r="BL251" s="4">
        <f t="shared" si="100"/>
        <v>1.1148272017837968E-3</v>
      </c>
      <c r="BM251" s="4">
        <f t="shared" si="105"/>
        <v>1.6203305297170456E-2</v>
      </c>
      <c r="BN251" s="9">
        <f t="shared" si="106"/>
        <v>13673.015472773428</v>
      </c>
      <c r="BO251" s="10">
        <f t="shared" si="107"/>
        <v>13109.090956915205</v>
      </c>
      <c r="BP251">
        <v>13880</v>
      </c>
      <c r="BQ251">
        <v>13885</v>
      </c>
      <c r="BR251">
        <v>13875</v>
      </c>
      <c r="BS251">
        <v>13880</v>
      </c>
      <c r="BT251">
        <v>36554</v>
      </c>
      <c r="BU251" s="13">
        <f t="shared" si="101"/>
        <v>13880</v>
      </c>
      <c r="BV251" s="13">
        <f t="shared" si="102"/>
        <v>507369520</v>
      </c>
      <c r="BW251" s="13">
        <f>SUM($BV$3:BV251)</f>
        <v>204719701945.00003</v>
      </c>
      <c r="BX251" s="13">
        <f>SUM($BT$3:BT251)</f>
        <v>14942831</v>
      </c>
      <c r="BY251" s="3">
        <f t="shared" si="103"/>
        <v>13700.195227062397</v>
      </c>
    </row>
    <row r="252" spans="1:77" x14ac:dyDescent="0.3">
      <c r="A252" s="3" t="s">
        <v>292</v>
      </c>
      <c r="B252" s="3">
        <v>11670</v>
      </c>
      <c r="C252" s="3">
        <v>11660</v>
      </c>
      <c r="D252" s="3">
        <v>11580</v>
      </c>
      <c r="E252" s="3">
        <v>11580</v>
      </c>
      <c r="F252" s="3">
        <v>11650</v>
      </c>
      <c r="G252" s="3">
        <v>11650</v>
      </c>
      <c r="H252" s="3">
        <v>11475</v>
      </c>
      <c r="I252" s="3">
        <v>11460</v>
      </c>
      <c r="J252" s="3">
        <v>11875</v>
      </c>
      <c r="K252" s="3">
        <v>11880</v>
      </c>
      <c r="L252" s="3">
        <v>11965</v>
      </c>
      <c r="M252" s="3">
        <v>11980</v>
      </c>
      <c r="N252" s="3">
        <v>12585</v>
      </c>
      <c r="O252" s="3">
        <v>12580</v>
      </c>
      <c r="P252" s="3">
        <v>12695</v>
      </c>
      <c r="Q252" s="3">
        <v>12710</v>
      </c>
      <c r="R252" s="3">
        <v>12480</v>
      </c>
      <c r="S252" s="3">
        <v>12485</v>
      </c>
      <c r="T252" s="3">
        <v>12295</v>
      </c>
      <c r="U252" s="3">
        <v>12295</v>
      </c>
      <c r="V252" s="3">
        <v>12800</v>
      </c>
      <c r="W252" s="3">
        <v>12790</v>
      </c>
      <c r="X252" s="3">
        <v>12500</v>
      </c>
      <c r="Y252" s="3">
        <v>12525</v>
      </c>
      <c r="Z252" s="3">
        <v>12735</v>
      </c>
      <c r="AA252" s="3">
        <v>12730</v>
      </c>
      <c r="AB252" s="3">
        <v>13250</v>
      </c>
      <c r="AC252" s="3">
        <v>13245</v>
      </c>
      <c r="AD252" s="3">
        <v>13265</v>
      </c>
      <c r="AE252" s="3">
        <v>13265</v>
      </c>
      <c r="AF252" s="3">
        <v>13880</v>
      </c>
      <c r="AG252" s="3">
        <v>13860</v>
      </c>
      <c r="AH252" s="3">
        <v>13815</v>
      </c>
      <c r="AI252" s="3">
        <v>13810</v>
      </c>
      <c r="AJ252" s="3">
        <v>13725</v>
      </c>
      <c r="AK252" s="3">
        <v>13720</v>
      </c>
      <c r="AL252" s="3">
        <v>13635</v>
      </c>
      <c r="AM252" s="3">
        <v>13645</v>
      </c>
      <c r="AN252" s="3">
        <v>13455</v>
      </c>
      <c r="AO252" s="3">
        <v>13465</v>
      </c>
      <c r="AP252" s="3">
        <v>13470</v>
      </c>
      <c r="AQ252" s="3">
        <v>13470</v>
      </c>
      <c r="AR252" s="4">
        <f t="shared" si="104"/>
        <v>1.1274934952298254E-2</v>
      </c>
      <c r="AS252" s="4">
        <f t="shared" si="81"/>
        <v>2.5974025974024872E-3</v>
      </c>
      <c r="AT252" s="4">
        <f t="shared" si="82"/>
        <v>2.5528169014084501E-2</v>
      </c>
      <c r="AU252" s="4">
        <f t="shared" si="83"/>
        <v>2.7164685908319219E-2</v>
      </c>
      <c r="AV252" s="4">
        <f t="shared" si="84"/>
        <v>1.6253207869974418E-2</v>
      </c>
      <c r="AW252" s="4">
        <f t="shared" si="85"/>
        <v>1.0118043844856706E-2</v>
      </c>
      <c r="AX252" s="4">
        <f t="shared" si="86"/>
        <v>3.8382170862567122E-2</v>
      </c>
      <c r="AY252" s="4">
        <f t="shared" si="87"/>
        <v>5.4773082942096707E-3</v>
      </c>
      <c r="AZ252" s="4">
        <f t="shared" si="88"/>
        <v>4.7827819848544895E-3</v>
      </c>
      <c r="BA252" s="4">
        <f t="shared" si="89"/>
        <v>6.4646464646465063E-3</v>
      </c>
      <c r="BB252" s="4">
        <f t="shared" si="90"/>
        <v>3.6886907174706218E-2</v>
      </c>
      <c r="BC252" s="4">
        <f t="shared" si="91"/>
        <v>8.7059754649781995E-3</v>
      </c>
      <c r="BD252" s="4">
        <f t="shared" si="92"/>
        <v>8.5669781931464462E-3</v>
      </c>
      <c r="BE252" s="4">
        <f t="shared" si="93"/>
        <v>2.1596606247589634E-2</v>
      </c>
      <c r="BF252" s="4">
        <f t="shared" si="94"/>
        <v>1.3368983957219305E-2</v>
      </c>
      <c r="BG252" s="4">
        <f t="shared" si="95"/>
        <v>3.937007874015741E-2</v>
      </c>
      <c r="BH252" s="4">
        <f t="shared" si="96"/>
        <v>7.1890726096333069E-3</v>
      </c>
      <c r="BI252" s="4">
        <f t="shared" si="97"/>
        <v>1.1171171171171168E-2</v>
      </c>
      <c r="BJ252" s="4">
        <f t="shared" si="98"/>
        <v>5.4664723032069595E-3</v>
      </c>
      <c r="BK252" s="4">
        <f t="shared" si="99"/>
        <v>1.6075995615637551E-2</v>
      </c>
      <c r="BL252" s="4">
        <f t="shared" si="100"/>
        <v>1.1148272017837968E-3</v>
      </c>
      <c r="BM252" s="4">
        <f t="shared" si="105"/>
        <v>1.6135276277039638E-2</v>
      </c>
      <c r="BN252" s="9">
        <f t="shared" si="106"/>
        <v>13672.100142307569</v>
      </c>
      <c r="BO252" s="10">
        <f t="shared" si="107"/>
        <v>13109.997443608447</v>
      </c>
      <c r="BP252">
        <v>13880</v>
      </c>
      <c r="BQ252">
        <v>13885</v>
      </c>
      <c r="BR252">
        <v>13860</v>
      </c>
      <c r="BS252">
        <v>13860</v>
      </c>
      <c r="BT252">
        <v>33885</v>
      </c>
      <c r="BU252" s="13">
        <f t="shared" si="101"/>
        <v>13868.333333333334</v>
      </c>
      <c r="BV252" s="13">
        <f t="shared" si="102"/>
        <v>469928475</v>
      </c>
      <c r="BW252" s="13">
        <f>SUM($BV$3:BV252)</f>
        <v>205189630420.00003</v>
      </c>
      <c r="BX252" s="13">
        <f>SUM($BT$3:BT252)</f>
        <v>14976716</v>
      </c>
      <c r="BY252" s="3">
        <f t="shared" si="103"/>
        <v>13700.575641549191</v>
      </c>
    </row>
    <row r="253" spans="1:77" x14ac:dyDescent="0.3">
      <c r="A253" s="3" t="s">
        <v>293</v>
      </c>
      <c r="B253" s="3">
        <v>11665</v>
      </c>
      <c r="C253" s="3">
        <v>11670</v>
      </c>
      <c r="D253" s="3">
        <v>11575</v>
      </c>
      <c r="E253" s="3">
        <v>11580</v>
      </c>
      <c r="F253" s="3">
        <v>11650</v>
      </c>
      <c r="G253" s="3">
        <v>11645</v>
      </c>
      <c r="H253" s="3">
        <v>11460</v>
      </c>
      <c r="I253" s="3">
        <v>11475</v>
      </c>
      <c r="J253" s="3">
        <v>11880</v>
      </c>
      <c r="K253" s="3">
        <v>11880</v>
      </c>
      <c r="L253" s="3">
        <v>11980</v>
      </c>
      <c r="M253" s="3">
        <v>11990</v>
      </c>
      <c r="N253" s="3">
        <v>12580</v>
      </c>
      <c r="O253" s="3">
        <v>12580</v>
      </c>
      <c r="P253" s="3">
        <v>12710</v>
      </c>
      <c r="Q253" s="3">
        <v>12695</v>
      </c>
      <c r="R253" s="3">
        <v>12490</v>
      </c>
      <c r="S253" s="3">
        <v>12505</v>
      </c>
      <c r="T253" s="3">
        <v>12295</v>
      </c>
      <c r="U253" s="3">
        <v>12300</v>
      </c>
      <c r="V253" s="3">
        <v>12790</v>
      </c>
      <c r="W253" s="3">
        <v>12785</v>
      </c>
      <c r="X253" s="3">
        <v>12525</v>
      </c>
      <c r="Y253" s="3">
        <v>12515</v>
      </c>
      <c r="Z253" s="3">
        <v>12730</v>
      </c>
      <c r="AA253" s="3">
        <v>12730</v>
      </c>
      <c r="AB253" s="3">
        <v>13245</v>
      </c>
      <c r="AC253" s="3">
        <v>13250</v>
      </c>
      <c r="AD253" s="3">
        <v>13265</v>
      </c>
      <c r="AE253" s="3">
        <v>13270</v>
      </c>
      <c r="AF253" s="3">
        <v>13865</v>
      </c>
      <c r="AG253" s="3">
        <v>13860</v>
      </c>
      <c r="AH253" s="3">
        <v>13815</v>
      </c>
      <c r="AI253" s="3">
        <v>13840</v>
      </c>
      <c r="AJ253" s="3">
        <v>13720</v>
      </c>
      <c r="AK253" s="3">
        <v>13730</v>
      </c>
      <c r="AL253" s="3">
        <v>13645</v>
      </c>
      <c r="AM253" s="3">
        <v>13645</v>
      </c>
      <c r="AN253" s="3">
        <v>13465</v>
      </c>
      <c r="AO253" s="3">
        <v>13455</v>
      </c>
      <c r="AP253" s="3">
        <v>13470</v>
      </c>
      <c r="AQ253" s="3">
        <v>13460</v>
      </c>
      <c r="AR253" s="4">
        <f t="shared" si="104"/>
        <v>1.2142237640936582E-2</v>
      </c>
      <c r="AS253" s="4">
        <f t="shared" si="81"/>
        <v>2.5974025974024872E-3</v>
      </c>
      <c r="AT253" s="4">
        <f t="shared" si="82"/>
        <v>2.5088028169014009E-2</v>
      </c>
      <c r="AU253" s="4">
        <f t="shared" si="83"/>
        <v>2.5891341256366718E-2</v>
      </c>
      <c r="AV253" s="4">
        <f t="shared" si="84"/>
        <v>1.6253207869974418E-2</v>
      </c>
      <c r="AW253" s="4">
        <f t="shared" si="85"/>
        <v>1.0961214165261302E-2</v>
      </c>
      <c r="AX253" s="4">
        <f t="shared" si="86"/>
        <v>3.8382170862567122E-2</v>
      </c>
      <c r="AY253" s="4">
        <f t="shared" si="87"/>
        <v>6.6510172143975366E-3</v>
      </c>
      <c r="AZ253" s="4">
        <f t="shared" si="88"/>
        <v>3.1885213232363263E-3</v>
      </c>
      <c r="BA253" s="4">
        <f t="shared" si="89"/>
        <v>6.0606060606060996E-3</v>
      </c>
      <c r="BB253" s="4">
        <f t="shared" si="90"/>
        <v>3.6481556546412719E-2</v>
      </c>
      <c r="BC253" s="4">
        <f t="shared" si="91"/>
        <v>9.4974277799763085E-3</v>
      </c>
      <c r="BD253" s="4">
        <f t="shared" si="92"/>
        <v>8.5669781931464462E-3</v>
      </c>
      <c r="BE253" s="4">
        <f t="shared" si="93"/>
        <v>2.1982259930582337E-2</v>
      </c>
      <c r="BF253" s="4">
        <f t="shared" si="94"/>
        <v>1.3750954927425507E-2</v>
      </c>
      <c r="BG253" s="4">
        <f t="shared" si="95"/>
        <v>3.937007874015741E-2</v>
      </c>
      <c r="BH253" s="4">
        <f t="shared" si="96"/>
        <v>5.0323508267433592E-3</v>
      </c>
      <c r="BI253" s="4">
        <f t="shared" si="97"/>
        <v>1.0450450450450455E-2</v>
      </c>
      <c r="BJ253" s="4">
        <f t="shared" si="98"/>
        <v>5.4664723032069595E-3</v>
      </c>
      <c r="BK253" s="4">
        <f t="shared" si="99"/>
        <v>1.6806722689075682E-2</v>
      </c>
      <c r="BL253" s="4">
        <f t="shared" si="100"/>
        <v>3.7160906726119158E-4</v>
      </c>
      <c r="BM253" s="4">
        <f t="shared" si="105"/>
        <v>1.6096620492597809E-2</v>
      </c>
      <c r="BN253" s="9">
        <f t="shared" si="106"/>
        <v>13671.580028727903</v>
      </c>
      <c r="BO253" s="10">
        <f t="shared" si="107"/>
        <v>13110.512531936134</v>
      </c>
      <c r="BP253">
        <v>13865</v>
      </c>
      <c r="BQ253">
        <v>13865</v>
      </c>
      <c r="BR253">
        <v>13855</v>
      </c>
      <c r="BS253">
        <v>13860</v>
      </c>
      <c r="BT253">
        <v>5396</v>
      </c>
      <c r="BU253" s="13">
        <f t="shared" si="101"/>
        <v>13860</v>
      </c>
      <c r="BV253" s="13">
        <f t="shared" si="102"/>
        <v>74788560</v>
      </c>
      <c r="BW253" s="13">
        <f>SUM($BV$3:BV253)</f>
        <v>205264418980.00003</v>
      </c>
      <c r="BX253" s="13">
        <f>SUM($BT$3:BT253)</f>
        <v>14982112</v>
      </c>
      <c r="BY253" s="3">
        <f t="shared" si="103"/>
        <v>13700.63306027882</v>
      </c>
    </row>
    <row r="254" spans="1:77" x14ac:dyDescent="0.3">
      <c r="A254" s="3" t="s">
        <v>294</v>
      </c>
      <c r="B254" s="3">
        <v>11670</v>
      </c>
      <c r="C254" s="3">
        <v>11675</v>
      </c>
      <c r="D254" s="3">
        <v>11580</v>
      </c>
      <c r="E254" s="3">
        <v>11590</v>
      </c>
      <c r="F254" s="3">
        <v>11645</v>
      </c>
      <c r="G254" s="3">
        <v>11645</v>
      </c>
      <c r="H254" s="3">
        <v>11475</v>
      </c>
      <c r="I254" s="3">
        <v>11465</v>
      </c>
      <c r="J254" s="3">
        <v>11880</v>
      </c>
      <c r="K254" s="3">
        <v>11870</v>
      </c>
      <c r="L254" s="3">
        <v>11990</v>
      </c>
      <c r="M254" s="3">
        <v>11985</v>
      </c>
      <c r="N254" s="3">
        <v>12580</v>
      </c>
      <c r="O254" s="3">
        <v>12570</v>
      </c>
      <c r="P254" s="3">
        <v>12700</v>
      </c>
      <c r="Q254" s="3">
        <v>12620</v>
      </c>
      <c r="R254" s="3">
        <v>12505</v>
      </c>
      <c r="S254" s="3">
        <v>12505</v>
      </c>
      <c r="T254" s="3">
        <v>12300</v>
      </c>
      <c r="U254" s="3">
        <v>12305</v>
      </c>
      <c r="V254" s="3">
        <v>12785</v>
      </c>
      <c r="W254" s="3">
        <v>12800</v>
      </c>
      <c r="X254" s="3">
        <v>12520</v>
      </c>
      <c r="Y254" s="3">
        <v>12535</v>
      </c>
      <c r="Z254" s="3">
        <v>12725</v>
      </c>
      <c r="AA254" s="3">
        <v>12730</v>
      </c>
      <c r="AB254" s="3">
        <v>13250</v>
      </c>
      <c r="AC254" s="3">
        <v>13255</v>
      </c>
      <c r="AD254" s="3">
        <v>13270</v>
      </c>
      <c r="AE254" s="3">
        <v>13280</v>
      </c>
      <c r="AF254" s="3">
        <v>13865</v>
      </c>
      <c r="AG254" s="3">
        <v>13860</v>
      </c>
      <c r="AH254" s="3">
        <v>13840</v>
      </c>
      <c r="AI254" s="3">
        <v>13800</v>
      </c>
      <c r="AJ254" s="3">
        <v>13730</v>
      </c>
      <c r="AK254" s="3">
        <v>13740</v>
      </c>
      <c r="AL254" s="3">
        <v>13645</v>
      </c>
      <c r="AM254" s="3">
        <v>13650</v>
      </c>
      <c r="AN254" s="3">
        <v>13455</v>
      </c>
      <c r="AO254" s="3">
        <v>13445</v>
      </c>
      <c r="AP254" s="3">
        <v>13460</v>
      </c>
      <c r="AQ254" s="3">
        <v>13460</v>
      </c>
      <c r="AR254" s="4">
        <f t="shared" si="104"/>
        <v>1.2575888985255856E-2</v>
      </c>
      <c r="AS254" s="4">
        <f t="shared" si="81"/>
        <v>3.4632034632033903E-3</v>
      </c>
      <c r="AT254" s="4">
        <f t="shared" si="82"/>
        <v>2.5088028169014009E-2</v>
      </c>
      <c r="AU254" s="4">
        <f t="shared" si="83"/>
        <v>2.6740237691001645E-2</v>
      </c>
      <c r="AV254" s="4">
        <f t="shared" si="84"/>
        <v>1.5397775876817787E-2</v>
      </c>
      <c r="AW254" s="4">
        <f t="shared" si="85"/>
        <v>1.0539629005059004E-2</v>
      </c>
      <c r="AX254" s="4">
        <f t="shared" si="86"/>
        <v>3.755674783326457E-2</v>
      </c>
      <c r="AY254" s="4">
        <f t="shared" si="87"/>
        <v>1.2519561815336422E-2</v>
      </c>
      <c r="AZ254" s="4">
        <f t="shared" si="88"/>
        <v>3.1885213232363263E-3</v>
      </c>
      <c r="BA254" s="4">
        <f t="shared" si="89"/>
        <v>5.656565656565693E-3</v>
      </c>
      <c r="BB254" s="4">
        <f t="shared" si="90"/>
        <v>3.7697608431292995E-2</v>
      </c>
      <c r="BC254" s="4">
        <f t="shared" si="91"/>
        <v>7.9145231499802016E-3</v>
      </c>
      <c r="BD254" s="4">
        <f t="shared" si="92"/>
        <v>8.5669781931464462E-3</v>
      </c>
      <c r="BE254" s="4">
        <f t="shared" si="93"/>
        <v>2.2367913613575041E-2</v>
      </c>
      <c r="BF254" s="4">
        <f t="shared" si="94"/>
        <v>1.4514896867838134E-2</v>
      </c>
      <c r="BG254" s="4">
        <f t="shared" si="95"/>
        <v>3.937007874015741E-2</v>
      </c>
      <c r="BH254" s="4">
        <f t="shared" si="96"/>
        <v>7.9079798705966597E-3</v>
      </c>
      <c r="BI254" s="4">
        <f t="shared" si="97"/>
        <v>9.7297297297297414E-3</v>
      </c>
      <c r="BJ254" s="4">
        <f t="shared" si="98"/>
        <v>5.1020408163264808E-3</v>
      </c>
      <c r="BK254" s="4">
        <f t="shared" si="99"/>
        <v>1.7537449762513702E-2</v>
      </c>
      <c r="BL254" s="4">
        <f t="shared" si="100"/>
        <v>3.7160906726119158E-4</v>
      </c>
      <c r="BM254" s="4">
        <f t="shared" si="105"/>
        <v>1.6515156506380833E-2</v>
      </c>
      <c r="BN254" s="9">
        <f t="shared" si="106"/>
        <v>13677.211430793353</v>
      </c>
      <c r="BO254" s="10">
        <f t="shared" si="107"/>
        <v>13104.935539552476</v>
      </c>
      <c r="BP254">
        <v>13865</v>
      </c>
      <c r="BQ254">
        <v>13865</v>
      </c>
      <c r="BR254">
        <v>13860</v>
      </c>
      <c r="BS254">
        <v>13860</v>
      </c>
      <c r="BT254">
        <v>2519</v>
      </c>
      <c r="BU254" s="13">
        <f t="shared" si="101"/>
        <v>13861.666666666666</v>
      </c>
      <c r="BV254" s="13">
        <f t="shared" si="102"/>
        <v>34917538.333333328</v>
      </c>
      <c r="BW254" s="13">
        <f>SUM($BV$3:BV254)</f>
        <v>205299336518.33337</v>
      </c>
      <c r="BX254" s="13">
        <f>SUM($BT$3:BT254)</f>
        <v>14984631</v>
      </c>
      <c r="BY254" s="3">
        <f t="shared" si="103"/>
        <v>13700.660130925704</v>
      </c>
    </row>
    <row r="255" spans="1:77" x14ac:dyDescent="0.3">
      <c r="A255" s="3" t="s">
        <v>295</v>
      </c>
      <c r="B255" s="3">
        <v>11675</v>
      </c>
      <c r="C255" s="3">
        <v>11670</v>
      </c>
      <c r="D255" s="3">
        <v>11595</v>
      </c>
      <c r="E255" s="3">
        <v>11585</v>
      </c>
      <c r="F255" s="3">
        <v>11645</v>
      </c>
      <c r="G255" s="3">
        <v>11645</v>
      </c>
      <c r="H255" s="3">
        <v>11460</v>
      </c>
      <c r="I255" s="3">
        <v>11445</v>
      </c>
      <c r="J255" s="3">
        <v>11870</v>
      </c>
      <c r="K255" s="3">
        <v>11875</v>
      </c>
      <c r="L255" s="3">
        <v>11985</v>
      </c>
      <c r="M255" s="3">
        <v>12005</v>
      </c>
      <c r="N255" s="3">
        <v>12570</v>
      </c>
      <c r="O255" s="3">
        <v>12565</v>
      </c>
      <c r="P255" s="3">
        <v>12615</v>
      </c>
      <c r="Q255" s="3">
        <v>12510</v>
      </c>
      <c r="R255" s="3">
        <v>12510</v>
      </c>
      <c r="S255" s="3">
        <v>12510</v>
      </c>
      <c r="T255" s="3">
        <v>12305</v>
      </c>
      <c r="U255" s="3">
        <v>12310</v>
      </c>
      <c r="V255" s="3">
        <v>12800</v>
      </c>
      <c r="W255" s="3">
        <v>12800</v>
      </c>
      <c r="X255" s="3">
        <v>12530</v>
      </c>
      <c r="Y255" s="3">
        <v>12555</v>
      </c>
      <c r="Z255" s="3">
        <v>12730</v>
      </c>
      <c r="AA255" s="3">
        <v>12730</v>
      </c>
      <c r="AB255" s="3">
        <v>13255</v>
      </c>
      <c r="AC255" s="3">
        <v>13250</v>
      </c>
      <c r="AD255" s="3">
        <v>13280</v>
      </c>
      <c r="AE255" s="3">
        <v>13290</v>
      </c>
      <c r="AF255" s="3">
        <v>13860</v>
      </c>
      <c r="AG255" s="3">
        <v>13875</v>
      </c>
      <c r="AH255" s="3">
        <v>13790</v>
      </c>
      <c r="AI255" s="3">
        <v>13820</v>
      </c>
      <c r="AJ255" s="3">
        <v>13740</v>
      </c>
      <c r="AK255" s="3">
        <v>13740</v>
      </c>
      <c r="AL255" s="3">
        <v>13650</v>
      </c>
      <c r="AM255" s="3">
        <v>13645</v>
      </c>
      <c r="AN255" s="3">
        <v>13450</v>
      </c>
      <c r="AO255" s="3">
        <v>13470</v>
      </c>
      <c r="AP255" s="3">
        <v>13460</v>
      </c>
      <c r="AQ255" s="3">
        <v>13410</v>
      </c>
      <c r="AR255" s="4">
        <f t="shared" si="104"/>
        <v>1.2142237640936582E-2</v>
      </c>
      <c r="AS255" s="4">
        <f t="shared" si="81"/>
        <v>3.0303030303029388E-3</v>
      </c>
      <c r="AT255" s="4">
        <f t="shared" si="82"/>
        <v>2.5088028169014009E-2</v>
      </c>
      <c r="AU255" s="4">
        <f t="shared" si="83"/>
        <v>2.843803056027161E-2</v>
      </c>
      <c r="AV255" s="4">
        <f t="shared" si="84"/>
        <v>1.5825491873395992E-2</v>
      </c>
      <c r="AW255" s="4">
        <f t="shared" si="85"/>
        <v>1.2225969645868418E-2</v>
      </c>
      <c r="AX255" s="4">
        <f t="shared" si="86"/>
        <v>3.7144036318613294E-2</v>
      </c>
      <c r="AY255" s="4">
        <f t="shared" si="87"/>
        <v>2.1126760563380254E-2</v>
      </c>
      <c r="AZ255" s="4">
        <f t="shared" si="88"/>
        <v>2.789956157831841E-3</v>
      </c>
      <c r="BA255" s="4">
        <f t="shared" si="89"/>
        <v>5.2525252525252863E-3</v>
      </c>
      <c r="BB255" s="4">
        <f t="shared" si="90"/>
        <v>3.7697608431292995E-2</v>
      </c>
      <c r="BC255" s="4">
        <f t="shared" si="91"/>
        <v>6.3316185199842057E-3</v>
      </c>
      <c r="BD255" s="4">
        <f t="shared" si="92"/>
        <v>8.5669781931464462E-3</v>
      </c>
      <c r="BE255" s="4">
        <f t="shared" si="93"/>
        <v>2.1982259930582337E-2</v>
      </c>
      <c r="BF255" s="4">
        <f t="shared" si="94"/>
        <v>1.5278838808250539E-2</v>
      </c>
      <c r="BG255" s="4">
        <f t="shared" si="95"/>
        <v>4.0494938132733305E-2</v>
      </c>
      <c r="BH255" s="4">
        <f t="shared" si="96"/>
        <v>6.470165348670065E-3</v>
      </c>
      <c r="BI255" s="4">
        <f t="shared" si="97"/>
        <v>9.7297297297297414E-3</v>
      </c>
      <c r="BJ255" s="4">
        <f t="shared" si="98"/>
        <v>5.4664723032069595E-3</v>
      </c>
      <c r="BK255" s="4">
        <f t="shared" si="99"/>
        <v>1.5710632078918541E-2</v>
      </c>
      <c r="BL255" s="4">
        <f t="shared" si="100"/>
        <v>3.3444816053511683E-3</v>
      </c>
      <c r="BM255" s="4">
        <f t="shared" si="105"/>
        <v>1.719845753246144E-2</v>
      </c>
      <c r="BN255" s="9">
        <f t="shared" si="106"/>
        <v>13686.40524609927</v>
      </c>
      <c r="BO255" s="10">
        <f t="shared" si="107"/>
        <v>13095.830553379952</v>
      </c>
      <c r="BP255">
        <v>13860</v>
      </c>
      <c r="BQ255">
        <v>13885</v>
      </c>
      <c r="BR255">
        <v>13860</v>
      </c>
      <c r="BS255">
        <v>13875</v>
      </c>
      <c r="BT255">
        <v>70803</v>
      </c>
      <c r="BU255" s="13">
        <f t="shared" si="101"/>
        <v>13873.333333333334</v>
      </c>
      <c r="BV255" s="13">
        <f t="shared" si="102"/>
        <v>982273620</v>
      </c>
      <c r="BW255" s="13">
        <f>SUM($BV$3:BV255)</f>
        <v>206281610138.33337</v>
      </c>
      <c r="BX255" s="13">
        <f>SUM($BT$3:BT255)</f>
        <v>15055434</v>
      </c>
      <c r="BY255" s="3">
        <f t="shared" si="103"/>
        <v>13701.472181959907</v>
      </c>
    </row>
    <row r="256" spans="1:77" x14ac:dyDescent="0.3">
      <c r="A256" s="3" t="s">
        <v>296</v>
      </c>
      <c r="B256" s="3">
        <v>11670</v>
      </c>
      <c r="C256" s="3">
        <v>11670</v>
      </c>
      <c r="D256" s="3">
        <v>11585</v>
      </c>
      <c r="E256" s="3">
        <v>11590</v>
      </c>
      <c r="F256" s="3">
        <v>11640</v>
      </c>
      <c r="G256" s="3">
        <v>11610</v>
      </c>
      <c r="H256" s="3">
        <v>11445</v>
      </c>
      <c r="I256" s="3">
        <v>11430</v>
      </c>
      <c r="J256" s="3">
        <v>11875</v>
      </c>
      <c r="K256" s="3">
        <v>11870</v>
      </c>
      <c r="L256" s="3">
        <v>12005</v>
      </c>
      <c r="M256" s="3">
        <v>12010</v>
      </c>
      <c r="N256" s="3">
        <v>12570</v>
      </c>
      <c r="O256" s="3">
        <v>12570</v>
      </c>
      <c r="P256" s="3">
        <v>12505</v>
      </c>
      <c r="Q256" s="3">
        <v>12510</v>
      </c>
      <c r="R256" s="3">
        <v>12510</v>
      </c>
      <c r="S256" s="3">
        <v>12525</v>
      </c>
      <c r="T256" s="3">
        <v>12310</v>
      </c>
      <c r="U256" s="3">
        <v>12320</v>
      </c>
      <c r="V256" s="3">
        <v>12800</v>
      </c>
      <c r="W256" s="3">
        <v>12800</v>
      </c>
      <c r="X256" s="3">
        <v>12550</v>
      </c>
      <c r="Y256" s="3">
        <v>12540</v>
      </c>
      <c r="Z256" s="3">
        <v>12730</v>
      </c>
      <c r="AA256" s="3">
        <v>12740</v>
      </c>
      <c r="AB256" s="3">
        <v>13250</v>
      </c>
      <c r="AC256" s="3">
        <v>13250</v>
      </c>
      <c r="AD256" s="3">
        <v>13290</v>
      </c>
      <c r="AE256" s="3">
        <v>13300</v>
      </c>
      <c r="AF256" s="3">
        <v>13875</v>
      </c>
      <c r="AG256" s="3">
        <v>13865</v>
      </c>
      <c r="AH256" s="3">
        <v>13820</v>
      </c>
      <c r="AI256" s="3">
        <v>13820</v>
      </c>
      <c r="AJ256" s="3">
        <v>13735</v>
      </c>
      <c r="AK256" s="3">
        <v>13745</v>
      </c>
      <c r="AL256" s="3">
        <v>13645</v>
      </c>
      <c r="AM256" s="3">
        <v>13630</v>
      </c>
      <c r="AN256" s="3">
        <v>13470</v>
      </c>
      <c r="AO256" s="3">
        <v>13460</v>
      </c>
      <c r="AP256" s="3">
        <v>13410</v>
      </c>
      <c r="AQ256" s="3">
        <v>13420</v>
      </c>
      <c r="AR256" s="4">
        <f t="shared" si="104"/>
        <v>1.2142237640936582E-2</v>
      </c>
      <c r="AS256" s="4">
        <f t="shared" si="81"/>
        <v>3.4632034632033903E-3</v>
      </c>
      <c r="AT256" s="4">
        <f t="shared" si="82"/>
        <v>2.2007042253521236E-2</v>
      </c>
      <c r="AU256" s="4">
        <f t="shared" si="83"/>
        <v>2.9711375212224111E-2</v>
      </c>
      <c r="AV256" s="4">
        <f t="shared" si="84"/>
        <v>1.5397775876817787E-2</v>
      </c>
      <c r="AW256" s="4">
        <f t="shared" si="85"/>
        <v>1.2647554806070715E-2</v>
      </c>
      <c r="AX256" s="4">
        <f t="shared" si="86"/>
        <v>3.755674783326457E-2</v>
      </c>
      <c r="AY256" s="4">
        <f t="shared" si="87"/>
        <v>2.1126760563380254E-2</v>
      </c>
      <c r="AZ256" s="4">
        <f t="shared" si="88"/>
        <v>1.5942606616181632E-3</v>
      </c>
      <c r="BA256" s="4">
        <f t="shared" si="89"/>
        <v>4.4444444444444731E-3</v>
      </c>
      <c r="BB256" s="4">
        <f t="shared" si="90"/>
        <v>3.7697608431292995E-2</v>
      </c>
      <c r="BC256" s="4">
        <f t="shared" si="91"/>
        <v>7.5187969924812581E-3</v>
      </c>
      <c r="BD256" s="4">
        <f t="shared" si="92"/>
        <v>7.7881619937694158E-3</v>
      </c>
      <c r="BE256" s="4">
        <f t="shared" si="93"/>
        <v>2.1982259930582337E-2</v>
      </c>
      <c r="BF256" s="4">
        <f t="shared" si="94"/>
        <v>1.6042780748663166E-2</v>
      </c>
      <c r="BG256" s="4">
        <f t="shared" si="95"/>
        <v>3.974503187101619E-2</v>
      </c>
      <c r="BH256" s="4">
        <f t="shared" si="96"/>
        <v>6.470165348670065E-3</v>
      </c>
      <c r="BI256" s="4">
        <f t="shared" si="97"/>
        <v>9.3693693693693847E-3</v>
      </c>
      <c r="BJ256" s="4">
        <f t="shared" si="98"/>
        <v>6.5597667638483959E-3</v>
      </c>
      <c r="BK256" s="4">
        <f t="shared" si="99"/>
        <v>1.6441359152356561E-2</v>
      </c>
      <c r="BL256" s="4">
        <f t="shared" si="100"/>
        <v>2.6012634708286742E-3</v>
      </c>
      <c r="BM256" s="4">
        <f t="shared" si="105"/>
        <v>1.7069912372238132E-2</v>
      </c>
      <c r="BN256" s="9">
        <f t="shared" si="106"/>
        <v>13684.675670968465</v>
      </c>
      <c r="BO256" s="10">
        <f t="shared" si="107"/>
        <v>13097.543417639927</v>
      </c>
      <c r="BP256">
        <v>13875</v>
      </c>
      <c r="BQ256">
        <v>13880</v>
      </c>
      <c r="BR256">
        <v>13865</v>
      </c>
      <c r="BS256">
        <v>13865</v>
      </c>
      <c r="BT256">
        <v>5915</v>
      </c>
      <c r="BU256" s="13">
        <f t="shared" si="101"/>
        <v>13870</v>
      </c>
      <c r="BV256" s="13">
        <f t="shared" si="102"/>
        <v>82041050</v>
      </c>
      <c r="BW256" s="13">
        <f>SUM($BV$3:BV256)</f>
        <v>206363651188.33337</v>
      </c>
      <c r="BX256" s="13">
        <f>SUM($BT$3:BT256)</f>
        <v>15061349</v>
      </c>
      <c r="BY256" s="3">
        <f t="shared" si="103"/>
        <v>13701.538367402109</v>
      </c>
    </row>
    <row r="257" spans="1:77" x14ac:dyDescent="0.3">
      <c r="A257" s="3" t="s">
        <v>297</v>
      </c>
      <c r="B257" s="3">
        <v>11675</v>
      </c>
      <c r="C257" s="3">
        <v>11670</v>
      </c>
      <c r="D257" s="3">
        <v>11585</v>
      </c>
      <c r="E257" s="3">
        <v>11575</v>
      </c>
      <c r="F257" s="3">
        <v>11610</v>
      </c>
      <c r="G257" s="3">
        <v>11600</v>
      </c>
      <c r="H257" s="3">
        <v>11435</v>
      </c>
      <c r="I257" s="3">
        <v>11455</v>
      </c>
      <c r="J257" s="3">
        <v>11870</v>
      </c>
      <c r="K257" s="3">
        <v>11890</v>
      </c>
      <c r="L257" s="3">
        <v>12010</v>
      </c>
      <c r="M257" s="3">
        <v>12005</v>
      </c>
      <c r="N257" s="3">
        <v>12575</v>
      </c>
      <c r="O257" s="3">
        <v>12575</v>
      </c>
      <c r="P257" s="3">
        <v>12510</v>
      </c>
      <c r="Q257" s="3">
        <v>12560</v>
      </c>
      <c r="R257" s="3">
        <v>12525</v>
      </c>
      <c r="S257" s="3">
        <v>12520</v>
      </c>
      <c r="T257" s="3">
        <v>12320</v>
      </c>
      <c r="U257" s="3">
        <v>12330</v>
      </c>
      <c r="V257" s="3">
        <v>12800</v>
      </c>
      <c r="W257" s="3">
        <v>12800</v>
      </c>
      <c r="X257" s="3">
        <v>12535</v>
      </c>
      <c r="Y257" s="3">
        <v>12545</v>
      </c>
      <c r="Z257" s="3">
        <v>12735</v>
      </c>
      <c r="AA257" s="3">
        <v>12740</v>
      </c>
      <c r="AB257" s="3">
        <v>13250</v>
      </c>
      <c r="AC257" s="3">
        <v>13250</v>
      </c>
      <c r="AD257" s="3">
        <v>13300</v>
      </c>
      <c r="AE257" s="3">
        <v>13325</v>
      </c>
      <c r="AF257" s="3">
        <v>13870</v>
      </c>
      <c r="AG257" s="3">
        <v>13865</v>
      </c>
      <c r="AH257" s="3">
        <v>13820</v>
      </c>
      <c r="AI257" s="3">
        <v>13855</v>
      </c>
      <c r="AJ257" s="3">
        <v>13745</v>
      </c>
      <c r="AK257" s="3">
        <v>13755</v>
      </c>
      <c r="AL257" s="3">
        <v>13630</v>
      </c>
      <c r="AM257" s="3">
        <v>13630</v>
      </c>
      <c r="AN257" s="3">
        <v>13460</v>
      </c>
      <c r="AO257" s="3">
        <v>13445</v>
      </c>
      <c r="AP257" s="3">
        <v>13425</v>
      </c>
      <c r="AQ257" s="3">
        <v>13440</v>
      </c>
      <c r="AR257" s="4">
        <f t="shared" si="104"/>
        <v>1.2142237640936582E-2</v>
      </c>
      <c r="AS257" s="4">
        <f t="shared" si="81"/>
        <v>2.1645021645022577E-3</v>
      </c>
      <c r="AT257" s="4">
        <f t="shared" si="82"/>
        <v>2.1126760563380254E-2</v>
      </c>
      <c r="AU257" s="4">
        <f t="shared" si="83"/>
        <v>2.7589134125636683E-2</v>
      </c>
      <c r="AV257" s="4">
        <f t="shared" si="84"/>
        <v>1.7108639863130826E-2</v>
      </c>
      <c r="AW257" s="4">
        <f t="shared" si="85"/>
        <v>1.2225969645868418E-2</v>
      </c>
      <c r="AX257" s="4">
        <f t="shared" si="86"/>
        <v>3.7969459347915846E-2</v>
      </c>
      <c r="AY257" s="4">
        <f t="shared" si="87"/>
        <v>1.7214397496087663E-2</v>
      </c>
      <c r="AZ257" s="4">
        <f t="shared" si="88"/>
        <v>1.9928258270227595E-3</v>
      </c>
      <c r="BA257" s="4">
        <f t="shared" si="89"/>
        <v>3.6363636363636598E-3</v>
      </c>
      <c r="BB257" s="4">
        <f t="shared" si="90"/>
        <v>3.7697608431292995E-2</v>
      </c>
      <c r="BC257" s="4">
        <f t="shared" si="91"/>
        <v>7.1230708349822036E-3</v>
      </c>
      <c r="BD257" s="4">
        <f t="shared" si="92"/>
        <v>7.7881619937694158E-3</v>
      </c>
      <c r="BE257" s="4">
        <f t="shared" si="93"/>
        <v>2.1982259930582337E-2</v>
      </c>
      <c r="BF257" s="4">
        <f t="shared" si="94"/>
        <v>1.79526355996944E-2</v>
      </c>
      <c r="BG257" s="4">
        <f t="shared" si="95"/>
        <v>3.974503187101619E-2</v>
      </c>
      <c r="BH257" s="4">
        <f t="shared" si="96"/>
        <v>3.9539899352983854E-3</v>
      </c>
      <c r="BI257" s="4">
        <f t="shared" si="97"/>
        <v>8.6486486486486713E-3</v>
      </c>
      <c r="BJ257" s="4">
        <f t="shared" si="98"/>
        <v>6.5597667638483959E-3</v>
      </c>
      <c r="BK257" s="4">
        <f t="shared" si="99"/>
        <v>1.7537449762513702E-2</v>
      </c>
      <c r="BL257" s="4">
        <f t="shared" si="100"/>
        <v>1.1148272017836858E-3</v>
      </c>
      <c r="BM257" s="4">
        <f t="shared" si="105"/>
        <v>1.6683699247159265E-2</v>
      </c>
      <c r="BN257" s="9">
        <f t="shared" si="106"/>
        <v>13679.479173370528</v>
      </c>
      <c r="BO257" s="10">
        <f t="shared" si="107"/>
        <v>13102.689707531603</v>
      </c>
      <c r="BP257">
        <v>13870</v>
      </c>
      <c r="BQ257">
        <v>13870</v>
      </c>
      <c r="BR257">
        <v>13860</v>
      </c>
      <c r="BS257">
        <v>13865</v>
      </c>
      <c r="BT257">
        <v>3759</v>
      </c>
      <c r="BU257" s="13">
        <f t="shared" si="101"/>
        <v>13865</v>
      </c>
      <c r="BV257" s="13">
        <f t="shared" si="102"/>
        <v>52118535</v>
      </c>
      <c r="BW257" s="13">
        <f>SUM($BV$3:BV257)</f>
        <v>206415769723.33337</v>
      </c>
      <c r="BX257" s="13">
        <f>SUM($BT$3:BT257)</f>
        <v>15065108</v>
      </c>
      <c r="BY257" s="3">
        <f t="shared" si="103"/>
        <v>13701.57915385229</v>
      </c>
    </row>
    <row r="258" spans="1:77" x14ac:dyDescent="0.3">
      <c r="A258" s="3" t="s">
        <v>298</v>
      </c>
      <c r="B258" s="3">
        <v>11670</v>
      </c>
      <c r="C258" s="3">
        <v>11665</v>
      </c>
      <c r="D258" s="3">
        <v>11575</v>
      </c>
      <c r="E258" s="3">
        <v>11560</v>
      </c>
      <c r="F258" s="3">
        <v>11600</v>
      </c>
      <c r="G258" s="3">
        <v>11595</v>
      </c>
      <c r="H258" s="3">
        <v>11460</v>
      </c>
      <c r="I258" s="3">
        <v>11460</v>
      </c>
      <c r="J258" s="3">
        <v>11890</v>
      </c>
      <c r="K258" s="3">
        <v>11910</v>
      </c>
      <c r="L258" s="3">
        <v>12005</v>
      </c>
      <c r="M258" s="3">
        <v>12005</v>
      </c>
      <c r="N258" s="3">
        <v>12575</v>
      </c>
      <c r="O258" s="3">
        <v>12580</v>
      </c>
      <c r="P258" s="3">
        <v>12555</v>
      </c>
      <c r="Q258" s="3">
        <v>12410</v>
      </c>
      <c r="R258" s="3">
        <v>12520</v>
      </c>
      <c r="S258" s="3">
        <v>12520</v>
      </c>
      <c r="T258" s="3">
        <v>12325</v>
      </c>
      <c r="U258" s="3">
        <v>12325</v>
      </c>
      <c r="V258" s="3">
        <v>12800</v>
      </c>
      <c r="W258" s="3">
        <v>12800</v>
      </c>
      <c r="X258" s="3">
        <v>12550</v>
      </c>
      <c r="Y258" s="3">
        <v>12555</v>
      </c>
      <c r="Z258" s="3">
        <v>12735</v>
      </c>
      <c r="AA258" s="3">
        <v>12755</v>
      </c>
      <c r="AB258" s="3">
        <v>13255</v>
      </c>
      <c r="AC258" s="3">
        <v>13255</v>
      </c>
      <c r="AD258" s="3">
        <v>13325</v>
      </c>
      <c r="AE258" s="3">
        <v>13330</v>
      </c>
      <c r="AF258" s="3">
        <v>13865</v>
      </c>
      <c r="AG258" s="3">
        <v>13860</v>
      </c>
      <c r="AH258" s="3">
        <v>13850</v>
      </c>
      <c r="AI258" s="3">
        <v>13830</v>
      </c>
      <c r="AJ258" s="3">
        <v>13750</v>
      </c>
      <c r="AK258" s="3">
        <v>13775</v>
      </c>
      <c r="AL258" s="3">
        <v>13630</v>
      </c>
      <c r="AM258" s="3">
        <v>13630</v>
      </c>
      <c r="AN258" s="3">
        <v>13445</v>
      </c>
      <c r="AO258" s="3">
        <v>13445</v>
      </c>
      <c r="AP258" s="3">
        <v>13440</v>
      </c>
      <c r="AQ258" s="3">
        <v>13430</v>
      </c>
      <c r="AR258" s="4">
        <f t="shared" si="104"/>
        <v>1.1708586296617529E-2</v>
      </c>
      <c r="AS258" s="4">
        <f t="shared" si="81"/>
        <v>8.658008658009031E-4</v>
      </c>
      <c r="AT258" s="4">
        <f t="shared" si="82"/>
        <v>2.0686619718309762E-2</v>
      </c>
      <c r="AU258" s="4">
        <f t="shared" si="83"/>
        <v>2.7164685908319219E-2</v>
      </c>
      <c r="AV258" s="4">
        <f t="shared" si="84"/>
        <v>1.8819503849443864E-2</v>
      </c>
      <c r="AW258" s="4">
        <f t="shared" si="85"/>
        <v>1.2225969645868418E-2</v>
      </c>
      <c r="AX258" s="4">
        <f t="shared" si="86"/>
        <v>3.8382170862567122E-2</v>
      </c>
      <c r="AY258" s="4">
        <f t="shared" si="87"/>
        <v>2.8951486697965545E-2</v>
      </c>
      <c r="AZ258" s="4">
        <f t="shared" si="88"/>
        <v>1.9928258270227595E-3</v>
      </c>
      <c r="BA258" s="4">
        <f t="shared" si="89"/>
        <v>4.0404040404040664E-3</v>
      </c>
      <c r="BB258" s="4">
        <f t="shared" si="90"/>
        <v>3.7697608431292995E-2</v>
      </c>
      <c r="BC258" s="4">
        <f t="shared" si="91"/>
        <v>6.3316185199842057E-3</v>
      </c>
      <c r="BD258" s="4">
        <f t="shared" si="92"/>
        <v>6.6199376947040367E-3</v>
      </c>
      <c r="BE258" s="4">
        <f t="shared" si="93"/>
        <v>2.2367913613575041E-2</v>
      </c>
      <c r="BF258" s="4">
        <f t="shared" si="94"/>
        <v>1.8334606569900602E-2</v>
      </c>
      <c r="BG258" s="4">
        <f t="shared" si="95"/>
        <v>3.937007874015741E-2</v>
      </c>
      <c r="BH258" s="4">
        <f t="shared" si="96"/>
        <v>5.7512580877067121E-3</v>
      </c>
      <c r="BI258" s="4">
        <f t="shared" si="97"/>
        <v>7.2072072072072446E-3</v>
      </c>
      <c r="BJ258" s="4">
        <f t="shared" si="98"/>
        <v>6.5597667638483959E-3</v>
      </c>
      <c r="BK258" s="4">
        <f t="shared" si="99"/>
        <v>1.7537449762513702E-2</v>
      </c>
      <c r="BL258" s="4">
        <f t="shared" si="100"/>
        <v>1.85804533630618E-3</v>
      </c>
      <c r="BM258" s="4">
        <f t="shared" si="105"/>
        <v>1.7462939446082754E-2</v>
      </c>
      <c r="BN258" s="9">
        <f t="shared" si="106"/>
        <v>13689.963850247044</v>
      </c>
      <c r="BO258" s="10">
        <f t="shared" si="107"/>
        <v>13092.306331880947</v>
      </c>
      <c r="BP258">
        <v>13865</v>
      </c>
      <c r="BQ258">
        <v>13865</v>
      </c>
      <c r="BR258">
        <v>13855</v>
      </c>
      <c r="BS258">
        <v>13860</v>
      </c>
      <c r="BT258">
        <v>7256</v>
      </c>
      <c r="BU258" s="13">
        <f t="shared" si="101"/>
        <v>13860</v>
      </c>
      <c r="BV258" s="13">
        <f t="shared" si="102"/>
        <v>100568160</v>
      </c>
      <c r="BW258" s="13">
        <f>SUM($BV$3:BV258)</f>
        <v>206516337883.33337</v>
      </c>
      <c r="BX258" s="13">
        <f>SUM($BT$3:BT258)</f>
        <v>15072364</v>
      </c>
      <c r="BY258" s="3">
        <f t="shared" si="103"/>
        <v>13701.655419371067</v>
      </c>
    </row>
    <row r="259" spans="1:77" x14ac:dyDescent="0.3">
      <c r="A259" s="3" t="s">
        <v>299</v>
      </c>
      <c r="B259" s="3">
        <v>11665</v>
      </c>
      <c r="C259" s="3">
        <v>11670</v>
      </c>
      <c r="D259" s="3">
        <v>11560</v>
      </c>
      <c r="E259" s="3">
        <v>11555</v>
      </c>
      <c r="F259" s="3">
        <v>11595</v>
      </c>
      <c r="G259" s="3">
        <v>11620</v>
      </c>
      <c r="H259" s="3">
        <v>11460</v>
      </c>
      <c r="I259" s="3">
        <v>11460</v>
      </c>
      <c r="J259" s="3">
        <v>11910</v>
      </c>
      <c r="K259" s="3">
        <v>11900</v>
      </c>
      <c r="L259" s="3">
        <v>12005</v>
      </c>
      <c r="M259" s="3">
        <v>12005</v>
      </c>
      <c r="N259" s="3">
        <v>12585</v>
      </c>
      <c r="O259" s="3">
        <v>12585</v>
      </c>
      <c r="P259" s="3">
        <v>12420</v>
      </c>
      <c r="Q259" s="3">
        <v>12415</v>
      </c>
      <c r="R259" s="3">
        <v>12520</v>
      </c>
      <c r="S259" s="3">
        <v>12525</v>
      </c>
      <c r="T259" s="3">
        <v>12325</v>
      </c>
      <c r="U259" s="3">
        <v>12335</v>
      </c>
      <c r="V259" s="3">
        <v>12800</v>
      </c>
      <c r="W259" s="3">
        <v>12800</v>
      </c>
      <c r="X259" s="3">
        <v>12555</v>
      </c>
      <c r="Y259" s="3">
        <v>12570</v>
      </c>
      <c r="Z259" s="3">
        <v>12750</v>
      </c>
      <c r="AA259" s="3">
        <v>12740</v>
      </c>
      <c r="AB259" s="3">
        <v>13255</v>
      </c>
      <c r="AC259" s="3">
        <v>13260</v>
      </c>
      <c r="AD259" s="3">
        <v>13330</v>
      </c>
      <c r="AE259" s="3">
        <v>13350</v>
      </c>
      <c r="AF259" s="3">
        <v>13860</v>
      </c>
      <c r="AG259" s="3">
        <v>13855</v>
      </c>
      <c r="AH259" s="3">
        <v>13830</v>
      </c>
      <c r="AI259" s="3">
        <v>13850</v>
      </c>
      <c r="AJ259" s="3">
        <v>13775</v>
      </c>
      <c r="AK259" s="3">
        <v>13750</v>
      </c>
      <c r="AL259" s="3">
        <v>13630</v>
      </c>
      <c r="AM259" s="3">
        <v>13615</v>
      </c>
      <c r="AN259" s="3">
        <v>13440</v>
      </c>
      <c r="AO259" s="3">
        <v>13445</v>
      </c>
      <c r="AP259" s="3">
        <v>13440</v>
      </c>
      <c r="AQ259" s="3">
        <v>13450</v>
      </c>
      <c r="AR259" s="4">
        <f t="shared" si="104"/>
        <v>1.2142237640936582E-2</v>
      </c>
      <c r="AS259" s="4">
        <f t="shared" si="81"/>
        <v>4.3290043290045155E-4</v>
      </c>
      <c r="AT259" s="4">
        <f t="shared" si="82"/>
        <v>2.2887323943661997E-2</v>
      </c>
      <c r="AU259" s="4">
        <f t="shared" si="83"/>
        <v>2.7164685908319219E-2</v>
      </c>
      <c r="AV259" s="4">
        <f t="shared" si="84"/>
        <v>1.7964071856287456E-2</v>
      </c>
      <c r="AW259" s="4">
        <f t="shared" si="85"/>
        <v>1.2225969645868418E-2</v>
      </c>
      <c r="AX259" s="4">
        <f t="shared" si="86"/>
        <v>3.8794882377218398E-2</v>
      </c>
      <c r="AY259" s="4">
        <f t="shared" si="87"/>
        <v>2.856025039123633E-2</v>
      </c>
      <c r="AZ259" s="4">
        <f t="shared" si="88"/>
        <v>1.5942606616181632E-3</v>
      </c>
      <c r="BA259" s="4">
        <f t="shared" si="89"/>
        <v>3.2323232323232531E-3</v>
      </c>
      <c r="BB259" s="4">
        <f t="shared" si="90"/>
        <v>3.7697608431292995E-2</v>
      </c>
      <c r="BC259" s="4">
        <f t="shared" si="91"/>
        <v>5.1444400474871532E-3</v>
      </c>
      <c r="BD259" s="4">
        <f t="shared" si="92"/>
        <v>7.7881619937694158E-3</v>
      </c>
      <c r="BE259" s="4">
        <f t="shared" si="93"/>
        <v>2.2753567296567745E-2</v>
      </c>
      <c r="BF259" s="4">
        <f t="shared" si="94"/>
        <v>1.9862490450725634E-2</v>
      </c>
      <c r="BG259" s="4">
        <f t="shared" si="95"/>
        <v>3.8995125609298853E-2</v>
      </c>
      <c r="BH259" s="4">
        <f t="shared" si="96"/>
        <v>4.3134435657800063E-3</v>
      </c>
      <c r="BI259" s="4">
        <f t="shared" si="97"/>
        <v>9.009009009009028E-3</v>
      </c>
      <c r="BJ259" s="4">
        <f t="shared" si="98"/>
        <v>7.6530612244898322E-3</v>
      </c>
      <c r="BK259" s="4">
        <f t="shared" si="99"/>
        <v>1.7537449762513702E-2</v>
      </c>
      <c r="BL259" s="4">
        <f t="shared" si="100"/>
        <v>3.7160906726119158E-4</v>
      </c>
      <c r="BM259" s="4">
        <f t="shared" si="105"/>
        <v>1.7578781190662616E-2</v>
      </c>
      <c r="BN259" s="9">
        <f t="shared" si="106"/>
        <v>13691.522500920366</v>
      </c>
      <c r="BO259" s="10">
        <f t="shared" si="107"/>
        <v>13090.762740634422</v>
      </c>
      <c r="BP259">
        <v>13860</v>
      </c>
      <c r="BQ259">
        <v>13860</v>
      </c>
      <c r="BR259">
        <v>13855</v>
      </c>
      <c r="BS259">
        <v>13855</v>
      </c>
      <c r="BT259">
        <v>5004</v>
      </c>
      <c r="BU259" s="13">
        <f t="shared" si="101"/>
        <v>13856.666666666666</v>
      </c>
      <c r="BV259" s="13">
        <f t="shared" si="102"/>
        <v>69338760</v>
      </c>
      <c r="BW259" s="13">
        <f>SUM($BV$3:BV259)</f>
        <v>206585676643.33337</v>
      </c>
      <c r="BX259" s="13">
        <f>SUM($BT$3:BT259)</f>
        <v>15077368</v>
      </c>
      <c r="BY259" s="3">
        <f t="shared" si="103"/>
        <v>13701.706865769502</v>
      </c>
    </row>
    <row r="260" spans="1:77" x14ac:dyDescent="0.3">
      <c r="A260" s="3" t="s">
        <v>300</v>
      </c>
      <c r="B260" s="3">
        <v>11670</v>
      </c>
      <c r="C260" s="3">
        <v>11675</v>
      </c>
      <c r="D260" s="3">
        <v>11560</v>
      </c>
      <c r="E260" s="3">
        <v>11570</v>
      </c>
      <c r="F260" s="3">
        <v>11620</v>
      </c>
      <c r="G260" s="3">
        <v>11615</v>
      </c>
      <c r="H260" s="3">
        <v>11460</v>
      </c>
      <c r="I260" s="3">
        <v>11465</v>
      </c>
      <c r="J260" s="3">
        <v>11905</v>
      </c>
      <c r="K260" s="3">
        <v>11905</v>
      </c>
      <c r="L260" s="3">
        <v>12005</v>
      </c>
      <c r="M260" s="3">
        <v>12000</v>
      </c>
      <c r="N260" s="3">
        <v>12590</v>
      </c>
      <c r="O260" s="3">
        <v>12580</v>
      </c>
      <c r="P260" s="3">
        <v>12410</v>
      </c>
      <c r="Q260" s="3">
        <v>12460</v>
      </c>
      <c r="R260" s="3">
        <v>12525</v>
      </c>
      <c r="S260" s="3">
        <v>12530</v>
      </c>
      <c r="T260" s="3">
        <v>12335</v>
      </c>
      <c r="U260" s="3">
        <v>12335</v>
      </c>
      <c r="V260" s="3">
        <v>12800</v>
      </c>
      <c r="W260" s="3">
        <v>12790</v>
      </c>
      <c r="X260" s="3">
        <v>12570</v>
      </c>
      <c r="Y260" s="3">
        <v>12565</v>
      </c>
      <c r="Z260" s="3">
        <v>12740</v>
      </c>
      <c r="AA260" s="3">
        <v>12735</v>
      </c>
      <c r="AB260" s="3">
        <v>13260</v>
      </c>
      <c r="AC260" s="3">
        <v>13255</v>
      </c>
      <c r="AD260" s="3">
        <v>13350</v>
      </c>
      <c r="AE260" s="3">
        <v>13350</v>
      </c>
      <c r="AF260" s="3">
        <v>13855</v>
      </c>
      <c r="AG260" s="3">
        <v>13845</v>
      </c>
      <c r="AH260" s="3">
        <v>13850</v>
      </c>
      <c r="AI260" s="3">
        <v>13890</v>
      </c>
      <c r="AJ260" s="3">
        <v>13750</v>
      </c>
      <c r="AK260" s="3">
        <v>13770</v>
      </c>
      <c r="AL260" s="3">
        <v>13615</v>
      </c>
      <c r="AM260" s="3">
        <v>13625</v>
      </c>
      <c r="AN260" s="3">
        <v>13445</v>
      </c>
      <c r="AO260" s="3">
        <v>13440</v>
      </c>
      <c r="AP260" s="3">
        <v>13455</v>
      </c>
      <c r="AQ260" s="3">
        <v>13455</v>
      </c>
      <c r="AR260" s="4">
        <f t="shared" si="104"/>
        <v>1.2575888985255856E-2</v>
      </c>
      <c r="AS260" s="4">
        <f t="shared" ref="AS260:AS323" si="108">ABS(E260/D$3-1)</f>
        <v>1.7316017316018062E-3</v>
      </c>
      <c r="AT260" s="4">
        <f t="shared" ref="AT260:AT323" si="109">ABS(G260/F$3-1)</f>
        <v>2.2447183098591506E-2</v>
      </c>
      <c r="AU260" s="4">
        <f t="shared" ref="AU260:AU323" si="110">ABS(I260/H$3-1)</f>
        <v>2.6740237691001645E-2</v>
      </c>
      <c r="AV260" s="4">
        <f t="shared" ref="AV260:AV323" si="111">ABS(K260/J$3-1)</f>
        <v>1.839178785286566E-2</v>
      </c>
      <c r="AW260" s="4">
        <f t="shared" ref="AW260:AW323" si="112">ABS(M260/L$3-1)</f>
        <v>1.180438448566612E-2</v>
      </c>
      <c r="AX260" s="4">
        <f t="shared" ref="AX260:AX323" si="113">ABS(O260/N$3-1)</f>
        <v>3.8382170862567122E-2</v>
      </c>
      <c r="AY260" s="4">
        <f t="shared" ref="AY260:AY323" si="114">ABS(Q260/P$3-1)</f>
        <v>2.5039123630672955E-2</v>
      </c>
      <c r="AZ260" s="4">
        <f t="shared" ref="AZ260:AZ323" si="115">ABS(S260/R$3-1)</f>
        <v>1.1956954962136779E-3</v>
      </c>
      <c r="BA260" s="4">
        <f t="shared" ref="BA260:BA323" si="116">ABS(U260/T$3-1)</f>
        <v>3.2323232323232531E-3</v>
      </c>
      <c r="BB260" s="4">
        <f t="shared" ref="BB260:BB323" si="117">ABS(W260/V$3-1)</f>
        <v>3.6886907174706218E-2</v>
      </c>
      <c r="BC260" s="4">
        <f t="shared" ref="BC260:BC323" si="118">ABS(Y260/X$3-1)</f>
        <v>5.5401662049860967E-3</v>
      </c>
      <c r="BD260" s="4">
        <f t="shared" ref="BD260:BD323" si="119">ABS(AA260/Z$3-1)</f>
        <v>8.1775700934579865E-3</v>
      </c>
      <c r="BE260" s="4">
        <f t="shared" ref="BE260:BE323" si="120">ABS(AC260/AB$3-1)</f>
        <v>2.2367913613575041E-2</v>
      </c>
      <c r="BF260" s="4">
        <f t="shared" ref="BF260:BF323" si="121">ABS(AE260/AD$3-1)</f>
        <v>1.9862490450725634E-2</v>
      </c>
      <c r="BG260" s="4">
        <f t="shared" ref="BG260:BG323" si="122">ABS(AG260/AF$3-1)</f>
        <v>3.8245219347581516E-2</v>
      </c>
      <c r="BH260" s="4">
        <f t="shared" ref="BH260:BH323" si="123">ABS(AI260/AH$3-1)</f>
        <v>1.4378145219267058E-3</v>
      </c>
      <c r="BI260" s="4">
        <f t="shared" ref="BI260:BI323" si="124">ABS(AK260/AJ$3-1)</f>
        <v>7.5675675675676013E-3</v>
      </c>
      <c r="BJ260" s="4">
        <f t="shared" ref="BJ260:BJ323" si="125">ABS(AM260/AL$3-1)</f>
        <v>6.9241982507288746E-3</v>
      </c>
      <c r="BK260" s="4">
        <f t="shared" ref="BK260:BK323" si="126">ABS(AO260/AN$3-1)</f>
        <v>1.7902813299232712E-2</v>
      </c>
      <c r="BL260" s="4">
        <f t="shared" ref="BL260:BL323" si="127">ABS(AQ260/AP$3-1)</f>
        <v>0</v>
      </c>
      <c r="BM260" s="4">
        <f t="shared" si="105"/>
        <v>1.7271396829925338E-2</v>
      </c>
      <c r="BN260" s="9">
        <f t="shared" si="106"/>
        <v>13687.386644346647</v>
      </c>
      <c r="BO260" s="10">
        <f t="shared" si="107"/>
        <v>13094.858637241245</v>
      </c>
      <c r="BP260">
        <v>13855</v>
      </c>
      <c r="BQ260">
        <v>13855</v>
      </c>
      <c r="BR260">
        <v>13845</v>
      </c>
      <c r="BS260">
        <v>13845</v>
      </c>
      <c r="BT260">
        <v>21818</v>
      </c>
      <c r="BU260" s="13">
        <f t="shared" ref="BU260:BU323" si="128">SUM(BQ260:BS260)/3</f>
        <v>13848.333333333334</v>
      </c>
      <c r="BV260" s="13">
        <f t="shared" ref="BV260:BV323" si="129">BU260*BT260</f>
        <v>302142936.66666669</v>
      </c>
      <c r="BW260" s="13">
        <f>SUM($BV$3:BV260)</f>
        <v>206887819580.00003</v>
      </c>
      <c r="BX260" s="13">
        <f>SUM($BT$3:BT260)</f>
        <v>15099186</v>
      </c>
      <c r="BY260" s="3">
        <f t="shared" ref="BY260:BY323" si="130">BW260/BX260</f>
        <v>13701.918737871038</v>
      </c>
    </row>
    <row r="261" spans="1:77" x14ac:dyDescent="0.3">
      <c r="A261" s="3" t="s">
        <v>301</v>
      </c>
      <c r="B261" s="3">
        <v>11675</v>
      </c>
      <c r="C261" s="3">
        <v>11670</v>
      </c>
      <c r="D261" s="3">
        <v>11570</v>
      </c>
      <c r="E261" s="3">
        <v>11565</v>
      </c>
      <c r="F261" s="3">
        <v>11615</v>
      </c>
      <c r="G261" s="3">
        <v>11605</v>
      </c>
      <c r="H261" s="3">
        <v>11460</v>
      </c>
      <c r="I261" s="3">
        <v>11460</v>
      </c>
      <c r="J261" s="3">
        <v>11905</v>
      </c>
      <c r="K261" s="3">
        <v>11905</v>
      </c>
      <c r="L261" s="3">
        <v>12000</v>
      </c>
      <c r="M261" s="3">
        <v>12010</v>
      </c>
      <c r="N261" s="3">
        <v>12580</v>
      </c>
      <c r="O261" s="3">
        <v>12585</v>
      </c>
      <c r="P261" s="3">
        <v>12460</v>
      </c>
      <c r="Q261" s="3">
        <v>12470</v>
      </c>
      <c r="R261" s="3">
        <v>12525</v>
      </c>
      <c r="S261" s="3">
        <v>12525</v>
      </c>
      <c r="T261" s="3">
        <v>12335</v>
      </c>
      <c r="U261" s="3">
        <v>12335</v>
      </c>
      <c r="V261" s="3">
        <v>12795</v>
      </c>
      <c r="W261" s="3">
        <v>12800</v>
      </c>
      <c r="X261" s="3">
        <v>12570</v>
      </c>
      <c r="Y261" s="3">
        <v>12555</v>
      </c>
      <c r="Z261" s="3">
        <v>12740</v>
      </c>
      <c r="AA261" s="3">
        <v>12735</v>
      </c>
      <c r="AB261" s="3">
        <v>13255</v>
      </c>
      <c r="AC261" s="3">
        <v>13260</v>
      </c>
      <c r="AD261" s="3">
        <v>13345</v>
      </c>
      <c r="AE261" s="3">
        <v>13345</v>
      </c>
      <c r="AF261" s="3">
        <v>13845</v>
      </c>
      <c r="AG261" s="3">
        <v>13850</v>
      </c>
      <c r="AH261" s="3">
        <v>13895</v>
      </c>
      <c r="AI261" s="3">
        <v>13885</v>
      </c>
      <c r="AJ261" s="3">
        <v>13770</v>
      </c>
      <c r="AK261" s="3">
        <v>13780</v>
      </c>
      <c r="AL261" s="3">
        <v>13630</v>
      </c>
      <c r="AM261" s="3">
        <v>13635</v>
      </c>
      <c r="AN261" s="3">
        <v>13445</v>
      </c>
      <c r="AO261" s="3">
        <v>13455</v>
      </c>
      <c r="AP261" s="3">
        <v>13450</v>
      </c>
      <c r="AQ261" s="3">
        <v>13445</v>
      </c>
      <c r="AR261" s="4">
        <f t="shared" ref="AR261:AR324" si="131">ABS(C261/B$3-1)</f>
        <v>1.2142237640936582E-2</v>
      </c>
      <c r="AS261" s="4">
        <f t="shared" si="108"/>
        <v>1.2987012987013546E-3</v>
      </c>
      <c r="AT261" s="4">
        <f t="shared" si="109"/>
        <v>2.1566901408450745E-2</v>
      </c>
      <c r="AU261" s="4">
        <f t="shared" si="110"/>
        <v>2.7164685908319219E-2</v>
      </c>
      <c r="AV261" s="4">
        <f t="shared" si="111"/>
        <v>1.839178785286566E-2</v>
      </c>
      <c r="AW261" s="4">
        <f t="shared" si="112"/>
        <v>1.2647554806070715E-2</v>
      </c>
      <c r="AX261" s="4">
        <f t="shared" si="113"/>
        <v>3.8794882377218398E-2</v>
      </c>
      <c r="AY261" s="4">
        <f t="shared" si="114"/>
        <v>2.4256651017214415E-2</v>
      </c>
      <c r="AZ261" s="4">
        <f t="shared" si="115"/>
        <v>1.5942606616181632E-3</v>
      </c>
      <c r="BA261" s="4">
        <f t="shared" si="116"/>
        <v>3.2323232323232531E-3</v>
      </c>
      <c r="BB261" s="4">
        <f t="shared" si="117"/>
        <v>3.7697608431292995E-2</v>
      </c>
      <c r="BC261" s="4">
        <f t="shared" si="118"/>
        <v>6.3316185199842057E-3</v>
      </c>
      <c r="BD261" s="4">
        <f t="shared" si="119"/>
        <v>8.1775700934579865E-3</v>
      </c>
      <c r="BE261" s="4">
        <f t="shared" si="120"/>
        <v>2.2753567296567745E-2</v>
      </c>
      <c r="BF261" s="4">
        <f t="shared" si="121"/>
        <v>1.9480519480519431E-2</v>
      </c>
      <c r="BG261" s="4">
        <f t="shared" si="122"/>
        <v>3.8620172478440296E-2</v>
      </c>
      <c r="BH261" s="4">
        <f t="shared" si="123"/>
        <v>1.7972681524083267E-3</v>
      </c>
      <c r="BI261" s="4">
        <f t="shared" si="124"/>
        <v>6.8468468468468879E-3</v>
      </c>
      <c r="BJ261" s="4">
        <f t="shared" si="125"/>
        <v>6.1953352769679171E-3</v>
      </c>
      <c r="BK261" s="4">
        <f t="shared" si="126"/>
        <v>1.6806722689075682E-2</v>
      </c>
      <c r="BL261" s="4">
        <f t="shared" si="127"/>
        <v>7.4321813452249419E-4</v>
      </c>
      <c r="BM261" s="4">
        <f t="shared" ref="BM261:BM324" si="132">AVERAGE(AS261:BF261)</f>
        <v>1.7384902313186019E-2</v>
      </c>
      <c r="BN261" s="9">
        <f t="shared" ref="BN261:BN324" si="133">MAX($AP$3,$AO$383)*(1+BM261)</f>
        <v>13688.913860623918</v>
      </c>
      <c r="BO261" s="10">
        <f t="shared" ref="BO261:BO324" si="134">MIN($AP$3,$AO$383)*(1-BM261)</f>
        <v>13093.346176676796</v>
      </c>
      <c r="BP261">
        <v>13845</v>
      </c>
      <c r="BQ261">
        <v>13850</v>
      </c>
      <c r="BR261">
        <v>13845</v>
      </c>
      <c r="BS261">
        <v>13850</v>
      </c>
      <c r="BT261">
        <v>43671</v>
      </c>
      <c r="BU261" s="13">
        <f t="shared" si="128"/>
        <v>13848.333333333334</v>
      </c>
      <c r="BV261" s="13">
        <f t="shared" si="129"/>
        <v>604770565</v>
      </c>
      <c r="BW261" s="13">
        <f>SUM($BV$3:BV261)</f>
        <v>207492590145.00003</v>
      </c>
      <c r="BX261" s="13">
        <f>SUM($BT$3:BT261)</f>
        <v>15142857</v>
      </c>
      <c r="BY261" s="3">
        <f t="shared" si="130"/>
        <v>13702.340987899446</v>
      </c>
    </row>
    <row r="262" spans="1:77" x14ac:dyDescent="0.3">
      <c r="A262" s="3" t="s">
        <v>302</v>
      </c>
      <c r="B262" s="3">
        <v>11670</v>
      </c>
      <c r="C262" s="3">
        <v>11670</v>
      </c>
      <c r="D262" s="3">
        <v>11565</v>
      </c>
      <c r="E262" s="3">
        <v>11570</v>
      </c>
      <c r="F262" s="3">
        <v>11605</v>
      </c>
      <c r="G262" s="3">
        <v>11610</v>
      </c>
      <c r="H262" s="3">
        <v>11460</v>
      </c>
      <c r="I262" s="3">
        <v>11460</v>
      </c>
      <c r="J262" s="3">
        <v>11905</v>
      </c>
      <c r="K262" s="3">
        <v>11910</v>
      </c>
      <c r="L262" s="3">
        <v>12015</v>
      </c>
      <c r="M262" s="3">
        <v>12000</v>
      </c>
      <c r="N262" s="3">
        <v>12585</v>
      </c>
      <c r="O262" s="3">
        <v>12595</v>
      </c>
      <c r="P262" s="3">
        <v>12470</v>
      </c>
      <c r="Q262" s="3">
        <v>12435</v>
      </c>
      <c r="R262" s="3">
        <v>12520</v>
      </c>
      <c r="S262" s="3">
        <v>12520</v>
      </c>
      <c r="T262" s="3">
        <v>12340</v>
      </c>
      <c r="U262" s="3">
        <v>12345</v>
      </c>
      <c r="V262" s="3">
        <v>12800</v>
      </c>
      <c r="W262" s="3">
        <v>12800</v>
      </c>
      <c r="X262" s="3">
        <v>12555</v>
      </c>
      <c r="Y262" s="3">
        <v>12555</v>
      </c>
      <c r="Z262" s="3">
        <v>12735</v>
      </c>
      <c r="AA262" s="3">
        <v>12740</v>
      </c>
      <c r="AB262" s="3">
        <v>13260</v>
      </c>
      <c r="AC262" s="3">
        <v>13260</v>
      </c>
      <c r="AD262" s="3">
        <v>13345</v>
      </c>
      <c r="AE262" s="3">
        <v>13320</v>
      </c>
      <c r="AF262" s="3">
        <v>13850</v>
      </c>
      <c r="AG262" s="3">
        <v>13855</v>
      </c>
      <c r="AH262" s="3">
        <v>13885</v>
      </c>
      <c r="AI262" s="3">
        <v>13920</v>
      </c>
      <c r="AJ262" s="3">
        <v>13780</v>
      </c>
      <c r="AK262" s="3">
        <v>13785</v>
      </c>
      <c r="AL262" s="3">
        <v>13640</v>
      </c>
      <c r="AM262" s="3">
        <v>13660</v>
      </c>
      <c r="AN262" s="3">
        <v>13455</v>
      </c>
      <c r="AO262" s="3">
        <v>13455</v>
      </c>
      <c r="AP262" s="3">
        <v>13450</v>
      </c>
      <c r="AQ262" s="3">
        <v>13425</v>
      </c>
      <c r="AR262" s="4">
        <f t="shared" si="131"/>
        <v>1.2142237640936582E-2</v>
      </c>
      <c r="AS262" s="4">
        <f t="shared" si="108"/>
        <v>1.7316017316018062E-3</v>
      </c>
      <c r="AT262" s="4">
        <f t="shared" si="109"/>
        <v>2.2007042253521236E-2</v>
      </c>
      <c r="AU262" s="4">
        <f t="shared" si="110"/>
        <v>2.7164685908319219E-2</v>
      </c>
      <c r="AV262" s="4">
        <f t="shared" si="111"/>
        <v>1.8819503849443864E-2</v>
      </c>
      <c r="AW262" s="4">
        <f t="shared" si="112"/>
        <v>1.180438448566612E-2</v>
      </c>
      <c r="AX262" s="4">
        <f t="shared" si="113"/>
        <v>3.962030540652095E-2</v>
      </c>
      <c r="AY262" s="4">
        <f t="shared" si="114"/>
        <v>2.699530516431925E-2</v>
      </c>
      <c r="AZ262" s="4">
        <f t="shared" si="115"/>
        <v>1.9928258270227595E-3</v>
      </c>
      <c r="BA262" s="4">
        <f t="shared" si="116"/>
        <v>2.4242424242424399E-3</v>
      </c>
      <c r="BB262" s="4">
        <f t="shared" si="117"/>
        <v>3.7697608431292995E-2</v>
      </c>
      <c r="BC262" s="4">
        <f t="shared" si="118"/>
        <v>6.3316185199842057E-3</v>
      </c>
      <c r="BD262" s="4">
        <f t="shared" si="119"/>
        <v>7.7881619937694158E-3</v>
      </c>
      <c r="BE262" s="4">
        <f t="shared" si="120"/>
        <v>2.2753567296567745E-2</v>
      </c>
      <c r="BF262" s="4">
        <f t="shared" si="121"/>
        <v>1.7570664629488197E-2</v>
      </c>
      <c r="BG262" s="4">
        <f t="shared" si="122"/>
        <v>3.8995125609298853E-2</v>
      </c>
      <c r="BH262" s="4">
        <f t="shared" si="123"/>
        <v>7.1890726096324187E-4</v>
      </c>
      <c r="BI262" s="4">
        <f t="shared" si="124"/>
        <v>6.4864864864865313E-3</v>
      </c>
      <c r="BJ262" s="4">
        <f t="shared" si="125"/>
        <v>4.3731778425656342E-3</v>
      </c>
      <c r="BK262" s="4">
        <f t="shared" si="126"/>
        <v>1.6806722689075682E-2</v>
      </c>
      <c r="BL262" s="4">
        <f t="shared" si="127"/>
        <v>2.2296544035674826E-3</v>
      </c>
      <c r="BM262" s="4">
        <f t="shared" si="132"/>
        <v>1.74786798515543E-2</v>
      </c>
      <c r="BN262" s="9">
        <f t="shared" si="133"/>
        <v>13690.175637402663</v>
      </c>
      <c r="BO262" s="10">
        <f t="shared" si="134"/>
        <v>13092.096590978039</v>
      </c>
      <c r="BP262">
        <v>13850</v>
      </c>
      <c r="BQ262">
        <v>13860</v>
      </c>
      <c r="BR262">
        <v>13850</v>
      </c>
      <c r="BS262">
        <v>13855</v>
      </c>
      <c r="BT262">
        <v>12647</v>
      </c>
      <c r="BU262" s="13">
        <f t="shared" si="128"/>
        <v>13855</v>
      </c>
      <c r="BV262" s="13">
        <f t="shared" si="129"/>
        <v>175224185</v>
      </c>
      <c r="BW262" s="13">
        <f>SUM($BV$3:BV262)</f>
        <v>207667814330.00003</v>
      </c>
      <c r="BX262" s="13">
        <f>SUM($BT$3:BT262)</f>
        <v>15155504</v>
      </c>
      <c r="BY262" s="3">
        <f t="shared" si="130"/>
        <v>13702.468379144635</v>
      </c>
    </row>
    <row r="263" spans="1:77" x14ac:dyDescent="0.3">
      <c r="A263" s="3" t="s">
        <v>303</v>
      </c>
      <c r="B263" s="3">
        <v>11670</v>
      </c>
      <c r="C263" s="3">
        <v>11675</v>
      </c>
      <c r="D263" s="3">
        <v>11575</v>
      </c>
      <c r="E263" s="3">
        <v>11570</v>
      </c>
      <c r="F263" s="3">
        <v>11610</v>
      </c>
      <c r="G263" s="3">
        <v>11595</v>
      </c>
      <c r="H263" s="3">
        <v>11460</v>
      </c>
      <c r="I263" s="3">
        <v>11465</v>
      </c>
      <c r="J263" s="3">
        <v>11910</v>
      </c>
      <c r="K263" s="3">
        <v>11910</v>
      </c>
      <c r="L263" s="3">
        <v>12000</v>
      </c>
      <c r="M263" s="3">
        <v>12005</v>
      </c>
      <c r="N263" s="3">
        <v>12595</v>
      </c>
      <c r="O263" s="3">
        <v>12590</v>
      </c>
      <c r="P263" s="3">
        <v>12430</v>
      </c>
      <c r="Q263" s="3">
        <v>12500</v>
      </c>
      <c r="R263" s="3">
        <v>12520</v>
      </c>
      <c r="S263" s="3">
        <v>12505</v>
      </c>
      <c r="T263" s="3">
        <v>12340</v>
      </c>
      <c r="U263" s="3">
        <v>12335</v>
      </c>
      <c r="V263" s="3">
        <v>12800</v>
      </c>
      <c r="W263" s="3">
        <v>12785</v>
      </c>
      <c r="X263" s="3">
        <v>12560</v>
      </c>
      <c r="Y263" s="3">
        <v>12555</v>
      </c>
      <c r="Z263" s="3">
        <v>12740</v>
      </c>
      <c r="AA263" s="3">
        <v>12735</v>
      </c>
      <c r="AB263" s="3">
        <v>13260</v>
      </c>
      <c r="AC263" s="3">
        <v>13260</v>
      </c>
      <c r="AD263" s="3">
        <v>13315</v>
      </c>
      <c r="AE263" s="3">
        <v>13320</v>
      </c>
      <c r="AF263" s="3">
        <v>13855</v>
      </c>
      <c r="AG263" s="3">
        <v>13845</v>
      </c>
      <c r="AH263" s="3">
        <v>13920</v>
      </c>
      <c r="AI263" s="3">
        <v>13870</v>
      </c>
      <c r="AJ263" s="3">
        <v>13785</v>
      </c>
      <c r="AK263" s="3">
        <v>13790</v>
      </c>
      <c r="AL263" s="3">
        <v>13660</v>
      </c>
      <c r="AM263" s="3">
        <v>13655</v>
      </c>
      <c r="AN263" s="3">
        <v>13450</v>
      </c>
      <c r="AO263" s="3">
        <v>13450</v>
      </c>
      <c r="AP263" s="3">
        <v>13420</v>
      </c>
      <c r="AQ263" s="3">
        <v>13415</v>
      </c>
      <c r="AR263" s="4">
        <f t="shared" si="131"/>
        <v>1.2575888985255856E-2</v>
      </c>
      <c r="AS263" s="4">
        <f t="shared" si="108"/>
        <v>1.7316017316018062E-3</v>
      </c>
      <c r="AT263" s="4">
        <f t="shared" si="109"/>
        <v>2.0686619718309762E-2</v>
      </c>
      <c r="AU263" s="4">
        <f t="shared" si="110"/>
        <v>2.6740237691001645E-2</v>
      </c>
      <c r="AV263" s="4">
        <f t="shared" si="111"/>
        <v>1.8819503849443864E-2</v>
      </c>
      <c r="AW263" s="4">
        <f t="shared" si="112"/>
        <v>1.2225969645868418E-2</v>
      </c>
      <c r="AX263" s="4">
        <f t="shared" si="113"/>
        <v>3.9207593891869674E-2</v>
      </c>
      <c r="AY263" s="4">
        <f t="shared" si="114"/>
        <v>2.1909233176838794E-2</v>
      </c>
      <c r="AZ263" s="4">
        <f t="shared" si="115"/>
        <v>3.1885213232363263E-3</v>
      </c>
      <c r="BA263" s="4">
        <f t="shared" si="116"/>
        <v>3.2323232323232531E-3</v>
      </c>
      <c r="BB263" s="4">
        <f t="shared" si="117"/>
        <v>3.6481556546412719E-2</v>
      </c>
      <c r="BC263" s="4">
        <f t="shared" si="118"/>
        <v>6.3316185199842057E-3</v>
      </c>
      <c r="BD263" s="4">
        <f t="shared" si="119"/>
        <v>8.1775700934579865E-3</v>
      </c>
      <c r="BE263" s="4">
        <f t="shared" si="120"/>
        <v>2.2753567296567745E-2</v>
      </c>
      <c r="BF263" s="4">
        <f t="shared" si="121"/>
        <v>1.7570664629488197E-2</v>
      </c>
      <c r="BG263" s="4">
        <f t="shared" si="122"/>
        <v>3.8245219347581516E-2</v>
      </c>
      <c r="BH263" s="4">
        <f t="shared" si="123"/>
        <v>2.8756290438533005E-3</v>
      </c>
      <c r="BI263" s="4">
        <f t="shared" si="124"/>
        <v>6.1261261261261746E-3</v>
      </c>
      <c r="BJ263" s="4">
        <f t="shared" si="125"/>
        <v>4.737609329446113E-3</v>
      </c>
      <c r="BK263" s="4">
        <f t="shared" si="126"/>
        <v>1.7172086225794692E-2</v>
      </c>
      <c r="BL263" s="4">
        <f t="shared" si="127"/>
        <v>2.9728725380899768E-3</v>
      </c>
      <c r="BM263" s="4">
        <f t="shared" si="132"/>
        <v>1.7075470096171743E-2</v>
      </c>
      <c r="BN263" s="9">
        <f t="shared" si="133"/>
        <v>13684.750450143991</v>
      </c>
      <c r="BO263" s="10">
        <f t="shared" si="134"/>
        <v>13097.469360968511</v>
      </c>
      <c r="BP263">
        <v>13855</v>
      </c>
      <c r="BQ263">
        <v>13855</v>
      </c>
      <c r="BR263">
        <v>13840</v>
      </c>
      <c r="BS263">
        <v>13845</v>
      </c>
      <c r="BT263">
        <v>9160</v>
      </c>
      <c r="BU263" s="13">
        <f t="shared" si="128"/>
        <v>13846.666666666666</v>
      </c>
      <c r="BV263" s="13">
        <f t="shared" si="129"/>
        <v>126835466.66666666</v>
      </c>
      <c r="BW263" s="13">
        <f>SUM($BV$3:BV263)</f>
        <v>207794649796.66669</v>
      </c>
      <c r="BX263" s="13">
        <f>SUM($BT$3:BT263)</f>
        <v>15164664</v>
      </c>
      <c r="BY263" s="3">
        <f t="shared" si="130"/>
        <v>13702.555480073062</v>
      </c>
    </row>
    <row r="264" spans="1:77" x14ac:dyDescent="0.3">
      <c r="A264" s="3" t="s">
        <v>304</v>
      </c>
      <c r="B264" s="3">
        <v>11675</v>
      </c>
      <c r="C264" s="3">
        <v>11685</v>
      </c>
      <c r="D264" s="3">
        <v>11570</v>
      </c>
      <c r="E264" s="3">
        <v>11555</v>
      </c>
      <c r="F264" s="3">
        <v>11595</v>
      </c>
      <c r="G264" s="3">
        <v>11605</v>
      </c>
      <c r="H264" s="3">
        <v>11465</v>
      </c>
      <c r="I264" s="3">
        <v>11465</v>
      </c>
      <c r="J264" s="3">
        <v>11910</v>
      </c>
      <c r="K264" s="3">
        <v>11890</v>
      </c>
      <c r="L264" s="3">
        <v>12005</v>
      </c>
      <c r="M264" s="3">
        <v>12015</v>
      </c>
      <c r="N264" s="3">
        <v>12590</v>
      </c>
      <c r="O264" s="3">
        <v>12595</v>
      </c>
      <c r="P264" s="3">
        <v>12500</v>
      </c>
      <c r="Q264" s="3">
        <v>12500</v>
      </c>
      <c r="R264" s="3">
        <v>12505</v>
      </c>
      <c r="S264" s="3">
        <v>12505</v>
      </c>
      <c r="T264" s="3">
        <v>12335</v>
      </c>
      <c r="U264" s="3">
        <v>12320</v>
      </c>
      <c r="V264" s="3">
        <v>12785</v>
      </c>
      <c r="W264" s="3">
        <v>12795</v>
      </c>
      <c r="X264" s="3">
        <v>12560</v>
      </c>
      <c r="Y264" s="3">
        <v>12555</v>
      </c>
      <c r="Z264" s="3">
        <v>12735</v>
      </c>
      <c r="AA264" s="3">
        <v>12735</v>
      </c>
      <c r="AB264" s="3">
        <v>13260</v>
      </c>
      <c r="AC264" s="3">
        <v>13260</v>
      </c>
      <c r="AD264" s="3">
        <v>13320</v>
      </c>
      <c r="AE264" s="3">
        <v>13315</v>
      </c>
      <c r="AF264" s="3">
        <v>13845</v>
      </c>
      <c r="AG264" s="3">
        <v>13850</v>
      </c>
      <c r="AH264" s="3">
        <v>13865</v>
      </c>
      <c r="AI264" s="3">
        <v>13835</v>
      </c>
      <c r="AJ264" s="3">
        <v>13795</v>
      </c>
      <c r="AK264" s="3">
        <v>13780</v>
      </c>
      <c r="AL264" s="3">
        <v>13660</v>
      </c>
      <c r="AM264" s="3">
        <v>13660</v>
      </c>
      <c r="AN264" s="3">
        <v>13450</v>
      </c>
      <c r="AO264" s="3">
        <v>13445</v>
      </c>
      <c r="AP264" s="3">
        <v>13415</v>
      </c>
      <c r="AQ264" s="3">
        <v>13420</v>
      </c>
      <c r="AR264" s="4">
        <f t="shared" si="131"/>
        <v>1.3443191673894184E-2</v>
      </c>
      <c r="AS264" s="4">
        <f t="shared" si="108"/>
        <v>4.3290043290045155E-4</v>
      </c>
      <c r="AT264" s="4">
        <f t="shared" si="109"/>
        <v>2.1566901408450745E-2</v>
      </c>
      <c r="AU264" s="4">
        <f t="shared" si="110"/>
        <v>2.6740237691001645E-2</v>
      </c>
      <c r="AV264" s="4">
        <f t="shared" si="111"/>
        <v>1.7108639863130826E-2</v>
      </c>
      <c r="AW264" s="4">
        <f t="shared" si="112"/>
        <v>1.3069139966273235E-2</v>
      </c>
      <c r="AX264" s="4">
        <f t="shared" si="113"/>
        <v>3.962030540652095E-2</v>
      </c>
      <c r="AY264" s="4">
        <f t="shared" si="114"/>
        <v>2.1909233176838794E-2</v>
      </c>
      <c r="AZ264" s="4">
        <f t="shared" si="115"/>
        <v>3.1885213232363263E-3</v>
      </c>
      <c r="BA264" s="4">
        <f t="shared" si="116"/>
        <v>4.4444444444444731E-3</v>
      </c>
      <c r="BB264" s="4">
        <f t="shared" si="117"/>
        <v>3.7292257802999496E-2</v>
      </c>
      <c r="BC264" s="4">
        <f t="shared" si="118"/>
        <v>6.3316185199842057E-3</v>
      </c>
      <c r="BD264" s="4">
        <f t="shared" si="119"/>
        <v>8.1775700934579865E-3</v>
      </c>
      <c r="BE264" s="4">
        <f t="shared" si="120"/>
        <v>2.2753567296567745E-2</v>
      </c>
      <c r="BF264" s="4">
        <f t="shared" si="121"/>
        <v>1.7188693659281995E-2</v>
      </c>
      <c r="BG264" s="4">
        <f t="shared" si="122"/>
        <v>3.8620172478440296E-2</v>
      </c>
      <c r="BH264" s="4">
        <f t="shared" si="123"/>
        <v>5.3918044572249801E-3</v>
      </c>
      <c r="BI264" s="4">
        <f t="shared" si="124"/>
        <v>6.8468468468468879E-3</v>
      </c>
      <c r="BJ264" s="4">
        <f t="shared" si="125"/>
        <v>4.3731778425656342E-3</v>
      </c>
      <c r="BK264" s="4">
        <f t="shared" si="126"/>
        <v>1.7537449762513702E-2</v>
      </c>
      <c r="BL264" s="4">
        <f t="shared" si="127"/>
        <v>2.6012634708286742E-3</v>
      </c>
      <c r="BM264" s="4">
        <f t="shared" si="132"/>
        <v>1.7130287934649206E-2</v>
      </c>
      <c r="BN264" s="9">
        <f t="shared" si="133"/>
        <v>13685.488024160704</v>
      </c>
      <c r="BO264" s="10">
        <f t="shared" si="134"/>
        <v>13096.738913270799</v>
      </c>
      <c r="BP264">
        <v>13845</v>
      </c>
      <c r="BQ264">
        <v>13850</v>
      </c>
      <c r="BR264">
        <v>13840</v>
      </c>
      <c r="BS264">
        <v>13850</v>
      </c>
      <c r="BT264">
        <v>8760</v>
      </c>
      <c r="BU264" s="13">
        <f t="shared" si="128"/>
        <v>13846.666666666666</v>
      </c>
      <c r="BV264" s="13">
        <f t="shared" si="129"/>
        <v>121296800</v>
      </c>
      <c r="BW264" s="13">
        <f>SUM($BV$3:BV264)</f>
        <v>207915946596.66669</v>
      </c>
      <c r="BX264" s="13">
        <f>SUM($BT$3:BT264)</f>
        <v>15173424</v>
      </c>
      <c r="BY264" s="3">
        <f t="shared" si="130"/>
        <v>13702.638679092253</v>
      </c>
    </row>
    <row r="265" spans="1:77" x14ac:dyDescent="0.3">
      <c r="A265" s="3" t="s">
        <v>305</v>
      </c>
      <c r="B265" s="3">
        <v>11685</v>
      </c>
      <c r="C265" s="3">
        <v>11690</v>
      </c>
      <c r="D265" s="3">
        <v>11555</v>
      </c>
      <c r="E265" s="3">
        <v>11560</v>
      </c>
      <c r="F265" s="3">
        <v>11605</v>
      </c>
      <c r="G265" s="3">
        <v>11595</v>
      </c>
      <c r="H265" s="3">
        <v>11460</v>
      </c>
      <c r="I265" s="3">
        <v>11450</v>
      </c>
      <c r="J265" s="3">
        <v>11890</v>
      </c>
      <c r="K265" s="3">
        <v>11870</v>
      </c>
      <c r="L265" s="3">
        <v>12015</v>
      </c>
      <c r="M265" s="3">
        <v>12015</v>
      </c>
      <c r="N265" s="3">
        <v>12595</v>
      </c>
      <c r="O265" s="3">
        <v>12590</v>
      </c>
      <c r="P265" s="3">
        <v>12500</v>
      </c>
      <c r="Q265" s="3">
        <v>12480</v>
      </c>
      <c r="R265" s="3">
        <v>12505</v>
      </c>
      <c r="S265" s="3">
        <v>12525</v>
      </c>
      <c r="T265" s="3">
        <v>12320</v>
      </c>
      <c r="U265" s="3">
        <v>12320</v>
      </c>
      <c r="V265" s="3">
        <v>12795</v>
      </c>
      <c r="W265" s="3">
        <v>12785</v>
      </c>
      <c r="X265" s="3">
        <v>12555</v>
      </c>
      <c r="Y265" s="3">
        <v>12550</v>
      </c>
      <c r="Z265" s="3">
        <v>12740</v>
      </c>
      <c r="AA265" s="3">
        <v>12745</v>
      </c>
      <c r="AB265" s="3">
        <v>13260</v>
      </c>
      <c r="AC265" s="3">
        <v>13260</v>
      </c>
      <c r="AD265" s="3">
        <v>13315</v>
      </c>
      <c r="AE265" s="3">
        <v>13330</v>
      </c>
      <c r="AF265" s="3">
        <v>13850</v>
      </c>
      <c r="AG265" s="3">
        <v>13840</v>
      </c>
      <c r="AH265" s="3">
        <v>13835</v>
      </c>
      <c r="AI265" s="3">
        <v>13845</v>
      </c>
      <c r="AJ265" s="3">
        <v>13785</v>
      </c>
      <c r="AK265" s="3">
        <v>13775</v>
      </c>
      <c r="AL265" s="3">
        <v>13660</v>
      </c>
      <c r="AM265" s="3">
        <v>13645</v>
      </c>
      <c r="AN265" s="3">
        <v>13445</v>
      </c>
      <c r="AO265" s="3">
        <v>13460</v>
      </c>
      <c r="AP265" s="3">
        <v>13420</v>
      </c>
      <c r="AQ265" s="3">
        <v>13400</v>
      </c>
      <c r="AR265" s="4">
        <f t="shared" si="131"/>
        <v>1.3876843018213458E-2</v>
      </c>
      <c r="AS265" s="4">
        <f t="shared" si="108"/>
        <v>8.658008658009031E-4</v>
      </c>
      <c r="AT265" s="4">
        <f t="shared" si="109"/>
        <v>2.0686619718309762E-2</v>
      </c>
      <c r="AU265" s="4">
        <f t="shared" si="110"/>
        <v>2.8013582342954146E-2</v>
      </c>
      <c r="AV265" s="4">
        <f t="shared" si="111"/>
        <v>1.5397775876817787E-2</v>
      </c>
      <c r="AW265" s="4">
        <f t="shared" si="112"/>
        <v>1.3069139966273235E-2</v>
      </c>
      <c r="AX265" s="4">
        <f t="shared" si="113"/>
        <v>3.9207593891869674E-2</v>
      </c>
      <c r="AY265" s="4">
        <f t="shared" si="114"/>
        <v>2.3474178403755874E-2</v>
      </c>
      <c r="AZ265" s="4">
        <f t="shared" si="115"/>
        <v>1.5942606616181632E-3</v>
      </c>
      <c r="BA265" s="4">
        <f t="shared" si="116"/>
        <v>4.4444444444444731E-3</v>
      </c>
      <c r="BB265" s="4">
        <f t="shared" si="117"/>
        <v>3.6481556546412719E-2</v>
      </c>
      <c r="BC265" s="4">
        <f t="shared" si="118"/>
        <v>6.7273446774831491E-3</v>
      </c>
      <c r="BD265" s="4">
        <f t="shared" si="119"/>
        <v>7.3987538940809561E-3</v>
      </c>
      <c r="BE265" s="4">
        <f t="shared" si="120"/>
        <v>2.2753567296567745E-2</v>
      </c>
      <c r="BF265" s="4">
        <f t="shared" si="121"/>
        <v>1.8334606569900602E-2</v>
      </c>
      <c r="BG265" s="4">
        <f t="shared" si="122"/>
        <v>3.7870266216722959E-2</v>
      </c>
      <c r="BH265" s="4">
        <f t="shared" si="123"/>
        <v>4.6728971962616273E-3</v>
      </c>
      <c r="BI265" s="4">
        <f t="shared" si="124"/>
        <v>7.2072072072072446E-3</v>
      </c>
      <c r="BJ265" s="4">
        <f t="shared" si="125"/>
        <v>5.4664723032069595E-3</v>
      </c>
      <c r="BK265" s="4">
        <f t="shared" si="126"/>
        <v>1.6441359152356561E-2</v>
      </c>
      <c r="BL265" s="4">
        <f t="shared" si="127"/>
        <v>4.0876997398736625E-3</v>
      </c>
      <c r="BM265" s="4">
        <f t="shared" si="132"/>
        <v>1.7032087511163512E-2</v>
      </c>
      <c r="BN265" s="9">
        <f t="shared" si="133"/>
        <v>13684.166737462707</v>
      </c>
      <c r="BO265" s="10">
        <f t="shared" si="134"/>
        <v>13098.047433913747</v>
      </c>
      <c r="BP265">
        <v>13850</v>
      </c>
      <c r="BQ265">
        <v>13850</v>
      </c>
      <c r="BR265">
        <v>13840</v>
      </c>
      <c r="BS265">
        <v>13840</v>
      </c>
      <c r="BT265">
        <v>12899</v>
      </c>
      <c r="BU265" s="13">
        <f t="shared" si="128"/>
        <v>13843.333333333334</v>
      </c>
      <c r="BV265" s="13">
        <f t="shared" si="129"/>
        <v>178565156.66666669</v>
      </c>
      <c r="BW265" s="13">
        <f>SUM($BV$3:BV265)</f>
        <v>208094511753.33334</v>
      </c>
      <c r="BX265" s="13">
        <f>SUM($BT$3:BT265)</f>
        <v>15186323</v>
      </c>
      <c r="BY265" s="3">
        <f t="shared" si="130"/>
        <v>13702.758182697244</v>
      </c>
    </row>
    <row r="266" spans="1:77" x14ac:dyDescent="0.3">
      <c r="A266" s="3" t="s">
        <v>306</v>
      </c>
      <c r="B266" s="3">
        <v>11695</v>
      </c>
      <c r="C266" s="3">
        <v>11690</v>
      </c>
      <c r="D266" s="3">
        <v>11560</v>
      </c>
      <c r="E266" s="3">
        <v>11550</v>
      </c>
      <c r="F266" s="3">
        <v>11595</v>
      </c>
      <c r="G266" s="3">
        <v>11685</v>
      </c>
      <c r="H266" s="3">
        <v>11450</v>
      </c>
      <c r="I266" s="3">
        <v>11470</v>
      </c>
      <c r="J266" s="3">
        <v>11870</v>
      </c>
      <c r="K266" s="3">
        <v>11865</v>
      </c>
      <c r="L266" s="3">
        <v>12015</v>
      </c>
      <c r="M266" s="3">
        <v>12000</v>
      </c>
      <c r="N266" s="3">
        <v>12590</v>
      </c>
      <c r="O266" s="3">
        <v>12585</v>
      </c>
      <c r="P266" s="3">
        <v>12480</v>
      </c>
      <c r="Q266" s="3">
        <v>12430</v>
      </c>
      <c r="R266" s="3">
        <v>12520</v>
      </c>
      <c r="S266" s="3">
        <v>12525</v>
      </c>
      <c r="T266" s="3">
        <v>12320</v>
      </c>
      <c r="U266" s="3">
        <v>12315</v>
      </c>
      <c r="V266" s="3">
        <v>12790</v>
      </c>
      <c r="W266" s="3">
        <v>12790</v>
      </c>
      <c r="X266" s="3">
        <v>12545</v>
      </c>
      <c r="Y266" s="3">
        <v>12540</v>
      </c>
      <c r="Z266" s="3">
        <v>12745</v>
      </c>
      <c r="AA266" s="3">
        <v>12740</v>
      </c>
      <c r="AB266" s="3">
        <v>13260</v>
      </c>
      <c r="AC266" s="3">
        <v>13255</v>
      </c>
      <c r="AD266" s="3">
        <v>13330</v>
      </c>
      <c r="AE266" s="3">
        <v>13330</v>
      </c>
      <c r="AF266" s="3">
        <v>13845</v>
      </c>
      <c r="AG266" s="3">
        <v>13835</v>
      </c>
      <c r="AH266" s="3">
        <v>13845</v>
      </c>
      <c r="AI266" s="3">
        <v>13835</v>
      </c>
      <c r="AJ266" s="3">
        <v>13775</v>
      </c>
      <c r="AK266" s="3">
        <v>13770</v>
      </c>
      <c r="AL266" s="3">
        <v>13645</v>
      </c>
      <c r="AM266" s="3">
        <v>13645</v>
      </c>
      <c r="AN266" s="3">
        <v>13460</v>
      </c>
      <c r="AO266" s="3">
        <v>13460</v>
      </c>
      <c r="AP266" s="3">
        <v>13400</v>
      </c>
      <c r="AQ266" s="3">
        <v>13420</v>
      </c>
      <c r="AR266" s="4">
        <f t="shared" si="131"/>
        <v>1.3876843018213458E-2</v>
      </c>
      <c r="AS266" s="4">
        <f t="shared" si="108"/>
        <v>0</v>
      </c>
      <c r="AT266" s="4">
        <f t="shared" si="109"/>
        <v>2.8609154929577496E-2</v>
      </c>
      <c r="AU266" s="4">
        <f t="shared" si="110"/>
        <v>2.6315789473684181E-2</v>
      </c>
      <c r="AV266" s="4">
        <f t="shared" si="111"/>
        <v>1.4970059880239583E-2</v>
      </c>
      <c r="AW266" s="4">
        <f t="shared" si="112"/>
        <v>1.180438448566612E-2</v>
      </c>
      <c r="AX266" s="4">
        <f t="shared" si="113"/>
        <v>3.8794882377218398E-2</v>
      </c>
      <c r="AY266" s="4">
        <f t="shared" si="114"/>
        <v>2.7386541471048464E-2</v>
      </c>
      <c r="AZ266" s="4">
        <f t="shared" si="115"/>
        <v>1.5942606616181632E-3</v>
      </c>
      <c r="BA266" s="4">
        <f t="shared" si="116"/>
        <v>4.8484848484848797E-3</v>
      </c>
      <c r="BB266" s="4">
        <f t="shared" si="117"/>
        <v>3.6886907174706218E-2</v>
      </c>
      <c r="BC266" s="4">
        <f t="shared" si="118"/>
        <v>7.5187969924812581E-3</v>
      </c>
      <c r="BD266" s="4">
        <f t="shared" si="119"/>
        <v>7.7881619937694158E-3</v>
      </c>
      <c r="BE266" s="4">
        <f t="shared" si="120"/>
        <v>2.2367913613575041E-2</v>
      </c>
      <c r="BF266" s="4">
        <f t="shared" si="121"/>
        <v>1.8334606569900602E-2</v>
      </c>
      <c r="BG266" s="4">
        <f t="shared" si="122"/>
        <v>3.7495313085864179E-2</v>
      </c>
      <c r="BH266" s="4">
        <f t="shared" si="123"/>
        <v>5.3918044572249801E-3</v>
      </c>
      <c r="BI266" s="4">
        <f t="shared" si="124"/>
        <v>7.5675675675676013E-3</v>
      </c>
      <c r="BJ266" s="4">
        <f t="shared" si="125"/>
        <v>5.4664723032069595E-3</v>
      </c>
      <c r="BK266" s="4">
        <f t="shared" si="126"/>
        <v>1.6441359152356561E-2</v>
      </c>
      <c r="BL266" s="4">
        <f t="shared" si="127"/>
        <v>2.6012634708286742E-3</v>
      </c>
      <c r="BM266" s="4">
        <f t="shared" si="132"/>
        <v>1.7658567462283559E-2</v>
      </c>
      <c r="BN266" s="9">
        <f t="shared" si="133"/>
        <v>13692.596025205024</v>
      </c>
      <c r="BO266" s="10">
        <f t="shared" si="134"/>
        <v>13089.699588565072</v>
      </c>
      <c r="BP266">
        <v>13845</v>
      </c>
      <c r="BQ266">
        <v>13845</v>
      </c>
      <c r="BR266">
        <v>13815</v>
      </c>
      <c r="BS266">
        <v>13835</v>
      </c>
      <c r="BT266">
        <v>92857</v>
      </c>
      <c r="BU266" s="13">
        <f t="shared" si="128"/>
        <v>13831.666666666666</v>
      </c>
      <c r="BV266" s="13">
        <f t="shared" si="129"/>
        <v>1284367071.6666665</v>
      </c>
      <c r="BW266" s="13">
        <f>SUM($BV$3:BV266)</f>
        <v>209378878825</v>
      </c>
      <c r="BX266" s="13">
        <f>SUM($BT$3:BT266)</f>
        <v>15279180</v>
      </c>
      <c r="BY266" s="3">
        <f t="shared" si="130"/>
        <v>13703.541605308661</v>
      </c>
    </row>
    <row r="267" spans="1:77" x14ac:dyDescent="0.3">
      <c r="A267" s="3" t="s">
        <v>307</v>
      </c>
      <c r="B267" s="3">
        <v>11690</v>
      </c>
      <c r="C267" s="3">
        <v>11680</v>
      </c>
      <c r="D267" s="3">
        <v>11550</v>
      </c>
      <c r="E267" s="3">
        <v>11555</v>
      </c>
      <c r="F267" s="3">
        <v>11685</v>
      </c>
      <c r="G267" s="3">
        <v>11630</v>
      </c>
      <c r="H267" s="3">
        <v>11470</v>
      </c>
      <c r="I267" s="3">
        <v>11450</v>
      </c>
      <c r="J267" s="3">
        <v>11865</v>
      </c>
      <c r="K267" s="3">
        <v>11835</v>
      </c>
      <c r="L267" s="3">
        <v>12005</v>
      </c>
      <c r="M267" s="3">
        <v>12000</v>
      </c>
      <c r="N267" s="3">
        <v>12585</v>
      </c>
      <c r="O267" s="3">
        <v>12590</v>
      </c>
      <c r="P267" s="3">
        <v>12435</v>
      </c>
      <c r="Q267" s="3">
        <v>12455</v>
      </c>
      <c r="R267" s="3">
        <v>12525</v>
      </c>
      <c r="S267" s="3">
        <v>12515</v>
      </c>
      <c r="T267" s="3">
        <v>12315</v>
      </c>
      <c r="U267" s="3">
        <v>12305</v>
      </c>
      <c r="V267" s="3">
        <v>12790</v>
      </c>
      <c r="W267" s="3">
        <v>12785</v>
      </c>
      <c r="X267" s="3">
        <v>12545</v>
      </c>
      <c r="Y267" s="3">
        <v>12545</v>
      </c>
      <c r="Z267" s="3">
        <v>12740</v>
      </c>
      <c r="AA267" s="3">
        <v>12730</v>
      </c>
      <c r="AB267" s="3">
        <v>13255</v>
      </c>
      <c r="AC267" s="3">
        <v>13250</v>
      </c>
      <c r="AD267" s="3">
        <v>13330</v>
      </c>
      <c r="AE267" s="3">
        <v>13325</v>
      </c>
      <c r="AF267" s="3">
        <v>13835</v>
      </c>
      <c r="AG267" s="3">
        <v>13825</v>
      </c>
      <c r="AH267" s="3">
        <v>13835</v>
      </c>
      <c r="AI267" s="3">
        <v>13845</v>
      </c>
      <c r="AJ267" s="3">
        <v>13770</v>
      </c>
      <c r="AK267" s="3">
        <v>13770</v>
      </c>
      <c r="AL267" s="3">
        <v>13645</v>
      </c>
      <c r="AM267" s="3">
        <v>13655</v>
      </c>
      <c r="AN267" s="3">
        <v>13460</v>
      </c>
      <c r="AO267" s="3">
        <v>13450</v>
      </c>
      <c r="AP267" s="3">
        <v>13415</v>
      </c>
      <c r="AQ267" s="3">
        <v>13415</v>
      </c>
      <c r="AR267" s="4">
        <f t="shared" si="131"/>
        <v>1.3009540329575131E-2</v>
      </c>
      <c r="AS267" s="4">
        <f t="shared" si="108"/>
        <v>4.3290043290045155E-4</v>
      </c>
      <c r="AT267" s="4">
        <f t="shared" si="109"/>
        <v>2.3767605633802757E-2</v>
      </c>
      <c r="AU267" s="4">
        <f t="shared" si="110"/>
        <v>2.8013582342954146E-2</v>
      </c>
      <c r="AV267" s="4">
        <f t="shared" si="111"/>
        <v>1.2403763900769915E-2</v>
      </c>
      <c r="AW267" s="4">
        <f t="shared" si="112"/>
        <v>1.180438448566612E-2</v>
      </c>
      <c r="AX267" s="4">
        <f t="shared" si="113"/>
        <v>3.9207593891869674E-2</v>
      </c>
      <c r="AY267" s="4">
        <f t="shared" si="114"/>
        <v>2.5430359937402169E-2</v>
      </c>
      <c r="AZ267" s="4">
        <f t="shared" si="115"/>
        <v>2.3913909924272447E-3</v>
      </c>
      <c r="BA267" s="4">
        <f t="shared" si="116"/>
        <v>5.656565656565693E-3</v>
      </c>
      <c r="BB267" s="4">
        <f t="shared" si="117"/>
        <v>3.6481556546412719E-2</v>
      </c>
      <c r="BC267" s="4">
        <f t="shared" si="118"/>
        <v>7.1230708349822036E-3</v>
      </c>
      <c r="BD267" s="4">
        <f t="shared" si="119"/>
        <v>8.5669781931464462E-3</v>
      </c>
      <c r="BE267" s="4">
        <f t="shared" si="120"/>
        <v>2.1982259930582337E-2</v>
      </c>
      <c r="BF267" s="4">
        <f t="shared" si="121"/>
        <v>1.79526355996944E-2</v>
      </c>
      <c r="BG267" s="4">
        <f t="shared" si="122"/>
        <v>3.6745406824147064E-2</v>
      </c>
      <c r="BH267" s="4">
        <f t="shared" si="123"/>
        <v>4.6728971962616273E-3</v>
      </c>
      <c r="BI267" s="4">
        <f t="shared" si="124"/>
        <v>7.5675675675676013E-3</v>
      </c>
      <c r="BJ267" s="4">
        <f t="shared" si="125"/>
        <v>4.737609329446113E-3</v>
      </c>
      <c r="BK267" s="4">
        <f t="shared" si="126"/>
        <v>1.7172086225794692E-2</v>
      </c>
      <c r="BL267" s="4">
        <f t="shared" si="127"/>
        <v>2.9728725380899768E-3</v>
      </c>
      <c r="BM267" s="4">
        <f t="shared" si="132"/>
        <v>1.7229617741369736E-2</v>
      </c>
      <c r="BN267" s="9">
        <f t="shared" si="133"/>
        <v>13686.824506710131</v>
      </c>
      <c r="BO267" s="10">
        <f t="shared" si="134"/>
        <v>13095.415343596247</v>
      </c>
      <c r="BP267">
        <v>13835</v>
      </c>
      <c r="BQ267">
        <v>13840</v>
      </c>
      <c r="BR267">
        <v>13825</v>
      </c>
      <c r="BS267">
        <v>13825</v>
      </c>
      <c r="BT267">
        <v>15576</v>
      </c>
      <c r="BU267" s="13">
        <f t="shared" si="128"/>
        <v>13830</v>
      </c>
      <c r="BV267" s="13">
        <f t="shared" si="129"/>
        <v>215416080</v>
      </c>
      <c r="BW267" s="13">
        <f>SUM($BV$3:BV267)</f>
        <v>209594294905</v>
      </c>
      <c r="BX267" s="13">
        <f>SUM($BT$3:BT267)</f>
        <v>15294756</v>
      </c>
      <c r="BY267" s="3">
        <f t="shared" si="130"/>
        <v>13703.670389053608</v>
      </c>
    </row>
    <row r="268" spans="1:77" x14ac:dyDescent="0.3">
      <c r="A268" s="3" t="s">
        <v>308</v>
      </c>
      <c r="B268" s="3">
        <v>11685</v>
      </c>
      <c r="C268" s="3">
        <v>11685</v>
      </c>
      <c r="D268" s="3">
        <v>11550</v>
      </c>
      <c r="E268" s="3">
        <v>11550</v>
      </c>
      <c r="F268" s="3">
        <v>11630</v>
      </c>
      <c r="G268" s="3">
        <v>11615</v>
      </c>
      <c r="H268" s="3">
        <v>11455</v>
      </c>
      <c r="I268" s="3">
        <v>11455</v>
      </c>
      <c r="J268" s="3">
        <v>11835</v>
      </c>
      <c r="K268" s="3">
        <v>11860</v>
      </c>
      <c r="L268" s="3">
        <v>12000</v>
      </c>
      <c r="M268" s="3">
        <v>12010</v>
      </c>
      <c r="N268" s="3">
        <v>12590</v>
      </c>
      <c r="O268" s="3">
        <v>12590</v>
      </c>
      <c r="P268" s="3">
        <v>12455</v>
      </c>
      <c r="Q268" s="3">
        <v>12465</v>
      </c>
      <c r="R268" s="3">
        <v>12510</v>
      </c>
      <c r="S268" s="3">
        <v>12525</v>
      </c>
      <c r="T268" s="3">
        <v>12305</v>
      </c>
      <c r="U268" s="3">
        <v>12290</v>
      </c>
      <c r="V268" s="3">
        <v>12780</v>
      </c>
      <c r="W268" s="3">
        <v>12770</v>
      </c>
      <c r="X268" s="3">
        <v>12545</v>
      </c>
      <c r="Y268" s="3">
        <v>12580</v>
      </c>
      <c r="Z268" s="3">
        <v>12730</v>
      </c>
      <c r="AA268" s="3">
        <v>12735</v>
      </c>
      <c r="AB268" s="3">
        <v>13255</v>
      </c>
      <c r="AC268" s="3">
        <v>13255</v>
      </c>
      <c r="AD268" s="3">
        <v>13325</v>
      </c>
      <c r="AE268" s="3">
        <v>13335</v>
      </c>
      <c r="AF268" s="3">
        <v>13825</v>
      </c>
      <c r="AG268" s="3">
        <v>13830</v>
      </c>
      <c r="AH268" s="3">
        <v>13845</v>
      </c>
      <c r="AI268" s="3">
        <v>13830</v>
      </c>
      <c r="AJ268" s="3">
        <v>13775</v>
      </c>
      <c r="AK268" s="3">
        <v>13760</v>
      </c>
      <c r="AL268" s="3">
        <v>13655</v>
      </c>
      <c r="AM268" s="3">
        <v>13665</v>
      </c>
      <c r="AN268" s="3">
        <v>13450</v>
      </c>
      <c r="AO268" s="3">
        <v>13465</v>
      </c>
      <c r="AP268" s="3">
        <v>13415</v>
      </c>
      <c r="AQ268" s="3">
        <v>13405</v>
      </c>
      <c r="AR268" s="4">
        <f t="shared" si="131"/>
        <v>1.3443191673894184E-2</v>
      </c>
      <c r="AS268" s="4">
        <f t="shared" si="108"/>
        <v>0</v>
      </c>
      <c r="AT268" s="4">
        <f t="shared" si="109"/>
        <v>2.2447183098591506E-2</v>
      </c>
      <c r="AU268" s="4">
        <f t="shared" si="110"/>
        <v>2.7589134125636683E-2</v>
      </c>
      <c r="AV268" s="4">
        <f t="shared" si="111"/>
        <v>1.4542343883661157E-2</v>
      </c>
      <c r="AW268" s="4">
        <f t="shared" si="112"/>
        <v>1.2647554806070715E-2</v>
      </c>
      <c r="AX268" s="4">
        <f t="shared" si="113"/>
        <v>3.9207593891869674E-2</v>
      </c>
      <c r="AY268" s="4">
        <f t="shared" si="114"/>
        <v>2.4647887323943629E-2</v>
      </c>
      <c r="AZ268" s="4">
        <f t="shared" si="115"/>
        <v>1.5942606616181632E-3</v>
      </c>
      <c r="BA268" s="4">
        <f t="shared" si="116"/>
        <v>6.8686868686869129E-3</v>
      </c>
      <c r="BB268" s="4">
        <f t="shared" si="117"/>
        <v>3.5265504661532221E-2</v>
      </c>
      <c r="BC268" s="4">
        <f t="shared" si="118"/>
        <v>4.3529877324891553E-3</v>
      </c>
      <c r="BD268" s="4">
        <f t="shared" si="119"/>
        <v>8.1775700934579865E-3</v>
      </c>
      <c r="BE268" s="4">
        <f t="shared" si="120"/>
        <v>2.2367913613575041E-2</v>
      </c>
      <c r="BF268" s="4">
        <f t="shared" si="121"/>
        <v>1.8716577540107027E-2</v>
      </c>
      <c r="BG268" s="4">
        <f t="shared" si="122"/>
        <v>3.7120359955005622E-2</v>
      </c>
      <c r="BH268" s="4">
        <f t="shared" si="123"/>
        <v>5.7512580877067121E-3</v>
      </c>
      <c r="BI268" s="4">
        <f t="shared" si="124"/>
        <v>8.2882882882883147E-3</v>
      </c>
      <c r="BJ268" s="4">
        <f t="shared" si="125"/>
        <v>4.0087463556851555E-3</v>
      </c>
      <c r="BK268" s="4">
        <f t="shared" si="126"/>
        <v>1.6075995615637551E-2</v>
      </c>
      <c r="BL268" s="4">
        <f t="shared" si="127"/>
        <v>3.7160906726123599E-3</v>
      </c>
      <c r="BM268" s="4">
        <f t="shared" si="132"/>
        <v>1.703037130723142E-2</v>
      </c>
      <c r="BN268" s="9">
        <f t="shared" si="133"/>
        <v>13684.143645938801</v>
      </c>
      <c r="BO268" s="10">
        <f t="shared" si="134"/>
        <v>13098.070302331142</v>
      </c>
      <c r="BP268">
        <v>13825</v>
      </c>
      <c r="BQ268">
        <v>13835</v>
      </c>
      <c r="BR268">
        <v>13825</v>
      </c>
      <c r="BS268">
        <v>13830</v>
      </c>
      <c r="BT268">
        <v>827</v>
      </c>
      <c r="BU268" s="13">
        <f t="shared" si="128"/>
        <v>13830</v>
      </c>
      <c r="BV268" s="13">
        <f t="shared" si="129"/>
        <v>11437410</v>
      </c>
      <c r="BW268" s="13">
        <f>SUM($BV$3:BV268)</f>
        <v>209605732315</v>
      </c>
      <c r="BX268" s="13">
        <f>SUM($BT$3:BT268)</f>
        <v>15295583</v>
      </c>
      <c r="BY268" s="3">
        <f t="shared" si="130"/>
        <v>13703.677219429948</v>
      </c>
    </row>
    <row r="269" spans="1:77" x14ac:dyDescent="0.3">
      <c r="A269" s="3" t="s">
        <v>309</v>
      </c>
      <c r="B269" s="3">
        <v>11685</v>
      </c>
      <c r="C269" s="3">
        <v>11685</v>
      </c>
      <c r="D269" s="3">
        <v>11550</v>
      </c>
      <c r="E269" s="3">
        <v>11555</v>
      </c>
      <c r="F269" s="3">
        <v>11615</v>
      </c>
      <c r="G269" s="3">
        <v>11605</v>
      </c>
      <c r="H269" s="3">
        <v>11455</v>
      </c>
      <c r="I269" s="3">
        <v>11455</v>
      </c>
      <c r="J269" s="3">
        <v>11865</v>
      </c>
      <c r="K269" s="3">
        <v>11850</v>
      </c>
      <c r="L269" s="3">
        <v>12015</v>
      </c>
      <c r="M269" s="3">
        <v>12015</v>
      </c>
      <c r="N269" s="3">
        <v>12590</v>
      </c>
      <c r="O269" s="3">
        <v>12600</v>
      </c>
      <c r="P269" s="3">
        <v>12470</v>
      </c>
      <c r="Q269" s="3">
        <v>12455</v>
      </c>
      <c r="R269" s="3">
        <v>12525</v>
      </c>
      <c r="S269" s="3">
        <v>12520</v>
      </c>
      <c r="T269" s="3">
        <v>12295</v>
      </c>
      <c r="U269" s="3">
        <v>12295</v>
      </c>
      <c r="V269" s="3">
        <v>12775</v>
      </c>
      <c r="W269" s="3">
        <v>12780</v>
      </c>
      <c r="X269" s="3">
        <v>12580</v>
      </c>
      <c r="Y269" s="3">
        <v>12590</v>
      </c>
      <c r="Z269" s="3">
        <v>12735</v>
      </c>
      <c r="AA269" s="3">
        <v>12730</v>
      </c>
      <c r="AB269" s="3">
        <v>13255</v>
      </c>
      <c r="AC269" s="3">
        <v>13260</v>
      </c>
      <c r="AD269" s="3">
        <v>13335</v>
      </c>
      <c r="AE269" s="3">
        <v>13345</v>
      </c>
      <c r="AF269" s="3">
        <v>13835</v>
      </c>
      <c r="AG269" s="3">
        <v>13825</v>
      </c>
      <c r="AH269" s="3">
        <v>13830</v>
      </c>
      <c r="AI269" s="3">
        <v>13835</v>
      </c>
      <c r="AJ269" s="3">
        <v>13760</v>
      </c>
      <c r="AK269" s="3">
        <v>13765</v>
      </c>
      <c r="AL269" s="3">
        <v>13670</v>
      </c>
      <c r="AM269" s="3">
        <v>13650</v>
      </c>
      <c r="AN269" s="3">
        <v>13460</v>
      </c>
      <c r="AO269" s="3">
        <v>13455</v>
      </c>
      <c r="AP269" s="3">
        <v>13405</v>
      </c>
      <c r="AQ269" s="3">
        <v>13405</v>
      </c>
      <c r="AR269" s="4">
        <f t="shared" si="131"/>
        <v>1.3443191673894184E-2</v>
      </c>
      <c r="AS269" s="4">
        <f t="shared" si="108"/>
        <v>4.3290043290045155E-4</v>
      </c>
      <c r="AT269" s="4">
        <f t="shared" si="109"/>
        <v>2.1566901408450745E-2</v>
      </c>
      <c r="AU269" s="4">
        <f t="shared" si="110"/>
        <v>2.7589134125636683E-2</v>
      </c>
      <c r="AV269" s="4">
        <f t="shared" si="111"/>
        <v>1.3686911890504749E-2</v>
      </c>
      <c r="AW269" s="4">
        <f t="shared" si="112"/>
        <v>1.3069139966273235E-2</v>
      </c>
      <c r="AX269" s="4">
        <f t="shared" si="113"/>
        <v>4.0033016921172004E-2</v>
      </c>
      <c r="AY269" s="4">
        <f t="shared" si="114"/>
        <v>2.5430359937402169E-2</v>
      </c>
      <c r="AZ269" s="4">
        <f t="shared" si="115"/>
        <v>1.9928258270227595E-3</v>
      </c>
      <c r="BA269" s="4">
        <f t="shared" si="116"/>
        <v>6.4646464646465063E-3</v>
      </c>
      <c r="BB269" s="4">
        <f t="shared" si="117"/>
        <v>3.607620591811922E-2</v>
      </c>
      <c r="BC269" s="4">
        <f t="shared" si="118"/>
        <v>3.5615354174910463E-3</v>
      </c>
      <c r="BD269" s="4">
        <f t="shared" si="119"/>
        <v>8.5669781931464462E-3</v>
      </c>
      <c r="BE269" s="4">
        <f t="shared" si="120"/>
        <v>2.2753567296567745E-2</v>
      </c>
      <c r="BF269" s="4">
        <f t="shared" si="121"/>
        <v>1.9480519480519431E-2</v>
      </c>
      <c r="BG269" s="4">
        <f t="shared" si="122"/>
        <v>3.6745406824147064E-2</v>
      </c>
      <c r="BH269" s="4">
        <f t="shared" si="123"/>
        <v>5.3918044572249801E-3</v>
      </c>
      <c r="BI269" s="4">
        <f t="shared" si="124"/>
        <v>7.927927927927958E-3</v>
      </c>
      <c r="BJ269" s="4">
        <f t="shared" si="125"/>
        <v>5.1020408163264808E-3</v>
      </c>
      <c r="BK269" s="4">
        <f t="shared" si="126"/>
        <v>1.6806722689075682E-2</v>
      </c>
      <c r="BL269" s="4">
        <f t="shared" si="127"/>
        <v>3.7160906726123599E-3</v>
      </c>
      <c r="BM269" s="4">
        <f t="shared" si="132"/>
        <v>1.71931888057038E-2</v>
      </c>
      <c r="BN269" s="9">
        <f t="shared" si="133"/>
        <v>13686.334355380744</v>
      </c>
      <c r="BO269" s="10">
        <f t="shared" si="134"/>
        <v>13095.900759163998</v>
      </c>
      <c r="BP269">
        <v>13835</v>
      </c>
      <c r="BQ269">
        <v>13835</v>
      </c>
      <c r="BR269">
        <v>13820</v>
      </c>
      <c r="BS269">
        <v>13825</v>
      </c>
      <c r="BT269">
        <v>20513</v>
      </c>
      <c r="BU269" s="13">
        <f t="shared" si="128"/>
        <v>13826.666666666666</v>
      </c>
      <c r="BV269" s="13">
        <f t="shared" si="129"/>
        <v>283626413.33333331</v>
      </c>
      <c r="BW269" s="13">
        <f>SUM($BV$3:BV269)</f>
        <v>209889358728.33334</v>
      </c>
      <c r="BX269" s="13">
        <f>SUM($BT$3:BT269)</f>
        <v>15316096</v>
      </c>
      <c r="BY269" s="3">
        <f t="shared" si="130"/>
        <v>13703.841940422242</v>
      </c>
    </row>
    <row r="270" spans="1:77" x14ac:dyDescent="0.3">
      <c r="A270" s="3" t="s">
        <v>310</v>
      </c>
      <c r="B270" s="3">
        <v>11685</v>
      </c>
      <c r="C270" s="3">
        <v>11685</v>
      </c>
      <c r="D270" s="3">
        <v>11555</v>
      </c>
      <c r="E270" s="3">
        <v>11555</v>
      </c>
      <c r="F270" s="3">
        <v>11605</v>
      </c>
      <c r="G270" s="3">
        <v>11605</v>
      </c>
      <c r="H270" s="3">
        <v>11460</v>
      </c>
      <c r="I270" s="3">
        <v>11470</v>
      </c>
      <c r="J270" s="3">
        <v>11860</v>
      </c>
      <c r="K270" s="3">
        <v>11865</v>
      </c>
      <c r="L270" s="3">
        <v>12015</v>
      </c>
      <c r="M270" s="3">
        <v>12010</v>
      </c>
      <c r="N270" s="3">
        <v>12600</v>
      </c>
      <c r="O270" s="3">
        <v>12600</v>
      </c>
      <c r="P270" s="3">
        <v>12450</v>
      </c>
      <c r="Q270" s="3">
        <v>12405</v>
      </c>
      <c r="R270" s="3">
        <v>12520</v>
      </c>
      <c r="S270" s="3">
        <v>12525</v>
      </c>
      <c r="T270" s="3">
        <v>12290</v>
      </c>
      <c r="U270" s="3">
        <v>12290</v>
      </c>
      <c r="V270" s="3">
        <v>12785</v>
      </c>
      <c r="W270" s="3">
        <v>12780</v>
      </c>
      <c r="X270" s="3">
        <v>12590</v>
      </c>
      <c r="Y270" s="3">
        <v>12605</v>
      </c>
      <c r="Z270" s="3">
        <v>12730</v>
      </c>
      <c r="AA270" s="3">
        <v>12710</v>
      </c>
      <c r="AB270" s="3">
        <v>13260</v>
      </c>
      <c r="AC270" s="3">
        <v>13260</v>
      </c>
      <c r="AD270" s="3">
        <v>13345</v>
      </c>
      <c r="AE270" s="3">
        <v>13335</v>
      </c>
      <c r="AF270" s="3">
        <v>13830</v>
      </c>
      <c r="AG270" s="3">
        <v>13835</v>
      </c>
      <c r="AH270" s="3">
        <v>13835</v>
      </c>
      <c r="AI270" s="3">
        <v>13830</v>
      </c>
      <c r="AJ270" s="3">
        <v>13760</v>
      </c>
      <c r="AK270" s="3">
        <v>13745</v>
      </c>
      <c r="AL270" s="3">
        <v>13655</v>
      </c>
      <c r="AM270" s="3">
        <v>13655</v>
      </c>
      <c r="AN270" s="3">
        <v>13455</v>
      </c>
      <c r="AO270" s="3">
        <v>13460</v>
      </c>
      <c r="AP270" s="3">
        <v>13405</v>
      </c>
      <c r="AQ270" s="3">
        <v>13395</v>
      </c>
      <c r="AR270" s="4">
        <f t="shared" si="131"/>
        <v>1.3443191673894184E-2</v>
      </c>
      <c r="AS270" s="4">
        <f t="shared" si="108"/>
        <v>4.3290043290045155E-4</v>
      </c>
      <c r="AT270" s="4">
        <f t="shared" si="109"/>
        <v>2.1566901408450745E-2</v>
      </c>
      <c r="AU270" s="4">
        <f t="shared" si="110"/>
        <v>2.6315789473684181E-2</v>
      </c>
      <c r="AV270" s="4">
        <f t="shared" si="111"/>
        <v>1.4970059880239583E-2</v>
      </c>
      <c r="AW270" s="4">
        <f t="shared" si="112"/>
        <v>1.2647554806070715E-2</v>
      </c>
      <c r="AX270" s="4">
        <f t="shared" si="113"/>
        <v>4.0033016921172004E-2</v>
      </c>
      <c r="AY270" s="4">
        <f t="shared" si="114"/>
        <v>2.9342723004694871E-2</v>
      </c>
      <c r="AZ270" s="4">
        <f t="shared" si="115"/>
        <v>1.5942606616181632E-3</v>
      </c>
      <c r="BA270" s="4">
        <f t="shared" si="116"/>
        <v>6.8686868686869129E-3</v>
      </c>
      <c r="BB270" s="4">
        <f t="shared" si="117"/>
        <v>3.607620591811922E-2</v>
      </c>
      <c r="BC270" s="4">
        <f t="shared" si="118"/>
        <v>2.3743569449941049E-3</v>
      </c>
      <c r="BD270" s="4">
        <f t="shared" si="119"/>
        <v>1.0124610591900285E-2</v>
      </c>
      <c r="BE270" s="4">
        <f t="shared" si="120"/>
        <v>2.2753567296567745E-2</v>
      </c>
      <c r="BF270" s="4">
        <f t="shared" si="121"/>
        <v>1.8716577540107027E-2</v>
      </c>
      <c r="BG270" s="4">
        <f t="shared" si="122"/>
        <v>3.7495313085864179E-2</v>
      </c>
      <c r="BH270" s="4">
        <f t="shared" si="123"/>
        <v>5.7512580877067121E-3</v>
      </c>
      <c r="BI270" s="4">
        <f t="shared" si="124"/>
        <v>9.3693693693693847E-3</v>
      </c>
      <c r="BJ270" s="4">
        <f t="shared" si="125"/>
        <v>4.737609329446113E-3</v>
      </c>
      <c r="BK270" s="4">
        <f t="shared" si="126"/>
        <v>1.6441359152356561E-2</v>
      </c>
      <c r="BL270" s="4">
        <f t="shared" si="127"/>
        <v>4.4593088071348541E-3</v>
      </c>
      <c r="BM270" s="4">
        <f t="shared" si="132"/>
        <v>1.7415515124943288E-2</v>
      </c>
      <c r="BN270" s="9">
        <f t="shared" si="133"/>
        <v>13689.325756006112</v>
      </c>
      <c r="BO270" s="10">
        <f t="shared" si="134"/>
        <v>13092.938260960131</v>
      </c>
      <c r="BP270">
        <v>13830</v>
      </c>
      <c r="BQ270">
        <v>13835</v>
      </c>
      <c r="BR270">
        <v>13830</v>
      </c>
      <c r="BS270">
        <v>13835</v>
      </c>
      <c r="BT270">
        <v>4230</v>
      </c>
      <c r="BU270" s="13">
        <f t="shared" si="128"/>
        <v>13833.333333333334</v>
      </c>
      <c r="BV270" s="13">
        <f t="shared" si="129"/>
        <v>58515000</v>
      </c>
      <c r="BW270" s="13">
        <f>SUM($BV$3:BV270)</f>
        <v>209947873728.33334</v>
      </c>
      <c r="BX270" s="13">
        <f>SUM($BT$3:BT270)</f>
        <v>15320326</v>
      </c>
      <c r="BY270" s="3">
        <f t="shared" si="130"/>
        <v>13703.877693485983</v>
      </c>
    </row>
    <row r="271" spans="1:77" x14ac:dyDescent="0.3">
      <c r="A271" s="3" t="s">
        <v>311</v>
      </c>
      <c r="B271" s="3">
        <v>11685</v>
      </c>
      <c r="C271" s="3">
        <v>11680</v>
      </c>
      <c r="D271" s="3">
        <v>11555</v>
      </c>
      <c r="E271" s="3">
        <v>11550</v>
      </c>
      <c r="F271" s="3">
        <v>11605</v>
      </c>
      <c r="G271" s="3">
        <v>11605</v>
      </c>
      <c r="H271" s="3">
        <v>11470</v>
      </c>
      <c r="I271" s="3">
        <v>11485</v>
      </c>
      <c r="J271" s="3">
        <v>11865</v>
      </c>
      <c r="K271" s="3">
        <v>11870</v>
      </c>
      <c r="L271" s="3">
        <v>12010</v>
      </c>
      <c r="M271" s="3">
        <v>12000</v>
      </c>
      <c r="N271" s="3">
        <v>12600</v>
      </c>
      <c r="O271" s="3">
        <v>12595</v>
      </c>
      <c r="P271" s="3">
        <v>12405</v>
      </c>
      <c r="Q271" s="3">
        <v>12340</v>
      </c>
      <c r="R271" s="3">
        <v>12525</v>
      </c>
      <c r="S271" s="3">
        <v>12515</v>
      </c>
      <c r="T271" s="3">
        <v>12290</v>
      </c>
      <c r="U271" s="3">
        <v>12290</v>
      </c>
      <c r="V271" s="3">
        <v>12785</v>
      </c>
      <c r="W271" s="3">
        <v>12780</v>
      </c>
      <c r="X271" s="3">
        <v>12610</v>
      </c>
      <c r="Y271" s="3">
        <v>12630</v>
      </c>
      <c r="Z271" s="3">
        <v>12710</v>
      </c>
      <c r="AA271" s="3">
        <v>12720</v>
      </c>
      <c r="AB271" s="3">
        <v>13255</v>
      </c>
      <c r="AC271" s="3">
        <v>13265</v>
      </c>
      <c r="AD271" s="3">
        <v>13335</v>
      </c>
      <c r="AE271" s="3">
        <v>13335</v>
      </c>
      <c r="AF271" s="3">
        <v>13835</v>
      </c>
      <c r="AG271" s="3">
        <v>13840</v>
      </c>
      <c r="AH271" s="3">
        <v>13825</v>
      </c>
      <c r="AI271" s="3">
        <v>13820</v>
      </c>
      <c r="AJ271" s="3">
        <v>13745</v>
      </c>
      <c r="AK271" s="3">
        <v>13745</v>
      </c>
      <c r="AL271" s="3">
        <v>13655</v>
      </c>
      <c r="AM271" s="3">
        <v>13650</v>
      </c>
      <c r="AN271" s="3">
        <v>13465</v>
      </c>
      <c r="AO271" s="3">
        <v>13465</v>
      </c>
      <c r="AP271" s="3">
        <v>13395</v>
      </c>
      <c r="AQ271" s="3">
        <v>13400</v>
      </c>
      <c r="AR271" s="4">
        <f t="shared" si="131"/>
        <v>1.3009540329575131E-2</v>
      </c>
      <c r="AS271" s="4">
        <f t="shared" si="108"/>
        <v>0</v>
      </c>
      <c r="AT271" s="4">
        <f t="shared" si="109"/>
        <v>2.1566901408450745E-2</v>
      </c>
      <c r="AU271" s="4">
        <f t="shared" si="110"/>
        <v>2.5042444821731791E-2</v>
      </c>
      <c r="AV271" s="4">
        <f t="shared" si="111"/>
        <v>1.5397775876817787E-2</v>
      </c>
      <c r="AW271" s="4">
        <f t="shared" si="112"/>
        <v>1.180438448566612E-2</v>
      </c>
      <c r="AX271" s="4">
        <f t="shared" si="113"/>
        <v>3.962030540652095E-2</v>
      </c>
      <c r="AY271" s="4">
        <f t="shared" si="114"/>
        <v>3.4428794992175327E-2</v>
      </c>
      <c r="AZ271" s="4">
        <f t="shared" si="115"/>
        <v>2.3913909924272447E-3</v>
      </c>
      <c r="BA271" s="4">
        <f t="shared" si="116"/>
        <v>6.8686868686869129E-3</v>
      </c>
      <c r="BB271" s="4">
        <f t="shared" si="117"/>
        <v>3.607620591811922E-2</v>
      </c>
      <c r="BC271" s="4">
        <f t="shared" si="118"/>
        <v>3.9572615749905449E-4</v>
      </c>
      <c r="BD271" s="4">
        <f t="shared" si="119"/>
        <v>9.3457943925233655E-3</v>
      </c>
      <c r="BE271" s="4">
        <f t="shared" si="120"/>
        <v>2.3139220979560449E-2</v>
      </c>
      <c r="BF271" s="4">
        <f t="shared" si="121"/>
        <v>1.8716577540107027E-2</v>
      </c>
      <c r="BG271" s="4">
        <f t="shared" si="122"/>
        <v>3.7870266216722959E-2</v>
      </c>
      <c r="BH271" s="4">
        <f t="shared" si="123"/>
        <v>6.470165348670065E-3</v>
      </c>
      <c r="BI271" s="4">
        <f t="shared" si="124"/>
        <v>9.3693693693693847E-3</v>
      </c>
      <c r="BJ271" s="4">
        <f t="shared" si="125"/>
        <v>5.1020408163264808E-3</v>
      </c>
      <c r="BK271" s="4">
        <f t="shared" si="126"/>
        <v>1.6075995615637551E-2</v>
      </c>
      <c r="BL271" s="4">
        <f t="shared" si="127"/>
        <v>4.0876997398736625E-3</v>
      </c>
      <c r="BM271" s="4">
        <f t="shared" si="132"/>
        <v>1.7485300702877571E-2</v>
      </c>
      <c r="BN271" s="9">
        <f t="shared" si="133"/>
        <v>13690.264720957217</v>
      </c>
      <c r="BO271" s="10">
        <f t="shared" si="134"/>
        <v>13092.008368134157</v>
      </c>
      <c r="BP271">
        <v>13835</v>
      </c>
      <c r="BQ271">
        <v>13840</v>
      </c>
      <c r="BR271">
        <v>13830</v>
      </c>
      <c r="BS271">
        <v>13840</v>
      </c>
      <c r="BT271">
        <v>28499</v>
      </c>
      <c r="BU271" s="13">
        <f t="shared" si="128"/>
        <v>13836.666666666666</v>
      </c>
      <c r="BV271" s="13">
        <f t="shared" si="129"/>
        <v>394331163.33333331</v>
      </c>
      <c r="BW271" s="13">
        <f>SUM($BV$3:BV271)</f>
        <v>210342204891.66669</v>
      </c>
      <c r="BX271" s="13">
        <f>SUM($BT$3:BT271)</f>
        <v>15348825</v>
      </c>
      <c r="BY271" s="3">
        <f t="shared" si="130"/>
        <v>13704.124250010453</v>
      </c>
    </row>
    <row r="272" spans="1:77" x14ac:dyDescent="0.3">
      <c r="A272" s="3" t="s">
        <v>312</v>
      </c>
      <c r="B272" s="3">
        <v>11685</v>
      </c>
      <c r="C272" s="3">
        <v>11680</v>
      </c>
      <c r="D272" s="3">
        <v>11550</v>
      </c>
      <c r="E272" s="3">
        <v>11555</v>
      </c>
      <c r="F272" s="3">
        <v>11605</v>
      </c>
      <c r="G272" s="3">
        <v>11570</v>
      </c>
      <c r="H272" s="3">
        <v>11490</v>
      </c>
      <c r="I272" s="3">
        <v>11485</v>
      </c>
      <c r="J272" s="3">
        <v>11870</v>
      </c>
      <c r="K272" s="3">
        <v>11860</v>
      </c>
      <c r="L272" s="3">
        <v>12000</v>
      </c>
      <c r="M272" s="3">
        <v>12000</v>
      </c>
      <c r="N272" s="3">
        <v>12595</v>
      </c>
      <c r="O272" s="3">
        <v>12595</v>
      </c>
      <c r="P272" s="3">
        <v>12335</v>
      </c>
      <c r="Q272" s="3">
        <v>12370</v>
      </c>
      <c r="R272" s="3">
        <v>12520</v>
      </c>
      <c r="S272" s="3">
        <v>12510</v>
      </c>
      <c r="T272" s="3">
        <v>12285</v>
      </c>
      <c r="U272" s="3">
        <v>12290</v>
      </c>
      <c r="V272" s="3">
        <v>12780</v>
      </c>
      <c r="W272" s="3">
        <v>12785</v>
      </c>
      <c r="X272" s="3">
        <v>12630</v>
      </c>
      <c r="Y272" s="3">
        <v>12630</v>
      </c>
      <c r="Z272" s="3">
        <v>12720</v>
      </c>
      <c r="AA272" s="3">
        <v>12710</v>
      </c>
      <c r="AB272" s="3">
        <v>13265</v>
      </c>
      <c r="AC272" s="3">
        <v>13260</v>
      </c>
      <c r="AD272" s="3">
        <v>13335</v>
      </c>
      <c r="AE272" s="3">
        <v>13325</v>
      </c>
      <c r="AF272" s="3">
        <v>13840</v>
      </c>
      <c r="AG272" s="3">
        <v>13840</v>
      </c>
      <c r="AH272" s="3">
        <v>13825</v>
      </c>
      <c r="AI272" s="3">
        <v>13815</v>
      </c>
      <c r="AJ272" s="3">
        <v>13750</v>
      </c>
      <c r="AK272" s="3">
        <v>13765</v>
      </c>
      <c r="AL272" s="3">
        <v>13650</v>
      </c>
      <c r="AM272" s="3">
        <v>13655</v>
      </c>
      <c r="AN272" s="3">
        <v>13460</v>
      </c>
      <c r="AO272" s="3">
        <v>13460</v>
      </c>
      <c r="AP272" s="3">
        <v>13400</v>
      </c>
      <c r="AQ272" s="3">
        <v>13400</v>
      </c>
      <c r="AR272" s="4">
        <f t="shared" si="131"/>
        <v>1.3009540329575131E-2</v>
      </c>
      <c r="AS272" s="4">
        <f t="shared" si="108"/>
        <v>4.3290043290045155E-4</v>
      </c>
      <c r="AT272" s="4">
        <f t="shared" si="109"/>
        <v>1.848591549295775E-2</v>
      </c>
      <c r="AU272" s="4">
        <f t="shared" si="110"/>
        <v>2.5042444821731791E-2</v>
      </c>
      <c r="AV272" s="4">
        <f t="shared" si="111"/>
        <v>1.4542343883661157E-2</v>
      </c>
      <c r="AW272" s="4">
        <f t="shared" si="112"/>
        <v>1.180438448566612E-2</v>
      </c>
      <c r="AX272" s="4">
        <f t="shared" si="113"/>
        <v>3.962030540652095E-2</v>
      </c>
      <c r="AY272" s="4">
        <f t="shared" si="114"/>
        <v>3.2081377151799706E-2</v>
      </c>
      <c r="AZ272" s="4">
        <f t="shared" si="115"/>
        <v>2.789956157831841E-3</v>
      </c>
      <c r="BA272" s="4">
        <f t="shared" si="116"/>
        <v>6.8686868686869129E-3</v>
      </c>
      <c r="BB272" s="4">
        <f t="shared" si="117"/>
        <v>3.6481556546412719E-2</v>
      </c>
      <c r="BC272" s="4">
        <f t="shared" si="118"/>
        <v>3.9572615749905449E-4</v>
      </c>
      <c r="BD272" s="4">
        <f t="shared" si="119"/>
        <v>1.0124610591900285E-2</v>
      </c>
      <c r="BE272" s="4">
        <f t="shared" si="120"/>
        <v>2.2753567296567745E-2</v>
      </c>
      <c r="BF272" s="4">
        <f t="shared" si="121"/>
        <v>1.79526355996944E-2</v>
      </c>
      <c r="BG272" s="4">
        <f t="shared" si="122"/>
        <v>3.7870266216722959E-2</v>
      </c>
      <c r="BH272" s="4">
        <f t="shared" si="123"/>
        <v>6.8296189791516859E-3</v>
      </c>
      <c r="BI272" s="4">
        <f t="shared" si="124"/>
        <v>7.927927927927958E-3</v>
      </c>
      <c r="BJ272" s="4">
        <f t="shared" si="125"/>
        <v>4.737609329446113E-3</v>
      </c>
      <c r="BK272" s="4">
        <f t="shared" si="126"/>
        <v>1.6441359152356561E-2</v>
      </c>
      <c r="BL272" s="4">
        <f t="shared" si="127"/>
        <v>4.0876997398736625E-3</v>
      </c>
      <c r="BM272" s="4">
        <f t="shared" si="132"/>
        <v>1.7098315063845064E-2</v>
      </c>
      <c r="BN272" s="9">
        <f t="shared" si="133"/>
        <v>13685.057829184036</v>
      </c>
      <c r="BO272" s="10">
        <f t="shared" si="134"/>
        <v>13097.164951774264</v>
      </c>
      <c r="BP272">
        <v>13840</v>
      </c>
      <c r="BQ272">
        <v>13845</v>
      </c>
      <c r="BR272">
        <v>13835</v>
      </c>
      <c r="BS272">
        <v>13840</v>
      </c>
      <c r="BT272">
        <v>17663</v>
      </c>
      <c r="BU272" s="13">
        <f t="shared" si="128"/>
        <v>13840</v>
      </c>
      <c r="BV272" s="13">
        <f t="shared" si="129"/>
        <v>244455920</v>
      </c>
      <c r="BW272" s="13">
        <f>SUM($BV$3:BV272)</f>
        <v>210586660811.66669</v>
      </c>
      <c r="BX272" s="13">
        <f>SUM($BT$3:BT272)</f>
        <v>15366488</v>
      </c>
      <c r="BY272" s="3">
        <f t="shared" si="130"/>
        <v>13704.280432306112</v>
      </c>
    </row>
    <row r="273" spans="1:77" x14ac:dyDescent="0.3">
      <c r="A273" s="3" t="s">
        <v>313</v>
      </c>
      <c r="B273" s="3">
        <v>11680</v>
      </c>
      <c r="C273" s="3">
        <v>11680</v>
      </c>
      <c r="D273" s="3">
        <v>11555</v>
      </c>
      <c r="E273" s="3">
        <v>11560</v>
      </c>
      <c r="F273" s="3">
        <v>11570</v>
      </c>
      <c r="G273" s="3">
        <v>11550</v>
      </c>
      <c r="H273" s="3">
        <v>11480</v>
      </c>
      <c r="I273" s="3">
        <v>11480</v>
      </c>
      <c r="J273" s="3">
        <v>11860</v>
      </c>
      <c r="K273" s="3">
        <v>11870</v>
      </c>
      <c r="L273" s="3">
        <v>11995</v>
      </c>
      <c r="M273" s="3">
        <v>11995</v>
      </c>
      <c r="N273" s="3">
        <v>12595</v>
      </c>
      <c r="O273" s="3">
        <v>12595</v>
      </c>
      <c r="P273" s="3">
        <v>12365</v>
      </c>
      <c r="Q273" s="3">
        <v>12405</v>
      </c>
      <c r="R273" s="3">
        <v>12510</v>
      </c>
      <c r="S273" s="3">
        <v>12520</v>
      </c>
      <c r="T273" s="3">
        <v>12290</v>
      </c>
      <c r="U273" s="3">
        <v>12290</v>
      </c>
      <c r="V273" s="3">
        <v>12785</v>
      </c>
      <c r="W273" s="3">
        <v>12790</v>
      </c>
      <c r="X273" s="3">
        <v>12630</v>
      </c>
      <c r="Y273" s="3">
        <v>12615</v>
      </c>
      <c r="Z273" s="3">
        <v>12715</v>
      </c>
      <c r="AA273" s="3">
        <v>12725</v>
      </c>
      <c r="AB273" s="3">
        <v>13255</v>
      </c>
      <c r="AC273" s="3">
        <v>13260</v>
      </c>
      <c r="AD273" s="3">
        <v>13325</v>
      </c>
      <c r="AE273" s="3">
        <v>13320</v>
      </c>
      <c r="AF273" s="3">
        <v>13845</v>
      </c>
      <c r="AG273" s="3">
        <v>13850</v>
      </c>
      <c r="AH273" s="3">
        <v>13820</v>
      </c>
      <c r="AI273" s="3">
        <v>13825</v>
      </c>
      <c r="AJ273" s="3">
        <v>13760</v>
      </c>
      <c r="AK273" s="3">
        <v>13740</v>
      </c>
      <c r="AL273" s="3">
        <v>13660</v>
      </c>
      <c r="AM273" s="3">
        <v>13645</v>
      </c>
      <c r="AN273" s="3">
        <v>13460</v>
      </c>
      <c r="AO273" s="3">
        <v>13450</v>
      </c>
      <c r="AP273" s="3">
        <v>13400</v>
      </c>
      <c r="AQ273" s="3">
        <v>13370</v>
      </c>
      <c r="AR273" s="4">
        <f t="shared" si="131"/>
        <v>1.3009540329575131E-2</v>
      </c>
      <c r="AS273" s="4">
        <f t="shared" si="108"/>
        <v>8.658008658009031E-4</v>
      </c>
      <c r="AT273" s="4">
        <f t="shared" si="109"/>
        <v>1.6725352112676006E-2</v>
      </c>
      <c r="AU273" s="4">
        <f t="shared" si="110"/>
        <v>2.5466893039049254E-2</v>
      </c>
      <c r="AV273" s="4">
        <f t="shared" si="111"/>
        <v>1.5397775876817787E-2</v>
      </c>
      <c r="AW273" s="4">
        <f t="shared" si="112"/>
        <v>1.1382799325463822E-2</v>
      </c>
      <c r="AX273" s="4">
        <f t="shared" si="113"/>
        <v>3.962030540652095E-2</v>
      </c>
      <c r="AY273" s="4">
        <f t="shared" si="114"/>
        <v>2.9342723004694871E-2</v>
      </c>
      <c r="AZ273" s="4">
        <f t="shared" si="115"/>
        <v>1.9928258270227595E-3</v>
      </c>
      <c r="BA273" s="4">
        <f t="shared" si="116"/>
        <v>6.8686868686869129E-3</v>
      </c>
      <c r="BB273" s="4">
        <f t="shared" si="117"/>
        <v>3.6886907174706218E-2</v>
      </c>
      <c r="BC273" s="4">
        <f t="shared" si="118"/>
        <v>1.5829046299959959E-3</v>
      </c>
      <c r="BD273" s="4">
        <f t="shared" si="119"/>
        <v>8.9563862928349058E-3</v>
      </c>
      <c r="BE273" s="4">
        <f t="shared" si="120"/>
        <v>2.2753567296567745E-2</v>
      </c>
      <c r="BF273" s="4">
        <f t="shared" si="121"/>
        <v>1.7570664629488197E-2</v>
      </c>
      <c r="BG273" s="4">
        <f t="shared" si="122"/>
        <v>3.8620172478440296E-2</v>
      </c>
      <c r="BH273" s="4">
        <f t="shared" si="123"/>
        <v>6.110711718188333E-3</v>
      </c>
      <c r="BI273" s="4">
        <f t="shared" si="124"/>
        <v>9.7297297297297414E-3</v>
      </c>
      <c r="BJ273" s="4">
        <f t="shared" si="125"/>
        <v>5.4664723032069595E-3</v>
      </c>
      <c r="BK273" s="4">
        <f t="shared" si="126"/>
        <v>1.7172086225794692E-2</v>
      </c>
      <c r="BL273" s="4">
        <f t="shared" si="127"/>
        <v>6.3173541434411451E-3</v>
      </c>
      <c r="BM273" s="4">
        <f t="shared" si="132"/>
        <v>1.6815256596451882E-2</v>
      </c>
      <c r="BN273" s="9">
        <f t="shared" si="133"/>
        <v>13681.24927750526</v>
      </c>
      <c r="BO273" s="10">
        <f t="shared" si="134"/>
        <v>13100.936705852278</v>
      </c>
      <c r="BP273">
        <v>13845</v>
      </c>
      <c r="BQ273">
        <v>13855</v>
      </c>
      <c r="BR273">
        <v>13845</v>
      </c>
      <c r="BS273">
        <v>13850</v>
      </c>
      <c r="BT273">
        <v>24287</v>
      </c>
      <c r="BU273" s="13">
        <f t="shared" si="128"/>
        <v>13850</v>
      </c>
      <c r="BV273" s="13">
        <f t="shared" si="129"/>
        <v>336374950</v>
      </c>
      <c r="BW273" s="13">
        <f>SUM($BV$3:BV273)</f>
        <v>210923035761.66669</v>
      </c>
      <c r="BX273" s="13">
        <f>SUM($BT$3:BT273)</f>
        <v>15390775</v>
      </c>
      <c r="BY273" s="3">
        <f t="shared" si="130"/>
        <v>13704.510381164477</v>
      </c>
    </row>
    <row r="274" spans="1:77" x14ac:dyDescent="0.3">
      <c r="A274" s="3" t="s">
        <v>314</v>
      </c>
      <c r="B274" s="3">
        <v>11685</v>
      </c>
      <c r="C274" s="3">
        <v>11685</v>
      </c>
      <c r="D274" s="3">
        <v>11560</v>
      </c>
      <c r="E274" s="3">
        <v>11550</v>
      </c>
      <c r="F274" s="3">
        <v>11550</v>
      </c>
      <c r="G274" s="3">
        <v>11560</v>
      </c>
      <c r="H274" s="3">
        <v>11475</v>
      </c>
      <c r="I274" s="3">
        <v>11460</v>
      </c>
      <c r="J274" s="3">
        <v>11870</v>
      </c>
      <c r="K274" s="3">
        <v>11880</v>
      </c>
      <c r="L274" s="3">
        <v>11995</v>
      </c>
      <c r="M274" s="3">
        <v>11990</v>
      </c>
      <c r="N274" s="3">
        <v>12600</v>
      </c>
      <c r="O274" s="3">
        <v>12595</v>
      </c>
      <c r="P274" s="3">
        <v>12410</v>
      </c>
      <c r="Q274" s="3">
        <v>12390</v>
      </c>
      <c r="R274" s="3">
        <v>12515</v>
      </c>
      <c r="S274" s="3">
        <v>12520</v>
      </c>
      <c r="T274" s="3">
        <v>12285</v>
      </c>
      <c r="U274" s="3">
        <v>12280</v>
      </c>
      <c r="V274" s="3">
        <v>12790</v>
      </c>
      <c r="W274" s="3">
        <v>12780</v>
      </c>
      <c r="X274" s="3">
        <v>12615</v>
      </c>
      <c r="Y274" s="3">
        <v>12625</v>
      </c>
      <c r="Z274" s="3">
        <v>12725</v>
      </c>
      <c r="AA274" s="3">
        <v>12720</v>
      </c>
      <c r="AB274" s="3">
        <v>13255</v>
      </c>
      <c r="AC274" s="3">
        <v>13255</v>
      </c>
      <c r="AD274" s="3">
        <v>13320</v>
      </c>
      <c r="AE274" s="3">
        <v>13335</v>
      </c>
      <c r="AF274" s="3">
        <v>13850</v>
      </c>
      <c r="AG274" s="3">
        <v>13845</v>
      </c>
      <c r="AH274" s="3">
        <v>13825</v>
      </c>
      <c r="AI274" s="3">
        <v>13835</v>
      </c>
      <c r="AJ274" s="3">
        <v>13740</v>
      </c>
      <c r="AK274" s="3">
        <v>13740</v>
      </c>
      <c r="AL274" s="3">
        <v>13645</v>
      </c>
      <c r="AM274" s="3">
        <v>13655</v>
      </c>
      <c r="AN274" s="3">
        <v>13450</v>
      </c>
      <c r="AO274" s="3">
        <v>13445</v>
      </c>
      <c r="AP274" s="3">
        <v>13370</v>
      </c>
      <c r="AQ274" s="3">
        <v>13365</v>
      </c>
      <c r="AR274" s="4">
        <f t="shared" si="131"/>
        <v>1.3443191673894184E-2</v>
      </c>
      <c r="AS274" s="4">
        <f t="shared" si="108"/>
        <v>0</v>
      </c>
      <c r="AT274" s="4">
        <f t="shared" si="109"/>
        <v>1.7605633802816989E-2</v>
      </c>
      <c r="AU274" s="4">
        <f t="shared" si="110"/>
        <v>2.7164685908319219E-2</v>
      </c>
      <c r="AV274" s="4">
        <f t="shared" si="111"/>
        <v>1.6253207869974418E-2</v>
      </c>
      <c r="AW274" s="4">
        <f t="shared" si="112"/>
        <v>1.0961214165261302E-2</v>
      </c>
      <c r="AX274" s="4">
        <f t="shared" si="113"/>
        <v>3.962030540652095E-2</v>
      </c>
      <c r="AY274" s="4">
        <f t="shared" si="114"/>
        <v>3.0516431924882625E-2</v>
      </c>
      <c r="AZ274" s="4">
        <f t="shared" si="115"/>
        <v>1.9928258270227595E-3</v>
      </c>
      <c r="BA274" s="4">
        <f t="shared" si="116"/>
        <v>7.6767676767677262E-3</v>
      </c>
      <c r="BB274" s="4">
        <f t="shared" si="117"/>
        <v>3.607620591811922E-2</v>
      </c>
      <c r="BC274" s="4">
        <f t="shared" si="118"/>
        <v>7.9145231499799795E-4</v>
      </c>
      <c r="BD274" s="4">
        <f t="shared" si="119"/>
        <v>9.3457943925233655E-3</v>
      </c>
      <c r="BE274" s="4">
        <f t="shared" si="120"/>
        <v>2.2367913613575041E-2</v>
      </c>
      <c r="BF274" s="4">
        <f t="shared" si="121"/>
        <v>1.8716577540107027E-2</v>
      </c>
      <c r="BG274" s="4">
        <f t="shared" si="122"/>
        <v>3.8245219347581516E-2</v>
      </c>
      <c r="BH274" s="4">
        <f t="shared" si="123"/>
        <v>5.3918044572249801E-3</v>
      </c>
      <c r="BI274" s="4">
        <f t="shared" si="124"/>
        <v>9.7297297297297414E-3</v>
      </c>
      <c r="BJ274" s="4">
        <f t="shared" si="125"/>
        <v>4.737609329446113E-3</v>
      </c>
      <c r="BK274" s="4">
        <f t="shared" si="126"/>
        <v>1.7537449762513702E-2</v>
      </c>
      <c r="BL274" s="4">
        <f t="shared" si="127"/>
        <v>6.6889632107023367E-3</v>
      </c>
      <c r="BM274" s="4">
        <f t="shared" si="132"/>
        <v>1.7077786882920616E-2</v>
      </c>
      <c r="BN274" s="9">
        <f t="shared" si="133"/>
        <v>13684.781622509698</v>
      </c>
      <c r="BO274" s="10">
        <f t="shared" si="134"/>
        <v>13097.438489785083</v>
      </c>
      <c r="BP274">
        <v>13850</v>
      </c>
      <c r="BQ274">
        <v>13855</v>
      </c>
      <c r="BR274">
        <v>13845</v>
      </c>
      <c r="BS274">
        <v>13845</v>
      </c>
      <c r="BT274">
        <v>8852</v>
      </c>
      <c r="BU274" s="13">
        <f t="shared" si="128"/>
        <v>13848.333333333334</v>
      </c>
      <c r="BV274" s="13">
        <f t="shared" si="129"/>
        <v>122585446.66666667</v>
      </c>
      <c r="BW274" s="13">
        <f>SUM($BV$3:BV274)</f>
        <v>211045621208.33334</v>
      </c>
      <c r="BX274" s="13">
        <f>SUM($BT$3:BT274)</f>
        <v>15399627</v>
      </c>
      <c r="BY274" s="3">
        <f t="shared" si="130"/>
        <v>13704.593053346898</v>
      </c>
    </row>
    <row r="275" spans="1:77" x14ac:dyDescent="0.3">
      <c r="A275" s="3" t="s">
        <v>315</v>
      </c>
      <c r="B275" s="3">
        <v>11690</v>
      </c>
      <c r="C275" s="3">
        <v>11695</v>
      </c>
      <c r="D275" s="3">
        <v>11550</v>
      </c>
      <c r="E275" s="3">
        <v>11530</v>
      </c>
      <c r="F275" s="3">
        <v>11555</v>
      </c>
      <c r="G275" s="3">
        <v>11555</v>
      </c>
      <c r="H275" s="3">
        <v>11460</v>
      </c>
      <c r="I275" s="3">
        <v>11470</v>
      </c>
      <c r="J275" s="3">
        <v>11880</v>
      </c>
      <c r="K275" s="3">
        <v>11900</v>
      </c>
      <c r="L275" s="3">
        <v>11990</v>
      </c>
      <c r="M275" s="3">
        <v>11995</v>
      </c>
      <c r="N275" s="3">
        <v>12600</v>
      </c>
      <c r="O275" s="3">
        <v>12595</v>
      </c>
      <c r="P275" s="3">
        <v>12395</v>
      </c>
      <c r="Q275" s="3">
        <v>12390</v>
      </c>
      <c r="R275" s="3">
        <v>12520</v>
      </c>
      <c r="S275" s="3">
        <v>12530</v>
      </c>
      <c r="T275" s="3">
        <v>12280</v>
      </c>
      <c r="U275" s="3">
        <v>12270</v>
      </c>
      <c r="V275" s="3">
        <v>12780</v>
      </c>
      <c r="W275" s="3">
        <v>12775</v>
      </c>
      <c r="X275" s="3">
        <v>12630</v>
      </c>
      <c r="Y275" s="3">
        <v>12635</v>
      </c>
      <c r="Z275" s="3">
        <v>12715</v>
      </c>
      <c r="AA275" s="3">
        <v>12725</v>
      </c>
      <c r="AB275" s="3">
        <v>13250</v>
      </c>
      <c r="AC275" s="3">
        <v>13255</v>
      </c>
      <c r="AD275" s="3">
        <v>13330</v>
      </c>
      <c r="AE275" s="3">
        <v>13330</v>
      </c>
      <c r="AF275" s="3">
        <v>13850</v>
      </c>
      <c r="AG275" s="3">
        <v>13835</v>
      </c>
      <c r="AH275" s="3">
        <v>13835</v>
      </c>
      <c r="AI275" s="3">
        <v>13850</v>
      </c>
      <c r="AJ275" s="3">
        <v>13745</v>
      </c>
      <c r="AK275" s="3">
        <v>13735</v>
      </c>
      <c r="AL275" s="3">
        <v>13655</v>
      </c>
      <c r="AM275" s="3">
        <v>13645</v>
      </c>
      <c r="AN275" s="3">
        <v>13445</v>
      </c>
      <c r="AO275" s="3">
        <v>13435</v>
      </c>
      <c r="AP275" s="3">
        <v>13365</v>
      </c>
      <c r="AQ275" s="3">
        <v>13370</v>
      </c>
      <c r="AR275" s="4">
        <f t="shared" si="131"/>
        <v>1.4310494362532511E-2</v>
      </c>
      <c r="AS275" s="4">
        <f t="shared" si="108"/>
        <v>1.7316017316016952E-3</v>
      </c>
      <c r="AT275" s="4">
        <f t="shared" si="109"/>
        <v>1.7165492957746498E-2</v>
      </c>
      <c r="AU275" s="4">
        <f t="shared" si="110"/>
        <v>2.6315789473684181E-2</v>
      </c>
      <c r="AV275" s="4">
        <f t="shared" si="111"/>
        <v>1.7964071856287456E-2</v>
      </c>
      <c r="AW275" s="4">
        <f t="shared" si="112"/>
        <v>1.1382799325463822E-2</v>
      </c>
      <c r="AX275" s="4">
        <f t="shared" si="113"/>
        <v>3.962030540652095E-2</v>
      </c>
      <c r="AY275" s="4">
        <f t="shared" si="114"/>
        <v>3.0516431924882625E-2</v>
      </c>
      <c r="AZ275" s="4">
        <f t="shared" si="115"/>
        <v>1.1956954962136779E-3</v>
      </c>
      <c r="BA275" s="4">
        <f t="shared" si="116"/>
        <v>8.4848484848485395E-3</v>
      </c>
      <c r="BB275" s="4">
        <f t="shared" si="117"/>
        <v>3.567085528982572E-2</v>
      </c>
      <c r="BC275" s="4">
        <f t="shared" si="118"/>
        <v>0</v>
      </c>
      <c r="BD275" s="4">
        <f t="shared" si="119"/>
        <v>8.9563862928349058E-3</v>
      </c>
      <c r="BE275" s="4">
        <f t="shared" si="120"/>
        <v>2.2367913613575041E-2</v>
      </c>
      <c r="BF275" s="4">
        <f t="shared" si="121"/>
        <v>1.8334606569900602E-2</v>
      </c>
      <c r="BG275" s="4">
        <f t="shared" si="122"/>
        <v>3.7495313085864179E-2</v>
      </c>
      <c r="BH275" s="4">
        <f t="shared" si="123"/>
        <v>4.3134435657800063E-3</v>
      </c>
      <c r="BI275" s="4">
        <f t="shared" si="124"/>
        <v>1.0090090090090098E-2</v>
      </c>
      <c r="BJ275" s="4">
        <f t="shared" si="125"/>
        <v>5.4664723032069595E-3</v>
      </c>
      <c r="BK275" s="4">
        <f t="shared" si="126"/>
        <v>1.8268176835951722E-2</v>
      </c>
      <c r="BL275" s="4">
        <f t="shared" si="127"/>
        <v>6.3173541434411451E-3</v>
      </c>
      <c r="BM275" s="4">
        <f t="shared" si="132"/>
        <v>1.7121914173098978E-2</v>
      </c>
      <c r="BN275" s="9">
        <f t="shared" si="133"/>
        <v>13685.375355199047</v>
      </c>
      <c r="BO275" s="10">
        <f t="shared" si="134"/>
        <v>13096.850493643457</v>
      </c>
      <c r="BP275">
        <v>13850</v>
      </c>
      <c r="BQ275">
        <v>13850</v>
      </c>
      <c r="BR275">
        <v>13830</v>
      </c>
      <c r="BS275">
        <v>13835</v>
      </c>
      <c r="BT275">
        <v>15805</v>
      </c>
      <c r="BU275" s="13">
        <f t="shared" si="128"/>
        <v>13838.333333333334</v>
      </c>
      <c r="BV275" s="13">
        <f t="shared" si="129"/>
        <v>218714858.33333334</v>
      </c>
      <c r="BW275" s="13">
        <f>SUM($BV$3:BV275)</f>
        <v>211264336066.66669</v>
      </c>
      <c r="BX275" s="13">
        <f>SUM($BT$3:BT275)</f>
        <v>15415432</v>
      </c>
      <c r="BY275" s="3">
        <f t="shared" si="130"/>
        <v>13704.730173417565</v>
      </c>
    </row>
    <row r="276" spans="1:77" x14ac:dyDescent="0.3">
      <c r="A276" s="3" t="s">
        <v>316</v>
      </c>
      <c r="B276" s="3">
        <v>11695</v>
      </c>
      <c r="C276" s="3">
        <v>11685</v>
      </c>
      <c r="D276" s="3">
        <v>11530</v>
      </c>
      <c r="E276" s="3">
        <v>11505</v>
      </c>
      <c r="F276" s="3">
        <v>11555</v>
      </c>
      <c r="G276" s="3">
        <v>11555</v>
      </c>
      <c r="H276" s="3">
        <v>11470</v>
      </c>
      <c r="I276" s="3">
        <v>11460</v>
      </c>
      <c r="J276" s="3">
        <v>11900</v>
      </c>
      <c r="K276" s="3">
        <v>11895</v>
      </c>
      <c r="L276" s="3">
        <v>12000</v>
      </c>
      <c r="M276" s="3">
        <v>12000</v>
      </c>
      <c r="N276" s="3">
        <v>12595</v>
      </c>
      <c r="O276" s="3">
        <v>12590</v>
      </c>
      <c r="P276" s="3">
        <v>12395</v>
      </c>
      <c r="Q276" s="3">
        <v>12365</v>
      </c>
      <c r="R276" s="3">
        <v>12530</v>
      </c>
      <c r="S276" s="3">
        <v>12535</v>
      </c>
      <c r="T276" s="3">
        <v>12270</v>
      </c>
      <c r="U276" s="3">
        <v>12240</v>
      </c>
      <c r="V276" s="3">
        <v>12775</v>
      </c>
      <c r="W276" s="3">
        <v>12780</v>
      </c>
      <c r="X276" s="3">
        <v>12635</v>
      </c>
      <c r="Y276" s="3">
        <v>12630</v>
      </c>
      <c r="Z276" s="3">
        <v>12725</v>
      </c>
      <c r="AA276" s="3">
        <v>12720</v>
      </c>
      <c r="AB276" s="3">
        <v>13250</v>
      </c>
      <c r="AC276" s="3">
        <v>13245</v>
      </c>
      <c r="AD276" s="3">
        <v>13325</v>
      </c>
      <c r="AE276" s="3">
        <v>13325</v>
      </c>
      <c r="AF276" s="3">
        <v>13835</v>
      </c>
      <c r="AG276" s="3">
        <v>13830</v>
      </c>
      <c r="AH276" s="3">
        <v>13850</v>
      </c>
      <c r="AI276" s="3">
        <v>13870</v>
      </c>
      <c r="AJ276" s="3">
        <v>13735</v>
      </c>
      <c r="AK276" s="3">
        <v>13725</v>
      </c>
      <c r="AL276" s="3">
        <v>13645</v>
      </c>
      <c r="AM276" s="3">
        <v>13660</v>
      </c>
      <c r="AN276" s="3">
        <v>13430</v>
      </c>
      <c r="AO276" s="3">
        <v>13425</v>
      </c>
      <c r="AP276" s="3">
        <v>13365</v>
      </c>
      <c r="AQ276" s="3">
        <v>13375</v>
      </c>
      <c r="AR276" s="4">
        <f t="shared" si="131"/>
        <v>1.3443191673894184E-2</v>
      </c>
      <c r="AS276" s="4">
        <f t="shared" si="108"/>
        <v>3.8961038961038419E-3</v>
      </c>
      <c r="AT276" s="4">
        <f t="shared" si="109"/>
        <v>1.7165492957746498E-2</v>
      </c>
      <c r="AU276" s="4">
        <f t="shared" si="110"/>
        <v>2.7164685908319219E-2</v>
      </c>
      <c r="AV276" s="4">
        <f t="shared" si="111"/>
        <v>1.7536355859709252E-2</v>
      </c>
      <c r="AW276" s="4">
        <f t="shared" si="112"/>
        <v>1.180438448566612E-2</v>
      </c>
      <c r="AX276" s="4">
        <f t="shared" si="113"/>
        <v>3.9207593891869674E-2</v>
      </c>
      <c r="AY276" s="4">
        <f t="shared" si="114"/>
        <v>3.2472613458528921E-2</v>
      </c>
      <c r="AZ276" s="4">
        <f t="shared" si="115"/>
        <v>7.9713033080908158E-4</v>
      </c>
      <c r="BA276" s="4">
        <f t="shared" si="116"/>
        <v>1.0909090909090868E-2</v>
      </c>
      <c r="BB276" s="4">
        <f t="shared" si="117"/>
        <v>3.607620591811922E-2</v>
      </c>
      <c r="BC276" s="4">
        <f t="shared" si="118"/>
        <v>3.9572615749905449E-4</v>
      </c>
      <c r="BD276" s="4">
        <f t="shared" si="119"/>
        <v>9.3457943925233655E-3</v>
      </c>
      <c r="BE276" s="4">
        <f t="shared" si="120"/>
        <v>2.1596606247589634E-2</v>
      </c>
      <c r="BF276" s="4">
        <f t="shared" si="121"/>
        <v>1.79526355996944E-2</v>
      </c>
      <c r="BG276" s="4">
        <f t="shared" si="122"/>
        <v>3.7120359955005622E-2</v>
      </c>
      <c r="BH276" s="4">
        <f t="shared" si="123"/>
        <v>2.8756290438533005E-3</v>
      </c>
      <c r="BI276" s="4">
        <f t="shared" si="124"/>
        <v>1.0810810810810811E-2</v>
      </c>
      <c r="BJ276" s="4">
        <f t="shared" si="125"/>
        <v>4.3731778425656342E-3</v>
      </c>
      <c r="BK276" s="4">
        <f t="shared" si="126"/>
        <v>1.8998903909389853E-2</v>
      </c>
      <c r="BL276" s="4">
        <f t="shared" si="127"/>
        <v>5.9457450761798425E-3</v>
      </c>
      <c r="BM276" s="4">
        <f t="shared" si="132"/>
        <v>1.7594315715233511E-2</v>
      </c>
      <c r="BN276" s="9">
        <f t="shared" si="133"/>
        <v>13691.731517948465</v>
      </c>
      <c r="BO276" s="10">
        <f t="shared" si="134"/>
        <v>13090.555743094514</v>
      </c>
      <c r="BP276">
        <v>13835</v>
      </c>
      <c r="BQ276">
        <v>13840</v>
      </c>
      <c r="BR276">
        <v>13825</v>
      </c>
      <c r="BS276">
        <v>13830</v>
      </c>
      <c r="BT276">
        <v>3472</v>
      </c>
      <c r="BU276" s="13">
        <f t="shared" si="128"/>
        <v>13831.666666666666</v>
      </c>
      <c r="BV276" s="13">
        <f t="shared" si="129"/>
        <v>48023546.666666664</v>
      </c>
      <c r="BW276" s="13">
        <f>SUM($BV$3:BV276)</f>
        <v>211312359613.33334</v>
      </c>
      <c r="BX276" s="13">
        <f>SUM($BT$3:BT276)</f>
        <v>15418904</v>
      </c>
      <c r="BY276" s="3">
        <f t="shared" si="130"/>
        <v>13704.758756739995</v>
      </c>
    </row>
    <row r="277" spans="1:77" x14ac:dyDescent="0.3">
      <c r="A277" s="3" t="s">
        <v>317</v>
      </c>
      <c r="B277" s="3">
        <v>11685</v>
      </c>
      <c r="C277" s="3">
        <v>11690</v>
      </c>
      <c r="D277" s="3">
        <v>11500</v>
      </c>
      <c r="E277" s="3">
        <v>11500</v>
      </c>
      <c r="F277" s="3">
        <v>11555</v>
      </c>
      <c r="G277" s="3">
        <v>11560</v>
      </c>
      <c r="H277" s="3">
        <v>11460</v>
      </c>
      <c r="I277" s="3">
        <v>11460</v>
      </c>
      <c r="J277" s="3">
        <v>11895</v>
      </c>
      <c r="K277" s="3">
        <v>11900</v>
      </c>
      <c r="L277" s="3">
        <v>12000</v>
      </c>
      <c r="M277" s="3">
        <v>12020</v>
      </c>
      <c r="N277" s="3">
        <v>12590</v>
      </c>
      <c r="O277" s="3">
        <v>12600</v>
      </c>
      <c r="P277" s="3">
        <v>12370</v>
      </c>
      <c r="Q277" s="3">
        <v>12405</v>
      </c>
      <c r="R277" s="3">
        <v>12535</v>
      </c>
      <c r="S277" s="3">
        <v>12535</v>
      </c>
      <c r="T277" s="3">
        <v>12240</v>
      </c>
      <c r="U277" s="3">
        <v>12235</v>
      </c>
      <c r="V277" s="3">
        <v>12785</v>
      </c>
      <c r="W277" s="3">
        <v>12780</v>
      </c>
      <c r="X277" s="3">
        <v>12630</v>
      </c>
      <c r="Y277" s="3">
        <v>12640</v>
      </c>
      <c r="Z277" s="3">
        <v>12720</v>
      </c>
      <c r="AA277" s="3">
        <v>12720</v>
      </c>
      <c r="AB277" s="3">
        <v>13245</v>
      </c>
      <c r="AC277" s="3">
        <v>13230</v>
      </c>
      <c r="AD277" s="3">
        <v>13325</v>
      </c>
      <c r="AE277" s="3">
        <v>13320</v>
      </c>
      <c r="AF277" s="3">
        <v>13830</v>
      </c>
      <c r="AG277" s="3">
        <v>13835</v>
      </c>
      <c r="AH277" s="3">
        <v>13875</v>
      </c>
      <c r="AI277" s="3">
        <v>13885</v>
      </c>
      <c r="AJ277" s="3">
        <v>13720</v>
      </c>
      <c r="AK277" s="3">
        <v>13725</v>
      </c>
      <c r="AL277" s="3">
        <v>13660</v>
      </c>
      <c r="AM277" s="3">
        <v>13670</v>
      </c>
      <c r="AN277" s="3">
        <v>13425</v>
      </c>
      <c r="AO277" s="3">
        <v>13415</v>
      </c>
      <c r="AP277" s="3">
        <v>13375</v>
      </c>
      <c r="AQ277" s="3">
        <v>13385</v>
      </c>
      <c r="AR277" s="4">
        <f t="shared" si="131"/>
        <v>1.3876843018213458E-2</v>
      </c>
      <c r="AS277" s="4">
        <f t="shared" si="108"/>
        <v>4.3290043290042934E-3</v>
      </c>
      <c r="AT277" s="4">
        <f t="shared" si="109"/>
        <v>1.7605633802816989E-2</v>
      </c>
      <c r="AU277" s="4">
        <f t="shared" si="110"/>
        <v>2.7164685908319219E-2</v>
      </c>
      <c r="AV277" s="4">
        <f t="shared" si="111"/>
        <v>1.7964071856287456E-2</v>
      </c>
      <c r="AW277" s="4">
        <f t="shared" si="112"/>
        <v>1.3490725126475533E-2</v>
      </c>
      <c r="AX277" s="4">
        <f t="shared" si="113"/>
        <v>4.0033016921172004E-2</v>
      </c>
      <c r="AY277" s="4">
        <f t="shared" si="114"/>
        <v>2.9342723004694871E-2</v>
      </c>
      <c r="AZ277" s="4">
        <f t="shared" si="115"/>
        <v>7.9713033080908158E-4</v>
      </c>
      <c r="BA277" s="4">
        <f t="shared" si="116"/>
        <v>1.1313131313131275E-2</v>
      </c>
      <c r="BB277" s="4">
        <f t="shared" si="117"/>
        <v>3.607620591811922E-2</v>
      </c>
      <c r="BC277" s="4">
        <f t="shared" si="118"/>
        <v>3.9572615749894346E-4</v>
      </c>
      <c r="BD277" s="4">
        <f t="shared" si="119"/>
        <v>9.3457943925233655E-3</v>
      </c>
      <c r="BE277" s="4">
        <f t="shared" si="120"/>
        <v>2.0439645198611744E-2</v>
      </c>
      <c r="BF277" s="4">
        <f t="shared" si="121"/>
        <v>1.7570664629488197E-2</v>
      </c>
      <c r="BG277" s="4">
        <f t="shared" si="122"/>
        <v>3.7495313085864179E-2</v>
      </c>
      <c r="BH277" s="4">
        <f t="shared" si="123"/>
        <v>1.7972681524083267E-3</v>
      </c>
      <c r="BI277" s="4">
        <f t="shared" si="124"/>
        <v>1.0810810810810811E-2</v>
      </c>
      <c r="BJ277" s="4">
        <f t="shared" si="125"/>
        <v>3.6443148688046767E-3</v>
      </c>
      <c r="BK277" s="4">
        <f t="shared" si="126"/>
        <v>1.9729630982827873E-2</v>
      </c>
      <c r="BL277" s="4">
        <f t="shared" si="127"/>
        <v>5.2025269416573483E-3</v>
      </c>
      <c r="BM277" s="4">
        <f t="shared" si="132"/>
        <v>1.7562011349210871E-2</v>
      </c>
      <c r="BN277" s="9">
        <f t="shared" si="133"/>
        <v>13691.296862703632</v>
      </c>
      <c r="BO277" s="10">
        <f t="shared" si="134"/>
        <v>13090.986198771765</v>
      </c>
      <c r="BP277">
        <v>13830</v>
      </c>
      <c r="BQ277">
        <v>13840</v>
      </c>
      <c r="BR277">
        <v>13830</v>
      </c>
      <c r="BS277">
        <v>13835</v>
      </c>
      <c r="BT277">
        <v>6863</v>
      </c>
      <c r="BU277" s="13">
        <f t="shared" si="128"/>
        <v>13835</v>
      </c>
      <c r="BV277" s="13">
        <f t="shared" si="129"/>
        <v>94949605</v>
      </c>
      <c r="BW277" s="13">
        <f>SUM($BV$3:BV277)</f>
        <v>211407309218.33334</v>
      </c>
      <c r="BX277" s="13">
        <f>SUM($BT$3:BT277)</f>
        <v>15425767</v>
      </c>
      <c r="BY277" s="3">
        <f t="shared" si="130"/>
        <v>13704.816701713007</v>
      </c>
    </row>
    <row r="278" spans="1:77" x14ac:dyDescent="0.3">
      <c r="A278" s="3" t="s">
        <v>318</v>
      </c>
      <c r="B278" s="3">
        <v>11690</v>
      </c>
      <c r="C278" s="3">
        <v>11690</v>
      </c>
      <c r="D278" s="3">
        <v>11505</v>
      </c>
      <c r="E278" s="3">
        <v>11520</v>
      </c>
      <c r="F278" s="3">
        <v>11555</v>
      </c>
      <c r="G278" s="3">
        <v>11565</v>
      </c>
      <c r="H278" s="3">
        <v>11460</v>
      </c>
      <c r="I278" s="3">
        <v>11465</v>
      </c>
      <c r="J278" s="3">
        <v>11900</v>
      </c>
      <c r="K278" s="3">
        <v>11910</v>
      </c>
      <c r="L278" s="3">
        <v>12020</v>
      </c>
      <c r="M278" s="3">
        <v>12030</v>
      </c>
      <c r="N278" s="3">
        <v>12600</v>
      </c>
      <c r="O278" s="3">
        <v>12600</v>
      </c>
      <c r="P278" s="3">
        <v>12400</v>
      </c>
      <c r="Q278" s="3">
        <v>12420</v>
      </c>
      <c r="R278" s="3">
        <v>12535</v>
      </c>
      <c r="S278" s="3">
        <v>12535</v>
      </c>
      <c r="T278" s="3">
        <v>12235</v>
      </c>
      <c r="U278" s="3">
        <v>12205</v>
      </c>
      <c r="V278" s="3">
        <v>12775</v>
      </c>
      <c r="W278" s="3">
        <v>12770</v>
      </c>
      <c r="X278" s="3">
        <v>12645</v>
      </c>
      <c r="Y278" s="3">
        <v>12615</v>
      </c>
      <c r="Z278" s="3">
        <v>12725</v>
      </c>
      <c r="AA278" s="3">
        <v>12715</v>
      </c>
      <c r="AB278" s="3">
        <v>13230</v>
      </c>
      <c r="AC278" s="3">
        <v>13240</v>
      </c>
      <c r="AD278" s="3">
        <v>13320</v>
      </c>
      <c r="AE278" s="3">
        <v>13320</v>
      </c>
      <c r="AF278" s="3">
        <v>13835</v>
      </c>
      <c r="AG278" s="3">
        <v>13830</v>
      </c>
      <c r="AH278" s="3">
        <v>13885</v>
      </c>
      <c r="AI278" s="3">
        <v>13845</v>
      </c>
      <c r="AJ278" s="3">
        <v>13730</v>
      </c>
      <c r="AK278" s="3">
        <v>13735</v>
      </c>
      <c r="AL278" s="3">
        <v>13670</v>
      </c>
      <c r="AM278" s="3">
        <v>13650</v>
      </c>
      <c r="AN278" s="3">
        <v>13415</v>
      </c>
      <c r="AO278" s="3">
        <v>13415</v>
      </c>
      <c r="AP278" s="3">
        <v>13385</v>
      </c>
      <c r="AQ278" s="3">
        <v>13385</v>
      </c>
      <c r="AR278" s="4">
        <f t="shared" si="131"/>
        <v>1.3876843018213458E-2</v>
      </c>
      <c r="AS278" s="4">
        <f t="shared" si="108"/>
        <v>2.5974025974025983E-3</v>
      </c>
      <c r="AT278" s="4">
        <f t="shared" si="109"/>
        <v>1.8045774647887258E-2</v>
      </c>
      <c r="AU278" s="4">
        <f t="shared" si="110"/>
        <v>2.6740237691001645E-2</v>
      </c>
      <c r="AV278" s="4">
        <f t="shared" si="111"/>
        <v>1.8819503849443864E-2</v>
      </c>
      <c r="AW278" s="4">
        <f t="shared" si="112"/>
        <v>1.4333895446880351E-2</v>
      </c>
      <c r="AX278" s="4">
        <f t="shared" si="113"/>
        <v>4.0033016921172004E-2</v>
      </c>
      <c r="AY278" s="4">
        <f t="shared" si="114"/>
        <v>2.8169014084507005E-2</v>
      </c>
      <c r="AZ278" s="4">
        <f t="shared" si="115"/>
        <v>7.9713033080908158E-4</v>
      </c>
      <c r="BA278" s="4">
        <f t="shared" si="116"/>
        <v>1.3737373737373715E-2</v>
      </c>
      <c r="BB278" s="4">
        <f t="shared" si="117"/>
        <v>3.5265504661532221E-2</v>
      </c>
      <c r="BC278" s="4">
        <f t="shared" si="118"/>
        <v>1.5829046299959959E-3</v>
      </c>
      <c r="BD278" s="4">
        <f t="shared" si="119"/>
        <v>9.7352024922118252E-3</v>
      </c>
      <c r="BE278" s="4">
        <f t="shared" si="120"/>
        <v>2.121095256459693E-2</v>
      </c>
      <c r="BF278" s="4">
        <f t="shared" si="121"/>
        <v>1.7570664629488197E-2</v>
      </c>
      <c r="BG278" s="4">
        <f t="shared" si="122"/>
        <v>3.7120359955005622E-2</v>
      </c>
      <c r="BH278" s="4">
        <f t="shared" si="123"/>
        <v>4.6728971962616273E-3</v>
      </c>
      <c r="BI278" s="4">
        <f t="shared" si="124"/>
        <v>1.0090090090090098E-2</v>
      </c>
      <c r="BJ278" s="4">
        <f t="shared" si="125"/>
        <v>5.1020408163264808E-3</v>
      </c>
      <c r="BK278" s="4">
        <f t="shared" si="126"/>
        <v>1.9729630982827873E-2</v>
      </c>
      <c r="BL278" s="4">
        <f t="shared" si="127"/>
        <v>5.2025269416573483E-3</v>
      </c>
      <c r="BM278" s="4">
        <f t="shared" si="132"/>
        <v>1.7759898448878764E-2</v>
      </c>
      <c r="BN278" s="9">
        <f t="shared" si="133"/>
        <v>13693.959433629663</v>
      </c>
      <c r="BO278" s="10">
        <f t="shared" si="134"/>
        <v>13088.349353168691</v>
      </c>
      <c r="BP278">
        <v>13835</v>
      </c>
      <c r="BQ278">
        <v>13840</v>
      </c>
      <c r="BR278">
        <v>13825</v>
      </c>
      <c r="BS278">
        <v>13830</v>
      </c>
      <c r="BT278">
        <v>4305</v>
      </c>
      <c r="BU278" s="13">
        <f t="shared" si="128"/>
        <v>13831.666666666666</v>
      </c>
      <c r="BV278" s="13">
        <f t="shared" si="129"/>
        <v>59545325</v>
      </c>
      <c r="BW278" s="13">
        <f>SUM($BV$3:BV278)</f>
        <v>211466854543.33334</v>
      </c>
      <c r="BX278" s="13">
        <f>SUM($BT$3:BT278)</f>
        <v>15430072</v>
      </c>
      <c r="BY278" s="3">
        <f t="shared" si="130"/>
        <v>13704.852092934714</v>
      </c>
    </row>
    <row r="279" spans="1:77" x14ac:dyDescent="0.3">
      <c r="A279" s="3" t="s">
        <v>319</v>
      </c>
      <c r="B279" s="3">
        <v>11690</v>
      </c>
      <c r="C279" s="3">
        <v>11685</v>
      </c>
      <c r="D279" s="3">
        <v>11525</v>
      </c>
      <c r="E279" s="3">
        <v>11520</v>
      </c>
      <c r="F279" s="3">
        <v>11565</v>
      </c>
      <c r="G279" s="3">
        <v>11575</v>
      </c>
      <c r="H279" s="3">
        <v>11465</v>
      </c>
      <c r="I279" s="3">
        <v>11470</v>
      </c>
      <c r="J279" s="3">
        <v>11910</v>
      </c>
      <c r="K279" s="3">
        <v>11910</v>
      </c>
      <c r="L279" s="3">
        <v>12025</v>
      </c>
      <c r="M279" s="3">
        <v>12030</v>
      </c>
      <c r="N279" s="3">
        <v>12605</v>
      </c>
      <c r="O279" s="3">
        <v>12615</v>
      </c>
      <c r="P279" s="3">
        <v>12425</v>
      </c>
      <c r="Q279" s="3">
        <v>12430</v>
      </c>
      <c r="R279" s="3">
        <v>12530</v>
      </c>
      <c r="S279" s="3">
        <v>12515</v>
      </c>
      <c r="T279" s="3">
        <v>12205</v>
      </c>
      <c r="U279" s="3">
        <v>12220</v>
      </c>
      <c r="V279" s="3">
        <v>12775</v>
      </c>
      <c r="W279" s="3">
        <v>12775</v>
      </c>
      <c r="X279" s="3">
        <v>12615</v>
      </c>
      <c r="Y279" s="3">
        <v>12625</v>
      </c>
      <c r="Z279" s="3">
        <v>12715</v>
      </c>
      <c r="AA279" s="3">
        <v>12705</v>
      </c>
      <c r="AB279" s="3">
        <v>13240</v>
      </c>
      <c r="AC279" s="3">
        <v>13235</v>
      </c>
      <c r="AD279" s="3">
        <v>13320</v>
      </c>
      <c r="AE279" s="3">
        <v>13320</v>
      </c>
      <c r="AF279" s="3">
        <v>13830</v>
      </c>
      <c r="AG279" s="3">
        <v>13835</v>
      </c>
      <c r="AH279" s="3">
        <v>13845</v>
      </c>
      <c r="AI279" s="3">
        <v>13850</v>
      </c>
      <c r="AJ279" s="3">
        <v>13730</v>
      </c>
      <c r="AK279" s="3">
        <v>13725</v>
      </c>
      <c r="AL279" s="3">
        <v>13655</v>
      </c>
      <c r="AM279" s="3">
        <v>13650</v>
      </c>
      <c r="AN279" s="3">
        <v>13415</v>
      </c>
      <c r="AO279" s="3">
        <v>13405</v>
      </c>
      <c r="AP279" s="3">
        <v>13380</v>
      </c>
      <c r="AQ279" s="3">
        <v>13380</v>
      </c>
      <c r="AR279" s="4">
        <f t="shared" si="131"/>
        <v>1.3443191673894184E-2</v>
      </c>
      <c r="AS279" s="4">
        <f t="shared" si="108"/>
        <v>2.5974025974025983E-3</v>
      </c>
      <c r="AT279" s="4">
        <f t="shared" si="109"/>
        <v>1.8926056338028241E-2</v>
      </c>
      <c r="AU279" s="4">
        <f t="shared" si="110"/>
        <v>2.6315789473684181E-2</v>
      </c>
      <c r="AV279" s="4">
        <f t="shared" si="111"/>
        <v>1.8819503849443864E-2</v>
      </c>
      <c r="AW279" s="4">
        <f t="shared" si="112"/>
        <v>1.4333895446880351E-2</v>
      </c>
      <c r="AX279" s="4">
        <f t="shared" si="113"/>
        <v>4.1271151465125833E-2</v>
      </c>
      <c r="AY279" s="4">
        <f t="shared" si="114"/>
        <v>2.7386541471048464E-2</v>
      </c>
      <c r="AZ279" s="4">
        <f t="shared" si="115"/>
        <v>2.3913909924272447E-3</v>
      </c>
      <c r="BA279" s="4">
        <f t="shared" si="116"/>
        <v>1.2525252525252495E-2</v>
      </c>
      <c r="BB279" s="4">
        <f t="shared" si="117"/>
        <v>3.567085528982572E-2</v>
      </c>
      <c r="BC279" s="4">
        <f t="shared" si="118"/>
        <v>7.9145231499799795E-4</v>
      </c>
      <c r="BD279" s="4">
        <f t="shared" si="119"/>
        <v>1.0514018691588745E-2</v>
      </c>
      <c r="BE279" s="4">
        <f t="shared" si="120"/>
        <v>2.0825298881604226E-2</v>
      </c>
      <c r="BF279" s="4">
        <f t="shared" si="121"/>
        <v>1.7570664629488197E-2</v>
      </c>
      <c r="BG279" s="4">
        <f t="shared" si="122"/>
        <v>3.7495313085864179E-2</v>
      </c>
      <c r="BH279" s="4">
        <f t="shared" si="123"/>
        <v>4.3134435657800063E-3</v>
      </c>
      <c r="BI279" s="4">
        <f t="shared" si="124"/>
        <v>1.0810810810810811E-2</v>
      </c>
      <c r="BJ279" s="4">
        <f t="shared" si="125"/>
        <v>5.1020408163264808E-3</v>
      </c>
      <c r="BK279" s="4">
        <f t="shared" si="126"/>
        <v>2.0460358056266004E-2</v>
      </c>
      <c r="BL279" s="4">
        <f t="shared" si="127"/>
        <v>5.5741360089186509E-3</v>
      </c>
      <c r="BM279" s="4">
        <f t="shared" si="132"/>
        <v>1.7852805283342727E-2</v>
      </c>
      <c r="BN279" s="9">
        <f t="shared" si="133"/>
        <v>13695.209495087376</v>
      </c>
      <c r="BO279" s="10">
        <f t="shared" si="134"/>
        <v>13087.111369599457</v>
      </c>
      <c r="BP279">
        <v>13830</v>
      </c>
      <c r="BQ279">
        <v>13835</v>
      </c>
      <c r="BR279">
        <v>13830</v>
      </c>
      <c r="BS279">
        <v>13835</v>
      </c>
      <c r="BT279">
        <v>2009</v>
      </c>
      <c r="BU279" s="13">
        <f t="shared" si="128"/>
        <v>13833.333333333334</v>
      </c>
      <c r="BV279" s="13">
        <f t="shared" si="129"/>
        <v>27791166.666666668</v>
      </c>
      <c r="BW279" s="13">
        <f>SUM($BV$3:BV279)</f>
        <v>211494645710</v>
      </c>
      <c r="BX279" s="13">
        <f>SUM($BT$3:BT279)</f>
        <v>15432081</v>
      </c>
      <c r="BY279" s="3">
        <f t="shared" si="130"/>
        <v>13704.868819052985</v>
      </c>
    </row>
    <row r="280" spans="1:77" x14ac:dyDescent="0.3">
      <c r="A280" s="3" t="s">
        <v>320</v>
      </c>
      <c r="B280" s="3">
        <v>11680</v>
      </c>
      <c r="C280" s="3">
        <v>11680</v>
      </c>
      <c r="D280" s="3">
        <v>11525</v>
      </c>
      <c r="E280" s="3">
        <v>11520</v>
      </c>
      <c r="F280" s="3">
        <v>11570</v>
      </c>
      <c r="G280" s="3">
        <v>11545</v>
      </c>
      <c r="H280" s="3">
        <v>11470</v>
      </c>
      <c r="I280" s="3">
        <v>11465</v>
      </c>
      <c r="J280" s="3">
        <v>11910</v>
      </c>
      <c r="K280" s="3">
        <v>11915</v>
      </c>
      <c r="L280" s="3">
        <v>12035</v>
      </c>
      <c r="M280" s="3">
        <v>12025</v>
      </c>
      <c r="N280" s="3">
        <v>12615</v>
      </c>
      <c r="O280" s="3">
        <v>12615</v>
      </c>
      <c r="P280" s="3">
        <v>12430</v>
      </c>
      <c r="Q280" s="3">
        <v>12470</v>
      </c>
      <c r="R280" s="3">
        <v>12515</v>
      </c>
      <c r="S280" s="3">
        <v>12515</v>
      </c>
      <c r="T280" s="3">
        <v>12220</v>
      </c>
      <c r="U280" s="3">
        <v>12230</v>
      </c>
      <c r="V280" s="3">
        <v>12775</v>
      </c>
      <c r="W280" s="3">
        <v>12765</v>
      </c>
      <c r="X280" s="3">
        <v>12630</v>
      </c>
      <c r="Y280" s="3">
        <v>12635</v>
      </c>
      <c r="Z280" s="3">
        <v>12700</v>
      </c>
      <c r="AA280" s="3">
        <v>12700</v>
      </c>
      <c r="AB280" s="3">
        <v>13230</v>
      </c>
      <c r="AC280" s="3">
        <v>13230</v>
      </c>
      <c r="AD280" s="3">
        <v>13320</v>
      </c>
      <c r="AE280" s="3">
        <v>13315</v>
      </c>
      <c r="AF280" s="3">
        <v>13835</v>
      </c>
      <c r="AG280" s="3">
        <v>13845</v>
      </c>
      <c r="AH280" s="3">
        <v>13855</v>
      </c>
      <c r="AI280" s="3">
        <v>13855</v>
      </c>
      <c r="AJ280" s="3">
        <v>13725</v>
      </c>
      <c r="AK280" s="3">
        <v>13725</v>
      </c>
      <c r="AL280" s="3">
        <v>13650</v>
      </c>
      <c r="AM280" s="3">
        <v>13650</v>
      </c>
      <c r="AN280" s="3">
        <v>13405</v>
      </c>
      <c r="AO280" s="3">
        <v>13400</v>
      </c>
      <c r="AP280" s="3">
        <v>13380</v>
      </c>
      <c r="AQ280" s="3">
        <v>13380</v>
      </c>
      <c r="AR280" s="4">
        <f t="shared" si="131"/>
        <v>1.3009540329575131E-2</v>
      </c>
      <c r="AS280" s="4">
        <f t="shared" si="108"/>
        <v>2.5974025974025983E-3</v>
      </c>
      <c r="AT280" s="4">
        <f t="shared" si="109"/>
        <v>1.6285211267605737E-2</v>
      </c>
      <c r="AU280" s="4">
        <f t="shared" si="110"/>
        <v>2.6740237691001645E-2</v>
      </c>
      <c r="AV280" s="4">
        <f t="shared" si="111"/>
        <v>1.924721984602229E-2</v>
      </c>
      <c r="AW280" s="4">
        <f t="shared" si="112"/>
        <v>1.3912310286677831E-2</v>
      </c>
      <c r="AX280" s="4">
        <f t="shared" si="113"/>
        <v>4.1271151465125833E-2</v>
      </c>
      <c r="AY280" s="4">
        <f t="shared" si="114"/>
        <v>2.4256651017214415E-2</v>
      </c>
      <c r="AZ280" s="4">
        <f t="shared" si="115"/>
        <v>2.3913909924272447E-3</v>
      </c>
      <c r="BA280" s="4">
        <f t="shared" si="116"/>
        <v>1.1717171717171682E-2</v>
      </c>
      <c r="BB280" s="4">
        <f t="shared" si="117"/>
        <v>3.4860154033238722E-2</v>
      </c>
      <c r="BC280" s="4">
        <f t="shared" si="118"/>
        <v>0</v>
      </c>
      <c r="BD280" s="4">
        <f t="shared" si="119"/>
        <v>1.0903426791277204E-2</v>
      </c>
      <c r="BE280" s="4">
        <f t="shared" si="120"/>
        <v>2.0439645198611744E-2</v>
      </c>
      <c r="BF280" s="4">
        <f t="shared" si="121"/>
        <v>1.7188693659281995E-2</v>
      </c>
      <c r="BG280" s="4">
        <f t="shared" si="122"/>
        <v>3.8245219347581516E-2</v>
      </c>
      <c r="BH280" s="4">
        <f t="shared" si="123"/>
        <v>3.9539899352983854E-3</v>
      </c>
      <c r="BI280" s="4">
        <f t="shared" si="124"/>
        <v>1.0810810810810811E-2</v>
      </c>
      <c r="BJ280" s="4">
        <f t="shared" si="125"/>
        <v>5.1020408163264808E-3</v>
      </c>
      <c r="BK280" s="4">
        <f t="shared" si="126"/>
        <v>2.0825721592985014E-2</v>
      </c>
      <c r="BL280" s="4">
        <f t="shared" si="127"/>
        <v>5.5741360089186509E-3</v>
      </c>
      <c r="BM280" s="4">
        <f t="shared" si="132"/>
        <v>1.7272190468789923E-2</v>
      </c>
      <c r="BN280" s="9">
        <f t="shared" si="133"/>
        <v>13687.39732275757</v>
      </c>
      <c r="BO280" s="10">
        <f t="shared" si="134"/>
        <v>13094.848062003375</v>
      </c>
      <c r="BP280">
        <v>13835</v>
      </c>
      <c r="BQ280">
        <v>13845</v>
      </c>
      <c r="BR280">
        <v>13830</v>
      </c>
      <c r="BS280">
        <v>13845</v>
      </c>
      <c r="BT280">
        <v>1489</v>
      </c>
      <c r="BU280" s="13">
        <f t="shared" si="128"/>
        <v>13840</v>
      </c>
      <c r="BV280" s="13">
        <f t="shared" si="129"/>
        <v>20607760</v>
      </c>
      <c r="BW280" s="13">
        <f>SUM($BV$3:BV280)</f>
        <v>211515253470</v>
      </c>
      <c r="BX280" s="13">
        <f>SUM($BT$3:BT280)</f>
        <v>15433570</v>
      </c>
      <c r="BY280" s="3">
        <f t="shared" si="130"/>
        <v>13704.881856239354</v>
      </c>
    </row>
    <row r="281" spans="1:77" x14ac:dyDescent="0.3">
      <c r="A281" s="3" t="s">
        <v>321</v>
      </c>
      <c r="B281" s="3">
        <v>11680</v>
      </c>
      <c r="C281" s="3">
        <v>11660</v>
      </c>
      <c r="D281" s="3">
        <v>11520</v>
      </c>
      <c r="E281" s="3">
        <v>11515</v>
      </c>
      <c r="F281" s="3">
        <v>11545</v>
      </c>
      <c r="G281" s="3">
        <v>11545</v>
      </c>
      <c r="H281" s="3">
        <v>11460</v>
      </c>
      <c r="I281" s="3">
        <v>11470</v>
      </c>
      <c r="J281" s="3">
        <v>11910</v>
      </c>
      <c r="K281" s="3">
        <v>11900</v>
      </c>
      <c r="L281" s="3">
        <v>12030</v>
      </c>
      <c r="M281" s="3">
        <v>12020</v>
      </c>
      <c r="N281" s="3">
        <v>12615</v>
      </c>
      <c r="O281" s="3">
        <v>12605</v>
      </c>
      <c r="P281" s="3">
        <v>12470</v>
      </c>
      <c r="Q281" s="3">
        <v>12485</v>
      </c>
      <c r="R281" s="3">
        <v>12515</v>
      </c>
      <c r="S281" s="3">
        <v>12520</v>
      </c>
      <c r="T281" s="3">
        <v>12230</v>
      </c>
      <c r="U281" s="3">
        <v>12235</v>
      </c>
      <c r="V281" s="3">
        <v>12765</v>
      </c>
      <c r="W281" s="3">
        <v>12765</v>
      </c>
      <c r="X281" s="3">
        <v>12635</v>
      </c>
      <c r="Y281" s="3">
        <v>12650</v>
      </c>
      <c r="Z281" s="3">
        <v>12700</v>
      </c>
      <c r="AA281" s="3">
        <v>12685</v>
      </c>
      <c r="AB281" s="3">
        <v>13225</v>
      </c>
      <c r="AC281" s="3">
        <v>13235</v>
      </c>
      <c r="AD281" s="3">
        <v>13320</v>
      </c>
      <c r="AE281" s="3">
        <v>13315</v>
      </c>
      <c r="AF281" s="3">
        <v>13835</v>
      </c>
      <c r="AG281" s="3">
        <v>13845</v>
      </c>
      <c r="AH281" s="3">
        <v>13855</v>
      </c>
      <c r="AI281" s="3">
        <v>13845</v>
      </c>
      <c r="AJ281" s="3">
        <v>13725</v>
      </c>
      <c r="AK281" s="3">
        <v>13740</v>
      </c>
      <c r="AL281" s="3">
        <v>13645</v>
      </c>
      <c r="AM281" s="3">
        <v>13635</v>
      </c>
      <c r="AN281" s="3">
        <v>13395</v>
      </c>
      <c r="AO281" s="3">
        <v>13410</v>
      </c>
      <c r="AP281" s="3">
        <v>13375</v>
      </c>
      <c r="AQ281" s="3">
        <v>13385</v>
      </c>
      <c r="AR281" s="4">
        <f t="shared" si="131"/>
        <v>1.1274934952298254E-2</v>
      </c>
      <c r="AS281" s="4">
        <f t="shared" si="108"/>
        <v>3.0303030303030498E-3</v>
      </c>
      <c r="AT281" s="4">
        <f t="shared" si="109"/>
        <v>1.6285211267605737E-2</v>
      </c>
      <c r="AU281" s="4">
        <f t="shared" si="110"/>
        <v>2.6315789473684181E-2</v>
      </c>
      <c r="AV281" s="4">
        <f t="shared" si="111"/>
        <v>1.7964071856287456E-2</v>
      </c>
      <c r="AW281" s="4">
        <f t="shared" si="112"/>
        <v>1.3490725126475533E-2</v>
      </c>
      <c r="AX281" s="4">
        <f t="shared" si="113"/>
        <v>4.044572843582328E-2</v>
      </c>
      <c r="AY281" s="4">
        <f t="shared" si="114"/>
        <v>2.3082942097026549E-2</v>
      </c>
      <c r="AZ281" s="4">
        <f t="shared" si="115"/>
        <v>1.9928258270227595E-3</v>
      </c>
      <c r="BA281" s="4">
        <f t="shared" si="116"/>
        <v>1.1313131313131275E-2</v>
      </c>
      <c r="BB281" s="4">
        <f t="shared" si="117"/>
        <v>3.4860154033238722E-2</v>
      </c>
      <c r="BC281" s="4">
        <f t="shared" si="118"/>
        <v>1.1871784724970524E-3</v>
      </c>
      <c r="BD281" s="4">
        <f t="shared" si="119"/>
        <v>1.2071651090342694E-2</v>
      </c>
      <c r="BE281" s="4">
        <f t="shared" si="120"/>
        <v>2.0825298881604226E-2</v>
      </c>
      <c r="BF281" s="4">
        <f t="shared" si="121"/>
        <v>1.7188693659281995E-2</v>
      </c>
      <c r="BG281" s="4">
        <f t="shared" si="122"/>
        <v>3.8245219347581516E-2</v>
      </c>
      <c r="BH281" s="4">
        <f t="shared" si="123"/>
        <v>4.6728971962616273E-3</v>
      </c>
      <c r="BI281" s="4">
        <f t="shared" si="124"/>
        <v>9.7297297297297414E-3</v>
      </c>
      <c r="BJ281" s="4">
        <f t="shared" si="125"/>
        <v>6.1953352769679171E-3</v>
      </c>
      <c r="BK281" s="4">
        <f t="shared" si="126"/>
        <v>2.0094994519546994E-2</v>
      </c>
      <c r="BL281" s="4">
        <f t="shared" si="127"/>
        <v>5.2025269416573483E-3</v>
      </c>
      <c r="BM281" s="4">
        <f t="shared" si="132"/>
        <v>1.7146693183166035E-2</v>
      </c>
      <c r="BN281" s="9">
        <f t="shared" si="133"/>
        <v>13685.708756779499</v>
      </c>
      <c r="BO281" s="10">
        <f t="shared" si="134"/>
        <v>13096.520313334311</v>
      </c>
      <c r="BP281">
        <v>13835</v>
      </c>
      <c r="BQ281">
        <v>13845</v>
      </c>
      <c r="BR281">
        <v>13835</v>
      </c>
      <c r="BS281">
        <v>13845</v>
      </c>
      <c r="BT281">
        <v>944</v>
      </c>
      <c r="BU281" s="13">
        <f t="shared" si="128"/>
        <v>13841.666666666666</v>
      </c>
      <c r="BV281" s="13">
        <f t="shared" si="129"/>
        <v>13066533.333333332</v>
      </c>
      <c r="BW281" s="13">
        <f>SUM($BV$3:BV281)</f>
        <v>211528320003.33334</v>
      </c>
      <c r="BX281" s="13">
        <f>SUM($BT$3:BT281)</f>
        <v>15434514</v>
      </c>
      <c r="BY281" s="3">
        <f t="shared" si="130"/>
        <v>13704.890222221013</v>
      </c>
    </row>
    <row r="282" spans="1:77" x14ac:dyDescent="0.3">
      <c r="A282" s="3" t="s">
        <v>322</v>
      </c>
      <c r="B282" s="3">
        <v>11660</v>
      </c>
      <c r="C282" s="3">
        <v>11650</v>
      </c>
      <c r="D282" s="3">
        <v>11515</v>
      </c>
      <c r="E282" s="3">
        <v>11515</v>
      </c>
      <c r="F282" s="3">
        <v>11545</v>
      </c>
      <c r="G282" s="3">
        <v>11540</v>
      </c>
      <c r="H282" s="3">
        <v>11470</v>
      </c>
      <c r="I282" s="3">
        <v>11465</v>
      </c>
      <c r="J282" s="3">
        <v>11895</v>
      </c>
      <c r="K282" s="3">
        <v>11890</v>
      </c>
      <c r="L282" s="3">
        <v>12020</v>
      </c>
      <c r="M282" s="3">
        <v>12025</v>
      </c>
      <c r="N282" s="3">
        <v>12605</v>
      </c>
      <c r="O282" s="3">
        <v>12615</v>
      </c>
      <c r="P282" s="3">
        <v>12485</v>
      </c>
      <c r="Q282" s="3">
        <v>12430</v>
      </c>
      <c r="R282" s="3">
        <v>12520</v>
      </c>
      <c r="S282" s="3">
        <v>12525</v>
      </c>
      <c r="T282" s="3">
        <v>12240</v>
      </c>
      <c r="U282" s="3">
        <v>12235</v>
      </c>
      <c r="V282" s="3">
        <v>12765</v>
      </c>
      <c r="W282" s="3">
        <v>12775</v>
      </c>
      <c r="X282" s="3">
        <v>12645</v>
      </c>
      <c r="Y282" s="3">
        <v>12640</v>
      </c>
      <c r="Z282" s="3">
        <v>12685</v>
      </c>
      <c r="AA282" s="3">
        <v>12675</v>
      </c>
      <c r="AB282" s="3">
        <v>13235</v>
      </c>
      <c r="AC282" s="3">
        <v>13245</v>
      </c>
      <c r="AD282" s="3">
        <v>13315</v>
      </c>
      <c r="AE282" s="3">
        <v>13305</v>
      </c>
      <c r="AF282" s="3">
        <v>13840</v>
      </c>
      <c r="AG282" s="3">
        <v>13845</v>
      </c>
      <c r="AH282" s="3">
        <v>13845</v>
      </c>
      <c r="AI282" s="3">
        <v>13860</v>
      </c>
      <c r="AJ282" s="3">
        <v>13740</v>
      </c>
      <c r="AK282" s="3">
        <v>13735</v>
      </c>
      <c r="AL282" s="3">
        <v>13635</v>
      </c>
      <c r="AM282" s="3">
        <v>13630</v>
      </c>
      <c r="AN282" s="3">
        <v>13405</v>
      </c>
      <c r="AO282" s="3">
        <v>13415</v>
      </c>
      <c r="AP282" s="3">
        <v>13380</v>
      </c>
      <c r="AQ282" s="3">
        <v>13385</v>
      </c>
      <c r="AR282" s="4">
        <f t="shared" si="131"/>
        <v>1.0407632263659927E-2</v>
      </c>
      <c r="AS282" s="4">
        <f t="shared" si="108"/>
        <v>3.0303030303030498E-3</v>
      </c>
      <c r="AT282" s="4">
        <f t="shared" si="109"/>
        <v>1.5845070422535246E-2</v>
      </c>
      <c r="AU282" s="4">
        <f t="shared" si="110"/>
        <v>2.6740237691001645E-2</v>
      </c>
      <c r="AV282" s="4">
        <f t="shared" si="111"/>
        <v>1.7108639863130826E-2</v>
      </c>
      <c r="AW282" s="4">
        <f t="shared" si="112"/>
        <v>1.3912310286677831E-2</v>
      </c>
      <c r="AX282" s="4">
        <f t="shared" si="113"/>
        <v>4.1271151465125833E-2</v>
      </c>
      <c r="AY282" s="4">
        <f t="shared" si="114"/>
        <v>2.7386541471048464E-2</v>
      </c>
      <c r="AZ282" s="4">
        <f t="shared" si="115"/>
        <v>1.5942606616181632E-3</v>
      </c>
      <c r="BA282" s="4">
        <f t="shared" si="116"/>
        <v>1.1313131313131275E-2</v>
      </c>
      <c r="BB282" s="4">
        <f t="shared" si="117"/>
        <v>3.567085528982572E-2</v>
      </c>
      <c r="BC282" s="4">
        <f t="shared" si="118"/>
        <v>3.9572615749894346E-4</v>
      </c>
      <c r="BD282" s="4">
        <f t="shared" si="119"/>
        <v>1.2850467289719614E-2</v>
      </c>
      <c r="BE282" s="4">
        <f t="shared" si="120"/>
        <v>2.1596606247589634E-2</v>
      </c>
      <c r="BF282" s="4">
        <f t="shared" si="121"/>
        <v>1.6424751718869368E-2</v>
      </c>
      <c r="BG282" s="4">
        <f t="shared" si="122"/>
        <v>3.8245219347581516E-2</v>
      </c>
      <c r="BH282" s="4">
        <f t="shared" si="123"/>
        <v>3.5945363048166534E-3</v>
      </c>
      <c r="BI282" s="4">
        <f t="shared" si="124"/>
        <v>1.0090090090090098E-2</v>
      </c>
      <c r="BJ282" s="4">
        <f t="shared" si="125"/>
        <v>6.5597667638483959E-3</v>
      </c>
      <c r="BK282" s="4">
        <f t="shared" si="126"/>
        <v>1.9729630982827873E-2</v>
      </c>
      <c r="BL282" s="4">
        <f t="shared" si="127"/>
        <v>5.2025269416573483E-3</v>
      </c>
      <c r="BM282" s="4">
        <f t="shared" si="132"/>
        <v>1.7510003779148259E-2</v>
      </c>
      <c r="BN282" s="9">
        <f t="shared" si="133"/>
        <v>13690.597100848439</v>
      </c>
      <c r="BO282" s="10">
        <f t="shared" si="134"/>
        <v>13091.679199642849</v>
      </c>
      <c r="BP282">
        <v>13840</v>
      </c>
      <c r="BQ282">
        <v>13845</v>
      </c>
      <c r="BR282">
        <v>13835</v>
      </c>
      <c r="BS282">
        <v>13845</v>
      </c>
      <c r="BT282">
        <v>7337</v>
      </c>
      <c r="BU282" s="13">
        <f t="shared" si="128"/>
        <v>13841.666666666666</v>
      </c>
      <c r="BV282" s="13">
        <f t="shared" si="129"/>
        <v>101556308.33333333</v>
      </c>
      <c r="BW282" s="13">
        <f>SUM($BV$3:BV282)</f>
        <v>211629876311.66669</v>
      </c>
      <c r="BX282" s="13">
        <f>SUM($BT$3:BT282)</f>
        <v>15441851</v>
      </c>
      <c r="BY282" s="3">
        <f t="shared" si="130"/>
        <v>13704.955209816924</v>
      </c>
    </row>
    <row r="283" spans="1:77" x14ac:dyDescent="0.3">
      <c r="A283" s="3" t="s">
        <v>323</v>
      </c>
      <c r="B283" s="3">
        <v>11650</v>
      </c>
      <c r="C283" s="3">
        <v>11660</v>
      </c>
      <c r="D283" s="3">
        <v>11520</v>
      </c>
      <c r="E283" s="3">
        <v>11535</v>
      </c>
      <c r="F283" s="3">
        <v>11540</v>
      </c>
      <c r="G283" s="3">
        <v>11535</v>
      </c>
      <c r="H283" s="3">
        <v>11470</v>
      </c>
      <c r="I283" s="3">
        <v>11470</v>
      </c>
      <c r="J283" s="3">
        <v>11895</v>
      </c>
      <c r="K283" s="3">
        <v>11885</v>
      </c>
      <c r="L283" s="3">
        <v>12025</v>
      </c>
      <c r="M283" s="3">
        <v>12035</v>
      </c>
      <c r="N283" s="3">
        <v>12615</v>
      </c>
      <c r="O283" s="3">
        <v>12610</v>
      </c>
      <c r="P283" s="3">
        <v>12430</v>
      </c>
      <c r="Q283" s="3">
        <v>12450</v>
      </c>
      <c r="R283" s="3">
        <v>12530</v>
      </c>
      <c r="S283" s="3">
        <v>12515</v>
      </c>
      <c r="T283" s="3">
        <v>12235</v>
      </c>
      <c r="U283" s="3">
        <v>12225</v>
      </c>
      <c r="V283" s="3">
        <v>12775</v>
      </c>
      <c r="W283" s="3">
        <v>12775</v>
      </c>
      <c r="X283" s="3">
        <v>12640</v>
      </c>
      <c r="Y283" s="3">
        <v>12635</v>
      </c>
      <c r="Z283" s="3">
        <v>12680</v>
      </c>
      <c r="AA283" s="3">
        <v>12680</v>
      </c>
      <c r="AB283" s="3">
        <v>13240</v>
      </c>
      <c r="AC283" s="3">
        <v>13240</v>
      </c>
      <c r="AD283" s="3">
        <v>13305</v>
      </c>
      <c r="AE283" s="3">
        <v>13310</v>
      </c>
      <c r="AF283" s="3">
        <v>13840</v>
      </c>
      <c r="AG283" s="3">
        <v>13835</v>
      </c>
      <c r="AH283" s="3">
        <v>13865</v>
      </c>
      <c r="AI283" s="3">
        <v>13880</v>
      </c>
      <c r="AJ283" s="3">
        <v>13735</v>
      </c>
      <c r="AK283" s="3">
        <v>13755</v>
      </c>
      <c r="AL283" s="3">
        <v>13630</v>
      </c>
      <c r="AM283" s="3">
        <v>13650</v>
      </c>
      <c r="AN283" s="3">
        <v>13410</v>
      </c>
      <c r="AO283" s="3">
        <v>13410</v>
      </c>
      <c r="AP283" s="3">
        <v>13385</v>
      </c>
      <c r="AQ283" s="3">
        <v>13395</v>
      </c>
      <c r="AR283" s="4">
        <f t="shared" si="131"/>
        <v>1.1274934952298254E-2</v>
      </c>
      <c r="AS283" s="4">
        <f t="shared" si="108"/>
        <v>1.2987012987012436E-3</v>
      </c>
      <c r="AT283" s="4">
        <f t="shared" si="109"/>
        <v>1.5404929577464754E-2</v>
      </c>
      <c r="AU283" s="4">
        <f t="shared" si="110"/>
        <v>2.6315789473684181E-2</v>
      </c>
      <c r="AV283" s="4">
        <f t="shared" si="111"/>
        <v>1.6680923866552622E-2</v>
      </c>
      <c r="AW283" s="4">
        <f t="shared" si="112"/>
        <v>1.4755480607082649E-2</v>
      </c>
      <c r="AX283" s="4">
        <f t="shared" si="113"/>
        <v>4.0858439950474557E-2</v>
      </c>
      <c r="AY283" s="4">
        <f t="shared" si="114"/>
        <v>2.5821596244131495E-2</v>
      </c>
      <c r="AZ283" s="4">
        <f t="shared" si="115"/>
        <v>2.3913909924272447E-3</v>
      </c>
      <c r="BA283" s="4">
        <f t="shared" si="116"/>
        <v>1.2121212121212088E-2</v>
      </c>
      <c r="BB283" s="4">
        <f t="shared" si="117"/>
        <v>3.567085528982572E-2</v>
      </c>
      <c r="BC283" s="4">
        <f t="shared" si="118"/>
        <v>0</v>
      </c>
      <c r="BD283" s="4">
        <f t="shared" si="119"/>
        <v>1.2461059190031154E-2</v>
      </c>
      <c r="BE283" s="4">
        <f t="shared" si="120"/>
        <v>2.121095256459693E-2</v>
      </c>
      <c r="BF283" s="4">
        <f t="shared" si="121"/>
        <v>1.6806722689075571E-2</v>
      </c>
      <c r="BG283" s="4">
        <f t="shared" si="122"/>
        <v>3.7495313085864179E-2</v>
      </c>
      <c r="BH283" s="4">
        <f t="shared" si="123"/>
        <v>2.1567217828900587E-3</v>
      </c>
      <c r="BI283" s="4">
        <f t="shared" si="124"/>
        <v>8.6486486486486713E-3</v>
      </c>
      <c r="BJ283" s="4">
        <f t="shared" si="125"/>
        <v>5.1020408163264808E-3</v>
      </c>
      <c r="BK283" s="4">
        <f t="shared" si="126"/>
        <v>2.0094994519546994E-2</v>
      </c>
      <c r="BL283" s="4">
        <f t="shared" si="127"/>
        <v>4.4593088071348541E-3</v>
      </c>
      <c r="BM283" s="4">
        <f t="shared" si="132"/>
        <v>1.72712895618043E-2</v>
      </c>
      <c r="BN283" s="9">
        <f t="shared" si="133"/>
        <v>13687.385201054078</v>
      </c>
      <c r="BO283" s="10">
        <f t="shared" si="134"/>
        <v>13094.860066588957</v>
      </c>
      <c r="BP283">
        <v>13840</v>
      </c>
      <c r="BQ283">
        <v>13845</v>
      </c>
      <c r="BR283">
        <v>13835</v>
      </c>
      <c r="BS283">
        <v>13835</v>
      </c>
      <c r="BT283">
        <v>4075</v>
      </c>
      <c r="BU283" s="13">
        <f t="shared" si="128"/>
        <v>13838.333333333334</v>
      </c>
      <c r="BV283" s="13">
        <f t="shared" si="129"/>
        <v>56391208.333333336</v>
      </c>
      <c r="BW283" s="13">
        <f>SUM($BV$3:BV283)</f>
        <v>211686267520.00003</v>
      </c>
      <c r="BX283" s="13">
        <f>SUM($BT$3:BT283)</f>
        <v>15445926</v>
      </c>
      <c r="BY283" s="3">
        <f t="shared" si="130"/>
        <v>13704.990398115337</v>
      </c>
    </row>
    <row r="284" spans="1:77" x14ac:dyDescent="0.3">
      <c r="A284" s="3" t="s">
        <v>324</v>
      </c>
      <c r="B284" s="3">
        <v>11655</v>
      </c>
      <c r="C284" s="3">
        <v>11655</v>
      </c>
      <c r="D284" s="3">
        <v>11535</v>
      </c>
      <c r="E284" s="3">
        <v>11550</v>
      </c>
      <c r="F284" s="3">
        <v>11535</v>
      </c>
      <c r="G284" s="3">
        <v>11525</v>
      </c>
      <c r="H284" s="3">
        <v>11475</v>
      </c>
      <c r="I284" s="3">
        <v>11480</v>
      </c>
      <c r="J284" s="3">
        <v>11885</v>
      </c>
      <c r="K284" s="3">
        <v>11880</v>
      </c>
      <c r="L284" s="3">
        <v>12030</v>
      </c>
      <c r="M284" s="3">
        <v>12020</v>
      </c>
      <c r="N284" s="3">
        <v>12610</v>
      </c>
      <c r="O284" s="3">
        <v>12605</v>
      </c>
      <c r="P284" s="3">
        <v>12445</v>
      </c>
      <c r="Q284" s="3">
        <v>12430</v>
      </c>
      <c r="R284" s="3">
        <v>12520</v>
      </c>
      <c r="S284" s="3">
        <v>12505</v>
      </c>
      <c r="T284" s="3">
        <v>12225</v>
      </c>
      <c r="U284" s="3">
        <v>12230</v>
      </c>
      <c r="V284" s="3">
        <v>12775</v>
      </c>
      <c r="W284" s="3">
        <v>12770</v>
      </c>
      <c r="X284" s="3">
        <v>12635</v>
      </c>
      <c r="Y284" s="3">
        <v>12635</v>
      </c>
      <c r="Z284" s="3">
        <v>12680</v>
      </c>
      <c r="AA284" s="3">
        <v>12695</v>
      </c>
      <c r="AB284" s="3">
        <v>13240</v>
      </c>
      <c r="AC284" s="3">
        <v>13230</v>
      </c>
      <c r="AD284" s="3">
        <v>13305</v>
      </c>
      <c r="AE284" s="3">
        <v>13315</v>
      </c>
      <c r="AF284" s="3">
        <v>13835</v>
      </c>
      <c r="AG284" s="3">
        <v>13830</v>
      </c>
      <c r="AH284" s="3">
        <v>13880</v>
      </c>
      <c r="AI284" s="3">
        <v>13895</v>
      </c>
      <c r="AJ284" s="3">
        <v>13755</v>
      </c>
      <c r="AK284" s="3">
        <v>13770</v>
      </c>
      <c r="AL284" s="3">
        <v>13655</v>
      </c>
      <c r="AM284" s="3">
        <v>13650</v>
      </c>
      <c r="AN284" s="3">
        <v>13405</v>
      </c>
      <c r="AO284" s="3">
        <v>13400</v>
      </c>
      <c r="AP284" s="3">
        <v>13400</v>
      </c>
      <c r="AQ284" s="3">
        <v>13410</v>
      </c>
      <c r="AR284" s="4">
        <f t="shared" si="131"/>
        <v>1.0841283607979202E-2</v>
      </c>
      <c r="AS284" s="4">
        <f t="shared" si="108"/>
        <v>0</v>
      </c>
      <c r="AT284" s="4">
        <f t="shared" si="109"/>
        <v>1.4524647887323994E-2</v>
      </c>
      <c r="AU284" s="4">
        <f t="shared" si="110"/>
        <v>2.5466893039049254E-2</v>
      </c>
      <c r="AV284" s="4">
        <f t="shared" si="111"/>
        <v>1.6253207869974418E-2</v>
      </c>
      <c r="AW284" s="4">
        <f t="shared" si="112"/>
        <v>1.3490725126475533E-2</v>
      </c>
      <c r="AX284" s="4">
        <f t="shared" si="113"/>
        <v>4.044572843582328E-2</v>
      </c>
      <c r="AY284" s="4">
        <f t="shared" si="114"/>
        <v>2.7386541471048464E-2</v>
      </c>
      <c r="AZ284" s="4">
        <f t="shared" si="115"/>
        <v>3.1885213232363263E-3</v>
      </c>
      <c r="BA284" s="4">
        <f t="shared" si="116"/>
        <v>1.1717171717171682E-2</v>
      </c>
      <c r="BB284" s="4">
        <f t="shared" si="117"/>
        <v>3.5265504661532221E-2</v>
      </c>
      <c r="BC284" s="4">
        <f t="shared" si="118"/>
        <v>0</v>
      </c>
      <c r="BD284" s="4">
        <f t="shared" si="119"/>
        <v>1.1292834890965775E-2</v>
      </c>
      <c r="BE284" s="4">
        <f t="shared" si="120"/>
        <v>2.0439645198611744E-2</v>
      </c>
      <c r="BF284" s="4">
        <f t="shared" si="121"/>
        <v>1.7188693659281995E-2</v>
      </c>
      <c r="BG284" s="4">
        <f t="shared" si="122"/>
        <v>3.7120359955005622E-2</v>
      </c>
      <c r="BH284" s="4">
        <f t="shared" si="123"/>
        <v>1.0783608914449738E-3</v>
      </c>
      <c r="BI284" s="4">
        <f t="shared" si="124"/>
        <v>7.5675675675676013E-3</v>
      </c>
      <c r="BJ284" s="4">
        <f t="shared" si="125"/>
        <v>5.1020408163264808E-3</v>
      </c>
      <c r="BK284" s="4">
        <f t="shared" si="126"/>
        <v>2.0825721592985014E-2</v>
      </c>
      <c r="BL284" s="4">
        <f t="shared" si="127"/>
        <v>3.3444816053511683E-3</v>
      </c>
      <c r="BM284" s="4">
        <f t="shared" si="132"/>
        <v>1.6904293948606763E-2</v>
      </c>
      <c r="BN284" s="9">
        <f t="shared" si="133"/>
        <v>13682.447275078504</v>
      </c>
      <c r="BO284" s="10">
        <f t="shared" si="134"/>
        <v>13099.750283134814</v>
      </c>
      <c r="BP284">
        <v>13835</v>
      </c>
      <c r="BQ284">
        <v>13840</v>
      </c>
      <c r="BR284">
        <v>13825</v>
      </c>
      <c r="BS284">
        <v>13830</v>
      </c>
      <c r="BT284">
        <v>10576</v>
      </c>
      <c r="BU284" s="13">
        <f t="shared" si="128"/>
        <v>13831.666666666666</v>
      </c>
      <c r="BV284" s="13">
        <f t="shared" si="129"/>
        <v>146283706.66666666</v>
      </c>
      <c r="BW284" s="13">
        <f>SUM($BV$3:BV284)</f>
        <v>211832551226.66669</v>
      </c>
      <c r="BX284" s="13">
        <f>SUM($BT$3:BT284)</f>
        <v>15456502</v>
      </c>
      <c r="BY284" s="3">
        <f t="shared" si="130"/>
        <v>13705.077075438328</v>
      </c>
    </row>
    <row r="285" spans="1:77" x14ac:dyDescent="0.3">
      <c r="A285" s="3" t="s">
        <v>325</v>
      </c>
      <c r="B285" s="3">
        <v>11655</v>
      </c>
      <c r="C285" s="3">
        <v>11655</v>
      </c>
      <c r="D285" s="3">
        <v>11550</v>
      </c>
      <c r="E285" s="3">
        <v>11570</v>
      </c>
      <c r="F285" s="3">
        <v>11525</v>
      </c>
      <c r="G285" s="3">
        <v>11525</v>
      </c>
      <c r="H285" s="3">
        <v>11480</v>
      </c>
      <c r="I285" s="3">
        <v>11490</v>
      </c>
      <c r="J285" s="3">
        <v>11885</v>
      </c>
      <c r="K285" s="3">
        <v>11880</v>
      </c>
      <c r="L285" s="3">
        <v>12020</v>
      </c>
      <c r="M285" s="3">
        <v>12025</v>
      </c>
      <c r="N285" s="3">
        <v>12605</v>
      </c>
      <c r="O285" s="3">
        <v>12605</v>
      </c>
      <c r="P285" s="3">
        <v>12435</v>
      </c>
      <c r="Q285" s="3">
        <v>12450</v>
      </c>
      <c r="R285" s="3">
        <v>12510</v>
      </c>
      <c r="S285" s="3">
        <v>12510</v>
      </c>
      <c r="T285" s="3">
        <v>12225</v>
      </c>
      <c r="U285" s="3">
        <v>12230</v>
      </c>
      <c r="V285" s="3">
        <v>12770</v>
      </c>
      <c r="W285" s="3">
        <v>12770</v>
      </c>
      <c r="X285" s="3">
        <v>12635</v>
      </c>
      <c r="Y285" s="3">
        <v>12640</v>
      </c>
      <c r="Z285" s="3">
        <v>12695</v>
      </c>
      <c r="AA285" s="3">
        <v>12700</v>
      </c>
      <c r="AB285" s="3">
        <v>13230</v>
      </c>
      <c r="AC285" s="3">
        <v>13240</v>
      </c>
      <c r="AD285" s="3">
        <v>13315</v>
      </c>
      <c r="AE285" s="3">
        <v>13315</v>
      </c>
      <c r="AF285" s="3">
        <v>13830</v>
      </c>
      <c r="AG285" s="3">
        <v>13840</v>
      </c>
      <c r="AH285" s="3">
        <v>13895</v>
      </c>
      <c r="AI285" s="3">
        <v>13915</v>
      </c>
      <c r="AJ285" s="3">
        <v>13770</v>
      </c>
      <c r="AK285" s="3">
        <v>13745</v>
      </c>
      <c r="AL285" s="3">
        <v>13655</v>
      </c>
      <c r="AM285" s="3">
        <v>13660</v>
      </c>
      <c r="AN285" s="3">
        <v>13400</v>
      </c>
      <c r="AO285" s="3">
        <v>13395</v>
      </c>
      <c r="AP285" s="3">
        <v>13410</v>
      </c>
      <c r="AQ285" s="3">
        <v>13410</v>
      </c>
      <c r="AR285" s="4">
        <f t="shared" si="131"/>
        <v>1.0841283607979202E-2</v>
      </c>
      <c r="AS285" s="4">
        <f t="shared" si="108"/>
        <v>1.7316017316018062E-3</v>
      </c>
      <c r="AT285" s="4">
        <f t="shared" si="109"/>
        <v>1.4524647887323994E-2</v>
      </c>
      <c r="AU285" s="4">
        <f t="shared" si="110"/>
        <v>2.4617996604414216E-2</v>
      </c>
      <c r="AV285" s="4">
        <f t="shared" si="111"/>
        <v>1.6253207869974418E-2</v>
      </c>
      <c r="AW285" s="4">
        <f t="shared" si="112"/>
        <v>1.3912310286677831E-2</v>
      </c>
      <c r="AX285" s="4">
        <f t="shared" si="113"/>
        <v>4.044572843582328E-2</v>
      </c>
      <c r="AY285" s="4">
        <f t="shared" si="114"/>
        <v>2.5821596244131495E-2</v>
      </c>
      <c r="AZ285" s="4">
        <f t="shared" si="115"/>
        <v>2.789956157831841E-3</v>
      </c>
      <c r="BA285" s="4">
        <f t="shared" si="116"/>
        <v>1.1717171717171682E-2</v>
      </c>
      <c r="BB285" s="4">
        <f t="shared" si="117"/>
        <v>3.5265504661532221E-2</v>
      </c>
      <c r="BC285" s="4">
        <f t="shared" si="118"/>
        <v>3.9572615749894346E-4</v>
      </c>
      <c r="BD285" s="4">
        <f t="shared" si="119"/>
        <v>1.0903426791277204E-2</v>
      </c>
      <c r="BE285" s="4">
        <f t="shared" si="120"/>
        <v>2.121095256459693E-2</v>
      </c>
      <c r="BF285" s="4">
        <f t="shared" si="121"/>
        <v>1.7188693659281995E-2</v>
      </c>
      <c r="BG285" s="4">
        <f t="shared" si="122"/>
        <v>3.7870266216722959E-2</v>
      </c>
      <c r="BH285" s="4">
        <f t="shared" si="123"/>
        <v>3.5945363048162093E-4</v>
      </c>
      <c r="BI285" s="4">
        <f t="shared" si="124"/>
        <v>9.3693693693693847E-3</v>
      </c>
      <c r="BJ285" s="4">
        <f t="shared" si="125"/>
        <v>4.3731778425656342E-3</v>
      </c>
      <c r="BK285" s="4">
        <f t="shared" si="126"/>
        <v>2.1191085129704024E-2</v>
      </c>
      <c r="BL285" s="4">
        <f t="shared" si="127"/>
        <v>3.3444816053511683E-3</v>
      </c>
      <c r="BM285" s="4">
        <f t="shared" si="132"/>
        <v>1.6912751483509847E-2</v>
      </c>
      <c r="BN285" s="9">
        <f t="shared" si="133"/>
        <v>13682.561071210626</v>
      </c>
      <c r="BO285" s="10">
        <f t="shared" si="134"/>
        <v>13099.637586482231</v>
      </c>
      <c r="BP285">
        <v>13830</v>
      </c>
      <c r="BQ285">
        <v>13840</v>
      </c>
      <c r="BR285">
        <v>13825</v>
      </c>
      <c r="BS285">
        <v>13840</v>
      </c>
      <c r="BT285">
        <v>5428</v>
      </c>
      <c r="BU285" s="13">
        <f t="shared" si="128"/>
        <v>13835</v>
      </c>
      <c r="BV285" s="13">
        <f t="shared" si="129"/>
        <v>75096380</v>
      </c>
      <c r="BW285" s="13">
        <f>SUM($BV$3:BV285)</f>
        <v>211907647606.66669</v>
      </c>
      <c r="BX285" s="13">
        <f>SUM($BT$3:BT285)</f>
        <v>15461930</v>
      </c>
      <c r="BY285" s="3">
        <f t="shared" si="130"/>
        <v>13705.122685632821</v>
      </c>
    </row>
    <row r="286" spans="1:77" x14ac:dyDescent="0.3">
      <c r="A286" s="3" t="s">
        <v>326</v>
      </c>
      <c r="B286" s="3">
        <v>11660</v>
      </c>
      <c r="C286" s="3">
        <v>11660</v>
      </c>
      <c r="D286" s="3">
        <v>11570</v>
      </c>
      <c r="E286" s="3">
        <v>11565</v>
      </c>
      <c r="F286" s="3">
        <v>11525</v>
      </c>
      <c r="G286" s="3">
        <v>11520</v>
      </c>
      <c r="H286" s="3">
        <v>11490</v>
      </c>
      <c r="I286" s="3">
        <v>11480</v>
      </c>
      <c r="J286" s="3">
        <v>11890</v>
      </c>
      <c r="K286" s="3">
        <v>11885</v>
      </c>
      <c r="L286" s="3">
        <v>12025</v>
      </c>
      <c r="M286" s="3">
        <v>12030</v>
      </c>
      <c r="N286" s="3">
        <v>12605</v>
      </c>
      <c r="O286" s="3">
        <v>12605</v>
      </c>
      <c r="P286" s="3">
        <v>12450</v>
      </c>
      <c r="Q286" s="3">
        <v>12465</v>
      </c>
      <c r="R286" s="3">
        <v>12505</v>
      </c>
      <c r="S286" s="3">
        <v>12505</v>
      </c>
      <c r="T286" s="3">
        <v>12225</v>
      </c>
      <c r="U286" s="3">
        <v>12220</v>
      </c>
      <c r="V286" s="3">
        <v>12770</v>
      </c>
      <c r="W286" s="3">
        <v>12770</v>
      </c>
      <c r="X286" s="3">
        <v>12640</v>
      </c>
      <c r="Y286" s="3">
        <v>12625</v>
      </c>
      <c r="Z286" s="3">
        <v>12700</v>
      </c>
      <c r="AA286" s="3">
        <v>12710</v>
      </c>
      <c r="AB286" s="3">
        <v>13235</v>
      </c>
      <c r="AC286" s="3">
        <v>13245</v>
      </c>
      <c r="AD286" s="3">
        <v>13320</v>
      </c>
      <c r="AE286" s="3">
        <v>13315</v>
      </c>
      <c r="AF286" s="3">
        <v>13840</v>
      </c>
      <c r="AG286" s="3">
        <v>13840</v>
      </c>
      <c r="AH286" s="3">
        <v>13910</v>
      </c>
      <c r="AI286" s="3">
        <v>13935</v>
      </c>
      <c r="AJ286" s="3">
        <v>13750</v>
      </c>
      <c r="AK286" s="3">
        <v>13760</v>
      </c>
      <c r="AL286" s="3">
        <v>13655</v>
      </c>
      <c r="AM286" s="3">
        <v>13665</v>
      </c>
      <c r="AN286" s="3">
        <v>13395</v>
      </c>
      <c r="AO286" s="3">
        <v>13390</v>
      </c>
      <c r="AP286" s="3">
        <v>13405</v>
      </c>
      <c r="AQ286" s="3">
        <v>13400</v>
      </c>
      <c r="AR286" s="4">
        <f t="shared" si="131"/>
        <v>1.1274934952298254E-2</v>
      </c>
      <c r="AS286" s="4">
        <f t="shared" si="108"/>
        <v>1.2987012987013546E-3</v>
      </c>
      <c r="AT286" s="4">
        <f t="shared" si="109"/>
        <v>1.4084507042253502E-2</v>
      </c>
      <c r="AU286" s="4">
        <f t="shared" si="110"/>
        <v>2.5466893039049254E-2</v>
      </c>
      <c r="AV286" s="4">
        <f t="shared" si="111"/>
        <v>1.6680923866552622E-2</v>
      </c>
      <c r="AW286" s="4">
        <f t="shared" si="112"/>
        <v>1.4333895446880351E-2</v>
      </c>
      <c r="AX286" s="4">
        <f t="shared" si="113"/>
        <v>4.044572843582328E-2</v>
      </c>
      <c r="AY286" s="4">
        <f t="shared" si="114"/>
        <v>2.4647887323943629E-2</v>
      </c>
      <c r="AZ286" s="4">
        <f t="shared" si="115"/>
        <v>3.1885213232363263E-3</v>
      </c>
      <c r="BA286" s="4">
        <f t="shared" si="116"/>
        <v>1.2525252525252495E-2</v>
      </c>
      <c r="BB286" s="4">
        <f t="shared" si="117"/>
        <v>3.5265504661532221E-2</v>
      </c>
      <c r="BC286" s="4">
        <f t="shared" si="118"/>
        <v>7.9145231499799795E-4</v>
      </c>
      <c r="BD286" s="4">
        <f t="shared" si="119"/>
        <v>1.0124610591900285E-2</v>
      </c>
      <c r="BE286" s="4">
        <f t="shared" si="120"/>
        <v>2.1596606247589634E-2</v>
      </c>
      <c r="BF286" s="4">
        <f t="shared" si="121"/>
        <v>1.7188693659281995E-2</v>
      </c>
      <c r="BG286" s="4">
        <f t="shared" si="122"/>
        <v>3.7870266216722959E-2</v>
      </c>
      <c r="BH286" s="4">
        <f t="shared" si="123"/>
        <v>1.7972681524083267E-3</v>
      </c>
      <c r="BI286" s="4">
        <f t="shared" si="124"/>
        <v>8.2882882882883147E-3</v>
      </c>
      <c r="BJ286" s="4">
        <f t="shared" si="125"/>
        <v>4.0087463556851555E-3</v>
      </c>
      <c r="BK286" s="4">
        <f t="shared" si="126"/>
        <v>2.1556448666423145E-2</v>
      </c>
      <c r="BL286" s="4">
        <f t="shared" si="127"/>
        <v>4.0876997398736625E-3</v>
      </c>
      <c r="BM286" s="4">
        <f t="shared" si="132"/>
        <v>1.6974226984071066E-2</v>
      </c>
      <c r="BN286" s="9">
        <f t="shared" si="133"/>
        <v>13683.388224070677</v>
      </c>
      <c r="BO286" s="10">
        <f t="shared" si="134"/>
        <v>13098.818425437254</v>
      </c>
      <c r="BP286">
        <v>13840</v>
      </c>
      <c r="BQ286">
        <v>13840</v>
      </c>
      <c r="BR286">
        <v>13835</v>
      </c>
      <c r="BS286">
        <v>13840</v>
      </c>
      <c r="BT286">
        <v>4772</v>
      </c>
      <c r="BU286" s="13">
        <f t="shared" si="128"/>
        <v>13838.333333333334</v>
      </c>
      <c r="BV286" s="13">
        <f t="shared" si="129"/>
        <v>66036526.666666672</v>
      </c>
      <c r="BW286" s="13">
        <f>SUM($BV$3:BV286)</f>
        <v>211973684133.33334</v>
      </c>
      <c r="BX286" s="13">
        <f>SUM($BT$3:BT286)</f>
        <v>15466702</v>
      </c>
      <c r="BY286" s="3">
        <f t="shared" si="130"/>
        <v>13705.163785617215</v>
      </c>
    </row>
    <row r="287" spans="1:77" x14ac:dyDescent="0.3">
      <c r="A287" s="3" t="s">
        <v>327</v>
      </c>
      <c r="B287" s="3">
        <v>11660</v>
      </c>
      <c r="C287" s="3">
        <v>11660</v>
      </c>
      <c r="D287" s="3">
        <v>11565</v>
      </c>
      <c r="E287" s="3">
        <v>11560</v>
      </c>
      <c r="F287" s="3">
        <v>11520</v>
      </c>
      <c r="G287" s="3">
        <v>11530</v>
      </c>
      <c r="H287" s="3">
        <v>11480</v>
      </c>
      <c r="I287" s="3">
        <v>11480</v>
      </c>
      <c r="J287" s="3">
        <v>11885</v>
      </c>
      <c r="K287" s="3">
        <v>11880</v>
      </c>
      <c r="L287" s="3">
        <v>12030</v>
      </c>
      <c r="M287" s="3">
        <v>12015</v>
      </c>
      <c r="N287" s="3">
        <v>12605</v>
      </c>
      <c r="O287" s="3">
        <v>12610</v>
      </c>
      <c r="P287" s="3">
        <v>12465</v>
      </c>
      <c r="Q287" s="3">
        <v>12465</v>
      </c>
      <c r="R287" s="3">
        <v>12505</v>
      </c>
      <c r="S287" s="3">
        <v>12505</v>
      </c>
      <c r="T287" s="3">
        <v>12215</v>
      </c>
      <c r="U287" s="3">
        <v>12215</v>
      </c>
      <c r="V287" s="3">
        <v>12770</v>
      </c>
      <c r="W287" s="3">
        <v>12760</v>
      </c>
      <c r="X287" s="3">
        <v>12630</v>
      </c>
      <c r="Y287" s="3">
        <v>12625</v>
      </c>
      <c r="Z287" s="3">
        <v>12710</v>
      </c>
      <c r="AA287" s="3">
        <v>12705</v>
      </c>
      <c r="AB287" s="3">
        <v>13240</v>
      </c>
      <c r="AC287" s="3">
        <v>13225</v>
      </c>
      <c r="AD287" s="3">
        <v>13315</v>
      </c>
      <c r="AE287" s="3">
        <v>13320</v>
      </c>
      <c r="AF287" s="3">
        <v>13840</v>
      </c>
      <c r="AG287" s="3">
        <v>13840</v>
      </c>
      <c r="AH287" s="3">
        <v>13935</v>
      </c>
      <c r="AI287" s="3">
        <v>13950</v>
      </c>
      <c r="AJ287" s="3">
        <v>13760</v>
      </c>
      <c r="AK287" s="3">
        <v>13765</v>
      </c>
      <c r="AL287" s="3">
        <v>13660</v>
      </c>
      <c r="AM287" s="3">
        <v>13670</v>
      </c>
      <c r="AN287" s="3">
        <v>13395</v>
      </c>
      <c r="AO287" s="3">
        <v>13405</v>
      </c>
      <c r="AP287" s="3">
        <v>13400</v>
      </c>
      <c r="AQ287" s="3">
        <v>13405</v>
      </c>
      <c r="AR287" s="4">
        <f t="shared" si="131"/>
        <v>1.1274934952298254E-2</v>
      </c>
      <c r="AS287" s="4">
        <f t="shared" si="108"/>
        <v>8.658008658009031E-4</v>
      </c>
      <c r="AT287" s="4">
        <f t="shared" si="109"/>
        <v>1.4964788732394263E-2</v>
      </c>
      <c r="AU287" s="4">
        <f t="shared" si="110"/>
        <v>2.5466893039049254E-2</v>
      </c>
      <c r="AV287" s="4">
        <f t="shared" si="111"/>
        <v>1.6253207869974418E-2</v>
      </c>
      <c r="AW287" s="4">
        <f t="shared" si="112"/>
        <v>1.3069139966273235E-2</v>
      </c>
      <c r="AX287" s="4">
        <f t="shared" si="113"/>
        <v>4.0858439950474557E-2</v>
      </c>
      <c r="AY287" s="4">
        <f t="shared" si="114"/>
        <v>2.4647887323943629E-2</v>
      </c>
      <c r="AZ287" s="4">
        <f t="shared" si="115"/>
        <v>3.1885213232363263E-3</v>
      </c>
      <c r="BA287" s="4">
        <f t="shared" si="116"/>
        <v>1.2929292929292902E-2</v>
      </c>
      <c r="BB287" s="4">
        <f t="shared" si="117"/>
        <v>3.4454803404945222E-2</v>
      </c>
      <c r="BC287" s="4">
        <f t="shared" si="118"/>
        <v>7.9145231499799795E-4</v>
      </c>
      <c r="BD287" s="4">
        <f t="shared" si="119"/>
        <v>1.0514018691588745E-2</v>
      </c>
      <c r="BE287" s="4">
        <f t="shared" si="120"/>
        <v>2.0053991515619041E-2</v>
      </c>
      <c r="BF287" s="4">
        <f t="shared" si="121"/>
        <v>1.7570664629488197E-2</v>
      </c>
      <c r="BG287" s="4">
        <f t="shared" si="122"/>
        <v>3.7870266216722959E-2</v>
      </c>
      <c r="BH287" s="4">
        <f t="shared" si="123"/>
        <v>2.8756290438534116E-3</v>
      </c>
      <c r="BI287" s="4">
        <f t="shared" si="124"/>
        <v>7.927927927927958E-3</v>
      </c>
      <c r="BJ287" s="4">
        <f t="shared" si="125"/>
        <v>3.6443148688046767E-3</v>
      </c>
      <c r="BK287" s="4">
        <f t="shared" si="126"/>
        <v>2.0460358056266004E-2</v>
      </c>
      <c r="BL287" s="4">
        <f t="shared" si="127"/>
        <v>3.7160906726123599E-3</v>
      </c>
      <c r="BM287" s="4">
        <f t="shared" si="132"/>
        <v>1.6830635896934194E-2</v>
      </c>
      <c r="BN287" s="9">
        <f t="shared" si="133"/>
        <v>13681.456205993249</v>
      </c>
      <c r="BO287" s="10">
        <f t="shared" si="134"/>
        <v>13100.731776673352</v>
      </c>
      <c r="BP287">
        <v>13840</v>
      </c>
      <c r="BQ287">
        <v>13840</v>
      </c>
      <c r="BR287">
        <v>13835</v>
      </c>
      <c r="BS287">
        <v>13840</v>
      </c>
      <c r="BT287">
        <v>15274</v>
      </c>
      <c r="BU287" s="13">
        <f t="shared" si="128"/>
        <v>13838.333333333334</v>
      </c>
      <c r="BV287" s="13">
        <f t="shared" si="129"/>
        <v>211366703.33333334</v>
      </c>
      <c r="BW287" s="13">
        <f>SUM($BV$3:BV287)</f>
        <v>212185050836.66669</v>
      </c>
      <c r="BX287" s="13">
        <f>SUM($BT$3:BT287)</f>
        <v>15481976</v>
      </c>
      <c r="BY287" s="3">
        <f t="shared" si="130"/>
        <v>13705.295166241485</v>
      </c>
    </row>
    <row r="288" spans="1:77" x14ac:dyDescent="0.3">
      <c r="A288" s="3" t="s">
        <v>328</v>
      </c>
      <c r="B288" s="3">
        <v>11655</v>
      </c>
      <c r="C288" s="3">
        <v>11660</v>
      </c>
      <c r="D288" s="3">
        <v>11560</v>
      </c>
      <c r="E288" s="3">
        <v>11565</v>
      </c>
      <c r="F288" s="3">
        <v>11530</v>
      </c>
      <c r="G288" s="3">
        <v>11545</v>
      </c>
      <c r="H288" s="3">
        <v>11485</v>
      </c>
      <c r="I288" s="3">
        <v>11500</v>
      </c>
      <c r="J288" s="3">
        <v>11880</v>
      </c>
      <c r="K288" s="3">
        <v>11880</v>
      </c>
      <c r="L288" s="3">
        <v>12020</v>
      </c>
      <c r="M288" s="3">
        <v>12005</v>
      </c>
      <c r="N288" s="3">
        <v>12605</v>
      </c>
      <c r="O288" s="3">
        <v>12600</v>
      </c>
      <c r="P288" s="3">
        <v>12465</v>
      </c>
      <c r="Q288" s="3">
        <v>12525</v>
      </c>
      <c r="R288" s="3">
        <v>12505</v>
      </c>
      <c r="S288" s="3">
        <v>12515</v>
      </c>
      <c r="T288" s="3">
        <v>12220</v>
      </c>
      <c r="U288" s="3">
        <v>12210</v>
      </c>
      <c r="V288" s="3">
        <v>12760</v>
      </c>
      <c r="W288" s="3">
        <v>12740</v>
      </c>
      <c r="X288" s="3">
        <v>12630</v>
      </c>
      <c r="Y288" s="3">
        <v>12630</v>
      </c>
      <c r="Z288" s="3">
        <v>12705</v>
      </c>
      <c r="AA288" s="3">
        <v>12710</v>
      </c>
      <c r="AB288" s="3">
        <v>13225</v>
      </c>
      <c r="AC288" s="3">
        <v>13200</v>
      </c>
      <c r="AD288" s="3">
        <v>13325</v>
      </c>
      <c r="AE288" s="3">
        <v>13325</v>
      </c>
      <c r="AF288" s="3">
        <v>13835</v>
      </c>
      <c r="AG288" s="3">
        <v>13845</v>
      </c>
      <c r="AH288" s="3">
        <v>13945</v>
      </c>
      <c r="AI288" s="3">
        <v>13925</v>
      </c>
      <c r="AJ288" s="3">
        <v>13770</v>
      </c>
      <c r="AK288" s="3">
        <v>13770</v>
      </c>
      <c r="AL288" s="3">
        <v>13670</v>
      </c>
      <c r="AM288" s="3">
        <v>13675</v>
      </c>
      <c r="AN288" s="3">
        <v>13400</v>
      </c>
      <c r="AO288" s="3">
        <v>13400</v>
      </c>
      <c r="AP288" s="3">
        <v>13405</v>
      </c>
      <c r="AQ288" s="3">
        <v>13420</v>
      </c>
      <c r="AR288" s="4">
        <f t="shared" si="131"/>
        <v>1.1274934952298254E-2</v>
      </c>
      <c r="AS288" s="4">
        <f t="shared" si="108"/>
        <v>1.2987012987013546E-3</v>
      </c>
      <c r="AT288" s="4">
        <f t="shared" si="109"/>
        <v>1.6285211267605737E-2</v>
      </c>
      <c r="AU288" s="4">
        <f t="shared" si="110"/>
        <v>2.3769100169779289E-2</v>
      </c>
      <c r="AV288" s="4">
        <f t="shared" si="111"/>
        <v>1.6253207869974418E-2</v>
      </c>
      <c r="AW288" s="4">
        <f t="shared" si="112"/>
        <v>1.2225969645868418E-2</v>
      </c>
      <c r="AX288" s="4">
        <f t="shared" si="113"/>
        <v>4.0033016921172004E-2</v>
      </c>
      <c r="AY288" s="4">
        <f t="shared" si="114"/>
        <v>1.9953051643192499E-2</v>
      </c>
      <c r="AZ288" s="4">
        <f t="shared" si="115"/>
        <v>2.3913909924272447E-3</v>
      </c>
      <c r="BA288" s="4">
        <f t="shared" si="116"/>
        <v>1.3333333333333308E-2</v>
      </c>
      <c r="BB288" s="4">
        <f t="shared" si="117"/>
        <v>3.2833400891771447E-2</v>
      </c>
      <c r="BC288" s="4">
        <f t="shared" si="118"/>
        <v>3.9572615749905449E-4</v>
      </c>
      <c r="BD288" s="4">
        <f t="shared" si="119"/>
        <v>1.0124610591900285E-2</v>
      </c>
      <c r="BE288" s="4">
        <f t="shared" si="120"/>
        <v>1.8125723100655522E-2</v>
      </c>
      <c r="BF288" s="4">
        <f t="shared" si="121"/>
        <v>1.79526355996944E-2</v>
      </c>
      <c r="BG288" s="4">
        <f t="shared" si="122"/>
        <v>3.8245219347581516E-2</v>
      </c>
      <c r="BH288" s="4">
        <f t="shared" si="123"/>
        <v>1.0783608914450848E-3</v>
      </c>
      <c r="BI288" s="4">
        <f t="shared" si="124"/>
        <v>7.5675675675676013E-3</v>
      </c>
      <c r="BJ288" s="4">
        <f t="shared" si="125"/>
        <v>3.2798833819241979E-3</v>
      </c>
      <c r="BK288" s="4">
        <f t="shared" si="126"/>
        <v>2.0825721592985014E-2</v>
      </c>
      <c r="BL288" s="4">
        <f t="shared" si="127"/>
        <v>2.6012634708286742E-3</v>
      </c>
      <c r="BM288" s="4">
        <f t="shared" si="132"/>
        <v>1.606964853454107E-2</v>
      </c>
      <c r="BN288" s="9">
        <f t="shared" si="133"/>
        <v>13671.21712103225</v>
      </c>
      <c r="BO288" s="10">
        <f t="shared" si="134"/>
        <v>13110.87193327724</v>
      </c>
      <c r="BP288">
        <v>13835</v>
      </c>
      <c r="BQ288">
        <v>13850</v>
      </c>
      <c r="BR288">
        <v>13835</v>
      </c>
      <c r="BS288">
        <v>13845</v>
      </c>
      <c r="BT288">
        <v>9115</v>
      </c>
      <c r="BU288" s="13">
        <f t="shared" si="128"/>
        <v>13843.333333333334</v>
      </c>
      <c r="BV288" s="13">
        <f t="shared" si="129"/>
        <v>126181983.33333334</v>
      </c>
      <c r="BW288" s="13">
        <f>SUM($BV$3:BV288)</f>
        <v>212311232820.00003</v>
      </c>
      <c r="BX288" s="13">
        <f>SUM($BT$3:BT288)</f>
        <v>15491091</v>
      </c>
      <c r="BY288" s="3">
        <f t="shared" si="130"/>
        <v>13705.376388273753</v>
      </c>
    </row>
    <row r="289" spans="1:77" x14ac:dyDescent="0.3">
      <c r="A289" s="3" t="s">
        <v>329</v>
      </c>
      <c r="B289" s="3">
        <v>11655</v>
      </c>
      <c r="C289" s="3">
        <v>11650</v>
      </c>
      <c r="D289" s="3">
        <v>11570</v>
      </c>
      <c r="E289" s="3">
        <v>11560</v>
      </c>
      <c r="F289" s="3">
        <v>11550</v>
      </c>
      <c r="G289" s="3">
        <v>11555</v>
      </c>
      <c r="H289" s="3">
        <v>11500</v>
      </c>
      <c r="I289" s="3">
        <v>11495</v>
      </c>
      <c r="J289" s="3">
        <v>11885</v>
      </c>
      <c r="K289" s="3">
        <v>11870</v>
      </c>
      <c r="L289" s="3">
        <v>12010</v>
      </c>
      <c r="M289" s="3">
        <v>12020</v>
      </c>
      <c r="N289" s="3">
        <v>12605</v>
      </c>
      <c r="O289" s="3">
        <v>12615</v>
      </c>
      <c r="P289" s="3">
        <v>12525</v>
      </c>
      <c r="Q289" s="3">
        <v>12480</v>
      </c>
      <c r="R289" s="3">
        <v>12510</v>
      </c>
      <c r="S289" s="3">
        <v>12515</v>
      </c>
      <c r="T289" s="3">
        <v>12205</v>
      </c>
      <c r="U289" s="3">
        <v>12160</v>
      </c>
      <c r="V289" s="3">
        <v>12745</v>
      </c>
      <c r="W289" s="3">
        <v>12745</v>
      </c>
      <c r="X289" s="3">
        <v>12630</v>
      </c>
      <c r="Y289" s="3">
        <v>12625</v>
      </c>
      <c r="Z289" s="3">
        <v>12705</v>
      </c>
      <c r="AA289" s="3">
        <v>12710</v>
      </c>
      <c r="AB289" s="3">
        <v>13200</v>
      </c>
      <c r="AC289" s="3">
        <v>13225</v>
      </c>
      <c r="AD289" s="3">
        <v>13325</v>
      </c>
      <c r="AE289" s="3">
        <v>13315</v>
      </c>
      <c r="AF289" s="3">
        <v>13845</v>
      </c>
      <c r="AG289" s="3">
        <v>13845</v>
      </c>
      <c r="AH289" s="3">
        <v>13925</v>
      </c>
      <c r="AI289" s="3">
        <v>13895</v>
      </c>
      <c r="AJ289" s="3">
        <v>13770</v>
      </c>
      <c r="AK289" s="3">
        <v>13765</v>
      </c>
      <c r="AL289" s="3">
        <v>13675</v>
      </c>
      <c r="AM289" s="3">
        <v>13675</v>
      </c>
      <c r="AN289" s="3">
        <v>13400</v>
      </c>
      <c r="AO289" s="3">
        <v>13395</v>
      </c>
      <c r="AP289" s="3">
        <v>13420</v>
      </c>
      <c r="AQ289" s="3">
        <v>13420</v>
      </c>
      <c r="AR289" s="4">
        <f t="shared" si="131"/>
        <v>1.0407632263659927E-2</v>
      </c>
      <c r="AS289" s="4">
        <f t="shared" si="108"/>
        <v>8.658008658009031E-4</v>
      </c>
      <c r="AT289" s="4">
        <f t="shared" si="109"/>
        <v>1.7165492957746498E-2</v>
      </c>
      <c r="AU289" s="4">
        <f t="shared" si="110"/>
        <v>2.4193548387096753E-2</v>
      </c>
      <c r="AV289" s="4">
        <f t="shared" si="111"/>
        <v>1.5397775876817787E-2</v>
      </c>
      <c r="AW289" s="4">
        <f t="shared" si="112"/>
        <v>1.3490725126475533E-2</v>
      </c>
      <c r="AX289" s="4">
        <f t="shared" si="113"/>
        <v>4.1271151465125833E-2</v>
      </c>
      <c r="AY289" s="4">
        <f t="shared" si="114"/>
        <v>2.3474178403755874E-2</v>
      </c>
      <c r="AZ289" s="4">
        <f t="shared" si="115"/>
        <v>2.3913909924272447E-3</v>
      </c>
      <c r="BA289" s="4">
        <f t="shared" si="116"/>
        <v>1.7373737373737375E-2</v>
      </c>
      <c r="BB289" s="4">
        <f t="shared" si="117"/>
        <v>3.3238751520064946E-2</v>
      </c>
      <c r="BC289" s="4">
        <f t="shared" si="118"/>
        <v>7.9145231499799795E-4</v>
      </c>
      <c r="BD289" s="4">
        <f t="shared" si="119"/>
        <v>1.0124610591900285E-2</v>
      </c>
      <c r="BE289" s="4">
        <f t="shared" si="120"/>
        <v>2.0053991515619041E-2</v>
      </c>
      <c r="BF289" s="4">
        <f t="shared" si="121"/>
        <v>1.7188693659281995E-2</v>
      </c>
      <c r="BG289" s="4">
        <f t="shared" si="122"/>
        <v>3.8245219347581516E-2</v>
      </c>
      <c r="BH289" s="4">
        <f t="shared" si="123"/>
        <v>1.0783608914449738E-3</v>
      </c>
      <c r="BI289" s="4">
        <f t="shared" si="124"/>
        <v>7.927927927927958E-3</v>
      </c>
      <c r="BJ289" s="4">
        <f t="shared" si="125"/>
        <v>3.2798833819241979E-3</v>
      </c>
      <c r="BK289" s="4">
        <f t="shared" si="126"/>
        <v>2.1191085129704024E-2</v>
      </c>
      <c r="BL289" s="4">
        <f t="shared" si="127"/>
        <v>2.6012634708286742E-3</v>
      </c>
      <c r="BM289" s="4">
        <f t="shared" si="132"/>
        <v>1.6930092932203433E-2</v>
      </c>
      <c r="BN289" s="9">
        <f t="shared" si="133"/>
        <v>13682.794400402796</v>
      </c>
      <c r="BO289" s="10">
        <f t="shared" si="134"/>
        <v>13099.40651167839</v>
      </c>
      <c r="BP289">
        <v>13845</v>
      </c>
      <c r="BQ289">
        <v>13845</v>
      </c>
      <c r="BR289">
        <v>13835</v>
      </c>
      <c r="BS289">
        <v>13845</v>
      </c>
      <c r="BT289">
        <v>19016</v>
      </c>
      <c r="BU289" s="13">
        <f t="shared" si="128"/>
        <v>13841.666666666666</v>
      </c>
      <c r="BV289" s="13">
        <f t="shared" si="129"/>
        <v>263213133.33333331</v>
      </c>
      <c r="BW289" s="13">
        <f>SUM($BV$3:BV289)</f>
        <v>212574445953.33337</v>
      </c>
      <c r="BX289" s="13">
        <f>SUM($BT$3:BT289)</f>
        <v>15510107</v>
      </c>
      <c r="BY289" s="3">
        <f t="shared" si="130"/>
        <v>13705.543485504862</v>
      </c>
    </row>
    <row r="290" spans="1:77" x14ac:dyDescent="0.3">
      <c r="A290" s="3" t="s">
        <v>330</v>
      </c>
      <c r="B290" s="3">
        <v>11650</v>
      </c>
      <c r="C290" s="3">
        <v>11655</v>
      </c>
      <c r="D290" s="3">
        <v>11565</v>
      </c>
      <c r="E290" s="3">
        <v>11560</v>
      </c>
      <c r="F290" s="3">
        <v>11555</v>
      </c>
      <c r="G290" s="3">
        <v>11535</v>
      </c>
      <c r="H290" s="3">
        <v>11495</v>
      </c>
      <c r="I290" s="3">
        <v>11500</v>
      </c>
      <c r="J290" s="3">
        <v>11875</v>
      </c>
      <c r="K290" s="3">
        <v>11875</v>
      </c>
      <c r="L290" s="3">
        <v>12020</v>
      </c>
      <c r="M290" s="3">
        <v>12015</v>
      </c>
      <c r="N290" s="3">
        <v>12615</v>
      </c>
      <c r="O290" s="3">
        <v>12620</v>
      </c>
      <c r="P290" s="3">
        <v>12485</v>
      </c>
      <c r="Q290" s="3">
        <v>12480</v>
      </c>
      <c r="R290" s="3">
        <v>12515</v>
      </c>
      <c r="S290" s="3">
        <v>12520</v>
      </c>
      <c r="T290" s="3">
        <v>12160</v>
      </c>
      <c r="U290" s="3">
        <v>12175</v>
      </c>
      <c r="V290" s="3">
        <v>12740</v>
      </c>
      <c r="W290" s="3">
        <v>12740</v>
      </c>
      <c r="X290" s="3">
        <v>12625</v>
      </c>
      <c r="Y290" s="3">
        <v>12630</v>
      </c>
      <c r="Z290" s="3">
        <v>12710</v>
      </c>
      <c r="AA290" s="3">
        <v>12710</v>
      </c>
      <c r="AB290" s="3">
        <v>13220</v>
      </c>
      <c r="AC290" s="3">
        <v>13220</v>
      </c>
      <c r="AD290" s="3">
        <v>13315</v>
      </c>
      <c r="AE290" s="3">
        <v>13315</v>
      </c>
      <c r="AF290" s="3">
        <v>13840</v>
      </c>
      <c r="AG290" s="3">
        <v>13835</v>
      </c>
      <c r="AH290" s="3">
        <v>13895</v>
      </c>
      <c r="AI290" s="3">
        <v>13900</v>
      </c>
      <c r="AJ290" s="3">
        <v>13770</v>
      </c>
      <c r="AK290" s="3">
        <v>13745</v>
      </c>
      <c r="AL290" s="3">
        <v>13675</v>
      </c>
      <c r="AM290" s="3">
        <v>13665</v>
      </c>
      <c r="AN290" s="3">
        <v>13405</v>
      </c>
      <c r="AO290" s="3">
        <v>13405</v>
      </c>
      <c r="AP290" s="3">
        <v>13420</v>
      </c>
      <c r="AQ290" s="3">
        <v>13425</v>
      </c>
      <c r="AR290" s="4">
        <f t="shared" si="131"/>
        <v>1.0841283607979202E-2</v>
      </c>
      <c r="AS290" s="4">
        <f t="shared" si="108"/>
        <v>8.658008658009031E-4</v>
      </c>
      <c r="AT290" s="4">
        <f t="shared" si="109"/>
        <v>1.5404929577464754E-2</v>
      </c>
      <c r="AU290" s="4">
        <f t="shared" si="110"/>
        <v>2.3769100169779289E-2</v>
      </c>
      <c r="AV290" s="4">
        <f t="shared" si="111"/>
        <v>1.5825491873395992E-2</v>
      </c>
      <c r="AW290" s="4">
        <f t="shared" si="112"/>
        <v>1.3069139966273235E-2</v>
      </c>
      <c r="AX290" s="4">
        <f t="shared" si="113"/>
        <v>4.1683862979777109E-2</v>
      </c>
      <c r="AY290" s="4">
        <f t="shared" si="114"/>
        <v>2.3474178403755874E-2</v>
      </c>
      <c r="AZ290" s="4">
        <f t="shared" si="115"/>
        <v>1.9928258270227595E-3</v>
      </c>
      <c r="BA290" s="4">
        <f t="shared" si="116"/>
        <v>1.6161616161616155E-2</v>
      </c>
      <c r="BB290" s="4">
        <f t="shared" si="117"/>
        <v>3.2833400891771447E-2</v>
      </c>
      <c r="BC290" s="4">
        <f t="shared" si="118"/>
        <v>3.9572615749905449E-4</v>
      </c>
      <c r="BD290" s="4">
        <f t="shared" si="119"/>
        <v>1.0124610591900285E-2</v>
      </c>
      <c r="BE290" s="4">
        <f t="shared" si="120"/>
        <v>1.9668337832626337E-2</v>
      </c>
      <c r="BF290" s="4">
        <f t="shared" si="121"/>
        <v>1.7188693659281995E-2</v>
      </c>
      <c r="BG290" s="4">
        <f t="shared" si="122"/>
        <v>3.7495313085864179E-2</v>
      </c>
      <c r="BH290" s="4">
        <f t="shared" si="123"/>
        <v>7.1890726096335289E-4</v>
      </c>
      <c r="BI290" s="4">
        <f t="shared" si="124"/>
        <v>9.3693693693693847E-3</v>
      </c>
      <c r="BJ290" s="4">
        <f t="shared" si="125"/>
        <v>4.0087463556851555E-3</v>
      </c>
      <c r="BK290" s="4">
        <f t="shared" si="126"/>
        <v>2.0460358056266004E-2</v>
      </c>
      <c r="BL290" s="4">
        <f t="shared" si="127"/>
        <v>2.2296544035674826E-3</v>
      </c>
      <c r="BM290" s="4">
        <f t="shared" si="132"/>
        <v>1.6604122496997515E-2</v>
      </c>
      <c r="BN290" s="9">
        <f t="shared" si="133"/>
        <v>13678.408468197102</v>
      </c>
      <c r="BO290" s="10">
        <f t="shared" si="134"/>
        <v>13103.750067727507</v>
      </c>
      <c r="BP290">
        <v>13840</v>
      </c>
      <c r="BQ290">
        <v>13850</v>
      </c>
      <c r="BR290">
        <v>13835</v>
      </c>
      <c r="BS290">
        <v>13835</v>
      </c>
      <c r="BT290">
        <v>21899</v>
      </c>
      <c r="BU290" s="13">
        <f t="shared" si="128"/>
        <v>13840</v>
      </c>
      <c r="BV290" s="13">
        <f t="shared" si="129"/>
        <v>303082160</v>
      </c>
      <c r="BW290" s="13">
        <f>SUM($BV$3:BV290)</f>
        <v>212877528113.33337</v>
      </c>
      <c r="BX290" s="13">
        <f>SUM($BT$3:BT290)</f>
        <v>15532006</v>
      </c>
      <c r="BY290" s="3">
        <f t="shared" si="130"/>
        <v>13705.733059421518</v>
      </c>
    </row>
    <row r="291" spans="1:77" x14ac:dyDescent="0.3">
      <c r="A291" s="3" t="s">
        <v>331</v>
      </c>
      <c r="B291" s="3">
        <v>11655</v>
      </c>
      <c r="C291" s="3">
        <v>11650</v>
      </c>
      <c r="D291" s="3">
        <v>11565</v>
      </c>
      <c r="E291" s="3">
        <v>11560</v>
      </c>
      <c r="F291" s="3">
        <v>11535</v>
      </c>
      <c r="G291" s="3">
        <v>11535</v>
      </c>
      <c r="H291" s="3">
        <v>11500</v>
      </c>
      <c r="I291" s="3">
        <v>11495</v>
      </c>
      <c r="J291" s="3">
        <v>11880</v>
      </c>
      <c r="K291" s="3">
        <v>11885</v>
      </c>
      <c r="L291" s="3">
        <v>12015</v>
      </c>
      <c r="M291" s="3">
        <v>12010</v>
      </c>
      <c r="N291" s="3">
        <v>12620</v>
      </c>
      <c r="O291" s="3">
        <v>12620</v>
      </c>
      <c r="P291" s="3">
        <v>12485</v>
      </c>
      <c r="Q291" s="3">
        <v>12465</v>
      </c>
      <c r="R291" s="3">
        <v>12525</v>
      </c>
      <c r="S291" s="3">
        <v>12525</v>
      </c>
      <c r="T291" s="3">
        <v>12175</v>
      </c>
      <c r="U291" s="3">
        <v>12175</v>
      </c>
      <c r="V291" s="3">
        <v>12740</v>
      </c>
      <c r="W291" s="3">
        <v>12735</v>
      </c>
      <c r="X291" s="3">
        <v>12630</v>
      </c>
      <c r="Y291" s="3">
        <v>12640</v>
      </c>
      <c r="Z291" s="3">
        <v>12715</v>
      </c>
      <c r="AA291" s="3">
        <v>12715</v>
      </c>
      <c r="AB291" s="3">
        <v>13220</v>
      </c>
      <c r="AC291" s="3">
        <v>13230</v>
      </c>
      <c r="AD291" s="3">
        <v>13310</v>
      </c>
      <c r="AE291" s="3">
        <v>13310</v>
      </c>
      <c r="AF291" s="3">
        <v>13840</v>
      </c>
      <c r="AG291" s="3">
        <v>13835</v>
      </c>
      <c r="AH291" s="3">
        <v>13900</v>
      </c>
      <c r="AI291" s="3">
        <v>13895</v>
      </c>
      <c r="AJ291" s="3">
        <v>13750</v>
      </c>
      <c r="AK291" s="3">
        <v>13745</v>
      </c>
      <c r="AL291" s="3">
        <v>13665</v>
      </c>
      <c r="AM291" s="3">
        <v>13665</v>
      </c>
      <c r="AN291" s="3">
        <v>13400</v>
      </c>
      <c r="AO291" s="3">
        <v>13405</v>
      </c>
      <c r="AP291" s="3">
        <v>13425</v>
      </c>
      <c r="AQ291" s="3">
        <v>13440</v>
      </c>
      <c r="AR291" s="4">
        <f t="shared" si="131"/>
        <v>1.0407632263659927E-2</v>
      </c>
      <c r="AS291" s="4">
        <f t="shared" si="108"/>
        <v>8.658008658009031E-4</v>
      </c>
      <c r="AT291" s="4">
        <f t="shared" si="109"/>
        <v>1.5404929577464754E-2</v>
      </c>
      <c r="AU291" s="4">
        <f t="shared" si="110"/>
        <v>2.4193548387096753E-2</v>
      </c>
      <c r="AV291" s="4">
        <f t="shared" si="111"/>
        <v>1.6680923866552622E-2</v>
      </c>
      <c r="AW291" s="4">
        <f t="shared" si="112"/>
        <v>1.2647554806070715E-2</v>
      </c>
      <c r="AX291" s="4">
        <f t="shared" si="113"/>
        <v>4.1683862979777109E-2</v>
      </c>
      <c r="AY291" s="4">
        <f t="shared" si="114"/>
        <v>2.4647887323943629E-2</v>
      </c>
      <c r="AZ291" s="4">
        <f t="shared" si="115"/>
        <v>1.5942606616181632E-3</v>
      </c>
      <c r="BA291" s="4">
        <f t="shared" si="116"/>
        <v>1.6161616161616155E-2</v>
      </c>
      <c r="BB291" s="4">
        <f t="shared" si="117"/>
        <v>3.2428050263477948E-2</v>
      </c>
      <c r="BC291" s="4">
        <f t="shared" si="118"/>
        <v>3.9572615749894346E-4</v>
      </c>
      <c r="BD291" s="4">
        <f t="shared" si="119"/>
        <v>9.7352024922118252E-3</v>
      </c>
      <c r="BE291" s="4">
        <f t="shared" si="120"/>
        <v>2.0439645198611744E-2</v>
      </c>
      <c r="BF291" s="4">
        <f t="shared" si="121"/>
        <v>1.6806722689075571E-2</v>
      </c>
      <c r="BG291" s="4">
        <f t="shared" si="122"/>
        <v>3.7495313085864179E-2</v>
      </c>
      <c r="BH291" s="4">
        <f t="shared" si="123"/>
        <v>1.0783608914449738E-3</v>
      </c>
      <c r="BI291" s="4">
        <f t="shared" si="124"/>
        <v>9.3693693693693847E-3</v>
      </c>
      <c r="BJ291" s="4">
        <f t="shared" si="125"/>
        <v>4.0087463556851555E-3</v>
      </c>
      <c r="BK291" s="4">
        <f t="shared" si="126"/>
        <v>2.0460358056266004E-2</v>
      </c>
      <c r="BL291" s="4">
        <f t="shared" si="127"/>
        <v>1.1148272017836858E-3</v>
      </c>
      <c r="BM291" s="4">
        <f t="shared" si="132"/>
        <v>1.669183795934406E-2</v>
      </c>
      <c r="BN291" s="9">
        <f t="shared" si="133"/>
        <v>13679.588679742976</v>
      </c>
      <c r="BO291" s="10">
        <f t="shared" si="134"/>
        <v>13102.58125919174</v>
      </c>
      <c r="BP291">
        <v>13840</v>
      </c>
      <c r="BQ291">
        <v>13845</v>
      </c>
      <c r="BR291">
        <v>13835</v>
      </c>
      <c r="BS291">
        <v>13835</v>
      </c>
      <c r="BT291">
        <v>5863</v>
      </c>
      <c r="BU291" s="13">
        <f t="shared" si="128"/>
        <v>13838.333333333334</v>
      </c>
      <c r="BV291" s="13">
        <f t="shared" si="129"/>
        <v>81134148.333333343</v>
      </c>
      <c r="BW291" s="13">
        <f>SUM($BV$3:BV291)</f>
        <v>212958662261.66672</v>
      </c>
      <c r="BX291" s="13">
        <f>SUM($BT$3:BT291)</f>
        <v>15537869</v>
      </c>
      <c r="BY291" s="3">
        <f t="shared" si="130"/>
        <v>13705.783094301201</v>
      </c>
    </row>
    <row r="292" spans="1:77" x14ac:dyDescent="0.3">
      <c r="A292" s="3" t="s">
        <v>332</v>
      </c>
      <c r="B292" s="3">
        <v>11650</v>
      </c>
      <c r="C292" s="3">
        <v>11655</v>
      </c>
      <c r="D292" s="3">
        <v>11560</v>
      </c>
      <c r="E292" s="3">
        <v>11555</v>
      </c>
      <c r="F292" s="3">
        <v>11540</v>
      </c>
      <c r="G292" s="3">
        <v>11535</v>
      </c>
      <c r="H292" s="3">
        <v>11495</v>
      </c>
      <c r="I292" s="3">
        <v>11490</v>
      </c>
      <c r="J292" s="3">
        <v>11885</v>
      </c>
      <c r="K292" s="3">
        <v>11880</v>
      </c>
      <c r="L292" s="3">
        <v>12010</v>
      </c>
      <c r="M292" s="3">
        <v>12015</v>
      </c>
      <c r="N292" s="3">
        <v>12615</v>
      </c>
      <c r="O292" s="3">
        <v>12620</v>
      </c>
      <c r="P292" s="3">
        <v>12465</v>
      </c>
      <c r="Q292" s="3">
        <v>12445</v>
      </c>
      <c r="R292" s="3">
        <v>12525</v>
      </c>
      <c r="S292" s="3">
        <v>12530</v>
      </c>
      <c r="T292" s="3">
        <v>12175</v>
      </c>
      <c r="U292" s="3">
        <v>12175</v>
      </c>
      <c r="V292" s="3">
        <v>12735</v>
      </c>
      <c r="W292" s="3">
        <v>12740</v>
      </c>
      <c r="X292" s="3">
        <v>12630</v>
      </c>
      <c r="Y292" s="3">
        <v>12640</v>
      </c>
      <c r="Z292" s="3">
        <v>12715</v>
      </c>
      <c r="AA292" s="3">
        <v>12720</v>
      </c>
      <c r="AB292" s="3">
        <v>13230</v>
      </c>
      <c r="AC292" s="3">
        <v>13225</v>
      </c>
      <c r="AD292" s="3">
        <v>13310</v>
      </c>
      <c r="AE292" s="3">
        <v>13310</v>
      </c>
      <c r="AF292" s="3">
        <v>13835</v>
      </c>
      <c r="AG292" s="3">
        <v>13845</v>
      </c>
      <c r="AH292" s="3">
        <v>13895</v>
      </c>
      <c r="AI292" s="3">
        <v>13885</v>
      </c>
      <c r="AJ292" s="3">
        <v>13750</v>
      </c>
      <c r="AK292" s="3">
        <v>13740</v>
      </c>
      <c r="AL292" s="3">
        <v>13665</v>
      </c>
      <c r="AM292" s="3">
        <v>13665</v>
      </c>
      <c r="AN292" s="3">
        <v>13400</v>
      </c>
      <c r="AO292" s="3">
        <v>13395</v>
      </c>
      <c r="AP292" s="3">
        <v>13435</v>
      </c>
      <c r="AQ292" s="3">
        <v>13435</v>
      </c>
      <c r="AR292" s="4">
        <f t="shared" si="131"/>
        <v>1.0841283607979202E-2</v>
      </c>
      <c r="AS292" s="4">
        <f t="shared" si="108"/>
        <v>4.3290043290045155E-4</v>
      </c>
      <c r="AT292" s="4">
        <f t="shared" si="109"/>
        <v>1.5404929577464754E-2</v>
      </c>
      <c r="AU292" s="4">
        <f t="shared" si="110"/>
        <v>2.4617996604414216E-2</v>
      </c>
      <c r="AV292" s="4">
        <f t="shared" si="111"/>
        <v>1.6253207869974418E-2</v>
      </c>
      <c r="AW292" s="4">
        <f t="shared" si="112"/>
        <v>1.3069139966273235E-2</v>
      </c>
      <c r="AX292" s="4">
        <f t="shared" si="113"/>
        <v>4.1683862979777109E-2</v>
      </c>
      <c r="AY292" s="4">
        <f t="shared" si="114"/>
        <v>2.621283255086071E-2</v>
      </c>
      <c r="AZ292" s="4">
        <f t="shared" si="115"/>
        <v>1.1956954962136779E-3</v>
      </c>
      <c r="BA292" s="4">
        <f t="shared" si="116"/>
        <v>1.6161616161616155E-2</v>
      </c>
      <c r="BB292" s="4">
        <f t="shared" si="117"/>
        <v>3.2833400891771447E-2</v>
      </c>
      <c r="BC292" s="4">
        <f t="shared" si="118"/>
        <v>3.9572615749894346E-4</v>
      </c>
      <c r="BD292" s="4">
        <f t="shared" si="119"/>
        <v>9.3457943925233655E-3</v>
      </c>
      <c r="BE292" s="4">
        <f t="shared" si="120"/>
        <v>2.0053991515619041E-2</v>
      </c>
      <c r="BF292" s="4">
        <f t="shared" si="121"/>
        <v>1.6806722689075571E-2</v>
      </c>
      <c r="BG292" s="4">
        <f t="shared" si="122"/>
        <v>3.8245219347581516E-2</v>
      </c>
      <c r="BH292" s="4">
        <f t="shared" si="123"/>
        <v>1.7972681524083267E-3</v>
      </c>
      <c r="BI292" s="4">
        <f t="shared" si="124"/>
        <v>9.7297297297297414E-3</v>
      </c>
      <c r="BJ292" s="4">
        <f t="shared" si="125"/>
        <v>4.0087463556851555E-3</v>
      </c>
      <c r="BK292" s="4">
        <f t="shared" si="126"/>
        <v>2.1191085129704024E-2</v>
      </c>
      <c r="BL292" s="4">
        <f t="shared" si="127"/>
        <v>1.4864362690449884E-3</v>
      </c>
      <c r="BM292" s="4">
        <f t="shared" si="132"/>
        <v>1.6747701234713079E-2</v>
      </c>
      <c r="BN292" s="9">
        <f t="shared" si="133"/>
        <v>13680.340320113064</v>
      </c>
      <c r="BO292" s="10">
        <f t="shared" si="134"/>
        <v>13101.836881047449</v>
      </c>
      <c r="BP292">
        <v>13835</v>
      </c>
      <c r="BQ292">
        <v>13845</v>
      </c>
      <c r="BR292">
        <v>13835</v>
      </c>
      <c r="BS292">
        <v>13845</v>
      </c>
      <c r="BT292">
        <v>2431</v>
      </c>
      <c r="BU292" s="13">
        <f t="shared" si="128"/>
        <v>13841.666666666666</v>
      </c>
      <c r="BV292" s="13">
        <f t="shared" si="129"/>
        <v>33649091.666666664</v>
      </c>
      <c r="BW292" s="13">
        <f>SUM($BV$3:BV292)</f>
        <v>212992311353.33337</v>
      </c>
      <c r="BX292" s="13">
        <f>SUM($BT$3:BT292)</f>
        <v>15540300</v>
      </c>
      <c r="BY292" s="3">
        <f t="shared" si="130"/>
        <v>13705.80435083836</v>
      </c>
    </row>
    <row r="293" spans="1:77" x14ac:dyDescent="0.3">
      <c r="A293" s="3" t="s">
        <v>333</v>
      </c>
      <c r="B293" s="3">
        <v>11650</v>
      </c>
      <c r="C293" s="3">
        <v>11655</v>
      </c>
      <c r="D293" s="3">
        <v>11555</v>
      </c>
      <c r="E293" s="3">
        <v>11550</v>
      </c>
      <c r="F293" s="3">
        <v>11535</v>
      </c>
      <c r="G293" s="3">
        <v>11535</v>
      </c>
      <c r="H293" s="3">
        <v>11495</v>
      </c>
      <c r="I293" s="3">
        <v>11490</v>
      </c>
      <c r="J293" s="3">
        <v>11885</v>
      </c>
      <c r="K293" s="3">
        <v>11885</v>
      </c>
      <c r="L293" s="3">
        <v>12015</v>
      </c>
      <c r="M293" s="3">
        <v>12025</v>
      </c>
      <c r="N293" s="3">
        <v>12615</v>
      </c>
      <c r="O293" s="3">
        <v>12615</v>
      </c>
      <c r="P293" s="3">
        <v>12440</v>
      </c>
      <c r="Q293" s="3">
        <v>12455</v>
      </c>
      <c r="R293" s="3">
        <v>12530</v>
      </c>
      <c r="S293" s="3">
        <v>12535</v>
      </c>
      <c r="T293" s="3">
        <v>12175</v>
      </c>
      <c r="U293" s="3">
        <v>12170</v>
      </c>
      <c r="V293" s="3">
        <v>12745</v>
      </c>
      <c r="W293" s="3">
        <v>12710</v>
      </c>
      <c r="X293" s="3">
        <v>12645</v>
      </c>
      <c r="Y293" s="3">
        <v>12645</v>
      </c>
      <c r="Z293" s="3">
        <v>12720</v>
      </c>
      <c r="AA293" s="3">
        <v>12715</v>
      </c>
      <c r="AB293" s="3">
        <v>13220</v>
      </c>
      <c r="AC293" s="3">
        <v>13215</v>
      </c>
      <c r="AD293" s="3">
        <v>13315</v>
      </c>
      <c r="AE293" s="3">
        <v>13305</v>
      </c>
      <c r="AF293" s="3">
        <v>13850</v>
      </c>
      <c r="AG293" s="3">
        <v>13850</v>
      </c>
      <c r="AH293" s="3">
        <v>13890</v>
      </c>
      <c r="AI293" s="3">
        <v>13895</v>
      </c>
      <c r="AJ293" s="3">
        <v>13740</v>
      </c>
      <c r="AK293" s="3">
        <v>13745</v>
      </c>
      <c r="AL293" s="3">
        <v>13670</v>
      </c>
      <c r="AM293" s="3">
        <v>13665</v>
      </c>
      <c r="AN293" s="3">
        <v>13395</v>
      </c>
      <c r="AO293" s="3">
        <v>13400</v>
      </c>
      <c r="AP293" s="3">
        <v>13440</v>
      </c>
      <c r="AQ293" s="3">
        <v>13435</v>
      </c>
      <c r="AR293" s="4">
        <f t="shared" si="131"/>
        <v>1.0841283607979202E-2</v>
      </c>
      <c r="AS293" s="4">
        <f t="shared" si="108"/>
        <v>0</v>
      </c>
      <c r="AT293" s="4">
        <f t="shared" si="109"/>
        <v>1.5404929577464754E-2</v>
      </c>
      <c r="AU293" s="4">
        <f t="shared" si="110"/>
        <v>2.4617996604414216E-2</v>
      </c>
      <c r="AV293" s="4">
        <f t="shared" si="111"/>
        <v>1.6680923866552622E-2</v>
      </c>
      <c r="AW293" s="4">
        <f t="shared" si="112"/>
        <v>1.3912310286677831E-2</v>
      </c>
      <c r="AX293" s="4">
        <f t="shared" si="113"/>
        <v>4.1271151465125833E-2</v>
      </c>
      <c r="AY293" s="4">
        <f t="shared" si="114"/>
        <v>2.5430359937402169E-2</v>
      </c>
      <c r="AZ293" s="4">
        <f t="shared" si="115"/>
        <v>7.9713033080908158E-4</v>
      </c>
      <c r="BA293" s="4">
        <f t="shared" si="116"/>
        <v>1.6565656565656561E-2</v>
      </c>
      <c r="BB293" s="4">
        <f t="shared" si="117"/>
        <v>3.0401297122010451E-2</v>
      </c>
      <c r="BC293" s="4">
        <f t="shared" si="118"/>
        <v>7.9145231499810897E-4</v>
      </c>
      <c r="BD293" s="4">
        <f t="shared" si="119"/>
        <v>9.7352024922118252E-3</v>
      </c>
      <c r="BE293" s="4">
        <f t="shared" si="120"/>
        <v>1.9282684149633633E-2</v>
      </c>
      <c r="BF293" s="4">
        <f t="shared" si="121"/>
        <v>1.6424751718869368E-2</v>
      </c>
      <c r="BG293" s="4">
        <f t="shared" si="122"/>
        <v>3.8620172478440296E-2</v>
      </c>
      <c r="BH293" s="4">
        <f t="shared" si="123"/>
        <v>1.0783608914449738E-3</v>
      </c>
      <c r="BI293" s="4">
        <f t="shared" si="124"/>
        <v>9.3693693693693847E-3</v>
      </c>
      <c r="BJ293" s="4">
        <f t="shared" si="125"/>
        <v>4.0087463556851555E-3</v>
      </c>
      <c r="BK293" s="4">
        <f t="shared" si="126"/>
        <v>2.0825721592985014E-2</v>
      </c>
      <c r="BL293" s="4">
        <f t="shared" si="127"/>
        <v>1.4864362690449884E-3</v>
      </c>
      <c r="BM293" s="4">
        <f t="shared" si="132"/>
        <v>1.6522560459416174E-2</v>
      </c>
      <c r="BN293" s="9">
        <f t="shared" si="133"/>
        <v>13677.311050981443</v>
      </c>
      <c r="BO293" s="10">
        <f t="shared" si="134"/>
        <v>13104.83688187828</v>
      </c>
      <c r="BP293">
        <v>13850</v>
      </c>
      <c r="BQ293">
        <v>13865</v>
      </c>
      <c r="BR293">
        <v>13850</v>
      </c>
      <c r="BS293">
        <v>13850</v>
      </c>
      <c r="BT293">
        <v>30155</v>
      </c>
      <c r="BU293" s="13">
        <f t="shared" si="128"/>
        <v>13855</v>
      </c>
      <c r="BV293" s="13">
        <f t="shared" si="129"/>
        <v>417797525</v>
      </c>
      <c r="BW293" s="13">
        <f>SUM($BV$3:BV293)</f>
        <v>213410108878.33337</v>
      </c>
      <c r="BX293" s="13">
        <f>SUM($BT$3:BT293)</f>
        <v>15570455</v>
      </c>
      <c r="BY293" s="3">
        <f t="shared" si="130"/>
        <v>13706.093295175599</v>
      </c>
    </row>
    <row r="294" spans="1:77" x14ac:dyDescent="0.3">
      <c r="A294" s="3" t="s">
        <v>334</v>
      </c>
      <c r="B294" s="3">
        <v>11655</v>
      </c>
      <c r="C294" s="3">
        <v>11665</v>
      </c>
      <c r="D294" s="3">
        <v>11555</v>
      </c>
      <c r="E294" s="3">
        <v>11550</v>
      </c>
      <c r="F294" s="3">
        <v>11535</v>
      </c>
      <c r="G294" s="3">
        <v>11535</v>
      </c>
      <c r="H294" s="3">
        <v>11495</v>
      </c>
      <c r="I294" s="3">
        <v>11490</v>
      </c>
      <c r="J294" s="3">
        <v>11885</v>
      </c>
      <c r="K294" s="3">
        <v>11895</v>
      </c>
      <c r="L294" s="3">
        <v>12020</v>
      </c>
      <c r="M294" s="3">
        <v>12035</v>
      </c>
      <c r="N294" s="3">
        <v>12615</v>
      </c>
      <c r="O294" s="3">
        <v>12620</v>
      </c>
      <c r="P294" s="3">
        <v>12450</v>
      </c>
      <c r="Q294" s="3">
        <v>12440</v>
      </c>
      <c r="R294" s="3">
        <v>12535</v>
      </c>
      <c r="S294" s="3">
        <v>12535</v>
      </c>
      <c r="T294" s="3">
        <v>12170</v>
      </c>
      <c r="U294" s="3">
        <v>12175</v>
      </c>
      <c r="V294" s="3">
        <v>12715</v>
      </c>
      <c r="W294" s="3">
        <v>12705</v>
      </c>
      <c r="X294" s="3">
        <v>12645</v>
      </c>
      <c r="Y294" s="3">
        <v>12650</v>
      </c>
      <c r="Z294" s="3">
        <v>12720</v>
      </c>
      <c r="AA294" s="3">
        <v>12720</v>
      </c>
      <c r="AB294" s="3">
        <v>13215</v>
      </c>
      <c r="AC294" s="3">
        <v>13240</v>
      </c>
      <c r="AD294" s="3">
        <v>13305</v>
      </c>
      <c r="AE294" s="3">
        <v>13315</v>
      </c>
      <c r="AF294" s="3">
        <v>13855</v>
      </c>
      <c r="AG294" s="3">
        <v>13845</v>
      </c>
      <c r="AH294" s="3">
        <v>13900</v>
      </c>
      <c r="AI294" s="3">
        <v>13910</v>
      </c>
      <c r="AJ294" s="3">
        <v>13745</v>
      </c>
      <c r="AK294" s="3">
        <v>13720</v>
      </c>
      <c r="AL294" s="3">
        <v>13660</v>
      </c>
      <c r="AM294" s="3">
        <v>13660</v>
      </c>
      <c r="AN294" s="3">
        <v>13400</v>
      </c>
      <c r="AO294" s="3">
        <v>13405</v>
      </c>
      <c r="AP294" s="3">
        <v>13435</v>
      </c>
      <c r="AQ294" s="3">
        <v>13460</v>
      </c>
      <c r="AR294" s="4">
        <f t="shared" si="131"/>
        <v>1.1708586296617529E-2</v>
      </c>
      <c r="AS294" s="4">
        <f t="shared" si="108"/>
        <v>0</v>
      </c>
      <c r="AT294" s="4">
        <f t="shared" si="109"/>
        <v>1.5404929577464754E-2</v>
      </c>
      <c r="AU294" s="4">
        <f t="shared" si="110"/>
        <v>2.4617996604414216E-2</v>
      </c>
      <c r="AV294" s="4">
        <f t="shared" si="111"/>
        <v>1.7536355859709252E-2</v>
      </c>
      <c r="AW294" s="4">
        <f t="shared" si="112"/>
        <v>1.4755480607082649E-2</v>
      </c>
      <c r="AX294" s="4">
        <f t="shared" si="113"/>
        <v>4.1683862979777109E-2</v>
      </c>
      <c r="AY294" s="4">
        <f t="shared" si="114"/>
        <v>2.6604068857590035E-2</v>
      </c>
      <c r="AZ294" s="4">
        <f t="shared" si="115"/>
        <v>7.9713033080908158E-4</v>
      </c>
      <c r="BA294" s="4">
        <f t="shared" si="116"/>
        <v>1.6161616161616155E-2</v>
      </c>
      <c r="BB294" s="4">
        <f t="shared" si="117"/>
        <v>2.9995946493717174E-2</v>
      </c>
      <c r="BC294" s="4">
        <f t="shared" si="118"/>
        <v>1.1871784724970524E-3</v>
      </c>
      <c r="BD294" s="4">
        <f t="shared" si="119"/>
        <v>9.3457943925233655E-3</v>
      </c>
      <c r="BE294" s="4">
        <f t="shared" si="120"/>
        <v>2.121095256459693E-2</v>
      </c>
      <c r="BF294" s="4">
        <f t="shared" si="121"/>
        <v>1.7188693659281995E-2</v>
      </c>
      <c r="BG294" s="4">
        <f t="shared" si="122"/>
        <v>3.8245219347581516E-2</v>
      </c>
      <c r="BH294" s="4">
        <f t="shared" si="123"/>
        <v>0</v>
      </c>
      <c r="BI294" s="4">
        <f t="shared" si="124"/>
        <v>1.1171171171171168E-2</v>
      </c>
      <c r="BJ294" s="4">
        <f t="shared" si="125"/>
        <v>4.3731778425656342E-3</v>
      </c>
      <c r="BK294" s="4">
        <f t="shared" si="126"/>
        <v>2.0460358056266004E-2</v>
      </c>
      <c r="BL294" s="4">
        <f t="shared" si="127"/>
        <v>3.7160906726119158E-4</v>
      </c>
      <c r="BM294" s="4">
        <f t="shared" si="132"/>
        <v>1.6892143325791413E-2</v>
      </c>
      <c r="BN294" s="9">
        <f t="shared" si="133"/>
        <v>13682.283788448523</v>
      </c>
      <c r="BO294" s="10">
        <f t="shared" si="134"/>
        <v>13099.91219018383</v>
      </c>
      <c r="BP294">
        <v>13855</v>
      </c>
      <c r="BQ294">
        <v>13855</v>
      </c>
      <c r="BR294">
        <v>13840</v>
      </c>
      <c r="BS294">
        <v>13845</v>
      </c>
      <c r="BT294">
        <v>5556</v>
      </c>
      <c r="BU294" s="13">
        <f t="shared" si="128"/>
        <v>13846.666666666666</v>
      </c>
      <c r="BV294" s="13">
        <f t="shared" si="129"/>
        <v>76932080</v>
      </c>
      <c r="BW294" s="13">
        <f>SUM($BV$3:BV294)</f>
        <v>213487040958.33337</v>
      </c>
      <c r="BX294" s="13">
        <f>SUM($BT$3:BT294)</f>
        <v>15576011</v>
      </c>
      <c r="BY294" s="3">
        <f t="shared" si="130"/>
        <v>13706.143438030018</v>
      </c>
    </row>
    <row r="295" spans="1:77" x14ac:dyDescent="0.3">
      <c r="A295" s="3" t="s">
        <v>335</v>
      </c>
      <c r="B295" s="3">
        <v>11670</v>
      </c>
      <c r="C295" s="3">
        <v>11670</v>
      </c>
      <c r="D295" s="3">
        <v>11550</v>
      </c>
      <c r="E295" s="3">
        <v>11555</v>
      </c>
      <c r="F295" s="3">
        <v>11535</v>
      </c>
      <c r="G295" s="3">
        <v>11545</v>
      </c>
      <c r="H295" s="3">
        <v>11495</v>
      </c>
      <c r="I295" s="3">
        <v>11490</v>
      </c>
      <c r="J295" s="3">
        <v>11890</v>
      </c>
      <c r="K295" s="3">
        <v>11885</v>
      </c>
      <c r="L295" s="3">
        <v>12030</v>
      </c>
      <c r="M295" s="3">
        <v>12030</v>
      </c>
      <c r="N295" s="3">
        <v>12625</v>
      </c>
      <c r="O295" s="3">
        <v>12630</v>
      </c>
      <c r="P295" s="3">
        <v>12445</v>
      </c>
      <c r="Q295" s="3">
        <v>12465</v>
      </c>
      <c r="R295" s="3">
        <v>12535</v>
      </c>
      <c r="S295" s="3">
        <v>12530</v>
      </c>
      <c r="T295" s="3">
        <v>12175</v>
      </c>
      <c r="U295" s="3">
        <v>12165</v>
      </c>
      <c r="V295" s="3">
        <v>12710</v>
      </c>
      <c r="W295" s="3">
        <v>12690</v>
      </c>
      <c r="X295" s="3">
        <v>12650</v>
      </c>
      <c r="Y295" s="3">
        <v>12635</v>
      </c>
      <c r="Z295" s="3">
        <v>12720</v>
      </c>
      <c r="AA295" s="3">
        <v>12715</v>
      </c>
      <c r="AB295" s="3">
        <v>13240</v>
      </c>
      <c r="AC295" s="3">
        <v>13230</v>
      </c>
      <c r="AD295" s="3">
        <v>13315</v>
      </c>
      <c r="AE295" s="3">
        <v>13325</v>
      </c>
      <c r="AF295" s="3">
        <v>13840</v>
      </c>
      <c r="AG295" s="3">
        <v>13840</v>
      </c>
      <c r="AH295" s="3">
        <v>13910</v>
      </c>
      <c r="AI295" s="3">
        <v>13895</v>
      </c>
      <c r="AJ295" s="3">
        <v>13725</v>
      </c>
      <c r="AK295" s="3">
        <v>13700</v>
      </c>
      <c r="AL295" s="3">
        <v>13655</v>
      </c>
      <c r="AM295" s="3">
        <v>13655</v>
      </c>
      <c r="AN295" s="3">
        <v>13405</v>
      </c>
      <c r="AO295" s="3">
        <v>13420</v>
      </c>
      <c r="AP295" s="3">
        <v>13460</v>
      </c>
      <c r="AQ295" s="3">
        <v>13465</v>
      </c>
      <c r="AR295" s="4">
        <f t="shared" si="131"/>
        <v>1.2142237640936582E-2</v>
      </c>
      <c r="AS295" s="4">
        <f t="shared" si="108"/>
        <v>4.3290043290045155E-4</v>
      </c>
      <c r="AT295" s="4">
        <f t="shared" si="109"/>
        <v>1.6285211267605737E-2</v>
      </c>
      <c r="AU295" s="4">
        <f t="shared" si="110"/>
        <v>2.4617996604414216E-2</v>
      </c>
      <c r="AV295" s="4">
        <f t="shared" si="111"/>
        <v>1.6680923866552622E-2</v>
      </c>
      <c r="AW295" s="4">
        <f t="shared" si="112"/>
        <v>1.4333895446880351E-2</v>
      </c>
      <c r="AX295" s="4">
        <f t="shared" si="113"/>
        <v>4.2509286009079661E-2</v>
      </c>
      <c r="AY295" s="4">
        <f t="shared" si="114"/>
        <v>2.4647887323943629E-2</v>
      </c>
      <c r="AZ295" s="4">
        <f t="shared" si="115"/>
        <v>1.1956954962136779E-3</v>
      </c>
      <c r="BA295" s="4">
        <f t="shared" si="116"/>
        <v>1.6969696969696968E-2</v>
      </c>
      <c r="BB295" s="4">
        <f t="shared" si="117"/>
        <v>2.8779894608836676E-2</v>
      </c>
      <c r="BC295" s="4">
        <f t="shared" si="118"/>
        <v>0</v>
      </c>
      <c r="BD295" s="4">
        <f t="shared" si="119"/>
        <v>9.7352024922118252E-3</v>
      </c>
      <c r="BE295" s="4">
        <f t="shared" si="120"/>
        <v>2.0439645198611744E-2</v>
      </c>
      <c r="BF295" s="4">
        <f t="shared" si="121"/>
        <v>1.79526355996944E-2</v>
      </c>
      <c r="BG295" s="4">
        <f t="shared" si="122"/>
        <v>3.7870266216722959E-2</v>
      </c>
      <c r="BH295" s="4">
        <f t="shared" si="123"/>
        <v>1.0783608914449738E-3</v>
      </c>
      <c r="BI295" s="4">
        <f t="shared" si="124"/>
        <v>1.2612612612612595E-2</v>
      </c>
      <c r="BJ295" s="4">
        <f t="shared" si="125"/>
        <v>4.737609329446113E-3</v>
      </c>
      <c r="BK295" s="4">
        <f t="shared" si="126"/>
        <v>1.9364267446108863E-2</v>
      </c>
      <c r="BL295" s="4">
        <f t="shared" si="127"/>
        <v>7.4321813452238317E-4</v>
      </c>
      <c r="BM295" s="4">
        <f t="shared" si="132"/>
        <v>1.6755776522617283E-2</v>
      </c>
      <c r="BN295" s="9">
        <f t="shared" si="133"/>
        <v>13680.448973111814</v>
      </c>
      <c r="BO295" s="10">
        <f t="shared" si="134"/>
        <v>13101.729277836124</v>
      </c>
      <c r="BP295">
        <v>13840</v>
      </c>
      <c r="BQ295">
        <v>13840</v>
      </c>
      <c r="BR295">
        <v>13840</v>
      </c>
      <c r="BS295">
        <v>13840</v>
      </c>
      <c r="BT295">
        <v>786</v>
      </c>
      <c r="BU295" s="13">
        <f t="shared" si="128"/>
        <v>13840</v>
      </c>
      <c r="BV295" s="13">
        <f t="shared" si="129"/>
        <v>10878240</v>
      </c>
      <c r="BW295" s="13">
        <f>SUM($BV$3:BV295)</f>
        <v>213497919198.33337</v>
      </c>
      <c r="BX295" s="13">
        <f>SUM($BT$3:BT295)</f>
        <v>15576797</v>
      </c>
      <c r="BY295" s="3">
        <f t="shared" si="130"/>
        <v>13706.150192387649</v>
      </c>
    </row>
    <row r="296" spans="1:77" x14ac:dyDescent="0.3">
      <c r="A296" s="3" t="s">
        <v>336</v>
      </c>
      <c r="B296" s="3">
        <v>11670</v>
      </c>
      <c r="C296" s="3">
        <v>11675</v>
      </c>
      <c r="D296" s="3">
        <v>11555</v>
      </c>
      <c r="E296" s="3">
        <v>11550</v>
      </c>
      <c r="F296" s="3">
        <v>11540</v>
      </c>
      <c r="G296" s="3">
        <v>11530</v>
      </c>
      <c r="H296" s="3">
        <v>11490</v>
      </c>
      <c r="I296" s="3">
        <v>11495</v>
      </c>
      <c r="J296" s="3">
        <v>11885</v>
      </c>
      <c r="K296" s="3">
        <v>11885</v>
      </c>
      <c r="L296" s="3">
        <v>12035</v>
      </c>
      <c r="M296" s="3">
        <v>12040</v>
      </c>
      <c r="N296" s="3">
        <v>12630</v>
      </c>
      <c r="O296" s="3">
        <v>12640</v>
      </c>
      <c r="P296" s="3">
        <v>12470</v>
      </c>
      <c r="Q296" s="3">
        <v>12480</v>
      </c>
      <c r="R296" s="3">
        <v>12530</v>
      </c>
      <c r="S296" s="3">
        <v>12535</v>
      </c>
      <c r="T296" s="3">
        <v>12165</v>
      </c>
      <c r="U296" s="3">
        <v>12160</v>
      </c>
      <c r="V296" s="3">
        <v>12690</v>
      </c>
      <c r="W296" s="3">
        <v>12700</v>
      </c>
      <c r="X296" s="3">
        <v>12640</v>
      </c>
      <c r="Y296" s="3">
        <v>12635</v>
      </c>
      <c r="Z296" s="3">
        <v>12720</v>
      </c>
      <c r="AA296" s="3">
        <v>12720</v>
      </c>
      <c r="AB296" s="3">
        <v>13225</v>
      </c>
      <c r="AC296" s="3">
        <v>13210</v>
      </c>
      <c r="AD296" s="3">
        <v>13325</v>
      </c>
      <c r="AE296" s="3">
        <v>13325</v>
      </c>
      <c r="AF296" s="3">
        <v>13845</v>
      </c>
      <c r="AG296" s="3">
        <v>13845</v>
      </c>
      <c r="AH296" s="3">
        <v>13895</v>
      </c>
      <c r="AI296" s="3">
        <v>13865</v>
      </c>
      <c r="AJ296" s="3">
        <v>13700</v>
      </c>
      <c r="AK296" s="3">
        <v>13705</v>
      </c>
      <c r="AL296" s="3">
        <v>13660</v>
      </c>
      <c r="AM296" s="3">
        <v>13650</v>
      </c>
      <c r="AN296" s="3">
        <v>13415</v>
      </c>
      <c r="AO296" s="3">
        <v>13420</v>
      </c>
      <c r="AP296" s="3">
        <v>13465</v>
      </c>
      <c r="AQ296" s="3">
        <v>13445</v>
      </c>
      <c r="AR296" s="4">
        <f t="shared" si="131"/>
        <v>1.2575888985255856E-2</v>
      </c>
      <c r="AS296" s="4">
        <f t="shared" si="108"/>
        <v>0</v>
      </c>
      <c r="AT296" s="4">
        <f t="shared" si="109"/>
        <v>1.4964788732394263E-2</v>
      </c>
      <c r="AU296" s="4">
        <f t="shared" si="110"/>
        <v>2.4193548387096753E-2</v>
      </c>
      <c r="AV296" s="4">
        <f t="shared" si="111"/>
        <v>1.6680923866552622E-2</v>
      </c>
      <c r="AW296" s="4">
        <f t="shared" si="112"/>
        <v>1.5177065767284947E-2</v>
      </c>
      <c r="AX296" s="4">
        <f t="shared" si="113"/>
        <v>4.3334709038382213E-2</v>
      </c>
      <c r="AY296" s="4">
        <f t="shared" si="114"/>
        <v>2.3474178403755874E-2</v>
      </c>
      <c r="AZ296" s="4">
        <f t="shared" si="115"/>
        <v>7.9713033080908158E-4</v>
      </c>
      <c r="BA296" s="4">
        <f t="shared" si="116"/>
        <v>1.7373737373737375E-2</v>
      </c>
      <c r="BB296" s="4">
        <f t="shared" si="117"/>
        <v>2.9590595865423674E-2</v>
      </c>
      <c r="BC296" s="4">
        <f t="shared" si="118"/>
        <v>0</v>
      </c>
      <c r="BD296" s="4">
        <f t="shared" si="119"/>
        <v>9.3457943925233655E-3</v>
      </c>
      <c r="BE296" s="4">
        <f t="shared" si="120"/>
        <v>1.8897030466640929E-2</v>
      </c>
      <c r="BF296" s="4">
        <f t="shared" si="121"/>
        <v>1.79526355996944E-2</v>
      </c>
      <c r="BG296" s="4">
        <f t="shared" si="122"/>
        <v>3.8245219347581516E-2</v>
      </c>
      <c r="BH296" s="4">
        <f t="shared" si="123"/>
        <v>3.2350826743350325E-3</v>
      </c>
      <c r="BI296" s="4">
        <f t="shared" si="124"/>
        <v>1.2252252252252238E-2</v>
      </c>
      <c r="BJ296" s="4">
        <f t="shared" si="125"/>
        <v>5.1020408163264808E-3</v>
      </c>
      <c r="BK296" s="4">
        <f t="shared" si="126"/>
        <v>1.9364267446108863E-2</v>
      </c>
      <c r="BL296" s="4">
        <f t="shared" si="127"/>
        <v>7.4321813452249419E-4</v>
      </c>
      <c r="BM296" s="4">
        <f t="shared" si="132"/>
        <v>1.6555867016021106E-2</v>
      </c>
      <c r="BN296" s="9">
        <f t="shared" si="133"/>
        <v>13677.759190700564</v>
      </c>
      <c r="BO296" s="10">
        <f t="shared" si="134"/>
        <v>13104.393072011519</v>
      </c>
      <c r="BP296">
        <v>13845</v>
      </c>
      <c r="BQ296">
        <v>13845</v>
      </c>
      <c r="BR296">
        <v>13840</v>
      </c>
      <c r="BS296">
        <v>13845</v>
      </c>
      <c r="BT296">
        <v>467</v>
      </c>
      <c r="BU296" s="13">
        <f t="shared" si="128"/>
        <v>13843.333333333334</v>
      </c>
      <c r="BV296" s="13">
        <f t="shared" si="129"/>
        <v>6464836.666666667</v>
      </c>
      <c r="BW296" s="13">
        <f>SUM($BV$3:BV296)</f>
        <v>213504384035.00003</v>
      </c>
      <c r="BX296" s="13">
        <f>SUM($BT$3:BT296)</f>
        <v>15577264</v>
      </c>
      <c r="BY296" s="3">
        <f t="shared" si="130"/>
        <v>13706.154305082075</v>
      </c>
    </row>
    <row r="297" spans="1:77" x14ac:dyDescent="0.3">
      <c r="A297" s="3" t="s">
        <v>337</v>
      </c>
      <c r="B297" s="3">
        <v>11675</v>
      </c>
      <c r="C297" s="3">
        <v>11670</v>
      </c>
      <c r="D297" s="3">
        <v>11550</v>
      </c>
      <c r="E297" s="3">
        <v>11535</v>
      </c>
      <c r="F297" s="3">
        <v>11530</v>
      </c>
      <c r="G297" s="3">
        <v>11515</v>
      </c>
      <c r="H297" s="3">
        <v>11495</v>
      </c>
      <c r="I297" s="3">
        <v>11500</v>
      </c>
      <c r="J297" s="3">
        <v>11885</v>
      </c>
      <c r="K297" s="3">
        <v>11885</v>
      </c>
      <c r="L297" s="3">
        <v>12040</v>
      </c>
      <c r="M297" s="3">
        <v>12045</v>
      </c>
      <c r="N297" s="3">
        <v>12640</v>
      </c>
      <c r="O297" s="3">
        <v>12645</v>
      </c>
      <c r="P297" s="3">
        <v>12475</v>
      </c>
      <c r="Q297" s="3">
        <v>12500</v>
      </c>
      <c r="R297" s="3">
        <v>12535</v>
      </c>
      <c r="S297" s="3">
        <v>12540</v>
      </c>
      <c r="T297" s="3">
        <v>12160</v>
      </c>
      <c r="U297" s="3">
        <v>12160</v>
      </c>
      <c r="V297" s="3">
        <v>12700</v>
      </c>
      <c r="W297" s="3">
        <v>12685</v>
      </c>
      <c r="X297" s="3">
        <v>12640</v>
      </c>
      <c r="Y297" s="3">
        <v>12630</v>
      </c>
      <c r="Z297" s="3">
        <v>12720</v>
      </c>
      <c r="AA297" s="3">
        <v>12725</v>
      </c>
      <c r="AB297" s="3">
        <v>13215</v>
      </c>
      <c r="AC297" s="3">
        <v>13230</v>
      </c>
      <c r="AD297" s="3">
        <v>13325</v>
      </c>
      <c r="AE297" s="3">
        <v>13340</v>
      </c>
      <c r="AF297" s="3">
        <v>13840</v>
      </c>
      <c r="AG297" s="3">
        <v>13845</v>
      </c>
      <c r="AH297" s="3">
        <v>13865</v>
      </c>
      <c r="AI297" s="3">
        <v>13865</v>
      </c>
      <c r="AJ297" s="3">
        <v>13710</v>
      </c>
      <c r="AK297" s="3">
        <v>13700</v>
      </c>
      <c r="AL297" s="3">
        <v>13655</v>
      </c>
      <c r="AM297" s="3">
        <v>13655</v>
      </c>
      <c r="AN297" s="3">
        <v>13415</v>
      </c>
      <c r="AO297" s="3">
        <v>13400</v>
      </c>
      <c r="AP297" s="3">
        <v>13450</v>
      </c>
      <c r="AQ297" s="3">
        <v>13455</v>
      </c>
      <c r="AR297" s="4">
        <f t="shared" si="131"/>
        <v>1.2142237640936582E-2</v>
      </c>
      <c r="AS297" s="4">
        <f t="shared" si="108"/>
        <v>1.2987012987012436E-3</v>
      </c>
      <c r="AT297" s="4">
        <f t="shared" si="109"/>
        <v>1.3644366197183011E-2</v>
      </c>
      <c r="AU297" s="4">
        <f t="shared" si="110"/>
        <v>2.3769100169779289E-2</v>
      </c>
      <c r="AV297" s="4">
        <f t="shared" si="111"/>
        <v>1.6680923866552622E-2</v>
      </c>
      <c r="AW297" s="4">
        <f t="shared" si="112"/>
        <v>1.5598650927487245E-2</v>
      </c>
      <c r="AX297" s="4">
        <f t="shared" si="113"/>
        <v>4.3747420553033489E-2</v>
      </c>
      <c r="AY297" s="4">
        <f t="shared" si="114"/>
        <v>2.1909233176838794E-2</v>
      </c>
      <c r="AZ297" s="4">
        <f t="shared" si="115"/>
        <v>3.985651654045963E-4</v>
      </c>
      <c r="BA297" s="4">
        <f t="shared" si="116"/>
        <v>1.7373737373737375E-2</v>
      </c>
      <c r="BB297" s="4">
        <f t="shared" si="117"/>
        <v>2.8374543980543177E-2</v>
      </c>
      <c r="BC297" s="4">
        <f t="shared" si="118"/>
        <v>3.9572615749905449E-4</v>
      </c>
      <c r="BD297" s="4">
        <f t="shared" si="119"/>
        <v>8.9563862928349058E-3</v>
      </c>
      <c r="BE297" s="4">
        <f t="shared" si="120"/>
        <v>2.0439645198611744E-2</v>
      </c>
      <c r="BF297" s="4">
        <f t="shared" si="121"/>
        <v>1.9098548510313229E-2</v>
      </c>
      <c r="BG297" s="4">
        <f t="shared" si="122"/>
        <v>3.8245219347581516E-2</v>
      </c>
      <c r="BH297" s="4">
        <f t="shared" si="123"/>
        <v>3.2350826743350325E-3</v>
      </c>
      <c r="BI297" s="4">
        <f t="shared" si="124"/>
        <v>1.2612612612612595E-2</v>
      </c>
      <c r="BJ297" s="4">
        <f t="shared" si="125"/>
        <v>4.737609329446113E-3</v>
      </c>
      <c r="BK297" s="4">
        <f t="shared" si="126"/>
        <v>2.0825721592985014E-2</v>
      </c>
      <c r="BL297" s="4">
        <f t="shared" si="127"/>
        <v>0</v>
      </c>
      <c r="BM297" s="4">
        <f t="shared" si="132"/>
        <v>1.6548967776322841E-2</v>
      </c>
      <c r="BN297" s="9">
        <f t="shared" si="133"/>
        <v>13677.666361430423</v>
      </c>
      <c r="BO297" s="10">
        <f t="shared" si="134"/>
        <v>13104.485004380498</v>
      </c>
      <c r="BP297">
        <v>13840</v>
      </c>
      <c r="BQ297">
        <v>13850</v>
      </c>
      <c r="BR297">
        <v>13840</v>
      </c>
      <c r="BS297">
        <v>13845</v>
      </c>
      <c r="BT297">
        <v>3708</v>
      </c>
      <c r="BU297" s="13">
        <f t="shared" si="128"/>
        <v>13845</v>
      </c>
      <c r="BV297" s="13">
        <f t="shared" si="129"/>
        <v>51337260</v>
      </c>
      <c r="BW297" s="13">
        <f>SUM($BV$3:BV297)</f>
        <v>213555721295.00003</v>
      </c>
      <c r="BX297" s="13">
        <f>SUM($BT$3:BT297)</f>
        <v>15580972</v>
      </c>
      <c r="BY297" s="3">
        <f t="shared" si="130"/>
        <v>13706.187347939527</v>
      </c>
    </row>
    <row r="298" spans="1:77" x14ac:dyDescent="0.3">
      <c r="A298" s="3" t="s">
        <v>338</v>
      </c>
      <c r="B298" s="3">
        <v>11670</v>
      </c>
      <c r="C298" s="3">
        <v>11680</v>
      </c>
      <c r="D298" s="3">
        <v>11535</v>
      </c>
      <c r="E298" s="3">
        <v>11535</v>
      </c>
      <c r="F298" s="3">
        <v>11515</v>
      </c>
      <c r="G298" s="3">
        <v>11500</v>
      </c>
      <c r="H298" s="3">
        <v>11505</v>
      </c>
      <c r="I298" s="3">
        <v>11510</v>
      </c>
      <c r="J298" s="3">
        <v>11885</v>
      </c>
      <c r="K298" s="3">
        <v>11895</v>
      </c>
      <c r="L298" s="3">
        <v>12045</v>
      </c>
      <c r="M298" s="3">
        <v>12050</v>
      </c>
      <c r="N298" s="3">
        <v>12650</v>
      </c>
      <c r="O298" s="3">
        <v>12645</v>
      </c>
      <c r="P298" s="3">
        <v>12500</v>
      </c>
      <c r="Q298" s="3">
        <v>12495</v>
      </c>
      <c r="R298" s="3">
        <v>12540</v>
      </c>
      <c r="S298" s="3">
        <v>12550</v>
      </c>
      <c r="T298" s="3">
        <v>12160</v>
      </c>
      <c r="U298" s="3">
        <v>12145</v>
      </c>
      <c r="V298" s="3">
        <v>12685</v>
      </c>
      <c r="W298" s="3">
        <v>12700</v>
      </c>
      <c r="X298" s="3">
        <v>12630</v>
      </c>
      <c r="Y298" s="3">
        <v>12645</v>
      </c>
      <c r="Z298" s="3">
        <v>12725</v>
      </c>
      <c r="AA298" s="3">
        <v>12720</v>
      </c>
      <c r="AB298" s="3">
        <v>13225</v>
      </c>
      <c r="AC298" s="3">
        <v>13210</v>
      </c>
      <c r="AD298" s="3">
        <v>13335</v>
      </c>
      <c r="AE298" s="3">
        <v>13340</v>
      </c>
      <c r="AF298" s="3">
        <v>13845</v>
      </c>
      <c r="AG298" s="3">
        <v>13845</v>
      </c>
      <c r="AH298" s="3">
        <v>13865</v>
      </c>
      <c r="AI298" s="3">
        <v>13860</v>
      </c>
      <c r="AJ298" s="3">
        <v>13700</v>
      </c>
      <c r="AK298" s="3">
        <v>13730</v>
      </c>
      <c r="AL298" s="3">
        <v>13655</v>
      </c>
      <c r="AM298" s="3">
        <v>13650</v>
      </c>
      <c r="AN298" s="3">
        <v>13410</v>
      </c>
      <c r="AO298" s="3">
        <v>13405</v>
      </c>
      <c r="AP298" s="3">
        <v>13460</v>
      </c>
      <c r="AQ298" s="3">
        <v>13450</v>
      </c>
      <c r="AR298" s="4">
        <f t="shared" si="131"/>
        <v>1.3009540329575131E-2</v>
      </c>
      <c r="AS298" s="4">
        <f t="shared" si="108"/>
        <v>1.2987012987012436E-3</v>
      </c>
      <c r="AT298" s="4">
        <f t="shared" si="109"/>
        <v>1.2323943661971759E-2</v>
      </c>
      <c r="AU298" s="4">
        <f t="shared" si="110"/>
        <v>2.2920203735144362E-2</v>
      </c>
      <c r="AV298" s="4">
        <f t="shared" si="111"/>
        <v>1.7536355859709252E-2</v>
      </c>
      <c r="AW298" s="4">
        <f t="shared" si="112"/>
        <v>1.6020236087689765E-2</v>
      </c>
      <c r="AX298" s="4">
        <f t="shared" si="113"/>
        <v>4.3747420553033489E-2</v>
      </c>
      <c r="AY298" s="4">
        <f t="shared" si="114"/>
        <v>2.2300469483568119E-2</v>
      </c>
      <c r="AZ298" s="4">
        <f t="shared" si="115"/>
        <v>3.985651654045963E-4</v>
      </c>
      <c r="BA298" s="4">
        <f t="shared" si="116"/>
        <v>1.8585858585858595E-2</v>
      </c>
      <c r="BB298" s="4">
        <f t="shared" si="117"/>
        <v>2.9590595865423674E-2</v>
      </c>
      <c r="BC298" s="4">
        <f t="shared" si="118"/>
        <v>7.9145231499810897E-4</v>
      </c>
      <c r="BD298" s="4">
        <f t="shared" si="119"/>
        <v>9.3457943925233655E-3</v>
      </c>
      <c r="BE298" s="4">
        <f t="shared" si="120"/>
        <v>1.8897030466640929E-2</v>
      </c>
      <c r="BF298" s="4">
        <f t="shared" si="121"/>
        <v>1.9098548510313229E-2</v>
      </c>
      <c r="BG298" s="4">
        <f t="shared" si="122"/>
        <v>3.8245219347581516E-2</v>
      </c>
      <c r="BH298" s="4">
        <f t="shared" si="123"/>
        <v>3.5945363048166534E-3</v>
      </c>
      <c r="BI298" s="4">
        <f t="shared" si="124"/>
        <v>1.0450450450450455E-2</v>
      </c>
      <c r="BJ298" s="4">
        <f t="shared" si="125"/>
        <v>5.1020408163264808E-3</v>
      </c>
      <c r="BK298" s="4">
        <f t="shared" si="126"/>
        <v>2.0460358056266004E-2</v>
      </c>
      <c r="BL298" s="4">
        <f t="shared" si="127"/>
        <v>3.7160906726119158E-4</v>
      </c>
      <c r="BM298" s="4">
        <f t="shared" si="132"/>
        <v>1.6632512570070035E-2</v>
      </c>
      <c r="BN298" s="9">
        <f t="shared" si="133"/>
        <v>13678.790456630291</v>
      </c>
      <c r="BO298" s="10">
        <f t="shared" si="134"/>
        <v>13103.371770003816</v>
      </c>
      <c r="BP298">
        <v>13845</v>
      </c>
      <c r="BQ298">
        <v>13850</v>
      </c>
      <c r="BR298">
        <v>13845</v>
      </c>
      <c r="BS298">
        <v>13845</v>
      </c>
      <c r="BT298">
        <v>16865</v>
      </c>
      <c r="BU298" s="13">
        <f t="shared" si="128"/>
        <v>13846.666666666666</v>
      </c>
      <c r="BV298" s="13">
        <f t="shared" si="129"/>
        <v>233524033.33333331</v>
      </c>
      <c r="BW298" s="13">
        <f>SUM($BV$3:BV298)</f>
        <v>213789245328.33337</v>
      </c>
      <c r="BX298" s="13">
        <f>SUM($BT$3:BT298)</f>
        <v>15597837</v>
      </c>
      <c r="BY298" s="3">
        <f t="shared" si="130"/>
        <v>13706.339239750574</v>
      </c>
    </row>
    <row r="299" spans="1:77" x14ac:dyDescent="0.3">
      <c r="A299" s="3" t="s">
        <v>339</v>
      </c>
      <c r="B299" s="3">
        <v>11685</v>
      </c>
      <c r="C299" s="3">
        <v>11670</v>
      </c>
      <c r="D299" s="3">
        <v>11535</v>
      </c>
      <c r="E299" s="3">
        <v>11525</v>
      </c>
      <c r="F299" s="3">
        <v>11500</v>
      </c>
      <c r="G299" s="3">
        <v>11505</v>
      </c>
      <c r="H299" s="3">
        <v>11515</v>
      </c>
      <c r="I299" s="3">
        <v>11510</v>
      </c>
      <c r="J299" s="3">
        <v>11895</v>
      </c>
      <c r="K299" s="3">
        <v>11895</v>
      </c>
      <c r="L299" s="3">
        <v>12050</v>
      </c>
      <c r="M299" s="3">
        <v>12040</v>
      </c>
      <c r="N299" s="3">
        <v>12645</v>
      </c>
      <c r="O299" s="3">
        <v>12640</v>
      </c>
      <c r="P299" s="3">
        <v>12495</v>
      </c>
      <c r="Q299" s="3">
        <v>12485</v>
      </c>
      <c r="R299" s="3">
        <v>12550</v>
      </c>
      <c r="S299" s="3">
        <v>12555</v>
      </c>
      <c r="T299" s="3">
        <v>12150</v>
      </c>
      <c r="U299" s="3">
        <v>12165</v>
      </c>
      <c r="V299" s="3">
        <v>12700</v>
      </c>
      <c r="W299" s="3">
        <v>12700</v>
      </c>
      <c r="X299" s="3">
        <v>12645</v>
      </c>
      <c r="Y299" s="3">
        <v>12640</v>
      </c>
      <c r="Z299" s="3">
        <v>12715</v>
      </c>
      <c r="AA299" s="3">
        <v>12710</v>
      </c>
      <c r="AB299" s="3">
        <v>13210</v>
      </c>
      <c r="AC299" s="3">
        <v>13195</v>
      </c>
      <c r="AD299" s="3">
        <v>13340</v>
      </c>
      <c r="AE299" s="3">
        <v>13340</v>
      </c>
      <c r="AF299" s="3">
        <v>13850</v>
      </c>
      <c r="AG299" s="3">
        <v>13860</v>
      </c>
      <c r="AH299" s="3">
        <v>13855</v>
      </c>
      <c r="AI299" s="3">
        <v>13865</v>
      </c>
      <c r="AJ299" s="3">
        <v>13735</v>
      </c>
      <c r="AK299" s="3">
        <v>13720</v>
      </c>
      <c r="AL299" s="3">
        <v>13655</v>
      </c>
      <c r="AM299" s="3">
        <v>13660</v>
      </c>
      <c r="AN299" s="3">
        <v>13405</v>
      </c>
      <c r="AO299" s="3">
        <v>13400</v>
      </c>
      <c r="AP299" s="3">
        <v>13455</v>
      </c>
      <c r="AQ299" s="3">
        <v>13460</v>
      </c>
      <c r="AR299" s="4">
        <f t="shared" si="131"/>
        <v>1.2142237640936582E-2</v>
      </c>
      <c r="AS299" s="4">
        <f t="shared" si="108"/>
        <v>2.1645021645021467E-3</v>
      </c>
      <c r="AT299" s="4">
        <f t="shared" si="109"/>
        <v>1.276408450704225E-2</v>
      </c>
      <c r="AU299" s="4">
        <f t="shared" si="110"/>
        <v>2.2920203735144362E-2</v>
      </c>
      <c r="AV299" s="4">
        <f t="shared" si="111"/>
        <v>1.7536355859709252E-2</v>
      </c>
      <c r="AW299" s="4">
        <f t="shared" si="112"/>
        <v>1.5177065767284947E-2</v>
      </c>
      <c r="AX299" s="4">
        <f t="shared" si="113"/>
        <v>4.3334709038382213E-2</v>
      </c>
      <c r="AY299" s="4">
        <f t="shared" si="114"/>
        <v>2.3082942097026549E-2</v>
      </c>
      <c r="AZ299" s="4">
        <f t="shared" si="115"/>
        <v>7.971303308091926E-4</v>
      </c>
      <c r="BA299" s="4">
        <f t="shared" si="116"/>
        <v>1.6969696969696968E-2</v>
      </c>
      <c r="BB299" s="4">
        <f t="shared" si="117"/>
        <v>2.9590595865423674E-2</v>
      </c>
      <c r="BC299" s="4">
        <f t="shared" si="118"/>
        <v>3.9572615749894346E-4</v>
      </c>
      <c r="BD299" s="4">
        <f t="shared" si="119"/>
        <v>1.0124610591900285E-2</v>
      </c>
      <c r="BE299" s="4">
        <f t="shared" si="120"/>
        <v>1.774006941766304E-2</v>
      </c>
      <c r="BF299" s="4">
        <f t="shared" si="121"/>
        <v>1.9098548510313229E-2</v>
      </c>
      <c r="BG299" s="4">
        <f t="shared" si="122"/>
        <v>3.937007874015741E-2</v>
      </c>
      <c r="BH299" s="4">
        <f t="shared" si="123"/>
        <v>3.2350826743350325E-3</v>
      </c>
      <c r="BI299" s="4">
        <f t="shared" si="124"/>
        <v>1.1171171171171168E-2</v>
      </c>
      <c r="BJ299" s="4">
        <f t="shared" si="125"/>
        <v>4.3731778425656342E-3</v>
      </c>
      <c r="BK299" s="4">
        <f t="shared" si="126"/>
        <v>2.0825721592985014E-2</v>
      </c>
      <c r="BL299" s="4">
        <f t="shared" si="127"/>
        <v>3.7160906726119158E-4</v>
      </c>
      <c r="BM299" s="4">
        <f t="shared" si="132"/>
        <v>1.6549731500885505E-2</v>
      </c>
      <c r="BN299" s="9">
        <f t="shared" si="133"/>
        <v>13677.676637344415</v>
      </c>
      <c r="BO299" s="10">
        <f t="shared" si="134"/>
        <v>13104.474827750701</v>
      </c>
      <c r="BP299">
        <v>13850</v>
      </c>
      <c r="BQ299">
        <v>13860</v>
      </c>
      <c r="BR299">
        <v>13850</v>
      </c>
      <c r="BS299">
        <v>13860</v>
      </c>
      <c r="BT299">
        <v>8910</v>
      </c>
      <c r="BU299" s="13">
        <f t="shared" si="128"/>
        <v>13856.666666666666</v>
      </c>
      <c r="BV299" s="13">
        <f t="shared" si="129"/>
        <v>123462900</v>
      </c>
      <c r="BW299" s="13">
        <f>SUM($BV$3:BV299)</f>
        <v>213912708228.33337</v>
      </c>
      <c r="BX299" s="13">
        <f>SUM($BT$3:BT299)</f>
        <v>15606747</v>
      </c>
      <c r="BY299" s="3">
        <f t="shared" si="130"/>
        <v>13706.425062720205</v>
      </c>
    </row>
    <row r="300" spans="1:77" x14ac:dyDescent="0.3">
      <c r="A300" s="3" t="s">
        <v>340</v>
      </c>
      <c r="B300" s="3">
        <v>11675</v>
      </c>
      <c r="C300" s="3">
        <v>11685</v>
      </c>
      <c r="D300" s="3">
        <v>11525</v>
      </c>
      <c r="E300" s="3">
        <v>11525</v>
      </c>
      <c r="F300" s="3">
        <v>11500</v>
      </c>
      <c r="G300" s="3">
        <v>11505</v>
      </c>
      <c r="H300" s="3">
        <v>11515</v>
      </c>
      <c r="I300" s="3">
        <v>11510</v>
      </c>
      <c r="J300" s="3">
        <v>11900</v>
      </c>
      <c r="K300" s="3">
        <v>11895</v>
      </c>
      <c r="L300" s="3">
        <v>12045</v>
      </c>
      <c r="M300" s="3">
        <v>12035</v>
      </c>
      <c r="N300" s="3">
        <v>12640</v>
      </c>
      <c r="O300" s="3">
        <v>12645</v>
      </c>
      <c r="P300" s="3">
        <v>12485</v>
      </c>
      <c r="Q300" s="3">
        <v>12495</v>
      </c>
      <c r="R300" s="3">
        <v>12560</v>
      </c>
      <c r="S300" s="3">
        <v>12550</v>
      </c>
      <c r="T300" s="3">
        <v>12170</v>
      </c>
      <c r="U300" s="3">
        <v>12160</v>
      </c>
      <c r="V300" s="3">
        <v>12700</v>
      </c>
      <c r="W300" s="3">
        <v>12700</v>
      </c>
      <c r="X300" s="3">
        <v>12645</v>
      </c>
      <c r="Y300" s="3">
        <v>12650</v>
      </c>
      <c r="Z300" s="3">
        <v>12710</v>
      </c>
      <c r="AA300" s="3">
        <v>12710</v>
      </c>
      <c r="AB300" s="3">
        <v>13200</v>
      </c>
      <c r="AC300" s="3">
        <v>13200</v>
      </c>
      <c r="AD300" s="3">
        <v>13335</v>
      </c>
      <c r="AE300" s="3">
        <v>13325</v>
      </c>
      <c r="AF300" s="3">
        <v>13855</v>
      </c>
      <c r="AG300" s="3">
        <v>13855</v>
      </c>
      <c r="AH300" s="3">
        <v>13865</v>
      </c>
      <c r="AI300" s="3">
        <v>13865</v>
      </c>
      <c r="AJ300" s="3">
        <v>13725</v>
      </c>
      <c r="AK300" s="3">
        <v>13710</v>
      </c>
      <c r="AL300" s="3">
        <v>13655</v>
      </c>
      <c r="AM300" s="3">
        <v>13650</v>
      </c>
      <c r="AN300" s="3">
        <v>13405</v>
      </c>
      <c r="AO300" s="3">
        <v>13405</v>
      </c>
      <c r="AP300" s="3">
        <v>13455</v>
      </c>
      <c r="AQ300" s="3">
        <v>13450</v>
      </c>
      <c r="AR300" s="4">
        <f t="shared" si="131"/>
        <v>1.3443191673894184E-2</v>
      </c>
      <c r="AS300" s="4">
        <f t="shared" si="108"/>
        <v>2.1645021645021467E-3</v>
      </c>
      <c r="AT300" s="4">
        <f t="shared" si="109"/>
        <v>1.276408450704225E-2</v>
      </c>
      <c r="AU300" s="4">
        <f t="shared" si="110"/>
        <v>2.2920203735144362E-2</v>
      </c>
      <c r="AV300" s="4">
        <f t="shared" si="111"/>
        <v>1.7536355859709252E-2</v>
      </c>
      <c r="AW300" s="4">
        <f t="shared" si="112"/>
        <v>1.4755480607082649E-2</v>
      </c>
      <c r="AX300" s="4">
        <f t="shared" si="113"/>
        <v>4.3747420553033489E-2</v>
      </c>
      <c r="AY300" s="4">
        <f t="shared" si="114"/>
        <v>2.2300469483568119E-2</v>
      </c>
      <c r="AZ300" s="4">
        <f t="shared" si="115"/>
        <v>3.985651654045963E-4</v>
      </c>
      <c r="BA300" s="4">
        <f t="shared" si="116"/>
        <v>1.7373737373737375E-2</v>
      </c>
      <c r="BB300" s="4">
        <f t="shared" si="117"/>
        <v>2.9590595865423674E-2</v>
      </c>
      <c r="BC300" s="4">
        <f t="shared" si="118"/>
        <v>1.1871784724970524E-3</v>
      </c>
      <c r="BD300" s="4">
        <f t="shared" si="119"/>
        <v>1.0124610591900285E-2</v>
      </c>
      <c r="BE300" s="4">
        <f t="shared" si="120"/>
        <v>1.8125723100655522E-2</v>
      </c>
      <c r="BF300" s="4">
        <f t="shared" si="121"/>
        <v>1.79526355996944E-2</v>
      </c>
      <c r="BG300" s="4">
        <f t="shared" si="122"/>
        <v>3.8995125609298853E-2</v>
      </c>
      <c r="BH300" s="4">
        <f t="shared" si="123"/>
        <v>3.2350826743350325E-3</v>
      </c>
      <c r="BI300" s="4">
        <f t="shared" si="124"/>
        <v>1.1891891891891881E-2</v>
      </c>
      <c r="BJ300" s="4">
        <f t="shared" si="125"/>
        <v>5.1020408163264808E-3</v>
      </c>
      <c r="BK300" s="4">
        <f t="shared" si="126"/>
        <v>2.0460358056266004E-2</v>
      </c>
      <c r="BL300" s="4">
        <f t="shared" si="127"/>
        <v>3.7160906726119158E-4</v>
      </c>
      <c r="BM300" s="4">
        <f t="shared" si="132"/>
        <v>1.6495825934242512E-2</v>
      </c>
      <c r="BN300" s="9">
        <f t="shared" si="133"/>
        <v>13676.951337945233</v>
      </c>
      <c r="BO300" s="10">
        <f t="shared" si="134"/>
        <v>13105.19311942622</v>
      </c>
      <c r="BP300">
        <v>13855</v>
      </c>
      <c r="BQ300">
        <v>13860</v>
      </c>
      <c r="BR300">
        <v>13850</v>
      </c>
      <c r="BS300">
        <v>13855</v>
      </c>
      <c r="BT300">
        <v>17753</v>
      </c>
      <c r="BU300" s="13">
        <f t="shared" si="128"/>
        <v>13855</v>
      </c>
      <c r="BV300" s="13">
        <f t="shared" si="129"/>
        <v>245967815</v>
      </c>
      <c r="BW300" s="13">
        <f>SUM($BV$3:BV300)</f>
        <v>214158676043.33337</v>
      </c>
      <c r="BX300" s="13">
        <f>SUM($BT$3:BT300)</f>
        <v>15624500</v>
      </c>
      <c r="BY300" s="3">
        <f t="shared" si="130"/>
        <v>13706.593877777424</v>
      </c>
    </row>
    <row r="301" spans="1:77" x14ac:dyDescent="0.3">
      <c r="A301" s="3" t="s">
        <v>341</v>
      </c>
      <c r="B301" s="3">
        <v>11685</v>
      </c>
      <c r="C301" s="3">
        <v>11690</v>
      </c>
      <c r="D301" s="3">
        <v>11525</v>
      </c>
      <c r="E301" s="3">
        <v>11540</v>
      </c>
      <c r="F301" s="3">
        <v>11500</v>
      </c>
      <c r="G301" s="3">
        <v>11520</v>
      </c>
      <c r="H301" s="3">
        <v>11510</v>
      </c>
      <c r="I301" s="3">
        <v>11500</v>
      </c>
      <c r="J301" s="3">
        <v>11900</v>
      </c>
      <c r="K301" s="3">
        <v>11900</v>
      </c>
      <c r="L301" s="3">
        <v>12040</v>
      </c>
      <c r="M301" s="3">
        <v>12040</v>
      </c>
      <c r="N301" s="3">
        <v>12645</v>
      </c>
      <c r="O301" s="3">
        <v>12655</v>
      </c>
      <c r="P301" s="3">
        <v>12500</v>
      </c>
      <c r="Q301" s="3">
        <v>12510</v>
      </c>
      <c r="R301" s="3">
        <v>12550</v>
      </c>
      <c r="S301" s="3">
        <v>12555</v>
      </c>
      <c r="T301" s="3">
        <v>12165</v>
      </c>
      <c r="U301" s="3">
        <v>12155</v>
      </c>
      <c r="V301" s="3">
        <v>12700</v>
      </c>
      <c r="W301" s="3">
        <v>12710</v>
      </c>
      <c r="X301" s="3">
        <v>12650</v>
      </c>
      <c r="Y301" s="3">
        <v>12660</v>
      </c>
      <c r="Z301" s="3">
        <v>12710</v>
      </c>
      <c r="AA301" s="3">
        <v>12720</v>
      </c>
      <c r="AB301" s="3">
        <v>13200</v>
      </c>
      <c r="AC301" s="3">
        <v>13215</v>
      </c>
      <c r="AD301" s="3">
        <v>13330</v>
      </c>
      <c r="AE301" s="3">
        <v>13330</v>
      </c>
      <c r="AF301" s="3">
        <v>13855</v>
      </c>
      <c r="AG301" s="3">
        <v>13860</v>
      </c>
      <c r="AH301" s="3">
        <v>13865</v>
      </c>
      <c r="AI301" s="3">
        <v>13870</v>
      </c>
      <c r="AJ301" s="3">
        <v>13710</v>
      </c>
      <c r="AK301" s="3">
        <v>13720</v>
      </c>
      <c r="AL301" s="3">
        <v>13650</v>
      </c>
      <c r="AM301" s="3">
        <v>13660</v>
      </c>
      <c r="AN301" s="3">
        <v>13400</v>
      </c>
      <c r="AO301" s="3">
        <v>13395</v>
      </c>
      <c r="AP301" s="3">
        <v>13450</v>
      </c>
      <c r="AQ301" s="3">
        <v>13460</v>
      </c>
      <c r="AR301" s="4">
        <f t="shared" si="131"/>
        <v>1.3876843018213458E-2</v>
      </c>
      <c r="AS301" s="4">
        <f t="shared" si="108"/>
        <v>8.658008658009031E-4</v>
      </c>
      <c r="AT301" s="4">
        <f t="shared" si="109"/>
        <v>1.4084507042253502E-2</v>
      </c>
      <c r="AU301" s="4">
        <f t="shared" si="110"/>
        <v>2.3769100169779289E-2</v>
      </c>
      <c r="AV301" s="4">
        <f t="shared" si="111"/>
        <v>1.7964071856287456E-2</v>
      </c>
      <c r="AW301" s="4">
        <f t="shared" si="112"/>
        <v>1.5177065767284947E-2</v>
      </c>
      <c r="AX301" s="4">
        <f t="shared" si="113"/>
        <v>4.4572843582336041E-2</v>
      </c>
      <c r="AY301" s="4">
        <f t="shared" si="114"/>
        <v>2.1126760563380254E-2</v>
      </c>
      <c r="AZ301" s="4">
        <f t="shared" si="115"/>
        <v>7.971303308091926E-4</v>
      </c>
      <c r="BA301" s="4">
        <f t="shared" si="116"/>
        <v>1.7777777777777781E-2</v>
      </c>
      <c r="BB301" s="4">
        <f t="shared" si="117"/>
        <v>3.0401297122010451E-2</v>
      </c>
      <c r="BC301" s="4">
        <f t="shared" si="118"/>
        <v>1.9786307874951614E-3</v>
      </c>
      <c r="BD301" s="4">
        <f t="shared" si="119"/>
        <v>9.3457943925233655E-3</v>
      </c>
      <c r="BE301" s="4">
        <f t="shared" si="120"/>
        <v>1.9282684149633633E-2</v>
      </c>
      <c r="BF301" s="4">
        <f t="shared" si="121"/>
        <v>1.8334606569900602E-2</v>
      </c>
      <c r="BG301" s="4">
        <f t="shared" si="122"/>
        <v>3.937007874015741E-2</v>
      </c>
      <c r="BH301" s="4">
        <f t="shared" si="123"/>
        <v>2.8756290438533005E-3</v>
      </c>
      <c r="BI301" s="4">
        <f t="shared" si="124"/>
        <v>1.1171171171171168E-2</v>
      </c>
      <c r="BJ301" s="4">
        <f t="shared" si="125"/>
        <v>4.3731778425656342E-3</v>
      </c>
      <c r="BK301" s="4">
        <f t="shared" si="126"/>
        <v>2.1191085129704024E-2</v>
      </c>
      <c r="BL301" s="4">
        <f t="shared" si="127"/>
        <v>3.7160906726119158E-4</v>
      </c>
      <c r="BM301" s="4">
        <f t="shared" si="132"/>
        <v>1.6819862212662327E-2</v>
      </c>
      <c r="BN301" s="9">
        <f t="shared" si="133"/>
        <v>13681.311246071371</v>
      </c>
      <c r="BO301" s="10">
        <f t="shared" si="134"/>
        <v>13100.875336016275</v>
      </c>
      <c r="BP301">
        <v>13855</v>
      </c>
      <c r="BQ301">
        <v>13860</v>
      </c>
      <c r="BR301">
        <v>13850</v>
      </c>
      <c r="BS301">
        <v>13860</v>
      </c>
      <c r="BT301">
        <v>9674</v>
      </c>
      <c r="BU301" s="13">
        <f t="shared" si="128"/>
        <v>13856.666666666666</v>
      </c>
      <c r="BV301" s="13">
        <f t="shared" si="129"/>
        <v>134049393.33333333</v>
      </c>
      <c r="BW301" s="13">
        <f>SUM($BV$3:BV301)</f>
        <v>214292725436.66672</v>
      </c>
      <c r="BX301" s="13">
        <f>SUM($BT$3:BT301)</f>
        <v>15634174</v>
      </c>
      <c r="BY301" s="3">
        <f t="shared" si="130"/>
        <v>13706.686738721644</v>
      </c>
    </row>
    <row r="302" spans="1:77" x14ac:dyDescent="0.3">
      <c r="A302" s="3" t="s">
        <v>342</v>
      </c>
      <c r="B302" s="3">
        <v>11685</v>
      </c>
      <c r="C302" s="3">
        <v>11695</v>
      </c>
      <c r="D302" s="3">
        <v>11540</v>
      </c>
      <c r="E302" s="3">
        <v>11535</v>
      </c>
      <c r="F302" s="3">
        <v>11520</v>
      </c>
      <c r="G302" s="3">
        <v>11520</v>
      </c>
      <c r="H302" s="3">
        <v>11505</v>
      </c>
      <c r="I302" s="3">
        <v>11500</v>
      </c>
      <c r="J302" s="3">
        <v>11900</v>
      </c>
      <c r="K302" s="3">
        <v>11895</v>
      </c>
      <c r="L302" s="3">
        <v>12040</v>
      </c>
      <c r="M302" s="3">
        <v>12040</v>
      </c>
      <c r="N302" s="3">
        <v>12660</v>
      </c>
      <c r="O302" s="3">
        <v>12660</v>
      </c>
      <c r="P302" s="3">
        <v>12510</v>
      </c>
      <c r="Q302" s="3">
        <v>12510</v>
      </c>
      <c r="R302" s="3">
        <v>12555</v>
      </c>
      <c r="S302" s="3">
        <v>12550</v>
      </c>
      <c r="T302" s="3">
        <v>12160</v>
      </c>
      <c r="U302" s="3">
        <v>12145</v>
      </c>
      <c r="V302" s="3">
        <v>12710</v>
      </c>
      <c r="W302" s="3">
        <v>12715</v>
      </c>
      <c r="X302" s="3">
        <v>12660</v>
      </c>
      <c r="Y302" s="3">
        <v>12650</v>
      </c>
      <c r="Z302" s="3">
        <v>12715</v>
      </c>
      <c r="AA302" s="3">
        <v>12720</v>
      </c>
      <c r="AB302" s="3">
        <v>13215</v>
      </c>
      <c r="AC302" s="3">
        <v>13225</v>
      </c>
      <c r="AD302" s="3">
        <v>13325</v>
      </c>
      <c r="AE302" s="3">
        <v>13325</v>
      </c>
      <c r="AF302" s="3">
        <v>13865</v>
      </c>
      <c r="AG302" s="3">
        <v>13845</v>
      </c>
      <c r="AH302" s="3">
        <v>13875</v>
      </c>
      <c r="AI302" s="3">
        <v>13875</v>
      </c>
      <c r="AJ302" s="3">
        <v>13725</v>
      </c>
      <c r="AK302" s="3">
        <v>13715</v>
      </c>
      <c r="AL302" s="3">
        <v>13660</v>
      </c>
      <c r="AM302" s="3">
        <v>13665</v>
      </c>
      <c r="AN302" s="3">
        <v>13395</v>
      </c>
      <c r="AO302" s="3">
        <v>13395</v>
      </c>
      <c r="AP302" s="3">
        <v>13460</v>
      </c>
      <c r="AQ302" s="3">
        <v>13455</v>
      </c>
      <c r="AR302" s="4">
        <f t="shared" si="131"/>
        <v>1.4310494362532511E-2</v>
      </c>
      <c r="AS302" s="4">
        <f t="shared" si="108"/>
        <v>1.2987012987012436E-3</v>
      </c>
      <c r="AT302" s="4">
        <f t="shared" si="109"/>
        <v>1.4084507042253502E-2</v>
      </c>
      <c r="AU302" s="4">
        <f t="shared" si="110"/>
        <v>2.3769100169779289E-2</v>
      </c>
      <c r="AV302" s="4">
        <f t="shared" si="111"/>
        <v>1.7536355859709252E-2</v>
      </c>
      <c r="AW302" s="4">
        <f t="shared" si="112"/>
        <v>1.5177065767284947E-2</v>
      </c>
      <c r="AX302" s="4">
        <f t="shared" si="113"/>
        <v>4.4985555096987095E-2</v>
      </c>
      <c r="AY302" s="4">
        <f t="shared" si="114"/>
        <v>2.1126760563380254E-2</v>
      </c>
      <c r="AZ302" s="4">
        <f t="shared" si="115"/>
        <v>3.985651654045963E-4</v>
      </c>
      <c r="BA302" s="4">
        <f t="shared" si="116"/>
        <v>1.8585858585858595E-2</v>
      </c>
      <c r="BB302" s="4">
        <f t="shared" si="117"/>
        <v>3.080664775030395E-2</v>
      </c>
      <c r="BC302" s="4">
        <f t="shared" si="118"/>
        <v>1.1871784724970524E-3</v>
      </c>
      <c r="BD302" s="4">
        <f t="shared" si="119"/>
        <v>9.3457943925233655E-3</v>
      </c>
      <c r="BE302" s="4">
        <f t="shared" si="120"/>
        <v>2.0053991515619041E-2</v>
      </c>
      <c r="BF302" s="4">
        <f t="shared" si="121"/>
        <v>1.79526355996944E-2</v>
      </c>
      <c r="BG302" s="4">
        <f t="shared" si="122"/>
        <v>3.8245219347581516E-2</v>
      </c>
      <c r="BH302" s="4">
        <f t="shared" si="123"/>
        <v>2.5161754133716796E-3</v>
      </c>
      <c r="BI302" s="4">
        <f t="shared" si="124"/>
        <v>1.1531531531531525E-2</v>
      </c>
      <c r="BJ302" s="4">
        <f t="shared" si="125"/>
        <v>4.0087463556851555E-3</v>
      </c>
      <c r="BK302" s="4">
        <f t="shared" si="126"/>
        <v>2.1191085129704024E-2</v>
      </c>
      <c r="BL302" s="4">
        <f t="shared" si="127"/>
        <v>0</v>
      </c>
      <c r="BM302" s="4">
        <f t="shared" si="132"/>
        <v>1.6879194091428327E-2</v>
      </c>
      <c r="BN302" s="9">
        <f t="shared" si="133"/>
        <v>13682.109556500169</v>
      </c>
      <c r="BO302" s="10">
        <f t="shared" si="134"/>
        <v>13100.084738731717</v>
      </c>
      <c r="BP302">
        <v>13865</v>
      </c>
      <c r="BQ302">
        <v>13865</v>
      </c>
      <c r="BR302">
        <v>13845</v>
      </c>
      <c r="BS302">
        <v>13845</v>
      </c>
      <c r="BT302">
        <v>26589</v>
      </c>
      <c r="BU302" s="13">
        <f t="shared" si="128"/>
        <v>13851.666666666666</v>
      </c>
      <c r="BV302" s="13">
        <f t="shared" si="129"/>
        <v>368301965</v>
      </c>
      <c r="BW302" s="13">
        <f>SUM($BV$3:BV302)</f>
        <v>214661027401.66672</v>
      </c>
      <c r="BX302" s="13">
        <f>SUM($BT$3:BT302)</f>
        <v>15660763</v>
      </c>
      <c r="BY302" s="3">
        <f t="shared" si="130"/>
        <v>13706.93288709284</v>
      </c>
    </row>
    <row r="303" spans="1:77" x14ac:dyDescent="0.3">
      <c r="A303" s="3" t="s">
        <v>343</v>
      </c>
      <c r="B303" s="3">
        <v>11695</v>
      </c>
      <c r="C303" s="3">
        <v>11695</v>
      </c>
      <c r="D303" s="3">
        <v>11535</v>
      </c>
      <c r="E303" s="3">
        <v>11545</v>
      </c>
      <c r="F303" s="3">
        <v>11520</v>
      </c>
      <c r="G303" s="3">
        <v>11520</v>
      </c>
      <c r="H303" s="3">
        <v>11500</v>
      </c>
      <c r="I303" s="3">
        <v>11495</v>
      </c>
      <c r="J303" s="3">
        <v>11895</v>
      </c>
      <c r="K303" s="3">
        <v>11895</v>
      </c>
      <c r="L303" s="3">
        <v>12040</v>
      </c>
      <c r="M303" s="3">
        <v>12050</v>
      </c>
      <c r="N303" s="3">
        <v>12660</v>
      </c>
      <c r="O303" s="3">
        <v>12660</v>
      </c>
      <c r="P303" s="3">
        <v>12510</v>
      </c>
      <c r="Q303" s="3">
        <v>12500</v>
      </c>
      <c r="R303" s="3">
        <v>12550</v>
      </c>
      <c r="S303" s="3">
        <v>12560</v>
      </c>
      <c r="T303" s="3">
        <v>12150</v>
      </c>
      <c r="U303" s="3">
        <v>12155</v>
      </c>
      <c r="V303" s="3">
        <v>12715</v>
      </c>
      <c r="W303" s="3">
        <v>12710</v>
      </c>
      <c r="X303" s="3">
        <v>12650</v>
      </c>
      <c r="Y303" s="3">
        <v>12675</v>
      </c>
      <c r="Z303" s="3">
        <v>12720</v>
      </c>
      <c r="AA303" s="3">
        <v>12740</v>
      </c>
      <c r="AB303" s="3">
        <v>13225</v>
      </c>
      <c r="AC303" s="3">
        <v>13210</v>
      </c>
      <c r="AD303" s="3">
        <v>13325</v>
      </c>
      <c r="AE303" s="3">
        <v>13320</v>
      </c>
      <c r="AF303" s="3">
        <v>13850</v>
      </c>
      <c r="AG303" s="3">
        <v>13835</v>
      </c>
      <c r="AH303" s="3">
        <v>13870</v>
      </c>
      <c r="AI303" s="3">
        <v>13860</v>
      </c>
      <c r="AJ303" s="3">
        <v>13720</v>
      </c>
      <c r="AK303" s="3">
        <v>13725</v>
      </c>
      <c r="AL303" s="3">
        <v>13665</v>
      </c>
      <c r="AM303" s="3">
        <v>13665</v>
      </c>
      <c r="AN303" s="3">
        <v>13390</v>
      </c>
      <c r="AO303" s="3">
        <v>13405</v>
      </c>
      <c r="AP303" s="3">
        <v>13450</v>
      </c>
      <c r="AQ303" s="3">
        <v>13440</v>
      </c>
      <c r="AR303" s="4">
        <f t="shared" si="131"/>
        <v>1.4310494362532511E-2</v>
      </c>
      <c r="AS303" s="4">
        <f t="shared" si="108"/>
        <v>4.3290043290045155E-4</v>
      </c>
      <c r="AT303" s="4">
        <f t="shared" si="109"/>
        <v>1.4084507042253502E-2</v>
      </c>
      <c r="AU303" s="4">
        <f t="shared" si="110"/>
        <v>2.4193548387096753E-2</v>
      </c>
      <c r="AV303" s="4">
        <f t="shared" si="111"/>
        <v>1.7536355859709252E-2</v>
      </c>
      <c r="AW303" s="4">
        <f t="shared" si="112"/>
        <v>1.6020236087689765E-2</v>
      </c>
      <c r="AX303" s="4">
        <f t="shared" si="113"/>
        <v>4.4985555096987095E-2</v>
      </c>
      <c r="AY303" s="4">
        <f t="shared" si="114"/>
        <v>2.1909233176838794E-2</v>
      </c>
      <c r="AZ303" s="4">
        <f t="shared" si="115"/>
        <v>1.1956954962135669E-3</v>
      </c>
      <c r="BA303" s="4">
        <f t="shared" si="116"/>
        <v>1.7777777777777781E-2</v>
      </c>
      <c r="BB303" s="4">
        <f t="shared" si="117"/>
        <v>3.0401297122010451E-2</v>
      </c>
      <c r="BC303" s="4">
        <f t="shared" si="118"/>
        <v>3.1658092599919918E-3</v>
      </c>
      <c r="BD303" s="4">
        <f t="shared" si="119"/>
        <v>7.7881619937694158E-3</v>
      </c>
      <c r="BE303" s="4">
        <f t="shared" si="120"/>
        <v>1.8897030466640929E-2</v>
      </c>
      <c r="BF303" s="4">
        <f t="shared" si="121"/>
        <v>1.7570664629488197E-2</v>
      </c>
      <c r="BG303" s="4">
        <f t="shared" si="122"/>
        <v>3.7495313085864179E-2</v>
      </c>
      <c r="BH303" s="4">
        <f t="shared" si="123"/>
        <v>3.5945363048166534E-3</v>
      </c>
      <c r="BI303" s="4">
        <f t="shared" si="124"/>
        <v>1.0810810810810811E-2</v>
      </c>
      <c r="BJ303" s="4">
        <f t="shared" si="125"/>
        <v>4.0087463556851555E-3</v>
      </c>
      <c r="BK303" s="4">
        <f t="shared" si="126"/>
        <v>2.0460358056266004E-2</v>
      </c>
      <c r="BL303" s="4">
        <f t="shared" si="127"/>
        <v>1.1148272017836858E-3</v>
      </c>
      <c r="BM303" s="4">
        <f t="shared" si="132"/>
        <v>1.6854198059240568E-2</v>
      </c>
      <c r="BN303" s="9">
        <f t="shared" si="133"/>
        <v>13681.773234887081</v>
      </c>
      <c r="BO303" s="10">
        <f t="shared" si="134"/>
        <v>13100.417810860619</v>
      </c>
      <c r="BP303">
        <v>13850</v>
      </c>
      <c r="BQ303">
        <v>13850</v>
      </c>
      <c r="BR303">
        <v>13835</v>
      </c>
      <c r="BS303">
        <v>13835</v>
      </c>
      <c r="BT303">
        <v>20390</v>
      </c>
      <c r="BU303" s="13">
        <f t="shared" si="128"/>
        <v>13840</v>
      </c>
      <c r="BV303" s="13">
        <f t="shared" si="129"/>
        <v>282197600</v>
      </c>
      <c r="BW303" s="13">
        <f>SUM($BV$3:BV303)</f>
        <v>214943225001.66672</v>
      </c>
      <c r="BX303" s="13">
        <f>SUM($BT$3:BT303)</f>
        <v>15681153</v>
      </c>
      <c r="BY303" s="3">
        <f t="shared" si="130"/>
        <v>13707.105912535049</v>
      </c>
    </row>
    <row r="304" spans="1:77" x14ac:dyDescent="0.3">
      <c r="A304" s="3" t="s">
        <v>344</v>
      </c>
      <c r="B304" s="3">
        <v>11695</v>
      </c>
      <c r="C304" s="3">
        <v>11695</v>
      </c>
      <c r="D304" s="3">
        <v>11545</v>
      </c>
      <c r="E304" s="3">
        <v>11535</v>
      </c>
      <c r="F304" s="3">
        <v>11520</v>
      </c>
      <c r="G304" s="3">
        <v>11535</v>
      </c>
      <c r="H304" s="3">
        <v>11495</v>
      </c>
      <c r="I304" s="3">
        <v>11490</v>
      </c>
      <c r="J304" s="3">
        <v>11895</v>
      </c>
      <c r="K304" s="3">
        <v>11900</v>
      </c>
      <c r="L304" s="3">
        <v>12050</v>
      </c>
      <c r="M304" s="3">
        <v>12060</v>
      </c>
      <c r="N304" s="3">
        <v>12660</v>
      </c>
      <c r="O304" s="3">
        <v>12650</v>
      </c>
      <c r="P304" s="3">
        <v>12500</v>
      </c>
      <c r="Q304" s="3">
        <v>12505</v>
      </c>
      <c r="R304" s="3">
        <v>12565</v>
      </c>
      <c r="S304" s="3">
        <v>12560</v>
      </c>
      <c r="T304" s="3">
        <v>12155</v>
      </c>
      <c r="U304" s="3">
        <v>12140</v>
      </c>
      <c r="V304" s="3">
        <v>12710</v>
      </c>
      <c r="W304" s="3">
        <v>12710</v>
      </c>
      <c r="X304" s="3">
        <v>12680</v>
      </c>
      <c r="Y304" s="3">
        <v>12675</v>
      </c>
      <c r="Z304" s="3">
        <v>12740</v>
      </c>
      <c r="AA304" s="3">
        <v>12755</v>
      </c>
      <c r="AB304" s="3">
        <v>13210</v>
      </c>
      <c r="AC304" s="3">
        <v>13215</v>
      </c>
      <c r="AD304" s="3">
        <v>13320</v>
      </c>
      <c r="AE304" s="3">
        <v>13325</v>
      </c>
      <c r="AF304" s="3">
        <v>13840</v>
      </c>
      <c r="AG304" s="3">
        <v>13805</v>
      </c>
      <c r="AH304" s="3">
        <v>13855</v>
      </c>
      <c r="AI304" s="3">
        <v>13845</v>
      </c>
      <c r="AJ304" s="3">
        <v>13725</v>
      </c>
      <c r="AK304" s="3">
        <v>13725</v>
      </c>
      <c r="AL304" s="3">
        <v>13670</v>
      </c>
      <c r="AM304" s="3">
        <v>13655</v>
      </c>
      <c r="AN304" s="3">
        <v>13405</v>
      </c>
      <c r="AO304" s="3">
        <v>13405</v>
      </c>
      <c r="AP304" s="3">
        <v>13440</v>
      </c>
      <c r="AQ304" s="3">
        <v>13450</v>
      </c>
      <c r="AR304" s="4">
        <f t="shared" si="131"/>
        <v>1.4310494362532511E-2</v>
      </c>
      <c r="AS304" s="4">
        <f t="shared" si="108"/>
        <v>1.2987012987012436E-3</v>
      </c>
      <c r="AT304" s="4">
        <f t="shared" si="109"/>
        <v>1.5404929577464754E-2</v>
      </c>
      <c r="AU304" s="4">
        <f t="shared" si="110"/>
        <v>2.4617996604414216E-2</v>
      </c>
      <c r="AV304" s="4">
        <f t="shared" si="111"/>
        <v>1.7964071856287456E-2</v>
      </c>
      <c r="AW304" s="4">
        <f t="shared" si="112"/>
        <v>1.6863406408094361E-2</v>
      </c>
      <c r="AX304" s="4">
        <f t="shared" si="113"/>
        <v>4.4160132067684765E-2</v>
      </c>
      <c r="AY304" s="4">
        <f t="shared" si="114"/>
        <v>2.1517996870109579E-2</v>
      </c>
      <c r="AZ304" s="4">
        <f t="shared" si="115"/>
        <v>1.1956954962135669E-3</v>
      </c>
      <c r="BA304" s="4">
        <f t="shared" si="116"/>
        <v>1.8989898989899001E-2</v>
      </c>
      <c r="BB304" s="4">
        <f t="shared" si="117"/>
        <v>3.0401297122010451E-2</v>
      </c>
      <c r="BC304" s="4">
        <f t="shared" si="118"/>
        <v>3.1658092599919918E-3</v>
      </c>
      <c r="BD304" s="4">
        <f t="shared" si="119"/>
        <v>6.6199376947040367E-3</v>
      </c>
      <c r="BE304" s="4">
        <f t="shared" si="120"/>
        <v>1.9282684149633633E-2</v>
      </c>
      <c r="BF304" s="4">
        <f t="shared" si="121"/>
        <v>1.79526355996944E-2</v>
      </c>
      <c r="BG304" s="4">
        <f t="shared" si="122"/>
        <v>3.5245594300712391E-2</v>
      </c>
      <c r="BH304" s="4">
        <f t="shared" si="123"/>
        <v>4.6728971962616273E-3</v>
      </c>
      <c r="BI304" s="4">
        <f t="shared" si="124"/>
        <v>1.0810810810810811E-2</v>
      </c>
      <c r="BJ304" s="4">
        <f t="shared" si="125"/>
        <v>4.737609329446113E-3</v>
      </c>
      <c r="BK304" s="4">
        <f t="shared" si="126"/>
        <v>2.0460358056266004E-2</v>
      </c>
      <c r="BL304" s="4">
        <f t="shared" si="127"/>
        <v>3.7160906726119158E-4</v>
      </c>
      <c r="BM304" s="4">
        <f t="shared" si="132"/>
        <v>1.7102513785350246E-2</v>
      </c>
      <c r="BN304" s="9">
        <f t="shared" si="133"/>
        <v>13685.114322981886</v>
      </c>
      <c r="BO304" s="10">
        <f t="shared" si="134"/>
        <v>13097.109003810208</v>
      </c>
      <c r="BP304">
        <v>13840</v>
      </c>
      <c r="BQ304">
        <v>13840</v>
      </c>
      <c r="BR304">
        <v>13800</v>
      </c>
      <c r="BS304">
        <v>13805</v>
      </c>
      <c r="BT304">
        <v>109081</v>
      </c>
      <c r="BU304" s="13">
        <f t="shared" si="128"/>
        <v>13815</v>
      </c>
      <c r="BV304" s="13">
        <f t="shared" si="129"/>
        <v>1506954015</v>
      </c>
      <c r="BW304" s="13">
        <f>SUM($BV$3:BV304)</f>
        <v>216450179016.66672</v>
      </c>
      <c r="BX304" s="13">
        <f>SUM($BT$3:BT304)</f>
        <v>15790234</v>
      </c>
      <c r="BY304" s="3">
        <f t="shared" si="130"/>
        <v>13707.851258991268</v>
      </c>
    </row>
    <row r="305" spans="1:77" x14ac:dyDescent="0.3">
      <c r="A305" s="3" t="s">
        <v>345</v>
      </c>
      <c r="B305" s="3">
        <v>11690</v>
      </c>
      <c r="C305" s="3">
        <v>11700</v>
      </c>
      <c r="D305" s="3">
        <v>11535</v>
      </c>
      <c r="E305" s="3">
        <v>11535</v>
      </c>
      <c r="F305" s="3">
        <v>11535</v>
      </c>
      <c r="G305" s="3">
        <v>11540</v>
      </c>
      <c r="H305" s="3">
        <v>11490</v>
      </c>
      <c r="I305" s="3">
        <v>11490</v>
      </c>
      <c r="J305" s="3">
        <v>11900</v>
      </c>
      <c r="K305" s="3">
        <v>11885</v>
      </c>
      <c r="L305" s="3">
        <v>12055</v>
      </c>
      <c r="M305" s="3">
        <v>12045</v>
      </c>
      <c r="N305" s="3">
        <v>12650</v>
      </c>
      <c r="O305" s="3">
        <v>12660</v>
      </c>
      <c r="P305" s="3">
        <v>12505</v>
      </c>
      <c r="Q305" s="3">
        <v>12515</v>
      </c>
      <c r="R305" s="3">
        <v>12560</v>
      </c>
      <c r="S305" s="3">
        <v>12555</v>
      </c>
      <c r="T305" s="3">
        <v>12140</v>
      </c>
      <c r="U305" s="3">
        <v>12145</v>
      </c>
      <c r="V305" s="3">
        <v>12710</v>
      </c>
      <c r="W305" s="3">
        <v>12705</v>
      </c>
      <c r="X305" s="3">
        <v>12675</v>
      </c>
      <c r="Y305" s="3">
        <v>12645</v>
      </c>
      <c r="Z305" s="3">
        <v>12750</v>
      </c>
      <c r="AA305" s="3">
        <v>12750</v>
      </c>
      <c r="AB305" s="3">
        <v>13210</v>
      </c>
      <c r="AC305" s="3">
        <v>13215</v>
      </c>
      <c r="AD305" s="3">
        <v>13320</v>
      </c>
      <c r="AE305" s="3">
        <v>13330</v>
      </c>
      <c r="AF305" s="3">
        <v>13810</v>
      </c>
      <c r="AG305" s="3">
        <v>13795</v>
      </c>
      <c r="AH305" s="3">
        <v>13845</v>
      </c>
      <c r="AI305" s="3">
        <v>13860</v>
      </c>
      <c r="AJ305" s="3">
        <v>13725</v>
      </c>
      <c r="AK305" s="3">
        <v>13735</v>
      </c>
      <c r="AL305" s="3">
        <v>13655</v>
      </c>
      <c r="AM305" s="3">
        <v>13650</v>
      </c>
      <c r="AN305" s="3">
        <v>13400</v>
      </c>
      <c r="AO305" s="3">
        <v>13400</v>
      </c>
      <c r="AP305" s="3">
        <v>13450</v>
      </c>
      <c r="AQ305" s="3">
        <v>13460</v>
      </c>
      <c r="AR305" s="4">
        <f t="shared" si="131"/>
        <v>1.4744145706851786E-2</v>
      </c>
      <c r="AS305" s="4">
        <f t="shared" si="108"/>
        <v>1.2987012987012436E-3</v>
      </c>
      <c r="AT305" s="4">
        <f t="shared" si="109"/>
        <v>1.5845070422535246E-2</v>
      </c>
      <c r="AU305" s="4">
        <f t="shared" si="110"/>
        <v>2.4617996604414216E-2</v>
      </c>
      <c r="AV305" s="4">
        <f t="shared" si="111"/>
        <v>1.6680923866552622E-2</v>
      </c>
      <c r="AW305" s="4">
        <f t="shared" si="112"/>
        <v>1.5598650927487245E-2</v>
      </c>
      <c r="AX305" s="4">
        <f t="shared" si="113"/>
        <v>4.4985555096987095E-2</v>
      </c>
      <c r="AY305" s="4">
        <f t="shared" si="114"/>
        <v>2.0735524256651039E-2</v>
      </c>
      <c r="AZ305" s="4">
        <f t="shared" si="115"/>
        <v>7.971303308091926E-4</v>
      </c>
      <c r="BA305" s="4">
        <f t="shared" si="116"/>
        <v>1.8585858585858595E-2</v>
      </c>
      <c r="BB305" s="4">
        <f t="shared" si="117"/>
        <v>2.9995946493717174E-2</v>
      </c>
      <c r="BC305" s="4">
        <f t="shared" si="118"/>
        <v>7.9145231499810897E-4</v>
      </c>
      <c r="BD305" s="4">
        <f t="shared" si="119"/>
        <v>7.0093457943924964E-3</v>
      </c>
      <c r="BE305" s="4">
        <f t="shared" si="120"/>
        <v>1.9282684149633633E-2</v>
      </c>
      <c r="BF305" s="4">
        <f t="shared" si="121"/>
        <v>1.8334606569900602E-2</v>
      </c>
      <c r="BG305" s="4">
        <f t="shared" si="122"/>
        <v>3.4495688038995054E-2</v>
      </c>
      <c r="BH305" s="4">
        <f t="shared" si="123"/>
        <v>3.5945363048166534E-3</v>
      </c>
      <c r="BI305" s="4">
        <f t="shared" si="124"/>
        <v>1.0090090090090098E-2</v>
      </c>
      <c r="BJ305" s="4">
        <f t="shared" si="125"/>
        <v>5.1020408163264808E-3</v>
      </c>
      <c r="BK305" s="4">
        <f t="shared" si="126"/>
        <v>2.0825721592985014E-2</v>
      </c>
      <c r="BL305" s="4">
        <f t="shared" si="127"/>
        <v>3.7160906726119158E-4</v>
      </c>
      <c r="BM305" s="4">
        <f t="shared" si="132"/>
        <v>1.6754246193759894E-2</v>
      </c>
      <c r="BN305" s="9">
        <f t="shared" si="133"/>
        <v>13680.42838253704</v>
      </c>
      <c r="BO305" s="10">
        <f t="shared" si="134"/>
        <v>13101.74966946815</v>
      </c>
      <c r="BP305">
        <v>13810</v>
      </c>
      <c r="BQ305">
        <v>13810</v>
      </c>
      <c r="BR305">
        <v>13790</v>
      </c>
      <c r="BS305">
        <v>13795</v>
      </c>
      <c r="BT305">
        <v>171264</v>
      </c>
      <c r="BU305" s="13">
        <f t="shared" si="128"/>
        <v>13798.333333333334</v>
      </c>
      <c r="BV305" s="13">
        <f t="shared" si="129"/>
        <v>2363157760</v>
      </c>
      <c r="BW305" s="13">
        <f>SUM($BV$3:BV305)</f>
        <v>218813336776.66672</v>
      </c>
      <c r="BX305" s="13">
        <f>SUM($BT$3:BT305)</f>
        <v>15961498</v>
      </c>
      <c r="BY305" s="3">
        <f t="shared" si="130"/>
        <v>13708.822115359519</v>
      </c>
    </row>
    <row r="306" spans="1:77" x14ac:dyDescent="0.3">
      <c r="A306" s="3" t="s">
        <v>346</v>
      </c>
      <c r="B306" s="3">
        <v>11700</v>
      </c>
      <c r="C306" s="3">
        <v>11735</v>
      </c>
      <c r="D306" s="3">
        <v>11530</v>
      </c>
      <c r="E306" s="3">
        <v>11530</v>
      </c>
      <c r="F306" s="3">
        <v>11540</v>
      </c>
      <c r="G306" s="3">
        <v>11525</v>
      </c>
      <c r="H306" s="3">
        <v>11485</v>
      </c>
      <c r="I306" s="3">
        <v>11465</v>
      </c>
      <c r="J306" s="3">
        <v>11890</v>
      </c>
      <c r="K306" s="3">
        <v>11880</v>
      </c>
      <c r="L306" s="3">
        <v>12045</v>
      </c>
      <c r="M306" s="3">
        <v>12055</v>
      </c>
      <c r="N306" s="3">
        <v>12660</v>
      </c>
      <c r="O306" s="3">
        <v>12655</v>
      </c>
      <c r="P306" s="3">
        <v>12520</v>
      </c>
      <c r="Q306" s="3">
        <v>12520</v>
      </c>
      <c r="R306" s="3">
        <v>12555</v>
      </c>
      <c r="S306" s="3">
        <v>12555</v>
      </c>
      <c r="T306" s="3">
        <v>12145</v>
      </c>
      <c r="U306" s="3">
        <v>12135</v>
      </c>
      <c r="V306" s="3">
        <v>12710</v>
      </c>
      <c r="W306" s="3">
        <v>12715</v>
      </c>
      <c r="X306" s="3">
        <v>12645</v>
      </c>
      <c r="Y306" s="3">
        <v>12650</v>
      </c>
      <c r="Z306" s="3">
        <v>12755</v>
      </c>
      <c r="AA306" s="3">
        <v>12755</v>
      </c>
      <c r="AB306" s="3">
        <v>13215</v>
      </c>
      <c r="AC306" s="3">
        <v>13210</v>
      </c>
      <c r="AD306" s="3">
        <v>13325</v>
      </c>
      <c r="AE306" s="3">
        <v>13340</v>
      </c>
      <c r="AF306" s="3">
        <v>13800</v>
      </c>
      <c r="AG306" s="3">
        <v>13810</v>
      </c>
      <c r="AH306" s="3">
        <v>13865</v>
      </c>
      <c r="AI306" s="3">
        <v>13855</v>
      </c>
      <c r="AJ306" s="3">
        <v>13730</v>
      </c>
      <c r="AK306" s="3">
        <v>13730</v>
      </c>
      <c r="AL306" s="3">
        <v>13650</v>
      </c>
      <c r="AM306" s="3">
        <v>13650</v>
      </c>
      <c r="AN306" s="3">
        <v>13400</v>
      </c>
      <c r="AO306" s="3">
        <v>13400</v>
      </c>
      <c r="AP306" s="3">
        <v>13460</v>
      </c>
      <c r="AQ306" s="3">
        <v>13450</v>
      </c>
      <c r="AR306" s="4">
        <f t="shared" si="131"/>
        <v>1.777970511708582E-2</v>
      </c>
      <c r="AS306" s="4">
        <f t="shared" si="108"/>
        <v>1.7316017316016952E-3</v>
      </c>
      <c r="AT306" s="4">
        <f t="shared" si="109"/>
        <v>1.4524647887323994E-2</v>
      </c>
      <c r="AU306" s="4">
        <f t="shared" si="110"/>
        <v>2.6740237691001645E-2</v>
      </c>
      <c r="AV306" s="4">
        <f t="shared" si="111"/>
        <v>1.6253207869974418E-2</v>
      </c>
      <c r="AW306" s="4">
        <f t="shared" si="112"/>
        <v>1.6441821247892063E-2</v>
      </c>
      <c r="AX306" s="4">
        <f t="shared" si="113"/>
        <v>4.4572843582336041E-2</v>
      </c>
      <c r="AY306" s="4">
        <f t="shared" si="114"/>
        <v>2.0344287949921713E-2</v>
      </c>
      <c r="AZ306" s="4">
        <f t="shared" si="115"/>
        <v>7.971303308091926E-4</v>
      </c>
      <c r="BA306" s="4">
        <f t="shared" si="116"/>
        <v>1.9393939393939408E-2</v>
      </c>
      <c r="BB306" s="4">
        <f t="shared" si="117"/>
        <v>3.080664775030395E-2</v>
      </c>
      <c r="BC306" s="4">
        <f t="shared" si="118"/>
        <v>1.1871784724970524E-3</v>
      </c>
      <c r="BD306" s="4">
        <f t="shared" si="119"/>
        <v>6.6199376947040367E-3</v>
      </c>
      <c r="BE306" s="4">
        <f t="shared" si="120"/>
        <v>1.8897030466640929E-2</v>
      </c>
      <c r="BF306" s="4">
        <f t="shared" si="121"/>
        <v>1.9098548510313229E-2</v>
      </c>
      <c r="BG306" s="4">
        <f t="shared" si="122"/>
        <v>3.5620547431570948E-2</v>
      </c>
      <c r="BH306" s="4">
        <f t="shared" si="123"/>
        <v>3.9539899352983854E-3</v>
      </c>
      <c r="BI306" s="4">
        <f t="shared" si="124"/>
        <v>1.0450450450450455E-2</v>
      </c>
      <c r="BJ306" s="4">
        <f t="shared" si="125"/>
        <v>5.1020408163264808E-3</v>
      </c>
      <c r="BK306" s="4">
        <f t="shared" si="126"/>
        <v>2.0825721592985014E-2</v>
      </c>
      <c r="BL306" s="4">
        <f t="shared" si="127"/>
        <v>3.7160906726119158E-4</v>
      </c>
      <c r="BM306" s="4">
        <f t="shared" si="132"/>
        <v>1.6957790041375671E-2</v>
      </c>
      <c r="BN306" s="9">
        <f t="shared" si="133"/>
        <v>13683.167065006712</v>
      </c>
      <c r="BO306" s="10">
        <f t="shared" si="134"/>
        <v>13099.037447698669</v>
      </c>
      <c r="BP306">
        <v>13800</v>
      </c>
      <c r="BQ306">
        <v>13810</v>
      </c>
      <c r="BR306">
        <v>13790</v>
      </c>
      <c r="BS306">
        <v>13810</v>
      </c>
      <c r="BT306">
        <v>37866</v>
      </c>
      <c r="BU306" s="13">
        <f t="shared" si="128"/>
        <v>13803.333333333334</v>
      </c>
      <c r="BV306" s="13">
        <f t="shared" si="129"/>
        <v>522677020</v>
      </c>
      <c r="BW306" s="13">
        <f>SUM($BV$3:BV306)</f>
        <v>219336013796.66672</v>
      </c>
      <c r="BX306" s="13">
        <f>SUM($BT$3:BT306)</f>
        <v>15999364</v>
      </c>
      <c r="BY306" s="3">
        <f t="shared" si="130"/>
        <v>13709.045796862096</v>
      </c>
    </row>
    <row r="307" spans="1:77" x14ac:dyDescent="0.3">
      <c r="A307" s="3" t="s">
        <v>347</v>
      </c>
      <c r="B307" s="3">
        <v>11730</v>
      </c>
      <c r="C307" s="3">
        <v>11735</v>
      </c>
      <c r="D307" s="3">
        <v>11530</v>
      </c>
      <c r="E307" s="3">
        <v>11535</v>
      </c>
      <c r="F307" s="3">
        <v>11530</v>
      </c>
      <c r="G307" s="3">
        <v>11530</v>
      </c>
      <c r="H307" s="3">
        <v>11465</v>
      </c>
      <c r="I307" s="3">
        <v>11480</v>
      </c>
      <c r="J307" s="3">
        <v>11880</v>
      </c>
      <c r="K307" s="3">
        <v>11890</v>
      </c>
      <c r="L307" s="3">
        <v>12050</v>
      </c>
      <c r="M307" s="3">
        <v>12040</v>
      </c>
      <c r="N307" s="3">
        <v>12655</v>
      </c>
      <c r="O307" s="3">
        <v>12660</v>
      </c>
      <c r="P307" s="3">
        <v>12520</v>
      </c>
      <c r="Q307" s="3">
        <v>12515</v>
      </c>
      <c r="R307" s="3">
        <v>12560</v>
      </c>
      <c r="S307" s="3">
        <v>12560</v>
      </c>
      <c r="T307" s="3">
        <v>12135</v>
      </c>
      <c r="U307" s="3">
        <v>12150</v>
      </c>
      <c r="V307" s="3">
        <v>12710</v>
      </c>
      <c r="W307" s="3">
        <v>12730</v>
      </c>
      <c r="X307" s="3">
        <v>12650</v>
      </c>
      <c r="Y307" s="3">
        <v>12645</v>
      </c>
      <c r="Z307" s="3">
        <v>12760</v>
      </c>
      <c r="AA307" s="3">
        <v>12740</v>
      </c>
      <c r="AB307" s="3">
        <v>13200</v>
      </c>
      <c r="AC307" s="3">
        <v>13225</v>
      </c>
      <c r="AD307" s="3">
        <v>13340</v>
      </c>
      <c r="AE307" s="3">
        <v>13340</v>
      </c>
      <c r="AF307" s="3">
        <v>13805</v>
      </c>
      <c r="AG307" s="3">
        <v>13825</v>
      </c>
      <c r="AH307" s="3">
        <v>13850</v>
      </c>
      <c r="AI307" s="3">
        <v>13835</v>
      </c>
      <c r="AJ307" s="3">
        <v>13725</v>
      </c>
      <c r="AK307" s="3">
        <v>13715</v>
      </c>
      <c r="AL307" s="3">
        <v>13645</v>
      </c>
      <c r="AM307" s="3">
        <v>13635</v>
      </c>
      <c r="AN307" s="3">
        <v>13395</v>
      </c>
      <c r="AO307" s="3">
        <v>13390</v>
      </c>
      <c r="AP307" s="3">
        <v>13445</v>
      </c>
      <c r="AQ307" s="3">
        <v>13445</v>
      </c>
      <c r="AR307" s="4">
        <f t="shared" si="131"/>
        <v>1.777970511708582E-2</v>
      </c>
      <c r="AS307" s="4">
        <f t="shared" si="108"/>
        <v>1.2987012987012436E-3</v>
      </c>
      <c r="AT307" s="4">
        <f t="shared" si="109"/>
        <v>1.4964788732394263E-2</v>
      </c>
      <c r="AU307" s="4">
        <f t="shared" si="110"/>
        <v>2.5466893039049254E-2</v>
      </c>
      <c r="AV307" s="4">
        <f t="shared" si="111"/>
        <v>1.7108639863130826E-2</v>
      </c>
      <c r="AW307" s="4">
        <f t="shared" si="112"/>
        <v>1.5177065767284947E-2</v>
      </c>
      <c r="AX307" s="4">
        <f t="shared" si="113"/>
        <v>4.4985555096987095E-2</v>
      </c>
      <c r="AY307" s="4">
        <f t="shared" si="114"/>
        <v>2.0735524256651039E-2</v>
      </c>
      <c r="AZ307" s="4">
        <f t="shared" si="115"/>
        <v>1.1956954962135669E-3</v>
      </c>
      <c r="BA307" s="4">
        <f t="shared" si="116"/>
        <v>1.8181818181818188E-2</v>
      </c>
      <c r="BB307" s="4">
        <f t="shared" si="117"/>
        <v>3.2022699635184448E-2</v>
      </c>
      <c r="BC307" s="4">
        <f t="shared" si="118"/>
        <v>7.9145231499810897E-4</v>
      </c>
      <c r="BD307" s="4">
        <f t="shared" si="119"/>
        <v>7.7881619937694158E-3</v>
      </c>
      <c r="BE307" s="4">
        <f t="shared" si="120"/>
        <v>2.0053991515619041E-2</v>
      </c>
      <c r="BF307" s="4">
        <f t="shared" si="121"/>
        <v>1.9098548510313229E-2</v>
      </c>
      <c r="BG307" s="4">
        <f t="shared" si="122"/>
        <v>3.6745406824147064E-2</v>
      </c>
      <c r="BH307" s="4">
        <f t="shared" si="123"/>
        <v>5.3918044572249801E-3</v>
      </c>
      <c r="BI307" s="4">
        <f t="shared" si="124"/>
        <v>1.1531531531531525E-2</v>
      </c>
      <c r="BJ307" s="4">
        <f t="shared" si="125"/>
        <v>6.1953352769679171E-3</v>
      </c>
      <c r="BK307" s="4">
        <f t="shared" si="126"/>
        <v>2.1556448666423145E-2</v>
      </c>
      <c r="BL307" s="4">
        <f t="shared" si="127"/>
        <v>7.4321813452249419E-4</v>
      </c>
      <c r="BM307" s="4">
        <f t="shared" si="132"/>
        <v>1.7062109693008191E-2</v>
      </c>
      <c r="BN307" s="9">
        <f t="shared" si="133"/>
        <v>13684.570685919425</v>
      </c>
      <c r="BO307" s="10">
        <f t="shared" si="134"/>
        <v>13097.647388340667</v>
      </c>
      <c r="BP307">
        <v>13805</v>
      </c>
      <c r="BQ307">
        <v>13825</v>
      </c>
      <c r="BR307">
        <v>13805</v>
      </c>
      <c r="BS307">
        <v>13825</v>
      </c>
      <c r="BT307">
        <v>13485</v>
      </c>
      <c r="BU307" s="13">
        <f t="shared" si="128"/>
        <v>13818.333333333334</v>
      </c>
      <c r="BV307" s="13">
        <f t="shared" si="129"/>
        <v>186340225</v>
      </c>
      <c r="BW307" s="13">
        <f>SUM($BV$3:BV307)</f>
        <v>219522354021.66672</v>
      </c>
      <c r="BX307" s="13">
        <f>SUM($BT$3:BT307)</f>
        <v>16012849</v>
      </c>
      <c r="BY307" s="3">
        <f t="shared" si="130"/>
        <v>13709.137831854077</v>
      </c>
    </row>
    <row r="308" spans="1:77" x14ac:dyDescent="0.3">
      <c r="A308" s="3" t="s">
        <v>348</v>
      </c>
      <c r="B308" s="3">
        <v>11735</v>
      </c>
      <c r="C308" s="3">
        <v>11745</v>
      </c>
      <c r="D308" s="3">
        <v>11535</v>
      </c>
      <c r="E308" s="3">
        <v>11530</v>
      </c>
      <c r="F308" s="3">
        <v>11530</v>
      </c>
      <c r="G308" s="3">
        <v>11540</v>
      </c>
      <c r="H308" s="3">
        <v>11485</v>
      </c>
      <c r="I308" s="3">
        <v>11495</v>
      </c>
      <c r="J308" s="3">
        <v>11895</v>
      </c>
      <c r="K308" s="3">
        <v>11895</v>
      </c>
      <c r="L308" s="3">
        <v>12040</v>
      </c>
      <c r="M308" s="3">
        <v>12050</v>
      </c>
      <c r="N308" s="3">
        <v>12660</v>
      </c>
      <c r="O308" s="3">
        <v>12655</v>
      </c>
      <c r="P308" s="3">
        <v>12520</v>
      </c>
      <c r="Q308" s="3">
        <v>12535</v>
      </c>
      <c r="R308" s="3">
        <v>12560</v>
      </c>
      <c r="S308" s="3">
        <v>12550</v>
      </c>
      <c r="T308" s="3">
        <v>12150</v>
      </c>
      <c r="U308" s="3">
        <v>12145</v>
      </c>
      <c r="V308" s="3">
        <v>12730</v>
      </c>
      <c r="W308" s="3">
        <v>12735</v>
      </c>
      <c r="X308" s="3">
        <v>12645</v>
      </c>
      <c r="Y308" s="3">
        <v>12625</v>
      </c>
      <c r="Z308" s="3">
        <v>12745</v>
      </c>
      <c r="AA308" s="3">
        <v>12715</v>
      </c>
      <c r="AB308" s="3">
        <v>13220</v>
      </c>
      <c r="AC308" s="3">
        <v>13220</v>
      </c>
      <c r="AD308" s="3">
        <v>13340</v>
      </c>
      <c r="AE308" s="3">
        <v>13335</v>
      </c>
      <c r="AF308" s="3">
        <v>13820</v>
      </c>
      <c r="AG308" s="3">
        <v>13830</v>
      </c>
      <c r="AH308" s="3">
        <v>13835</v>
      </c>
      <c r="AI308" s="3">
        <v>13850</v>
      </c>
      <c r="AJ308" s="3">
        <v>13715</v>
      </c>
      <c r="AK308" s="3">
        <v>13695</v>
      </c>
      <c r="AL308" s="3">
        <v>13635</v>
      </c>
      <c r="AM308" s="3">
        <v>13625</v>
      </c>
      <c r="AN308" s="3">
        <v>13385</v>
      </c>
      <c r="AO308" s="3">
        <v>13390</v>
      </c>
      <c r="AP308" s="3">
        <v>13445</v>
      </c>
      <c r="AQ308" s="3">
        <v>13450</v>
      </c>
      <c r="AR308" s="4">
        <f t="shared" si="131"/>
        <v>1.8647007805724147E-2</v>
      </c>
      <c r="AS308" s="4">
        <f t="shared" si="108"/>
        <v>1.7316017316016952E-3</v>
      </c>
      <c r="AT308" s="4">
        <f t="shared" si="109"/>
        <v>1.5845070422535246E-2</v>
      </c>
      <c r="AU308" s="4">
        <f t="shared" si="110"/>
        <v>2.4193548387096753E-2</v>
      </c>
      <c r="AV308" s="4">
        <f t="shared" si="111"/>
        <v>1.7536355859709252E-2</v>
      </c>
      <c r="AW308" s="4">
        <f t="shared" si="112"/>
        <v>1.6020236087689765E-2</v>
      </c>
      <c r="AX308" s="4">
        <f t="shared" si="113"/>
        <v>4.4572843582336041E-2</v>
      </c>
      <c r="AY308" s="4">
        <f t="shared" si="114"/>
        <v>1.9170579029733958E-2</v>
      </c>
      <c r="AZ308" s="4">
        <f t="shared" si="115"/>
        <v>3.985651654045963E-4</v>
      </c>
      <c r="BA308" s="4">
        <f t="shared" si="116"/>
        <v>1.8585858585858595E-2</v>
      </c>
      <c r="BB308" s="4">
        <f t="shared" si="117"/>
        <v>3.2428050263477948E-2</v>
      </c>
      <c r="BC308" s="4">
        <f t="shared" si="118"/>
        <v>7.9145231499799795E-4</v>
      </c>
      <c r="BD308" s="4">
        <f t="shared" si="119"/>
        <v>9.7352024922118252E-3</v>
      </c>
      <c r="BE308" s="4">
        <f t="shared" si="120"/>
        <v>1.9668337832626337E-2</v>
      </c>
      <c r="BF308" s="4">
        <f t="shared" si="121"/>
        <v>1.8716577540107027E-2</v>
      </c>
      <c r="BG308" s="4">
        <f t="shared" si="122"/>
        <v>3.7120359955005622E-2</v>
      </c>
      <c r="BH308" s="4">
        <f t="shared" si="123"/>
        <v>4.3134435657800063E-3</v>
      </c>
      <c r="BI308" s="4">
        <f t="shared" si="124"/>
        <v>1.2972972972972951E-2</v>
      </c>
      <c r="BJ308" s="4">
        <f t="shared" si="125"/>
        <v>6.9241982507288746E-3</v>
      </c>
      <c r="BK308" s="4">
        <f t="shared" si="126"/>
        <v>2.1556448666423145E-2</v>
      </c>
      <c r="BL308" s="4">
        <f t="shared" si="127"/>
        <v>3.7160906726119158E-4</v>
      </c>
      <c r="BM308" s="4">
        <f t="shared" si="132"/>
        <v>1.7099591378241932E-2</v>
      </c>
      <c r="BN308" s="9">
        <f t="shared" si="133"/>
        <v>13685.075001994244</v>
      </c>
      <c r="BO308" s="10">
        <f t="shared" si="134"/>
        <v>13097.147944884926</v>
      </c>
      <c r="BP308">
        <v>13820</v>
      </c>
      <c r="BQ308">
        <v>13835</v>
      </c>
      <c r="BR308">
        <v>13815</v>
      </c>
      <c r="BS308">
        <v>13830</v>
      </c>
      <c r="BT308">
        <v>25479</v>
      </c>
      <c r="BU308" s="13">
        <f t="shared" si="128"/>
        <v>13826.666666666666</v>
      </c>
      <c r="BV308" s="13">
        <f t="shared" si="129"/>
        <v>352289640</v>
      </c>
      <c r="BW308" s="13">
        <f>SUM($BV$3:BV308)</f>
        <v>219874643661.66672</v>
      </c>
      <c r="BX308" s="13">
        <f>SUM($BT$3:BT308)</f>
        <v>16038328</v>
      </c>
      <c r="BY308" s="3">
        <f t="shared" si="130"/>
        <v>13709.324541914015</v>
      </c>
    </row>
    <row r="309" spans="1:77" x14ac:dyDescent="0.3">
      <c r="A309" s="3" t="s">
        <v>349</v>
      </c>
      <c r="B309" s="3">
        <v>11745</v>
      </c>
      <c r="C309" s="3">
        <v>11740</v>
      </c>
      <c r="D309" s="3">
        <v>11525</v>
      </c>
      <c r="E309" s="3">
        <v>11530</v>
      </c>
      <c r="F309" s="3">
        <v>11540</v>
      </c>
      <c r="G309" s="3">
        <v>11540</v>
      </c>
      <c r="H309" s="3">
        <v>11495</v>
      </c>
      <c r="I309" s="3">
        <v>11495</v>
      </c>
      <c r="J309" s="3">
        <v>11890</v>
      </c>
      <c r="K309" s="3">
        <v>11890</v>
      </c>
      <c r="L309" s="3">
        <v>12050</v>
      </c>
      <c r="M309" s="3">
        <v>12065</v>
      </c>
      <c r="N309" s="3">
        <v>12655</v>
      </c>
      <c r="O309" s="3">
        <v>12650</v>
      </c>
      <c r="P309" s="3">
        <v>12535</v>
      </c>
      <c r="Q309" s="3">
        <v>12530</v>
      </c>
      <c r="R309" s="3">
        <v>12550</v>
      </c>
      <c r="S309" s="3">
        <v>12540</v>
      </c>
      <c r="T309" s="3">
        <v>12140</v>
      </c>
      <c r="U309" s="3">
        <v>12135</v>
      </c>
      <c r="V309" s="3">
        <v>12730</v>
      </c>
      <c r="W309" s="3">
        <v>12735</v>
      </c>
      <c r="X309" s="3">
        <v>12635</v>
      </c>
      <c r="Y309" s="3">
        <v>12620</v>
      </c>
      <c r="Z309" s="3">
        <v>12720</v>
      </c>
      <c r="AA309" s="3">
        <v>12725</v>
      </c>
      <c r="AB309" s="3">
        <v>13220</v>
      </c>
      <c r="AC309" s="3">
        <v>13230</v>
      </c>
      <c r="AD309" s="3">
        <v>13340</v>
      </c>
      <c r="AE309" s="3">
        <v>13345</v>
      </c>
      <c r="AF309" s="3">
        <v>13830</v>
      </c>
      <c r="AG309" s="3">
        <v>13840</v>
      </c>
      <c r="AH309" s="3">
        <v>13845</v>
      </c>
      <c r="AI309" s="3">
        <v>13860</v>
      </c>
      <c r="AJ309" s="3">
        <v>13690</v>
      </c>
      <c r="AK309" s="3">
        <v>13705</v>
      </c>
      <c r="AL309" s="3">
        <v>13620</v>
      </c>
      <c r="AM309" s="3">
        <v>13640</v>
      </c>
      <c r="AN309" s="3">
        <v>13395</v>
      </c>
      <c r="AO309" s="3">
        <v>13385</v>
      </c>
      <c r="AP309" s="3">
        <v>13450</v>
      </c>
      <c r="AQ309" s="3">
        <v>13445</v>
      </c>
      <c r="AR309" s="4">
        <f t="shared" si="131"/>
        <v>1.8213356461405095E-2</v>
      </c>
      <c r="AS309" s="4">
        <f t="shared" si="108"/>
        <v>1.7316017316016952E-3</v>
      </c>
      <c r="AT309" s="4">
        <f t="shared" si="109"/>
        <v>1.5845070422535246E-2</v>
      </c>
      <c r="AU309" s="4">
        <f t="shared" si="110"/>
        <v>2.4193548387096753E-2</v>
      </c>
      <c r="AV309" s="4">
        <f t="shared" si="111"/>
        <v>1.7108639863130826E-2</v>
      </c>
      <c r="AW309" s="4">
        <f t="shared" si="112"/>
        <v>1.7284991568296881E-2</v>
      </c>
      <c r="AX309" s="4">
        <f t="shared" si="113"/>
        <v>4.4160132067684765E-2</v>
      </c>
      <c r="AY309" s="4">
        <f t="shared" si="114"/>
        <v>1.9561815336463173E-2</v>
      </c>
      <c r="AZ309" s="4">
        <f t="shared" si="115"/>
        <v>3.985651654045963E-4</v>
      </c>
      <c r="BA309" s="4">
        <f t="shared" si="116"/>
        <v>1.9393939393939408E-2</v>
      </c>
      <c r="BB309" s="4">
        <f t="shared" si="117"/>
        <v>3.2428050263477948E-2</v>
      </c>
      <c r="BC309" s="4">
        <f t="shared" si="118"/>
        <v>1.1871784724970524E-3</v>
      </c>
      <c r="BD309" s="4">
        <f t="shared" si="119"/>
        <v>8.9563862928349058E-3</v>
      </c>
      <c r="BE309" s="4">
        <f t="shared" si="120"/>
        <v>2.0439645198611744E-2</v>
      </c>
      <c r="BF309" s="4">
        <f t="shared" si="121"/>
        <v>1.9480519480519431E-2</v>
      </c>
      <c r="BG309" s="4">
        <f t="shared" si="122"/>
        <v>3.7870266216722959E-2</v>
      </c>
      <c r="BH309" s="4">
        <f t="shared" si="123"/>
        <v>3.5945363048166534E-3</v>
      </c>
      <c r="BI309" s="4">
        <f t="shared" si="124"/>
        <v>1.2252252252252238E-2</v>
      </c>
      <c r="BJ309" s="4">
        <f t="shared" si="125"/>
        <v>5.8309037900874383E-3</v>
      </c>
      <c r="BK309" s="4">
        <f t="shared" si="126"/>
        <v>2.1921812203142155E-2</v>
      </c>
      <c r="BL309" s="4">
        <f t="shared" si="127"/>
        <v>7.4321813452249419E-4</v>
      </c>
      <c r="BM309" s="4">
        <f t="shared" si="132"/>
        <v>1.7297863117435315E-2</v>
      </c>
      <c r="BN309" s="9">
        <f t="shared" si="133"/>
        <v>13687.742748245093</v>
      </c>
      <c r="BO309" s="10">
        <f t="shared" si="134"/>
        <v>13094.505973960175</v>
      </c>
      <c r="BP309">
        <v>13830</v>
      </c>
      <c r="BQ309">
        <v>13840</v>
      </c>
      <c r="BR309">
        <v>13830</v>
      </c>
      <c r="BS309">
        <v>13840</v>
      </c>
      <c r="BT309">
        <v>26788</v>
      </c>
      <c r="BU309" s="13">
        <f t="shared" si="128"/>
        <v>13836.666666666666</v>
      </c>
      <c r="BV309" s="13">
        <f t="shared" si="129"/>
        <v>370656626.66666663</v>
      </c>
      <c r="BW309" s="13">
        <f>SUM($BV$3:BV309)</f>
        <v>220245300288.33337</v>
      </c>
      <c r="BX309" s="13">
        <f>SUM($BT$3:BT309)</f>
        <v>16065116</v>
      </c>
      <c r="BY309" s="3">
        <f t="shared" si="130"/>
        <v>13709.536880302227</v>
      </c>
    </row>
    <row r="310" spans="1:77" x14ac:dyDescent="0.3">
      <c r="A310" s="3" t="s">
        <v>350</v>
      </c>
      <c r="B310" s="3">
        <v>11740</v>
      </c>
      <c r="C310" s="3">
        <v>11740</v>
      </c>
      <c r="D310" s="3">
        <v>11530</v>
      </c>
      <c r="E310" s="3">
        <v>11535</v>
      </c>
      <c r="F310" s="3">
        <v>11540</v>
      </c>
      <c r="G310" s="3">
        <v>11540</v>
      </c>
      <c r="H310" s="3">
        <v>11500</v>
      </c>
      <c r="I310" s="3">
        <v>11500</v>
      </c>
      <c r="J310" s="3">
        <v>11890</v>
      </c>
      <c r="K310" s="3">
        <v>11895</v>
      </c>
      <c r="L310" s="3">
        <v>12060</v>
      </c>
      <c r="M310" s="3">
        <v>12065</v>
      </c>
      <c r="N310" s="3">
        <v>12650</v>
      </c>
      <c r="O310" s="3">
        <v>12655</v>
      </c>
      <c r="P310" s="3">
        <v>12525</v>
      </c>
      <c r="Q310" s="3">
        <v>12510</v>
      </c>
      <c r="R310" s="3">
        <v>12545</v>
      </c>
      <c r="S310" s="3">
        <v>12540</v>
      </c>
      <c r="T310" s="3">
        <v>12135</v>
      </c>
      <c r="U310" s="3">
        <v>12135</v>
      </c>
      <c r="V310" s="3">
        <v>12740</v>
      </c>
      <c r="W310" s="3">
        <v>12755</v>
      </c>
      <c r="X310" s="3">
        <v>12615</v>
      </c>
      <c r="Y310" s="3">
        <v>12615</v>
      </c>
      <c r="Z310" s="3">
        <v>12725</v>
      </c>
      <c r="AA310" s="3">
        <v>12730</v>
      </c>
      <c r="AB310" s="3">
        <v>13225</v>
      </c>
      <c r="AC310" s="3">
        <v>13220</v>
      </c>
      <c r="AD310" s="3">
        <v>13340</v>
      </c>
      <c r="AE310" s="3">
        <v>13330</v>
      </c>
      <c r="AF310" s="3">
        <v>13835</v>
      </c>
      <c r="AG310" s="3">
        <v>13845</v>
      </c>
      <c r="AH310" s="3">
        <v>13860</v>
      </c>
      <c r="AI310" s="3">
        <v>13855</v>
      </c>
      <c r="AJ310" s="3">
        <v>13705</v>
      </c>
      <c r="AK310" s="3">
        <v>13700</v>
      </c>
      <c r="AL310" s="3">
        <v>13640</v>
      </c>
      <c r="AM310" s="3">
        <v>13635</v>
      </c>
      <c r="AN310" s="3">
        <v>13380</v>
      </c>
      <c r="AO310" s="3">
        <v>13400</v>
      </c>
      <c r="AP310" s="3">
        <v>13445</v>
      </c>
      <c r="AQ310" s="3">
        <v>13450</v>
      </c>
      <c r="AR310" s="4">
        <f t="shared" si="131"/>
        <v>1.8213356461405095E-2</v>
      </c>
      <c r="AS310" s="4">
        <f t="shared" si="108"/>
        <v>1.2987012987012436E-3</v>
      </c>
      <c r="AT310" s="4">
        <f t="shared" si="109"/>
        <v>1.5845070422535246E-2</v>
      </c>
      <c r="AU310" s="4">
        <f t="shared" si="110"/>
        <v>2.3769100169779289E-2</v>
      </c>
      <c r="AV310" s="4">
        <f t="shared" si="111"/>
        <v>1.7536355859709252E-2</v>
      </c>
      <c r="AW310" s="4">
        <f t="shared" si="112"/>
        <v>1.7284991568296881E-2</v>
      </c>
      <c r="AX310" s="4">
        <f t="shared" si="113"/>
        <v>4.4572843582336041E-2</v>
      </c>
      <c r="AY310" s="4">
        <f t="shared" si="114"/>
        <v>2.1126760563380254E-2</v>
      </c>
      <c r="AZ310" s="4">
        <f t="shared" si="115"/>
        <v>3.985651654045963E-4</v>
      </c>
      <c r="BA310" s="4">
        <f t="shared" si="116"/>
        <v>1.9393939393939408E-2</v>
      </c>
      <c r="BB310" s="4">
        <f t="shared" si="117"/>
        <v>3.4049452776651723E-2</v>
      </c>
      <c r="BC310" s="4">
        <f t="shared" si="118"/>
        <v>1.5829046299959959E-3</v>
      </c>
      <c r="BD310" s="4">
        <f t="shared" si="119"/>
        <v>8.5669781931464462E-3</v>
      </c>
      <c r="BE310" s="4">
        <f t="shared" si="120"/>
        <v>1.9668337832626337E-2</v>
      </c>
      <c r="BF310" s="4">
        <f t="shared" si="121"/>
        <v>1.8334606569900602E-2</v>
      </c>
      <c r="BG310" s="4">
        <f t="shared" si="122"/>
        <v>3.8245219347581516E-2</v>
      </c>
      <c r="BH310" s="4">
        <f t="shared" si="123"/>
        <v>3.9539899352983854E-3</v>
      </c>
      <c r="BI310" s="4">
        <f t="shared" si="124"/>
        <v>1.2612612612612595E-2</v>
      </c>
      <c r="BJ310" s="4">
        <f t="shared" si="125"/>
        <v>6.1953352769679171E-3</v>
      </c>
      <c r="BK310" s="4">
        <f t="shared" si="126"/>
        <v>2.0825721592985014E-2</v>
      </c>
      <c r="BL310" s="4">
        <f t="shared" si="127"/>
        <v>3.7160906726119158E-4</v>
      </c>
      <c r="BM310" s="4">
        <f t="shared" si="132"/>
        <v>1.7387757716171664E-2</v>
      </c>
      <c r="BN310" s="9">
        <f t="shared" si="133"/>
        <v>13688.952280071089</v>
      </c>
      <c r="BO310" s="10">
        <f t="shared" si="134"/>
        <v>13093.308128432012</v>
      </c>
      <c r="BP310">
        <v>13835</v>
      </c>
      <c r="BQ310">
        <v>13850</v>
      </c>
      <c r="BR310">
        <v>13835</v>
      </c>
      <c r="BS310">
        <v>13845</v>
      </c>
      <c r="BT310">
        <v>25348</v>
      </c>
      <c r="BU310" s="13">
        <f t="shared" si="128"/>
        <v>13843.333333333334</v>
      </c>
      <c r="BV310" s="13">
        <f t="shared" si="129"/>
        <v>350900813.33333337</v>
      </c>
      <c r="BW310" s="13">
        <f>SUM($BV$3:BV310)</f>
        <v>220596201101.66672</v>
      </c>
      <c r="BX310" s="13">
        <f>SUM($BT$3:BT310)</f>
        <v>16090464</v>
      </c>
      <c r="BY310" s="3">
        <f t="shared" si="130"/>
        <v>13709.747655609355</v>
      </c>
    </row>
    <row r="311" spans="1:77" x14ac:dyDescent="0.3">
      <c r="A311" s="3" t="s">
        <v>351</v>
      </c>
      <c r="B311" s="3">
        <v>11740</v>
      </c>
      <c r="C311" s="3">
        <v>11745</v>
      </c>
      <c r="D311" s="3">
        <v>11535</v>
      </c>
      <c r="E311" s="3">
        <v>11550</v>
      </c>
      <c r="F311" s="3">
        <v>11540</v>
      </c>
      <c r="G311" s="3">
        <v>11550</v>
      </c>
      <c r="H311" s="3">
        <v>11500</v>
      </c>
      <c r="I311" s="3">
        <v>11505</v>
      </c>
      <c r="J311" s="3">
        <v>11900</v>
      </c>
      <c r="K311" s="3">
        <v>11895</v>
      </c>
      <c r="L311" s="3">
        <v>12065</v>
      </c>
      <c r="M311" s="3">
        <v>12060</v>
      </c>
      <c r="N311" s="3">
        <v>12650</v>
      </c>
      <c r="O311" s="3">
        <v>12655</v>
      </c>
      <c r="P311" s="3">
        <v>12510</v>
      </c>
      <c r="Q311" s="3">
        <v>12530</v>
      </c>
      <c r="R311" s="3">
        <v>12540</v>
      </c>
      <c r="S311" s="3">
        <v>12540</v>
      </c>
      <c r="T311" s="3">
        <v>12135</v>
      </c>
      <c r="U311" s="3">
        <v>12140</v>
      </c>
      <c r="V311" s="3">
        <v>12760</v>
      </c>
      <c r="W311" s="3">
        <v>12770</v>
      </c>
      <c r="X311" s="3">
        <v>12615</v>
      </c>
      <c r="Y311" s="3">
        <v>12630</v>
      </c>
      <c r="Z311" s="3">
        <v>12735</v>
      </c>
      <c r="AA311" s="3">
        <v>12720</v>
      </c>
      <c r="AB311" s="3">
        <v>13225</v>
      </c>
      <c r="AC311" s="3">
        <v>13225</v>
      </c>
      <c r="AD311" s="3">
        <v>13330</v>
      </c>
      <c r="AE311" s="3">
        <v>13325</v>
      </c>
      <c r="AF311" s="3">
        <v>13845</v>
      </c>
      <c r="AG311" s="3">
        <v>13840</v>
      </c>
      <c r="AH311" s="3">
        <v>13860</v>
      </c>
      <c r="AI311" s="3">
        <v>13855</v>
      </c>
      <c r="AJ311" s="3">
        <v>13700</v>
      </c>
      <c r="AK311" s="3">
        <v>13715</v>
      </c>
      <c r="AL311" s="3">
        <v>13640</v>
      </c>
      <c r="AM311" s="3">
        <v>13650</v>
      </c>
      <c r="AN311" s="3">
        <v>13400</v>
      </c>
      <c r="AO311" s="3">
        <v>13380</v>
      </c>
      <c r="AP311" s="3">
        <v>13450</v>
      </c>
      <c r="AQ311" s="3">
        <v>13455</v>
      </c>
      <c r="AR311" s="4">
        <f t="shared" si="131"/>
        <v>1.8647007805724147E-2</v>
      </c>
      <c r="AS311" s="4">
        <f t="shared" si="108"/>
        <v>0</v>
      </c>
      <c r="AT311" s="4">
        <f t="shared" si="109"/>
        <v>1.6725352112676006E-2</v>
      </c>
      <c r="AU311" s="4">
        <f t="shared" si="110"/>
        <v>2.3344651952461826E-2</v>
      </c>
      <c r="AV311" s="4">
        <f t="shared" si="111"/>
        <v>1.7536355859709252E-2</v>
      </c>
      <c r="AW311" s="4">
        <f t="shared" si="112"/>
        <v>1.6863406408094361E-2</v>
      </c>
      <c r="AX311" s="4">
        <f t="shared" si="113"/>
        <v>4.4572843582336041E-2</v>
      </c>
      <c r="AY311" s="4">
        <f t="shared" si="114"/>
        <v>1.9561815336463173E-2</v>
      </c>
      <c r="AZ311" s="4">
        <f t="shared" si="115"/>
        <v>3.985651654045963E-4</v>
      </c>
      <c r="BA311" s="4">
        <f t="shared" si="116"/>
        <v>1.8989898989899001E-2</v>
      </c>
      <c r="BB311" s="4">
        <f t="shared" si="117"/>
        <v>3.5265504661532221E-2</v>
      </c>
      <c r="BC311" s="4">
        <f t="shared" si="118"/>
        <v>3.9572615749905449E-4</v>
      </c>
      <c r="BD311" s="4">
        <f t="shared" si="119"/>
        <v>9.3457943925233655E-3</v>
      </c>
      <c r="BE311" s="4">
        <f t="shared" si="120"/>
        <v>2.0053991515619041E-2</v>
      </c>
      <c r="BF311" s="4">
        <f t="shared" si="121"/>
        <v>1.79526355996944E-2</v>
      </c>
      <c r="BG311" s="4">
        <f t="shared" si="122"/>
        <v>3.7870266216722959E-2</v>
      </c>
      <c r="BH311" s="4">
        <f t="shared" si="123"/>
        <v>3.9539899352983854E-3</v>
      </c>
      <c r="BI311" s="4">
        <f t="shared" si="124"/>
        <v>1.1531531531531525E-2</v>
      </c>
      <c r="BJ311" s="4">
        <f t="shared" si="125"/>
        <v>5.1020408163264808E-3</v>
      </c>
      <c r="BK311" s="4">
        <f t="shared" si="126"/>
        <v>2.2287175739861165E-2</v>
      </c>
      <c r="BL311" s="4">
        <f t="shared" si="127"/>
        <v>0</v>
      </c>
      <c r="BM311" s="4">
        <f t="shared" si="132"/>
        <v>1.7214752980993737E-2</v>
      </c>
      <c r="BN311" s="9">
        <f t="shared" si="133"/>
        <v>13686.624501359272</v>
      </c>
      <c r="BO311" s="10">
        <f t="shared" si="134"/>
        <v>13095.613416528258</v>
      </c>
      <c r="BP311">
        <v>13845</v>
      </c>
      <c r="BQ311">
        <v>13850</v>
      </c>
      <c r="BR311">
        <v>13835</v>
      </c>
      <c r="BS311">
        <v>13840</v>
      </c>
      <c r="BT311">
        <v>29838</v>
      </c>
      <c r="BU311" s="13">
        <f t="shared" si="128"/>
        <v>13841.666666666666</v>
      </c>
      <c r="BV311" s="13">
        <f t="shared" si="129"/>
        <v>413007650</v>
      </c>
      <c r="BW311" s="13">
        <f>SUM($BV$3:BV311)</f>
        <v>221009208751.66672</v>
      </c>
      <c r="BX311" s="13">
        <f>SUM($BT$3:BT311)</f>
        <v>16120302</v>
      </c>
      <c r="BY311" s="3">
        <f t="shared" si="130"/>
        <v>13709.991832142272</v>
      </c>
    </row>
    <row r="312" spans="1:77" x14ac:dyDescent="0.3">
      <c r="A312" s="3" t="s">
        <v>352</v>
      </c>
      <c r="B312" s="3">
        <v>11745</v>
      </c>
      <c r="C312" s="3">
        <v>11760</v>
      </c>
      <c r="D312" s="3">
        <v>11550</v>
      </c>
      <c r="E312" s="3">
        <v>11555</v>
      </c>
      <c r="F312" s="3">
        <v>11550</v>
      </c>
      <c r="G312" s="3">
        <v>11560</v>
      </c>
      <c r="H312" s="3">
        <v>11505</v>
      </c>
      <c r="I312" s="3">
        <v>11500</v>
      </c>
      <c r="J312" s="3">
        <v>11895</v>
      </c>
      <c r="K312" s="3">
        <v>11895</v>
      </c>
      <c r="L312" s="3">
        <v>12060</v>
      </c>
      <c r="M312" s="3">
        <v>12045</v>
      </c>
      <c r="N312" s="3">
        <v>12655</v>
      </c>
      <c r="O312" s="3">
        <v>12655</v>
      </c>
      <c r="P312" s="3">
        <v>12530</v>
      </c>
      <c r="Q312" s="3">
        <v>12545</v>
      </c>
      <c r="R312" s="3">
        <v>12540</v>
      </c>
      <c r="S312" s="3">
        <v>12530</v>
      </c>
      <c r="T312" s="3">
        <v>12135</v>
      </c>
      <c r="U312" s="3">
        <v>12140</v>
      </c>
      <c r="V312" s="3">
        <v>12770</v>
      </c>
      <c r="W312" s="3">
        <v>12775</v>
      </c>
      <c r="X312" s="3">
        <v>12630</v>
      </c>
      <c r="Y312" s="3">
        <v>12625</v>
      </c>
      <c r="Z312" s="3">
        <v>12725</v>
      </c>
      <c r="AA312" s="3">
        <v>12725</v>
      </c>
      <c r="AB312" s="3">
        <v>13225</v>
      </c>
      <c r="AC312" s="3">
        <v>13230</v>
      </c>
      <c r="AD312" s="3">
        <v>13325</v>
      </c>
      <c r="AE312" s="3">
        <v>13320</v>
      </c>
      <c r="AF312" s="3">
        <v>13835</v>
      </c>
      <c r="AG312" s="3">
        <v>13820</v>
      </c>
      <c r="AH312" s="3">
        <v>13850</v>
      </c>
      <c r="AI312" s="3">
        <v>13835</v>
      </c>
      <c r="AJ312" s="3">
        <v>13710</v>
      </c>
      <c r="AK312" s="3">
        <v>13680</v>
      </c>
      <c r="AL312" s="3">
        <v>13650</v>
      </c>
      <c r="AM312" s="3">
        <v>13670</v>
      </c>
      <c r="AN312" s="3">
        <v>13385</v>
      </c>
      <c r="AO312" s="3">
        <v>13380</v>
      </c>
      <c r="AP312" s="3">
        <v>13455</v>
      </c>
      <c r="AQ312" s="3">
        <v>13460</v>
      </c>
      <c r="AR312" s="4">
        <f t="shared" si="131"/>
        <v>1.9947961838681749E-2</v>
      </c>
      <c r="AS312" s="4">
        <f t="shared" si="108"/>
        <v>4.3290043290045155E-4</v>
      </c>
      <c r="AT312" s="4">
        <f t="shared" si="109"/>
        <v>1.7605633802816989E-2</v>
      </c>
      <c r="AU312" s="4">
        <f t="shared" si="110"/>
        <v>2.3769100169779289E-2</v>
      </c>
      <c r="AV312" s="4">
        <f t="shared" si="111"/>
        <v>1.7536355859709252E-2</v>
      </c>
      <c r="AW312" s="4">
        <f t="shared" si="112"/>
        <v>1.5598650927487245E-2</v>
      </c>
      <c r="AX312" s="4">
        <f t="shared" si="113"/>
        <v>4.4572843582336041E-2</v>
      </c>
      <c r="AY312" s="4">
        <f t="shared" si="114"/>
        <v>1.8388106416275418E-2</v>
      </c>
      <c r="AZ312" s="4">
        <f t="shared" si="115"/>
        <v>1.1956954962136779E-3</v>
      </c>
      <c r="BA312" s="4">
        <f t="shared" si="116"/>
        <v>1.8989898989899001E-2</v>
      </c>
      <c r="BB312" s="4">
        <f t="shared" si="117"/>
        <v>3.567085528982572E-2</v>
      </c>
      <c r="BC312" s="4">
        <f t="shared" si="118"/>
        <v>7.9145231499799795E-4</v>
      </c>
      <c r="BD312" s="4">
        <f t="shared" si="119"/>
        <v>8.9563862928349058E-3</v>
      </c>
      <c r="BE312" s="4">
        <f t="shared" si="120"/>
        <v>2.0439645198611744E-2</v>
      </c>
      <c r="BF312" s="4">
        <f t="shared" si="121"/>
        <v>1.7570664629488197E-2</v>
      </c>
      <c r="BG312" s="4">
        <f t="shared" si="122"/>
        <v>3.6370453693288285E-2</v>
      </c>
      <c r="BH312" s="4">
        <f t="shared" si="123"/>
        <v>5.3918044572249801E-3</v>
      </c>
      <c r="BI312" s="4">
        <f t="shared" si="124"/>
        <v>1.4054054054054022E-2</v>
      </c>
      <c r="BJ312" s="4">
        <f t="shared" si="125"/>
        <v>3.6443148688046767E-3</v>
      </c>
      <c r="BK312" s="4">
        <f t="shared" si="126"/>
        <v>2.2287175739861165E-2</v>
      </c>
      <c r="BL312" s="4">
        <f t="shared" si="127"/>
        <v>3.7160906726119158E-4</v>
      </c>
      <c r="BM312" s="4">
        <f t="shared" si="132"/>
        <v>1.7251299243083995E-2</v>
      </c>
      <c r="BN312" s="9">
        <f t="shared" si="133"/>
        <v>13687.116231315695</v>
      </c>
      <c r="BO312" s="10">
        <f t="shared" si="134"/>
        <v>13095.126437585906</v>
      </c>
      <c r="BP312">
        <v>13835</v>
      </c>
      <c r="BQ312">
        <v>13845</v>
      </c>
      <c r="BR312">
        <v>13820</v>
      </c>
      <c r="BS312">
        <v>13820</v>
      </c>
      <c r="BT312">
        <v>9710</v>
      </c>
      <c r="BU312" s="13">
        <f t="shared" si="128"/>
        <v>13828.333333333334</v>
      </c>
      <c r="BV312" s="13">
        <f t="shared" si="129"/>
        <v>134273116.66666669</v>
      </c>
      <c r="BW312" s="13">
        <f>SUM($BV$3:BV312)</f>
        <v>221143481868.33337</v>
      </c>
      <c r="BX312" s="13">
        <f>SUM($BT$3:BT312)</f>
        <v>16130012</v>
      </c>
      <c r="BY312" s="3">
        <f t="shared" si="130"/>
        <v>13710.063071765439</v>
      </c>
    </row>
    <row r="313" spans="1:77" x14ac:dyDescent="0.3">
      <c r="A313" s="3" t="s">
        <v>353</v>
      </c>
      <c r="B313" s="3">
        <v>11760</v>
      </c>
      <c r="C313" s="3">
        <v>11760</v>
      </c>
      <c r="D313" s="3">
        <v>11555</v>
      </c>
      <c r="E313" s="3">
        <v>11560</v>
      </c>
      <c r="F313" s="3">
        <v>11565</v>
      </c>
      <c r="G313" s="3">
        <v>11560</v>
      </c>
      <c r="H313" s="3">
        <v>11500</v>
      </c>
      <c r="I313" s="3">
        <v>11510</v>
      </c>
      <c r="J313" s="3">
        <v>11895</v>
      </c>
      <c r="K313" s="3">
        <v>11895</v>
      </c>
      <c r="L313" s="3">
        <v>12050</v>
      </c>
      <c r="M313" s="3">
        <v>12045</v>
      </c>
      <c r="N313" s="3">
        <v>12655</v>
      </c>
      <c r="O313" s="3">
        <v>12660</v>
      </c>
      <c r="P313" s="3">
        <v>12550</v>
      </c>
      <c r="Q313" s="3">
        <v>12535</v>
      </c>
      <c r="R313" s="3">
        <v>12530</v>
      </c>
      <c r="S313" s="3">
        <v>12540</v>
      </c>
      <c r="T313" s="3">
        <v>12140</v>
      </c>
      <c r="U313" s="3">
        <v>12150</v>
      </c>
      <c r="V313" s="3">
        <v>12775</v>
      </c>
      <c r="W313" s="3">
        <v>12775</v>
      </c>
      <c r="X313" s="3">
        <v>12625</v>
      </c>
      <c r="Y313" s="3">
        <v>12635</v>
      </c>
      <c r="Z313" s="3">
        <v>12720</v>
      </c>
      <c r="AA313" s="3">
        <v>12730</v>
      </c>
      <c r="AB313" s="3">
        <v>13235</v>
      </c>
      <c r="AC313" s="3">
        <v>13230</v>
      </c>
      <c r="AD313" s="3">
        <v>13320</v>
      </c>
      <c r="AE313" s="3">
        <v>13310</v>
      </c>
      <c r="AF313" s="3">
        <v>13825</v>
      </c>
      <c r="AG313" s="3">
        <v>13820</v>
      </c>
      <c r="AH313" s="3">
        <v>13840</v>
      </c>
      <c r="AI313" s="3">
        <v>13840</v>
      </c>
      <c r="AJ313" s="3">
        <v>13680</v>
      </c>
      <c r="AK313" s="3">
        <v>13685</v>
      </c>
      <c r="AL313" s="3">
        <v>13670</v>
      </c>
      <c r="AM313" s="3">
        <v>13665</v>
      </c>
      <c r="AN313" s="3">
        <v>13385</v>
      </c>
      <c r="AO313" s="3">
        <v>13390</v>
      </c>
      <c r="AP313" s="3">
        <v>13460</v>
      </c>
      <c r="AQ313" s="3">
        <v>13475</v>
      </c>
      <c r="AR313" s="4">
        <f t="shared" si="131"/>
        <v>1.9947961838681749E-2</v>
      </c>
      <c r="AS313" s="4">
        <f t="shared" si="108"/>
        <v>8.658008658009031E-4</v>
      </c>
      <c r="AT313" s="4">
        <f t="shared" si="109"/>
        <v>1.7605633802816989E-2</v>
      </c>
      <c r="AU313" s="4">
        <f t="shared" si="110"/>
        <v>2.2920203735144362E-2</v>
      </c>
      <c r="AV313" s="4">
        <f t="shared" si="111"/>
        <v>1.7536355859709252E-2</v>
      </c>
      <c r="AW313" s="4">
        <f t="shared" si="112"/>
        <v>1.5598650927487245E-2</v>
      </c>
      <c r="AX313" s="4">
        <f t="shared" si="113"/>
        <v>4.4985555096987095E-2</v>
      </c>
      <c r="AY313" s="4">
        <f t="shared" si="114"/>
        <v>1.9170579029733958E-2</v>
      </c>
      <c r="AZ313" s="4">
        <f t="shared" si="115"/>
        <v>3.985651654045963E-4</v>
      </c>
      <c r="BA313" s="4">
        <f t="shared" si="116"/>
        <v>1.8181818181818188E-2</v>
      </c>
      <c r="BB313" s="4">
        <f t="shared" si="117"/>
        <v>3.567085528982572E-2</v>
      </c>
      <c r="BC313" s="4">
        <f t="shared" si="118"/>
        <v>0</v>
      </c>
      <c r="BD313" s="4">
        <f t="shared" si="119"/>
        <v>8.5669781931464462E-3</v>
      </c>
      <c r="BE313" s="4">
        <f t="shared" si="120"/>
        <v>2.0439645198611744E-2</v>
      </c>
      <c r="BF313" s="4">
        <f t="shared" si="121"/>
        <v>1.6806722689075571E-2</v>
      </c>
      <c r="BG313" s="4">
        <f t="shared" si="122"/>
        <v>3.6370453693288285E-2</v>
      </c>
      <c r="BH313" s="4">
        <f t="shared" si="123"/>
        <v>5.0323508267433592E-3</v>
      </c>
      <c r="BI313" s="4">
        <f t="shared" si="124"/>
        <v>1.3693693693693665E-2</v>
      </c>
      <c r="BJ313" s="4">
        <f t="shared" si="125"/>
        <v>4.0087463556851555E-3</v>
      </c>
      <c r="BK313" s="4">
        <f t="shared" si="126"/>
        <v>2.1556448666423145E-2</v>
      </c>
      <c r="BL313" s="4">
        <f t="shared" si="127"/>
        <v>1.4864362690449884E-3</v>
      </c>
      <c r="BM313" s="4">
        <f t="shared" si="132"/>
        <v>1.705338314539729E-2</v>
      </c>
      <c r="BN313" s="9">
        <f t="shared" si="133"/>
        <v>13684.453270221322</v>
      </c>
      <c r="BO313" s="10">
        <f t="shared" si="134"/>
        <v>13097.763669587581</v>
      </c>
      <c r="BP313">
        <v>13825</v>
      </c>
      <c r="BQ313">
        <v>13825</v>
      </c>
      <c r="BR313">
        <v>13815</v>
      </c>
      <c r="BS313">
        <v>13820</v>
      </c>
      <c r="BT313">
        <v>2670</v>
      </c>
      <c r="BU313" s="13">
        <f t="shared" si="128"/>
        <v>13820</v>
      </c>
      <c r="BV313" s="13">
        <f t="shared" si="129"/>
        <v>36899400</v>
      </c>
      <c r="BW313" s="13">
        <f>SUM($BV$3:BV313)</f>
        <v>221180381268.33337</v>
      </c>
      <c r="BX313" s="13">
        <f>SUM($BT$3:BT313)</f>
        <v>16132682</v>
      </c>
      <c r="BY313" s="3">
        <f t="shared" si="130"/>
        <v>13710.081266607336</v>
      </c>
    </row>
    <row r="314" spans="1:77" x14ac:dyDescent="0.3">
      <c r="A314" s="3" t="s">
        <v>354</v>
      </c>
      <c r="B314" s="3">
        <v>11760</v>
      </c>
      <c r="C314" s="3">
        <v>11740</v>
      </c>
      <c r="D314" s="3">
        <v>11560</v>
      </c>
      <c r="E314" s="3">
        <v>11570</v>
      </c>
      <c r="F314" s="3">
        <v>11565</v>
      </c>
      <c r="G314" s="3">
        <v>11580</v>
      </c>
      <c r="H314" s="3">
        <v>11505</v>
      </c>
      <c r="I314" s="3">
        <v>11505</v>
      </c>
      <c r="J314" s="3">
        <v>11895</v>
      </c>
      <c r="K314" s="3">
        <v>11895</v>
      </c>
      <c r="L314" s="3">
        <v>12045</v>
      </c>
      <c r="M314" s="3">
        <v>12055</v>
      </c>
      <c r="N314" s="3">
        <v>12655</v>
      </c>
      <c r="O314" s="3">
        <v>12655</v>
      </c>
      <c r="P314" s="3">
        <v>12535</v>
      </c>
      <c r="Q314" s="3">
        <v>12540</v>
      </c>
      <c r="R314" s="3">
        <v>12540</v>
      </c>
      <c r="S314" s="3">
        <v>12535</v>
      </c>
      <c r="T314" s="3">
        <v>12150</v>
      </c>
      <c r="U314" s="3">
        <v>12150</v>
      </c>
      <c r="V314" s="3">
        <v>12780</v>
      </c>
      <c r="W314" s="3">
        <v>12790</v>
      </c>
      <c r="X314" s="3">
        <v>12635</v>
      </c>
      <c r="Y314" s="3">
        <v>12630</v>
      </c>
      <c r="Z314" s="3">
        <v>12725</v>
      </c>
      <c r="AA314" s="3">
        <v>12730</v>
      </c>
      <c r="AB314" s="3">
        <v>13230</v>
      </c>
      <c r="AC314" s="3">
        <v>13240</v>
      </c>
      <c r="AD314" s="3">
        <v>13310</v>
      </c>
      <c r="AE314" s="3">
        <v>13320</v>
      </c>
      <c r="AF314" s="3">
        <v>13825</v>
      </c>
      <c r="AG314" s="3">
        <v>13830</v>
      </c>
      <c r="AH314" s="3">
        <v>13840</v>
      </c>
      <c r="AI314" s="3">
        <v>13825</v>
      </c>
      <c r="AJ314" s="3">
        <v>13685</v>
      </c>
      <c r="AK314" s="3">
        <v>13705</v>
      </c>
      <c r="AL314" s="3">
        <v>13660</v>
      </c>
      <c r="AM314" s="3">
        <v>13645</v>
      </c>
      <c r="AN314" s="3">
        <v>13395</v>
      </c>
      <c r="AO314" s="3">
        <v>13380</v>
      </c>
      <c r="AP314" s="3">
        <v>13475</v>
      </c>
      <c r="AQ314" s="3">
        <v>13470</v>
      </c>
      <c r="AR314" s="4">
        <f t="shared" si="131"/>
        <v>1.8213356461405095E-2</v>
      </c>
      <c r="AS314" s="4">
        <f t="shared" si="108"/>
        <v>1.7316017316018062E-3</v>
      </c>
      <c r="AT314" s="4">
        <f t="shared" si="109"/>
        <v>1.936619718309851E-2</v>
      </c>
      <c r="AU314" s="4">
        <f t="shared" si="110"/>
        <v>2.3344651952461826E-2</v>
      </c>
      <c r="AV314" s="4">
        <f t="shared" si="111"/>
        <v>1.7536355859709252E-2</v>
      </c>
      <c r="AW314" s="4">
        <f t="shared" si="112"/>
        <v>1.6441821247892063E-2</v>
      </c>
      <c r="AX314" s="4">
        <f t="shared" si="113"/>
        <v>4.4572843582336041E-2</v>
      </c>
      <c r="AY314" s="4">
        <f t="shared" si="114"/>
        <v>1.8779342723004744E-2</v>
      </c>
      <c r="AZ314" s="4">
        <f t="shared" si="115"/>
        <v>7.9713033080908158E-4</v>
      </c>
      <c r="BA314" s="4">
        <f t="shared" si="116"/>
        <v>1.8181818181818188E-2</v>
      </c>
      <c r="BB314" s="4">
        <f t="shared" si="117"/>
        <v>3.6886907174706218E-2</v>
      </c>
      <c r="BC314" s="4">
        <f t="shared" si="118"/>
        <v>3.9572615749905449E-4</v>
      </c>
      <c r="BD314" s="4">
        <f t="shared" si="119"/>
        <v>8.5669781931464462E-3</v>
      </c>
      <c r="BE314" s="4">
        <f t="shared" si="120"/>
        <v>2.121095256459693E-2</v>
      </c>
      <c r="BF314" s="4">
        <f t="shared" si="121"/>
        <v>1.7570664629488197E-2</v>
      </c>
      <c r="BG314" s="4">
        <f t="shared" si="122"/>
        <v>3.7120359955005622E-2</v>
      </c>
      <c r="BH314" s="4">
        <f t="shared" si="123"/>
        <v>6.110711718188333E-3</v>
      </c>
      <c r="BI314" s="4">
        <f t="shared" si="124"/>
        <v>1.2252252252252238E-2</v>
      </c>
      <c r="BJ314" s="4">
        <f t="shared" si="125"/>
        <v>5.4664723032069595E-3</v>
      </c>
      <c r="BK314" s="4">
        <f t="shared" si="126"/>
        <v>2.2287175739861165E-2</v>
      </c>
      <c r="BL314" s="4">
        <f t="shared" si="127"/>
        <v>1.1148272017837968E-3</v>
      </c>
      <c r="BM314" s="4">
        <f t="shared" si="132"/>
        <v>1.7527356536583456E-2</v>
      </c>
      <c r="BN314" s="9">
        <f t="shared" si="133"/>
        <v>13690.830582199731</v>
      </c>
      <c r="BO314" s="10">
        <f t="shared" si="134"/>
        <v>13091.447974150025</v>
      </c>
      <c r="BP314">
        <v>13825</v>
      </c>
      <c r="BQ314">
        <v>13835</v>
      </c>
      <c r="BR314">
        <v>13820</v>
      </c>
      <c r="BS314">
        <v>13830</v>
      </c>
      <c r="BT314">
        <v>7594</v>
      </c>
      <c r="BU314" s="13">
        <f t="shared" si="128"/>
        <v>13828.333333333334</v>
      </c>
      <c r="BV314" s="13">
        <f t="shared" si="129"/>
        <v>105012363.33333334</v>
      </c>
      <c r="BW314" s="13">
        <f>SUM($BV$3:BV314)</f>
        <v>221285393631.66672</v>
      </c>
      <c r="BX314" s="13">
        <f>SUM($BT$3:BT314)</f>
        <v>16140276</v>
      </c>
      <c r="BY314" s="3">
        <f t="shared" si="130"/>
        <v>13710.136904205772</v>
      </c>
    </row>
    <row r="315" spans="1:77" x14ac:dyDescent="0.3">
      <c r="A315" s="3" t="s">
        <v>355</v>
      </c>
      <c r="B315" s="3">
        <v>11745</v>
      </c>
      <c r="C315" s="3">
        <v>11745</v>
      </c>
      <c r="D315" s="3">
        <v>11570</v>
      </c>
      <c r="E315" s="3">
        <v>11560</v>
      </c>
      <c r="F315" s="3">
        <v>11575</v>
      </c>
      <c r="G315" s="3">
        <v>11590</v>
      </c>
      <c r="H315" s="3">
        <v>11500</v>
      </c>
      <c r="I315" s="3">
        <v>11510</v>
      </c>
      <c r="J315" s="3">
        <v>11895</v>
      </c>
      <c r="K315" s="3">
        <v>11900</v>
      </c>
      <c r="L315" s="3">
        <v>12055</v>
      </c>
      <c r="M315" s="3">
        <v>12060</v>
      </c>
      <c r="N315" s="3">
        <v>12660</v>
      </c>
      <c r="O315" s="3">
        <v>12665</v>
      </c>
      <c r="P315" s="3">
        <v>12545</v>
      </c>
      <c r="Q315" s="3">
        <v>12560</v>
      </c>
      <c r="R315" s="3">
        <v>12535</v>
      </c>
      <c r="S315" s="3">
        <v>12535</v>
      </c>
      <c r="T315" s="3">
        <v>12150</v>
      </c>
      <c r="U315" s="3">
        <v>12155</v>
      </c>
      <c r="V315" s="3">
        <v>12790</v>
      </c>
      <c r="W315" s="3">
        <v>12795</v>
      </c>
      <c r="X315" s="3">
        <v>12630</v>
      </c>
      <c r="Y315" s="3">
        <v>12630</v>
      </c>
      <c r="Z315" s="3">
        <v>12730</v>
      </c>
      <c r="AA315" s="3">
        <v>12720</v>
      </c>
      <c r="AB315" s="3">
        <v>13240</v>
      </c>
      <c r="AC315" s="3">
        <v>13245</v>
      </c>
      <c r="AD315" s="3">
        <v>13315</v>
      </c>
      <c r="AE315" s="3">
        <v>13305</v>
      </c>
      <c r="AF315" s="3">
        <v>13830</v>
      </c>
      <c r="AG315" s="3">
        <v>13845</v>
      </c>
      <c r="AH315" s="3">
        <v>13825</v>
      </c>
      <c r="AI315" s="3">
        <v>13845</v>
      </c>
      <c r="AJ315" s="3">
        <v>13705</v>
      </c>
      <c r="AK315" s="3">
        <v>13685</v>
      </c>
      <c r="AL315" s="3">
        <v>13645</v>
      </c>
      <c r="AM315" s="3">
        <v>13645</v>
      </c>
      <c r="AN315" s="3">
        <v>13380</v>
      </c>
      <c r="AO315" s="3">
        <v>13385</v>
      </c>
      <c r="AP315" s="3">
        <v>13470</v>
      </c>
      <c r="AQ315" s="3">
        <v>13485</v>
      </c>
      <c r="AR315" s="4">
        <f t="shared" si="131"/>
        <v>1.8647007805724147E-2</v>
      </c>
      <c r="AS315" s="4">
        <f t="shared" si="108"/>
        <v>8.658008658009031E-4</v>
      </c>
      <c r="AT315" s="4">
        <f t="shared" si="109"/>
        <v>2.0246478873239493E-2</v>
      </c>
      <c r="AU315" s="4">
        <f t="shared" si="110"/>
        <v>2.2920203735144362E-2</v>
      </c>
      <c r="AV315" s="4">
        <f t="shared" si="111"/>
        <v>1.7964071856287456E-2</v>
      </c>
      <c r="AW315" s="4">
        <f t="shared" si="112"/>
        <v>1.6863406408094361E-2</v>
      </c>
      <c r="AX315" s="4">
        <f t="shared" si="113"/>
        <v>4.5398266611638372E-2</v>
      </c>
      <c r="AY315" s="4">
        <f t="shared" si="114"/>
        <v>1.7214397496087663E-2</v>
      </c>
      <c r="AZ315" s="4">
        <f t="shared" si="115"/>
        <v>7.9713033080908158E-4</v>
      </c>
      <c r="BA315" s="4">
        <f t="shared" si="116"/>
        <v>1.7777777777777781E-2</v>
      </c>
      <c r="BB315" s="4">
        <f t="shared" si="117"/>
        <v>3.7292257802999496E-2</v>
      </c>
      <c r="BC315" s="4">
        <f t="shared" si="118"/>
        <v>3.9572615749905449E-4</v>
      </c>
      <c r="BD315" s="4">
        <f t="shared" si="119"/>
        <v>9.3457943925233655E-3</v>
      </c>
      <c r="BE315" s="4">
        <f t="shared" si="120"/>
        <v>2.1596606247589634E-2</v>
      </c>
      <c r="BF315" s="4">
        <f t="shared" si="121"/>
        <v>1.6424751718869368E-2</v>
      </c>
      <c r="BG315" s="4">
        <f t="shared" si="122"/>
        <v>3.8245219347581516E-2</v>
      </c>
      <c r="BH315" s="4">
        <f t="shared" si="123"/>
        <v>4.6728971962616273E-3</v>
      </c>
      <c r="BI315" s="4">
        <f t="shared" si="124"/>
        <v>1.3693693693693665E-2</v>
      </c>
      <c r="BJ315" s="4">
        <f t="shared" si="125"/>
        <v>5.4664723032069595E-3</v>
      </c>
      <c r="BK315" s="4">
        <f t="shared" si="126"/>
        <v>2.1921812203142155E-2</v>
      </c>
      <c r="BL315" s="4">
        <f t="shared" si="127"/>
        <v>2.2296544035673715E-3</v>
      </c>
      <c r="BM315" s="4">
        <f t="shared" si="132"/>
        <v>1.7507333591025742E-2</v>
      </c>
      <c r="BN315" s="9">
        <f t="shared" si="133"/>
        <v>13690.561173467249</v>
      </c>
      <c r="BO315" s="10">
        <f t="shared" si="134"/>
        <v>13091.714779899581</v>
      </c>
      <c r="BP315">
        <v>13830</v>
      </c>
      <c r="BQ315">
        <v>13845</v>
      </c>
      <c r="BR315">
        <v>13830</v>
      </c>
      <c r="BS315">
        <v>13845</v>
      </c>
      <c r="BT315">
        <v>7003</v>
      </c>
      <c r="BU315" s="13">
        <f t="shared" si="128"/>
        <v>13840</v>
      </c>
      <c r="BV315" s="13">
        <f t="shared" si="129"/>
        <v>96921520</v>
      </c>
      <c r="BW315" s="13">
        <f>SUM($BV$3:BV315)</f>
        <v>221382315151.66672</v>
      </c>
      <c r="BX315" s="13">
        <f>SUM($BT$3:BT315)</f>
        <v>16147279</v>
      </c>
      <c r="BY315" s="3">
        <f t="shared" si="130"/>
        <v>13710.193225228022</v>
      </c>
    </row>
    <row r="316" spans="1:77" x14ac:dyDescent="0.3">
      <c r="A316" s="3" t="s">
        <v>356</v>
      </c>
      <c r="B316" s="3">
        <v>11745</v>
      </c>
      <c r="C316" s="3">
        <v>11745</v>
      </c>
      <c r="D316" s="3">
        <v>11560</v>
      </c>
      <c r="E316" s="3">
        <v>11555</v>
      </c>
      <c r="F316" s="3">
        <v>11590</v>
      </c>
      <c r="G316" s="3">
        <v>11595</v>
      </c>
      <c r="H316" s="3">
        <v>11505</v>
      </c>
      <c r="I316" s="3">
        <v>11515</v>
      </c>
      <c r="J316" s="3">
        <v>11895</v>
      </c>
      <c r="K316" s="3">
        <v>11895</v>
      </c>
      <c r="L316" s="3">
        <v>12055</v>
      </c>
      <c r="M316" s="3">
        <v>12055</v>
      </c>
      <c r="N316" s="3">
        <v>12660</v>
      </c>
      <c r="O316" s="3">
        <v>12655</v>
      </c>
      <c r="P316" s="3">
        <v>12565</v>
      </c>
      <c r="Q316" s="3">
        <v>12550</v>
      </c>
      <c r="R316" s="3">
        <v>12535</v>
      </c>
      <c r="S316" s="3">
        <v>12530</v>
      </c>
      <c r="T316" s="3">
        <v>12155</v>
      </c>
      <c r="U316" s="3">
        <v>12160</v>
      </c>
      <c r="V316" s="3">
        <v>12795</v>
      </c>
      <c r="W316" s="3">
        <v>12790</v>
      </c>
      <c r="X316" s="3">
        <v>12630</v>
      </c>
      <c r="Y316" s="3">
        <v>12615</v>
      </c>
      <c r="Z316" s="3">
        <v>12725</v>
      </c>
      <c r="AA316" s="3">
        <v>12720</v>
      </c>
      <c r="AB316" s="3">
        <v>13240</v>
      </c>
      <c r="AC316" s="3">
        <v>13230</v>
      </c>
      <c r="AD316" s="3">
        <v>13310</v>
      </c>
      <c r="AE316" s="3">
        <v>13290</v>
      </c>
      <c r="AF316" s="3">
        <v>13840</v>
      </c>
      <c r="AG316" s="3">
        <v>13830</v>
      </c>
      <c r="AH316" s="3">
        <v>13845</v>
      </c>
      <c r="AI316" s="3">
        <v>13850</v>
      </c>
      <c r="AJ316" s="3">
        <v>13680</v>
      </c>
      <c r="AK316" s="3">
        <v>13665</v>
      </c>
      <c r="AL316" s="3">
        <v>13645</v>
      </c>
      <c r="AM316" s="3">
        <v>13630</v>
      </c>
      <c r="AN316" s="3">
        <v>13385</v>
      </c>
      <c r="AO316" s="3">
        <v>13375</v>
      </c>
      <c r="AP316" s="3">
        <v>13490</v>
      </c>
      <c r="AQ316" s="3">
        <v>13470</v>
      </c>
      <c r="AR316" s="4">
        <f t="shared" si="131"/>
        <v>1.8647007805724147E-2</v>
      </c>
      <c r="AS316" s="4">
        <f t="shared" si="108"/>
        <v>4.3290043290045155E-4</v>
      </c>
      <c r="AT316" s="4">
        <f t="shared" si="109"/>
        <v>2.0686619718309762E-2</v>
      </c>
      <c r="AU316" s="4">
        <f t="shared" si="110"/>
        <v>2.2495755517826788E-2</v>
      </c>
      <c r="AV316" s="4">
        <f t="shared" si="111"/>
        <v>1.7536355859709252E-2</v>
      </c>
      <c r="AW316" s="4">
        <f t="shared" si="112"/>
        <v>1.6441821247892063E-2</v>
      </c>
      <c r="AX316" s="4">
        <f t="shared" si="113"/>
        <v>4.4572843582336041E-2</v>
      </c>
      <c r="AY316" s="4">
        <f t="shared" si="114"/>
        <v>1.7996870109546204E-2</v>
      </c>
      <c r="AZ316" s="4">
        <f t="shared" si="115"/>
        <v>1.1956954962136779E-3</v>
      </c>
      <c r="BA316" s="4">
        <f t="shared" si="116"/>
        <v>1.7373737373737375E-2</v>
      </c>
      <c r="BB316" s="4">
        <f t="shared" si="117"/>
        <v>3.6886907174706218E-2</v>
      </c>
      <c r="BC316" s="4">
        <f t="shared" si="118"/>
        <v>1.5829046299959959E-3</v>
      </c>
      <c r="BD316" s="4">
        <f t="shared" si="119"/>
        <v>9.3457943925233655E-3</v>
      </c>
      <c r="BE316" s="4">
        <f t="shared" si="120"/>
        <v>2.0439645198611744E-2</v>
      </c>
      <c r="BF316" s="4">
        <f t="shared" si="121"/>
        <v>1.5278838808250539E-2</v>
      </c>
      <c r="BG316" s="4">
        <f t="shared" si="122"/>
        <v>3.7120359955005622E-2</v>
      </c>
      <c r="BH316" s="4">
        <f t="shared" si="123"/>
        <v>4.3134435657800063E-3</v>
      </c>
      <c r="BI316" s="4">
        <f t="shared" si="124"/>
        <v>1.5135135135135092E-2</v>
      </c>
      <c r="BJ316" s="4">
        <f t="shared" si="125"/>
        <v>6.5597667638483959E-3</v>
      </c>
      <c r="BK316" s="4">
        <f t="shared" si="126"/>
        <v>2.2652539276580175E-2</v>
      </c>
      <c r="BL316" s="4">
        <f t="shared" si="127"/>
        <v>1.1148272017837968E-3</v>
      </c>
      <c r="BM316" s="4">
        <f t="shared" si="132"/>
        <v>1.7304763538754247E-2</v>
      </c>
      <c r="BN316" s="9">
        <f t="shared" si="133"/>
        <v>13687.835593413938</v>
      </c>
      <c r="BO316" s="10">
        <f t="shared" si="134"/>
        <v>13094.414025846099</v>
      </c>
      <c r="BP316">
        <v>13840</v>
      </c>
      <c r="BQ316">
        <v>13850</v>
      </c>
      <c r="BR316">
        <v>13830</v>
      </c>
      <c r="BS316">
        <v>13830</v>
      </c>
      <c r="BT316">
        <v>8701</v>
      </c>
      <c r="BU316" s="13">
        <f t="shared" si="128"/>
        <v>13836.666666666666</v>
      </c>
      <c r="BV316" s="13">
        <f t="shared" si="129"/>
        <v>120392836.66666666</v>
      </c>
      <c r="BW316" s="13">
        <f>SUM($BV$3:BV316)</f>
        <v>221502707988.33337</v>
      </c>
      <c r="BX316" s="13">
        <f>SUM($BT$3:BT316)</f>
        <v>16155980</v>
      </c>
      <c r="BY316" s="3">
        <f t="shared" si="130"/>
        <v>13710.261339041852</v>
      </c>
    </row>
    <row r="317" spans="1:77" x14ac:dyDescent="0.3">
      <c r="A317" s="3" t="s">
        <v>357</v>
      </c>
      <c r="B317" s="3">
        <v>11745</v>
      </c>
      <c r="C317" s="3">
        <v>11740</v>
      </c>
      <c r="D317" s="3">
        <v>11555</v>
      </c>
      <c r="E317" s="3">
        <v>11540</v>
      </c>
      <c r="F317" s="3">
        <v>11595</v>
      </c>
      <c r="G317" s="3">
        <v>11600</v>
      </c>
      <c r="H317" s="3">
        <v>11515</v>
      </c>
      <c r="I317" s="3">
        <v>11530</v>
      </c>
      <c r="J317" s="3">
        <v>11895</v>
      </c>
      <c r="K317" s="3">
        <v>11895</v>
      </c>
      <c r="L317" s="3">
        <v>12055</v>
      </c>
      <c r="M317" s="3">
        <v>12055</v>
      </c>
      <c r="N317" s="3">
        <v>12655</v>
      </c>
      <c r="O317" s="3">
        <v>12665</v>
      </c>
      <c r="P317" s="3">
        <v>12550</v>
      </c>
      <c r="Q317" s="3">
        <v>12540</v>
      </c>
      <c r="R317" s="3">
        <v>12530</v>
      </c>
      <c r="S317" s="3">
        <v>12530</v>
      </c>
      <c r="T317" s="3">
        <v>12155</v>
      </c>
      <c r="U317" s="3">
        <v>12150</v>
      </c>
      <c r="V317" s="3">
        <v>12790</v>
      </c>
      <c r="W317" s="3">
        <v>12790</v>
      </c>
      <c r="X317" s="3">
        <v>12610</v>
      </c>
      <c r="Y317" s="3">
        <v>12640</v>
      </c>
      <c r="Z317" s="3">
        <v>12725</v>
      </c>
      <c r="AA317" s="3">
        <v>12715</v>
      </c>
      <c r="AB317" s="3">
        <v>13230</v>
      </c>
      <c r="AC317" s="3">
        <v>13240</v>
      </c>
      <c r="AD317" s="3">
        <v>13295</v>
      </c>
      <c r="AE317" s="3">
        <v>13295</v>
      </c>
      <c r="AF317" s="3">
        <v>13835</v>
      </c>
      <c r="AG317" s="3">
        <v>13840</v>
      </c>
      <c r="AH317" s="3">
        <v>13850</v>
      </c>
      <c r="AI317" s="3">
        <v>13860</v>
      </c>
      <c r="AJ317" s="3">
        <v>13660</v>
      </c>
      <c r="AK317" s="3">
        <v>13685</v>
      </c>
      <c r="AL317" s="3">
        <v>13635</v>
      </c>
      <c r="AM317" s="3">
        <v>13640</v>
      </c>
      <c r="AN317" s="3">
        <v>13375</v>
      </c>
      <c r="AO317" s="3">
        <v>13375</v>
      </c>
      <c r="AP317" s="3">
        <v>13475</v>
      </c>
      <c r="AQ317" s="3">
        <v>13470</v>
      </c>
      <c r="AR317" s="4">
        <f t="shared" si="131"/>
        <v>1.8213356461405095E-2</v>
      </c>
      <c r="AS317" s="4">
        <f t="shared" si="108"/>
        <v>8.658008658009031E-4</v>
      </c>
      <c r="AT317" s="4">
        <f t="shared" si="109"/>
        <v>2.1126760563380254E-2</v>
      </c>
      <c r="AU317" s="4">
        <f t="shared" si="110"/>
        <v>2.1222410865874397E-2</v>
      </c>
      <c r="AV317" s="4">
        <f t="shared" si="111"/>
        <v>1.7536355859709252E-2</v>
      </c>
      <c r="AW317" s="4">
        <f t="shared" si="112"/>
        <v>1.6441821247892063E-2</v>
      </c>
      <c r="AX317" s="4">
        <f t="shared" si="113"/>
        <v>4.5398266611638372E-2</v>
      </c>
      <c r="AY317" s="4">
        <f t="shared" si="114"/>
        <v>1.8779342723004744E-2</v>
      </c>
      <c r="AZ317" s="4">
        <f t="shared" si="115"/>
        <v>1.1956954962136779E-3</v>
      </c>
      <c r="BA317" s="4">
        <f t="shared" si="116"/>
        <v>1.8181818181818188E-2</v>
      </c>
      <c r="BB317" s="4">
        <f t="shared" si="117"/>
        <v>3.6886907174706218E-2</v>
      </c>
      <c r="BC317" s="4">
        <f t="shared" si="118"/>
        <v>3.9572615749894346E-4</v>
      </c>
      <c r="BD317" s="4">
        <f t="shared" si="119"/>
        <v>9.7352024922118252E-3</v>
      </c>
      <c r="BE317" s="4">
        <f t="shared" si="120"/>
        <v>2.121095256459693E-2</v>
      </c>
      <c r="BF317" s="4">
        <f t="shared" si="121"/>
        <v>1.5660809778456741E-2</v>
      </c>
      <c r="BG317" s="4">
        <f t="shared" si="122"/>
        <v>3.7870266216722959E-2</v>
      </c>
      <c r="BH317" s="4">
        <f t="shared" si="123"/>
        <v>3.5945363048166534E-3</v>
      </c>
      <c r="BI317" s="4">
        <f t="shared" si="124"/>
        <v>1.3693693693693665E-2</v>
      </c>
      <c r="BJ317" s="4">
        <f t="shared" si="125"/>
        <v>5.8309037900874383E-3</v>
      </c>
      <c r="BK317" s="4">
        <f t="shared" si="126"/>
        <v>2.2652539276580175E-2</v>
      </c>
      <c r="BL317" s="4">
        <f t="shared" si="127"/>
        <v>1.1148272017837968E-3</v>
      </c>
      <c r="BM317" s="4">
        <f t="shared" si="132"/>
        <v>1.7474133613057323E-2</v>
      </c>
      <c r="BN317" s="9">
        <f t="shared" si="133"/>
        <v>13690.114467763686</v>
      </c>
      <c r="BO317" s="10">
        <f t="shared" si="134"/>
        <v>13092.157169606011</v>
      </c>
      <c r="BP317">
        <v>13835</v>
      </c>
      <c r="BQ317">
        <v>13850</v>
      </c>
      <c r="BR317">
        <v>13835</v>
      </c>
      <c r="BS317">
        <v>13840</v>
      </c>
      <c r="BT317">
        <v>15955</v>
      </c>
      <c r="BU317" s="13">
        <f t="shared" si="128"/>
        <v>13841.666666666666</v>
      </c>
      <c r="BV317" s="13">
        <f t="shared" si="129"/>
        <v>220843791.66666666</v>
      </c>
      <c r="BW317" s="13">
        <f>SUM($BV$3:BV317)</f>
        <v>221723551780.00003</v>
      </c>
      <c r="BX317" s="13">
        <f>SUM($BT$3:BT317)</f>
        <v>16171935</v>
      </c>
      <c r="BY317" s="3">
        <f t="shared" si="130"/>
        <v>13710.390981660514</v>
      </c>
    </row>
    <row r="318" spans="1:77" x14ac:dyDescent="0.3">
      <c r="A318" s="3" t="s">
        <v>358</v>
      </c>
      <c r="B318" s="3">
        <v>11745</v>
      </c>
      <c r="C318" s="3">
        <v>11740</v>
      </c>
      <c r="D318" s="3">
        <v>11540</v>
      </c>
      <c r="E318" s="3">
        <v>11550</v>
      </c>
      <c r="F318" s="3">
        <v>11600</v>
      </c>
      <c r="G318" s="3">
        <v>11590</v>
      </c>
      <c r="H318" s="3">
        <v>11530</v>
      </c>
      <c r="I318" s="3">
        <v>11525</v>
      </c>
      <c r="J318" s="3">
        <v>11895</v>
      </c>
      <c r="K318" s="3">
        <v>11895</v>
      </c>
      <c r="L318" s="3">
        <v>12055</v>
      </c>
      <c r="M318" s="3">
        <v>12055</v>
      </c>
      <c r="N318" s="3">
        <v>12670</v>
      </c>
      <c r="O318" s="3">
        <v>12665</v>
      </c>
      <c r="P318" s="3">
        <v>12540</v>
      </c>
      <c r="Q318" s="3">
        <v>12495</v>
      </c>
      <c r="R318" s="3">
        <v>12525</v>
      </c>
      <c r="S318" s="3">
        <v>12530</v>
      </c>
      <c r="T318" s="3">
        <v>12145</v>
      </c>
      <c r="U318" s="3">
        <v>12150</v>
      </c>
      <c r="V318" s="3">
        <v>12790</v>
      </c>
      <c r="W318" s="3">
        <v>12790</v>
      </c>
      <c r="X318" s="3">
        <v>12635</v>
      </c>
      <c r="Y318" s="3">
        <v>12645</v>
      </c>
      <c r="Z318" s="3">
        <v>12720</v>
      </c>
      <c r="AA318" s="3">
        <v>12715</v>
      </c>
      <c r="AB318" s="3">
        <v>13235</v>
      </c>
      <c r="AC318" s="3">
        <v>13235</v>
      </c>
      <c r="AD318" s="3">
        <v>13295</v>
      </c>
      <c r="AE318" s="3">
        <v>13295</v>
      </c>
      <c r="AF318" s="3">
        <v>13845</v>
      </c>
      <c r="AG318" s="3">
        <v>13845</v>
      </c>
      <c r="AH318" s="3">
        <v>13860</v>
      </c>
      <c r="AI318" s="3">
        <v>13845</v>
      </c>
      <c r="AJ318" s="3">
        <v>13685</v>
      </c>
      <c r="AK318" s="3">
        <v>13700</v>
      </c>
      <c r="AL318" s="3">
        <v>13640</v>
      </c>
      <c r="AM318" s="3">
        <v>13635</v>
      </c>
      <c r="AN318" s="3">
        <v>13375</v>
      </c>
      <c r="AO318" s="3">
        <v>13380</v>
      </c>
      <c r="AP318" s="3">
        <v>13470</v>
      </c>
      <c r="AQ318" s="3">
        <v>13480</v>
      </c>
      <c r="AR318" s="4">
        <f t="shared" si="131"/>
        <v>1.8213356461405095E-2</v>
      </c>
      <c r="AS318" s="4">
        <f t="shared" si="108"/>
        <v>0</v>
      </c>
      <c r="AT318" s="4">
        <f t="shared" si="109"/>
        <v>2.0246478873239493E-2</v>
      </c>
      <c r="AU318" s="4">
        <f t="shared" si="110"/>
        <v>2.1646859083191861E-2</v>
      </c>
      <c r="AV318" s="4">
        <f t="shared" si="111"/>
        <v>1.7536355859709252E-2</v>
      </c>
      <c r="AW318" s="4">
        <f t="shared" si="112"/>
        <v>1.6441821247892063E-2</v>
      </c>
      <c r="AX318" s="4">
        <f t="shared" si="113"/>
        <v>4.5398266611638372E-2</v>
      </c>
      <c r="AY318" s="4">
        <f t="shared" si="114"/>
        <v>2.2300469483568119E-2</v>
      </c>
      <c r="AZ318" s="4">
        <f t="shared" si="115"/>
        <v>1.1956954962136779E-3</v>
      </c>
      <c r="BA318" s="4">
        <f t="shared" si="116"/>
        <v>1.8181818181818188E-2</v>
      </c>
      <c r="BB318" s="4">
        <f t="shared" si="117"/>
        <v>3.6886907174706218E-2</v>
      </c>
      <c r="BC318" s="4">
        <f t="shared" si="118"/>
        <v>7.9145231499810897E-4</v>
      </c>
      <c r="BD318" s="4">
        <f t="shared" si="119"/>
        <v>9.7352024922118252E-3</v>
      </c>
      <c r="BE318" s="4">
        <f t="shared" si="120"/>
        <v>2.0825298881604226E-2</v>
      </c>
      <c r="BF318" s="4">
        <f t="shared" si="121"/>
        <v>1.5660809778456741E-2</v>
      </c>
      <c r="BG318" s="4">
        <f t="shared" si="122"/>
        <v>3.8245219347581516E-2</v>
      </c>
      <c r="BH318" s="4">
        <f t="shared" si="123"/>
        <v>4.6728971962616273E-3</v>
      </c>
      <c r="BI318" s="4">
        <f t="shared" si="124"/>
        <v>1.2612612612612595E-2</v>
      </c>
      <c r="BJ318" s="4">
        <f t="shared" si="125"/>
        <v>6.1953352769679171E-3</v>
      </c>
      <c r="BK318" s="4">
        <f t="shared" si="126"/>
        <v>2.2287175739861165E-2</v>
      </c>
      <c r="BL318" s="4">
        <f t="shared" si="127"/>
        <v>1.85804533630618E-3</v>
      </c>
      <c r="BM318" s="4">
        <f t="shared" si="132"/>
        <v>1.7631959677089155E-2</v>
      </c>
      <c r="BN318" s="9">
        <f t="shared" si="133"/>
        <v>13692.238017455233</v>
      </c>
      <c r="BO318" s="10">
        <f t="shared" si="134"/>
        <v>13090.054137302786</v>
      </c>
      <c r="BP318">
        <v>13845</v>
      </c>
      <c r="BQ318">
        <v>13850</v>
      </c>
      <c r="BR318">
        <v>13840</v>
      </c>
      <c r="BS318">
        <v>13845</v>
      </c>
      <c r="BT318">
        <v>20766</v>
      </c>
      <c r="BU318" s="13">
        <f t="shared" si="128"/>
        <v>13845</v>
      </c>
      <c r="BV318" s="13">
        <f t="shared" si="129"/>
        <v>287505270</v>
      </c>
      <c r="BW318" s="13">
        <f>SUM($BV$3:BV318)</f>
        <v>222011057050.00003</v>
      </c>
      <c r="BX318" s="13">
        <f>SUM($BT$3:BT318)</f>
        <v>16192701</v>
      </c>
      <c r="BY318" s="3">
        <f t="shared" si="130"/>
        <v>13710.563608257822</v>
      </c>
    </row>
    <row r="319" spans="1:77" x14ac:dyDescent="0.3">
      <c r="A319" s="3" t="s">
        <v>359</v>
      </c>
      <c r="B319" s="3">
        <v>11740</v>
      </c>
      <c r="C319" s="3">
        <v>11745</v>
      </c>
      <c r="D319" s="3">
        <v>11555</v>
      </c>
      <c r="E319" s="3">
        <v>11570</v>
      </c>
      <c r="F319" s="3">
        <v>11585</v>
      </c>
      <c r="G319" s="3">
        <v>11585</v>
      </c>
      <c r="H319" s="3">
        <v>11525</v>
      </c>
      <c r="I319" s="3">
        <v>11535</v>
      </c>
      <c r="J319" s="3">
        <v>11895</v>
      </c>
      <c r="K319" s="3">
        <v>11890</v>
      </c>
      <c r="L319" s="3">
        <v>12050</v>
      </c>
      <c r="M319" s="3">
        <v>12035</v>
      </c>
      <c r="N319" s="3">
        <v>12665</v>
      </c>
      <c r="O319" s="3">
        <v>12660</v>
      </c>
      <c r="P319" s="3">
        <v>12495</v>
      </c>
      <c r="Q319" s="3">
        <v>12485</v>
      </c>
      <c r="R319" s="3">
        <v>12530</v>
      </c>
      <c r="S319" s="3">
        <v>12525</v>
      </c>
      <c r="T319" s="3">
        <v>12150</v>
      </c>
      <c r="U319" s="3">
        <v>12150</v>
      </c>
      <c r="V319" s="3">
        <v>12790</v>
      </c>
      <c r="W319" s="3">
        <v>12785</v>
      </c>
      <c r="X319" s="3">
        <v>12645</v>
      </c>
      <c r="Y319" s="3">
        <v>12635</v>
      </c>
      <c r="Z319" s="3">
        <v>12710</v>
      </c>
      <c r="AA319" s="3">
        <v>12725</v>
      </c>
      <c r="AB319" s="3">
        <v>13235</v>
      </c>
      <c r="AC319" s="3">
        <v>13255</v>
      </c>
      <c r="AD319" s="3">
        <v>13300</v>
      </c>
      <c r="AE319" s="3">
        <v>13305</v>
      </c>
      <c r="AF319" s="3">
        <v>13845</v>
      </c>
      <c r="AG319" s="3">
        <v>13845</v>
      </c>
      <c r="AH319" s="3">
        <v>13850</v>
      </c>
      <c r="AI319" s="3">
        <v>13880</v>
      </c>
      <c r="AJ319" s="3">
        <v>13705</v>
      </c>
      <c r="AK319" s="3">
        <v>13700</v>
      </c>
      <c r="AL319" s="3">
        <v>13635</v>
      </c>
      <c r="AM319" s="3">
        <v>13640</v>
      </c>
      <c r="AN319" s="3">
        <v>13380</v>
      </c>
      <c r="AO319" s="3">
        <v>13385</v>
      </c>
      <c r="AP319" s="3">
        <v>13480</v>
      </c>
      <c r="AQ319" s="3">
        <v>13465</v>
      </c>
      <c r="AR319" s="4">
        <f t="shared" si="131"/>
        <v>1.8647007805724147E-2</v>
      </c>
      <c r="AS319" s="4">
        <f t="shared" si="108"/>
        <v>1.7316017316018062E-3</v>
      </c>
      <c r="AT319" s="4">
        <f t="shared" si="109"/>
        <v>1.9806338028169002E-2</v>
      </c>
      <c r="AU319" s="4">
        <f t="shared" si="110"/>
        <v>2.0797962648556823E-2</v>
      </c>
      <c r="AV319" s="4">
        <f t="shared" si="111"/>
        <v>1.7108639863130826E-2</v>
      </c>
      <c r="AW319" s="4">
        <f t="shared" si="112"/>
        <v>1.4755480607082649E-2</v>
      </c>
      <c r="AX319" s="4">
        <f t="shared" si="113"/>
        <v>4.4985555096987095E-2</v>
      </c>
      <c r="AY319" s="4">
        <f t="shared" si="114"/>
        <v>2.3082942097026549E-2</v>
      </c>
      <c r="AZ319" s="4">
        <f t="shared" si="115"/>
        <v>1.5942606616181632E-3</v>
      </c>
      <c r="BA319" s="4">
        <f t="shared" si="116"/>
        <v>1.8181818181818188E-2</v>
      </c>
      <c r="BB319" s="4">
        <f t="shared" si="117"/>
        <v>3.6481556546412719E-2</v>
      </c>
      <c r="BC319" s="4">
        <f t="shared" si="118"/>
        <v>0</v>
      </c>
      <c r="BD319" s="4">
        <f t="shared" si="119"/>
        <v>8.9563862928349058E-3</v>
      </c>
      <c r="BE319" s="4">
        <f t="shared" si="120"/>
        <v>2.2367913613575041E-2</v>
      </c>
      <c r="BF319" s="4">
        <f t="shared" si="121"/>
        <v>1.6424751718869368E-2</v>
      </c>
      <c r="BG319" s="4">
        <f t="shared" si="122"/>
        <v>3.8245219347581516E-2</v>
      </c>
      <c r="BH319" s="4">
        <f t="shared" si="123"/>
        <v>2.1567217828900587E-3</v>
      </c>
      <c r="BI319" s="4">
        <f t="shared" si="124"/>
        <v>1.2612612612612595E-2</v>
      </c>
      <c r="BJ319" s="4">
        <f t="shared" si="125"/>
        <v>5.8309037900874383E-3</v>
      </c>
      <c r="BK319" s="4">
        <f t="shared" si="126"/>
        <v>2.1921812203142155E-2</v>
      </c>
      <c r="BL319" s="4">
        <f t="shared" si="127"/>
        <v>7.4321813452238317E-4</v>
      </c>
      <c r="BM319" s="4">
        <f t="shared" si="132"/>
        <v>1.7591086220548797E-2</v>
      </c>
      <c r="BN319" s="9">
        <f t="shared" si="133"/>
        <v>13691.688065097485</v>
      </c>
      <c r="BO319" s="10">
        <f t="shared" si="134"/>
        <v>13090.598776111186</v>
      </c>
      <c r="BP319">
        <v>13845</v>
      </c>
      <c r="BQ319">
        <v>13860</v>
      </c>
      <c r="BR319">
        <v>13845</v>
      </c>
      <c r="BS319">
        <v>13845</v>
      </c>
      <c r="BT319">
        <v>27934</v>
      </c>
      <c r="BU319" s="13">
        <f t="shared" si="128"/>
        <v>13850</v>
      </c>
      <c r="BV319" s="13">
        <f t="shared" si="129"/>
        <v>386885900</v>
      </c>
      <c r="BW319" s="13">
        <f>SUM($BV$3:BV319)</f>
        <v>222397942950.00003</v>
      </c>
      <c r="BX319" s="13">
        <f>SUM($BT$3:BT319)</f>
        <v>16220635</v>
      </c>
      <c r="BY319" s="3">
        <f t="shared" si="130"/>
        <v>13710.803735488778</v>
      </c>
    </row>
    <row r="320" spans="1:77" x14ac:dyDescent="0.3">
      <c r="A320" s="3" t="s">
        <v>360</v>
      </c>
      <c r="B320" s="3">
        <v>11745</v>
      </c>
      <c r="C320" s="3">
        <v>11730</v>
      </c>
      <c r="D320" s="3">
        <v>11570</v>
      </c>
      <c r="E320" s="3">
        <v>11575</v>
      </c>
      <c r="F320" s="3">
        <v>11585</v>
      </c>
      <c r="G320" s="3">
        <v>11600</v>
      </c>
      <c r="H320" s="3">
        <v>11535</v>
      </c>
      <c r="I320" s="3">
        <v>11545</v>
      </c>
      <c r="J320" s="3">
        <v>11890</v>
      </c>
      <c r="K320" s="3">
        <v>11895</v>
      </c>
      <c r="L320" s="3">
        <v>12035</v>
      </c>
      <c r="M320" s="3">
        <v>12065</v>
      </c>
      <c r="N320" s="3">
        <v>12660</v>
      </c>
      <c r="O320" s="3">
        <v>12645</v>
      </c>
      <c r="P320" s="3">
        <v>12485</v>
      </c>
      <c r="Q320" s="3">
        <v>12455</v>
      </c>
      <c r="R320" s="3">
        <v>12525</v>
      </c>
      <c r="S320" s="3">
        <v>12525</v>
      </c>
      <c r="T320" s="3">
        <v>12145</v>
      </c>
      <c r="U320" s="3">
        <v>12145</v>
      </c>
      <c r="V320" s="3">
        <v>12785</v>
      </c>
      <c r="W320" s="3">
        <v>12760</v>
      </c>
      <c r="X320" s="3">
        <v>12630</v>
      </c>
      <c r="Y320" s="3">
        <v>12635</v>
      </c>
      <c r="Z320" s="3">
        <v>12720</v>
      </c>
      <c r="AA320" s="3">
        <v>12720</v>
      </c>
      <c r="AB320" s="3">
        <v>13250</v>
      </c>
      <c r="AC320" s="3">
        <v>13255</v>
      </c>
      <c r="AD320" s="3">
        <v>13300</v>
      </c>
      <c r="AE320" s="3">
        <v>13295</v>
      </c>
      <c r="AF320" s="3">
        <v>13850</v>
      </c>
      <c r="AG320" s="3">
        <v>13855</v>
      </c>
      <c r="AH320" s="3">
        <v>13880</v>
      </c>
      <c r="AI320" s="3">
        <v>13860</v>
      </c>
      <c r="AJ320" s="3">
        <v>13695</v>
      </c>
      <c r="AK320" s="3">
        <v>13670</v>
      </c>
      <c r="AL320" s="3">
        <v>13640</v>
      </c>
      <c r="AM320" s="3">
        <v>13625</v>
      </c>
      <c r="AN320" s="3">
        <v>13380</v>
      </c>
      <c r="AO320" s="3">
        <v>13385</v>
      </c>
      <c r="AP320" s="3">
        <v>13465</v>
      </c>
      <c r="AQ320" s="3">
        <v>13455</v>
      </c>
      <c r="AR320" s="4">
        <f t="shared" si="131"/>
        <v>1.7346053772766767E-2</v>
      </c>
      <c r="AS320" s="4">
        <f t="shared" si="108"/>
        <v>2.1645021645022577E-3</v>
      </c>
      <c r="AT320" s="4">
        <f t="shared" si="109"/>
        <v>2.1126760563380254E-2</v>
      </c>
      <c r="AU320" s="4">
        <f t="shared" si="110"/>
        <v>1.9949066213921895E-2</v>
      </c>
      <c r="AV320" s="4">
        <f t="shared" si="111"/>
        <v>1.7536355859709252E-2</v>
      </c>
      <c r="AW320" s="4">
        <f t="shared" si="112"/>
        <v>1.7284991568296881E-2</v>
      </c>
      <c r="AX320" s="4">
        <f t="shared" si="113"/>
        <v>4.3747420553033489E-2</v>
      </c>
      <c r="AY320" s="4">
        <f t="shared" si="114"/>
        <v>2.5430359937402169E-2</v>
      </c>
      <c r="AZ320" s="4">
        <f t="shared" si="115"/>
        <v>1.5942606616181632E-3</v>
      </c>
      <c r="BA320" s="4">
        <f t="shared" si="116"/>
        <v>1.8585858585858595E-2</v>
      </c>
      <c r="BB320" s="4">
        <f t="shared" si="117"/>
        <v>3.4454803404945222E-2</v>
      </c>
      <c r="BC320" s="4">
        <f t="shared" si="118"/>
        <v>0</v>
      </c>
      <c r="BD320" s="4">
        <f t="shared" si="119"/>
        <v>9.3457943925233655E-3</v>
      </c>
      <c r="BE320" s="4">
        <f t="shared" si="120"/>
        <v>2.2367913613575041E-2</v>
      </c>
      <c r="BF320" s="4">
        <f t="shared" si="121"/>
        <v>1.5660809778456741E-2</v>
      </c>
      <c r="BG320" s="4">
        <f t="shared" si="122"/>
        <v>3.8995125609298853E-2</v>
      </c>
      <c r="BH320" s="4">
        <f t="shared" si="123"/>
        <v>3.5945363048166534E-3</v>
      </c>
      <c r="BI320" s="4">
        <f t="shared" si="124"/>
        <v>1.4774774774774735E-2</v>
      </c>
      <c r="BJ320" s="4">
        <f t="shared" si="125"/>
        <v>6.9241982507288746E-3</v>
      </c>
      <c r="BK320" s="4">
        <f t="shared" si="126"/>
        <v>2.1921812203142155E-2</v>
      </c>
      <c r="BL320" s="4">
        <f t="shared" si="127"/>
        <v>0</v>
      </c>
      <c r="BM320" s="4">
        <f t="shared" si="132"/>
        <v>1.7803492664087379E-2</v>
      </c>
      <c r="BN320" s="9">
        <f t="shared" si="133"/>
        <v>13694.545993795295</v>
      </c>
      <c r="BO320" s="10">
        <f t="shared" si="134"/>
        <v>13087.768460251034</v>
      </c>
      <c r="BP320">
        <v>13850</v>
      </c>
      <c r="BQ320">
        <v>13855</v>
      </c>
      <c r="BR320">
        <v>13850</v>
      </c>
      <c r="BS320">
        <v>13855</v>
      </c>
      <c r="BT320">
        <v>2551</v>
      </c>
      <c r="BU320" s="13">
        <f t="shared" si="128"/>
        <v>13853.333333333334</v>
      </c>
      <c r="BV320" s="13">
        <f t="shared" si="129"/>
        <v>35339853.333333336</v>
      </c>
      <c r="BW320" s="13">
        <f>SUM($BV$3:BV320)</f>
        <v>222433282803.33337</v>
      </c>
      <c r="BX320" s="13">
        <f>SUM($BT$3:BT320)</f>
        <v>16223186</v>
      </c>
      <c r="BY320" s="3">
        <f t="shared" si="130"/>
        <v>13710.826147424641</v>
      </c>
    </row>
    <row r="321" spans="1:77" x14ac:dyDescent="0.3">
      <c r="A321" s="3" t="s">
        <v>361</v>
      </c>
      <c r="B321" s="3">
        <v>11730</v>
      </c>
      <c r="C321" s="3">
        <v>11735</v>
      </c>
      <c r="D321" s="3">
        <v>11575</v>
      </c>
      <c r="E321" s="3">
        <v>11565</v>
      </c>
      <c r="F321" s="3">
        <v>11600</v>
      </c>
      <c r="G321" s="3">
        <v>11610</v>
      </c>
      <c r="H321" s="3">
        <v>11545</v>
      </c>
      <c r="I321" s="3">
        <v>11540</v>
      </c>
      <c r="J321" s="3">
        <v>11895</v>
      </c>
      <c r="K321" s="3">
        <v>11900</v>
      </c>
      <c r="L321" s="3">
        <v>12065</v>
      </c>
      <c r="M321" s="3">
        <v>12065</v>
      </c>
      <c r="N321" s="3">
        <v>12650</v>
      </c>
      <c r="O321" s="3">
        <v>12635</v>
      </c>
      <c r="P321" s="3">
        <v>12455</v>
      </c>
      <c r="Q321" s="3">
        <v>12485</v>
      </c>
      <c r="R321" s="3">
        <v>12525</v>
      </c>
      <c r="S321" s="3">
        <v>12530</v>
      </c>
      <c r="T321" s="3">
        <v>12145</v>
      </c>
      <c r="U321" s="3">
        <v>12145</v>
      </c>
      <c r="V321" s="3">
        <v>12760</v>
      </c>
      <c r="W321" s="3">
        <v>12760</v>
      </c>
      <c r="X321" s="3">
        <v>12630</v>
      </c>
      <c r="Y321" s="3">
        <v>12625</v>
      </c>
      <c r="Z321" s="3">
        <v>12720</v>
      </c>
      <c r="AA321" s="3">
        <v>12720</v>
      </c>
      <c r="AB321" s="3">
        <v>13250</v>
      </c>
      <c r="AC321" s="3">
        <v>13245</v>
      </c>
      <c r="AD321" s="3">
        <v>13295</v>
      </c>
      <c r="AE321" s="3">
        <v>13295</v>
      </c>
      <c r="AF321" s="3">
        <v>13855</v>
      </c>
      <c r="AG321" s="3">
        <v>13845</v>
      </c>
      <c r="AH321" s="3">
        <v>13865</v>
      </c>
      <c r="AI321" s="3">
        <v>13880</v>
      </c>
      <c r="AJ321" s="3">
        <v>13675</v>
      </c>
      <c r="AK321" s="3">
        <v>13690</v>
      </c>
      <c r="AL321" s="3">
        <v>13630</v>
      </c>
      <c r="AM321" s="3">
        <v>13625</v>
      </c>
      <c r="AN321" s="3">
        <v>13380</v>
      </c>
      <c r="AO321" s="3">
        <v>13375</v>
      </c>
      <c r="AP321" s="3">
        <v>13455</v>
      </c>
      <c r="AQ321" s="3">
        <v>13470</v>
      </c>
      <c r="AR321" s="4">
        <f t="shared" si="131"/>
        <v>1.777970511708582E-2</v>
      </c>
      <c r="AS321" s="4">
        <f t="shared" si="108"/>
        <v>1.2987012987013546E-3</v>
      </c>
      <c r="AT321" s="4">
        <f t="shared" si="109"/>
        <v>2.2007042253521236E-2</v>
      </c>
      <c r="AU321" s="4">
        <f t="shared" si="110"/>
        <v>2.0373514431239359E-2</v>
      </c>
      <c r="AV321" s="4">
        <f t="shared" si="111"/>
        <v>1.7964071856287456E-2</v>
      </c>
      <c r="AW321" s="4">
        <f t="shared" si="112"/>
        <v>1.7284991568296881E-2</v>
      </c>
      <c r="AX321" s="4">
        <f t="shared" si="113"/>
        <v>4.2921997523730937E-2</v>
      </c>
      <c r="AY321" s="4">
        <f t="shared" si="114"/>
        <v>2.3082942097026549E-2</v>
      </c>
      <c r="AZ321" s="4">
        <f t="shared" si="115"/>
        <v>1.1956954962136779E-3</v>
      </c>
      <c r="BA321" s="4">
        <f t="shared" si="116"/>
        <v>1.8585858585858595E-2</v>
      </c>
      <c r="BB321" s="4">
        <f t="shared" si="117"/>
        <v>3.4454803404945222E-2</v>
      </c>
      <c r="BC321" s="4">
        <f t="shared" si="118"/>
        <v>7.9145231499799795E-4</v>
      </c>
      <c r="BD321" s="4">
        <f t="shared" si="119"/>
        <v>9.3457943925233655E-3</v>
      </c>
      <c r="BE321" s="4">
        <f t="shared" si="120"/>
        <v>2.1596606247589634E-2</v>
      </c>
      <c r="BF321" s="4">
        <f t="shared" si="121"/>
        <v>1.5660809778456741E-2</v>
      </c>
      <c r="BG321" s="4">
        <f t="shared" si="122"/>
        <v>3.8245219347581516E-2</v>
      </c>
      <c r="BH321" s="4">
        <f t="shared" si="123"/>
        <v>2.1567217828900587E-3</v>
      </c>
      <c r="BI321" s="4">
        <f t="shared" si="124"/>
        <v>1.3333333333333308E-2</v>
      </c>
      <c r="BJ321" s="4">
        <f t="shared" si="125"/>
        <v>6.9241982507288746E-3</v>
      </c>
      <c r="BK321" s="4">
        <f t="shared" si="126"/>
        <v>2.2652539276580175E-2</v>
      </c>
      <c r="BL321" s="4">
        <f t="shared" si="127"/>
        <v>1.1148272017837968E-3</v>
      </c>
      <c r="BM321" s="4">
        <f t="shared" si="132"/>
        <v>1.7611734374956358E-2</v>
      </c>
      <c r="BN321" s="9">
        <f t="shared" si="133"/>
        <v>13691.965886015039</v>
      </c>
      <c r="BO321" s="10">
        <f t="shared" si="134"/>
        <v>13090.323639453707</v>
      </c>
      <c r="BP321">
        <v>13855</v>
      </c>
      <c r="BQ321">
        <v>13860</v>
      </c>
      <c r="BR321">
        <v>13835</v>
      </c>
      <c r="BS321">
        <v>13845</v>
      </c>
      <c r="BT321">
        <v>31479</v>
      </c>
      <c r="BU321" s="13">
        <f t="shared" si="128"/>
        <v>13846.666666666666</v>
      </c>
      <c r="BV321" s="13">
        <f t="shared" si="129"/>
        <v>435879220</v>
      </c>
      <c r="BW321" s="13">
        <f>SUM($BV$3:BV321)</f>
        <v>222869162023.33337</v>
      </c>
      <c r="BX321" s="13">
        <f>SUM($BT$3:BT321)</f>
        <v>16254665</v>
      </c>
      <c r="BY321" s="3">
        <f t="shared" si="130"/>
        <v>13711.089217977324</v>
      </c>
    </row>
    <row r="322" spans="1:77" x14ac:dyDescent="0.3">
      <c r="A322" s="3" t="s">
        <v>362</v>
      </c>
      <c r="B322" s="3">
        <v>11735</v>
      </c>
      <c r="C322" s="3">
        <v>11745</v>
      </c>
      <c r="D322" s="3">
        <v>11565</v>
      </c>
      <c r="E322" s="3">
        <v>11560</v>
      </c>
      <c r="F322" s="3">
        <v>11610</v>
      </c>
      <c r="G322" s="3">
        <v>11610</v>
      </c>
      <c r="H322" s="3">
        <v>11540</v>
      </c>
      <c r="I322" s="3">
        <v>11535</v>
      </c>
      <c r="J322" s="3">
        <v>11900</v>
      </c>
      <c r="K322" s="3">
        <v>11890</v>
      </c>
      <c r="L322" s="3">
        <v>12065</v>
      </c>
      <c r="M322" s="3">
        <v>12070</v>
      </c>
      <c r="N322" s="3">
        <v>12635</v>
      </c>
      <c r="O322" s="3">
        <v>12650</v>
      </c>
      <c r="P322" s="3">
        <v>12485</v>
      </c>
      <c r="Q322" s="3">
        <v>12510</v>
      </c>
      <c r="R322" s="3">
        <v>12535</v>
      </c>
      <c r="S322" s="3">
        <v>12540</v>
      </c>
      <c r="T322" s="3">
        <v>12150</v>
      </c>
      <c r="U322" s="3">
        <v>12145</v>
      </c>
      <c r="V322" s="3">
        <v>12765</v>
      </c>
      <c r="W322" s="3">
        <v>12775</v>
      </c>
      <c r="X322" s="3">
        <v>12625</v>
      </c>
      <c r="Y322" s="3">
        <v>12645</v>
      </c>
      <c r="Z322" s="3">
        <v>12720</v>
      </c>
      <c r="AA322" s="3">
        <v>12725</v>
      </c>
      <c r="AB322" s="3">
        <v>13245</v>
      </c>
      <c r="AC322" s="3">
        <v>13250</v>
      </c>
      <c r="AD322" s="3">
        <v>13295</v>
      </c>
      <c r="AE322" s="3">
        <v>13290</v>
      </c>
      <c r="AF322" s="3">
        <v>13845</v>
      </c>
      <c r="AG322" s="3">
        <v>13825</v>
      </c>
      <c r="AH322" s="3">
        <v>13885</v>
      </c>
      <c r="AI322" s="3">
        <v>13890</v>
      </c>
      <c r="AJ322" s="3">
        <v>13690</v>
      </c>
      <c r="AK322" s="3">
        <v>13700</v>
      </c>
      <c r="AL322" s="3">
        <v>13630</v>
      </c>
      <c r="AM322" s="3">
        <v>13635</v>
      </c>
      <c r="AN322" s="3">
        <v>13380</v>
      </c>
      <c r="AO322" s="3">
        <v>13380</v>
      </c>
      <c r="AP322" s="3">
        <v>13470</v>
      </c>
      <c r="AQ322" s="3">
        <v>13465</v>
      </c>
      <c r="AR322" s="4">
        <f t="shared" si="131"/>
        <v>1.8647007805724147E-2</v>
      </c>
      <c r="AS322" s="4">
        <f t="shared" si="108"/>
        <v>8.658008658009031E-4</v>
      </c>
      <c r="AT322" s="4">
        <f t="shared" si="109"/>
        <v>2.2007042253521236E-2</v>
      </c>
      <c r="AU322" s="4">
        <f t="shared" si="110"/>
        <v>2.0797962648556823E-2</v>
      </c>
      <c r="AV322" s="4">
        <f t="shared" si="111"/>
        <v>1.7108639863130826E-2</v>
      </c>
      <c r="AW322" s="4">
        <f t="shared" si="112"/>
        <v>1.7706576728499179E-2</v>
      </c>
      <c r="AX322" s="4">
        <f t="shared" si="113"/>
        <v>4.4160132067684765E-2</v>
      </c>
      <c r="AY322" s="4">
        <f t="shared" si="114"/>
        <v>2.1126760563380254E-2</v>
      </c>
      <c r="AZ322" s="4">
        <f t="shared" si="115"/>
        <v>3.985651654045963E-4</v>
      </c>
      <c r="BA322" s="4">
        <f t="shared" si="116"/>
        <v>1.8585858585858595E-2</v>
      </c>
      <c r="BB322" s="4">
        <f t="shared" si="117"/>
        <v>3.567085528982572E-2</v>
      </c>
      <c r="BC322" s="4">
        <f t="shared" si="118"/>
        <v>7.9145231499810897E-4</v>
      </c>
      <c r="BD322" s="4">
        <f t="shared" si="119"/>
        <v>8.9563862928349058E-3</v>
      </c>
      <c r="BE322" s="4">
        <f t="shared" si="120"/>
        <v>2.1982259930582337E-2</v>
      </c>
      <c r="BF322" s="4">
        <f t="shared" si="121"/>
        <v>1.5278838808250539E-2</v>
      </c>
      <c r="BG322" s="4">
        <f t="shared" si="122"/>
        <v>3.6745406824147064E-2</v>
      </c>
      <c r="BH322" s="4">
        <f t="shared" si="123"/>
        <v>1.4378145219267058E-3</v>
      </c>
      <c r="BI322" s="4">
        <f t="shared" si="124"/>
        <v>1.2612612612612595E-2</v>
      </c>
      <c r="BJ322" s="4">
        <f t="shared" si="125"/>
        <v>6.1953352769679171E-3</v>
      </c>
      <c r="BK322" s="4">
        <f t="shared" si="126"/>
        <v>2.2287175739861165E-2</v>
      </c>
      <c r="BL322" s="4">
        <f t="shared" si="127"/>
        <v>7.4321813452238317E-4</v>
      </c>
      <c r="BM322" s="4">
        <f t="shared" si="132"/>
        <v>1.7531223669880629E-2</v>
      </c>
      <c r="BN322" s="9">
        <f t="shared" si="133"/>
        <v>13690.882614478243</v>
      </c>
      <c r="BO322" s="10">
        <f t="shared" si="134"/>
        <v>13091.39644459884</v>
      </c>
      <c r="BP322">
        <v>13845</v>
      </c>
      <c r="BQ322">
        <v>13845</v>
      </c>
      <c r="BR322">
        <v>13825</v>
      </c>
      <c r="BS322">
        <v>13825</v>
      </c>
      <c r="BT322">
        <v>18810</v>
      </c>
      <c r="BU322" s="13">
        <f t="shared" si="128"/>
        <v>13831.666666666666</v>
      </c>
      <c r="BV322" s="13">
        <f t="shared" si="129"/>
        <v>260173650</v>
      </c>
      <c r="BW322" s="13">
        <f>SUM($BV$3:BV322)</f>
        <v>223129335673.33337</v>
      </c>
      <c r="BX322" s="13">
        <f>SUM($BT$3:BT322)</f>
        <v>16273475</v>
      </c>
      <c r="BY322" s="3">
        <f t="shared" si="130"/>
        <v>13711.228589673279</v>
      </c>
    </row>
    <row r="323" spans="1:77" x14ac:dyDescent="0.3">
      <c r="A323" s="3" t="s">
        <v>363</v>
      </c>
      <c r="B323" s="3">
        <v>11745</v>
      </c>
      <c r="C323" s="3">
        <v>11740</v>
      </c>
      <c r="D323" s="3">
        <v>11560</v>
      </c>
      <c r="E323" s="3">
        <v>11565</v>
      </c>
      <c r="F323" s="3">
        <v>11610</v>
      </c>
      <c r="G323" s="3">
        <v>11595</v>
      </c>
      <c r="H323" s="3">
        <v>11540</v>
      </c>
      <c r="I323" s="3">
        <v>11540</v>
      </c>
      <c r="J323" s="3">
        <v>11895</v>
      </c>
      <c r="K323" s="3">
        <v>11900</v>
      </c>
      <c r="L323" s="3">
        <v>12070</v>
      </c>
      <c r="M323" s="3">
        <v>12065</v>
      </c>
      <c r="N323" s="3">
        <v>12645</v>
      </c>
      <c r="O323" s="3">
        <v>12640</v>
      </c>
      <c r="P323" s="3">
        <v>12515</v>
      </c>
      <c r="Q323" s="3">
        <v>12505</v>
      </c>
      <c r="R323" s="3">
        <v>12545</v>
      </c>
      <c r="S323" s="3">
        <v>12540</v>
      </c>
      <c r="T323" s="3">
        <v>12140</v>
      </c>
      <c r="U323" s="3">
        <v>12135</v>
      </c>
      <c r="V323" s="3">
        <v>12775</v>
      </c>
      <c r="W323" s="3">
        <v>12775</v>
      </c>
      <c r="X323" s="3">
        <v>12645</v>
      </c>
      <c r="Y323" s="3">
        <v>12620</v>
      </c>
      <c r="Z323" s="3">
        <v>12725</v>
      </c>
      <c r="AA323" s="3">
        <v>12725</v>
      </c>
      <c r="AB323" s="3">
        <v>13250</v>
      </c>
      <c r="AC323" s="3">
        <v>13255</v>
      </c>
      <c r="AD323" s="3">
        <v>13285</v>
      </c>
      <c r="AE323" s="3">
        <v>13280</v>
      </c>
      <c r="AF323" s="3">
        <v>13825</v>
      </c>
      <c r="AG323" s="3">
        <v>13830</v>
      </c>
      <c r="AH323" s="3">
        <v>13885</v>
      </c>
      <c r="AI323" s="3">
        <v>13890</v>
      </c>
      <c r="AJ323" s="3">
        <v>13695</v>
      </c>
      <c r="AK323" s="3">
        <v>13705</v>
      </c>
      <c r="AL323" s="3">
        <v>13635</v>
      </c>
      <c r="AM323" s="3">
        <v>13640</v>
      </c>
      <c r="AN323" s="3">
        <v>13375</v>
      </c>
      <c r="AO323" s="3">
        <v>13375</v>
      </c>
      <c r="AP323" s="3">
        <v>13465</v>
      </c>
      <c r="AQ323" s="3">
        <v>13460</v>
      </c>
      <c r="AR323" s="4">
        <f t="shared" si="131"/>
        <v>1.8213356461405095E-2</v>
      </c>
      <c r="AS323" s="4">
        <f t="shared" si="108"/>
        <v>1.2987012987013546E-3</v>
      </c>
      <c r="AT323" s="4">
        <f t="shared" si="109"/>
        <v>2.0686619718309762E-2</v>
      </c>
      <c r="AU323" s="4">
        <f t="shared" si="110"/>
        <v>2.0373514431239359E-2</v>
      </c>
      <c r="AV323" s="4">
        <f t="shared" si="111"/>
        <v>1.7964071856287456E-2</v>
      </c>
      <c r="AW323" s="4">
        <f t="shared" si="112"/>
        <v>1.7284991568296881E-2</v>
      </c>
      <c r="AX323" s="4">
        <f t="shared" si="113"/>
        <v>4.3334709038382213E-2</v>
      </c>
      <c r="AY323" s="4">
        <f t="shared" si="114"/>
        <v>2.1517996870109579E-2</v>
      </c>
      <c r="AZ323" s="4">
        <f t="shared" si="115"/>
        <v>3.985651654045963E-4</v>
      </c>
      <c r="BA323" s="4">
        <f t="shared" si="116"/>
        <v>1.9393939393939408E-2</v>
      </c>
      <c r="BB323" s="4">
        <f t="shared" si="117"/>
        <v>3.567085528982572E-2</v>
      </c>
      <c r="BC323" s="4">
        <f t="shared" si="118"/>
        <v>1.1871784724970524E-3</v>
      </c>
      <c r="BD323" s="4">
        <f t="shared" si="119"/>
        <v>8.9563862928349058E-3</v>
      </c>
      <c r="BE323" s="4">
        <f t="shared" si="120"/>
        <v>2.2367913613575041E-2</v>
      </c>
      <c r="BF323" s="4">
        <f t="shared" si="121"/>
        <v>1.4514896867838134E-2</v>
      </c>
      <c r="BG323" s="4">
        <f t="shared" si="122"/>
        <v>3.7120359955005622E-2</v>
      </c>
      <c r="BH323" s="4">
        <f t="shared" si="123"/>
        <v>1.4378145219267058E-3</v>
      </c>
      <c r="BI323" s="4">
        <f t="shared" si="124"/>
        <v>1.2252252252252238E-2</v>
      </c>
      <c r="BJ323" s="4">
        <f t="shared" si="125"/>
        <v>5.8309037900874383E-3</v>
      </c>
      <c r="BK323" s="4">
        <f t="shared" si="126"/>
        <v>2.2652539276580175E-2</v>
      </c>
      <c r="BL323" s="4">
        <f t="shared" si="127"/>
        <v>3.7160906726119158E-4</v>
      </c>
      <c r="BM323" s="4">
        <f t="shared" si="132"/>
        <v>1.7496452848374391E-2</v>
      </c>
      <c r="BN323" s="9">
        <f t="shared" si="133"/>
        <v>13690.414773074875</v>
      </c>
      <c r="BO323" s="10">
        <f t="shared" si="134"/>
        <v>13091.859765795411</v>
      </c>
      <c r="BP323">
        <v>13825</v>
      </c>
      <c r="BQ323">
        <v>13830</v>
      </c>
      <c r="BR323">
        <v>13810</v>
      </c>
      <c r="BS323">
        <v>13830</v>
      </c>
      <c r="BT323">
        <v>103887</v>
      </c>
      <c r="BU323" s="13">
        <f t="shared" si="128"/>
        <v>13823.333333333334</v>
      </c>
      <c r="BV323" s="13">
        <f t="shared" si="129"/>
        <v>1436064630</v>
      </c>
      <c r="BW323" s="13">
        <f>SUM($BV$3:BV323)</f>
        <v>224565400303.33337</v>
      </c>
      <c r="BX323" s="13">
        <f>SUM($BT$3:BT323)</f>
        <v>16377362</v>
      </c>
      <c r="BY323" s="3">
        <f t="shared" si="130"/>
        <v>13711.939706976824</v>
      </c>
    </row>
    <row r="324" spans="1:77" x14ac:dyDescent="0.3">
      <c r="A324" s="3" t="s">
        <v>364</v>
      </c>
      <c r="B324" s="3">
        <v>11735</v>
      </c>
      <c r="C324" s="3">
        <v>11730</v>
      </c>
      <c r="D324" s="3">
        <v>11565</v>
      </c>
      <c r="E324" s="3">
        <v>11575</v>
      </c>
      <c r="F324" s="3">
        <v>11595</v>
      </c>
      <c r="G324" s="3">
        <v>11605</v>
      </c>
      <c r="H324" s="3">
        <v>11540</v>
      </c>
      <c r="I324" s="3">
        <v>11530</v>
      </c>
      <c r="J324" s="3">
        <v>11895</v>
      </c>
      <c r="K324" s="3">
        <v>11900</v>
      </c>
      <c r="L324" s="3">
        <v>12070</v>
      </c>
      <c r="M324" s="3">
        <v>12075</v>
      </c>
      <c r="N324" s="3">
        <v>12645</v>
      </c>
      <c r="O324" s="3">
        <v>12630</v>
      </c>
      <c r="P324" s="3">
        <v>12510</v>
      </c>
      <c r="Q324" s="3">
        <v>12520</v>
      </c>
      <c r="R324" s="3">
        <v>12540</v>
      </c>
      <c r="S324" s="3">
        <v>12540</v>
      </c>
      <c r="T324" s="3">
        <v>12140</v>
      </c>
      <c r="U324" s="3">
        <v>12145</v>
      </c>
      <c r="V324" s="3">
        <v>12775</v>
      </c>
      <c r="W324" s="3">
        <v>12765</v>
      </c>
      <c r="X324" s="3">
        <v>12625</v>
      </c>
      <c r="Y324" s="3">
        <v>12630</v>
      </c>
      <c r="Z324" s="3">
        <v>12720</v>
      </c>
      <c r="AA324" s="3">
        <v>12720</v>
      </c>
      <c r="AB324" s="3">
        <v>13260</v>
      </c>
      <c r="AC324" s="3">
        <v>13255</v>
      </c>
      <c r="AD324" s="3">
        <v>13280</v>
      </c>
      <c r="AE324" s="3">
        <v>13295</v>
      </c>
      <c r="AF324" s="3">
        <v>13830</v>
      </c>
      <c r="AG324" s="3">
        <v>13855</v>
      </c>
      <c r="AH324" s="3">
        <v>13890</v>
      </c>
      <c r="AI324" s="3">
        <v>13895</v>
      </c>
      <c r="AJ324" s="3">
        <v>13705</v>
      </c>
      <c r="AK324" s="3">
        <v>13710</v>
      </c>
      <c r="AL324" s="3">
        <v>13640</v>
      </c>
      <c r="AM324" s="3">
        <v>13645</v>
      </c>
      <c r="AN324" s="3">
        <v>13375</v>
      </c>
      <c r="AO324" s="3">
        <v>13380</v>
      </c>
      <c r="AP324" s="3">
        <v>13460</v>
      </c>
      <c r="AQ324" s="3">
        <v>13460</v>
      </c>
      <c r="AR324" s="4">
        <f t="shared" si="131"/>
        <v>1.7346053772766767E-2</v>
      </c>
      <c r="AS324" s="4">
        <f t="shared" ref="AS324:AS383" si="135">ABS(E324/D$3-1)</f>
        <v>2.1645021645022577E-3</v>
      </c>
      <c r="AT324" s="4">
        <f t="shared" ref="AT324:AT383" si="136">ABS(G324/F$3-1)</f>
        <v>2.1566901408450745E-2</v>
      </c>
      <c r="AU324" s="4">
        <f t="shared" ref="AU324:AU383" si="137">ABS(I324/H$3-1)</f>
        <v>2.1222410865874397E-2</v>
      </c>
      <c r="AV324" s="4">
        <f t="shared" ref="AV324:AV383" si="138">ABS(K324/J$3-1)</f>
        <v>1.7964071856287456E-2</v>
      </c>
      <c r="AW324" s="4">
        <f t="shared" ref="AW324:AW383" si="139">ABS(M324/L$3-1)</f>
        <v>1.8128161888701477E-2</v>
      </c>
      <c r="AX324" s="4">
        <f t="shared" ref="AX324:AX383" si="140">ABS(O324/N$3-1)</f>
        <v>4.2509286009079661E-2</v>
      </c>
      <c r="AY324" s="4">
        <f t="shared" ref="AY324:AY383" si="141">ABS(Q324/P$3-1)</f>
        <v>2.0344287949921713E-2</v>
      </c>
      <c r="AZ324" s="4">
        <f t="shared" ref="AZ324:AZ383" si="142">ABS(S324/R$3-1)</f>
        <v>3.985651654045963E-4</v>
      </c>
      <c r="BA324" s="4">
        <f t="shared" ref="BA324:BA383" si="143">ABS(U324/T$3-1)</f>
        <v>1.8585858585858595E-2</v>
      </c>
      <c r="BB324" s="4">
        <f t="shared" ref="BB324:BB383" si="144">ABS(W324/V$3-1)</f>
        <v>3.4860154033238722E-2</v>
      </c>
      <c r="BC324" s="4">
        <f t="shared" ref="BC324:BC383" si="145">ABS(Y324/X$3-1)</f>
        <v>3.9572615749905449E-4</v>
      </c>
      <c r="BD324" s="4">
        <f t="shared" ref="BD324:BD383" si="146">ABS(AA324/Z$3-1)</f>
        <v>9.3457943925233655E-3</v>
      </c>
      <c r="BE324" s="4">
        <f t="shared" ref="BE324:BE383" si="147">ABS(AC324/AB$3-1)</f>
        <v>2.2367913613575041E-2</v>
      </c>
      <c r="BF324" s="4">
        <f t="shared" ref="BF324:BF383" si="148">ABS(AE324/AD$3-1)</f>
        <v>1.5660809778456741E-2</v>
      </c>
      <c r="BG324" s="4">
        <f t="shared" ref="BG324:BG383" si="149">ABS(AG324/AF$3-1)</f>
        <v>3.8995125609298853E-2</v>
      </c>
      <c r="BH324" s="4">
        <f t="shared" ref="BH324:BH383" si="150">ABS(AI324/AH$3-1)</f>
        <v>1.0783608914449738E-3</v>
      </c>
      <c r="BI324" s="4">
        <f t="shared" ref="BI324:BI383" si="151">ABS(AK324/AJ$3-1)</f>
        <v>1.1891891891891881E-2</v>
      </c>
      <c r="BJ324" s="4">
        <f t="shared" ref="BJ324:BJ383" si="152">ABS(AM324/AL$3-1)</f>
        <v>5.4664723032069595E-3</v>
      </c>
      <c r="BK324" s="4">
        <f t="shared" ref="BK324:BK383" si="153">ABS(AO324/AN$3-1)</f>
        <v>2.2287175739861165E-2</v>
      </c>
      <c r="BL324" s="4">
        <f t="shared" ref="BL324:BL383" si="154">ABS(AQ324/AP$3-1)</f>
        <v>3.7160906726119158E-4</v>
      </c>
      <c r="BM324" s="4">
        <f t="shared" si="132"/>
        <v>1.753674599066956E-2</v>
      </c>
      <c r="BN324" s="9">
        <f t="shared" si="133"/>
        <v>13690.956917304458</v>
      </c>
      <c r="BO324" s="10">
        <f t="shared" si="134"/>
        <v>13091.322859674328</v>
      </c>
      <c r="BP324">
        <v>13830</v>
      </c>
      <c r="BQ324">
        <v>13855</v>
      </c>
      <c r="BR324">
        <v>13830</v>
      </c>
      <c r="BS324">
        <v>13855</v>
      </c>
      <c r="BT324">
        <v>33785</v>
      </c>
      <c r="BU324" s="13">
        <f t="shared" ref="BU324:BU383" si="155">SUM(BQ324:BS324)/3</f>
        <v>13846.666666666666</v>
      </c>
      <c r="BV324" s="13">
        <f t="shared" ref="BV324:BV383" si="156">BU324*BT324</f>
        <v>467809633.33333331</v>
      </c>
      <c r="BW324" s="13">
        <f>SUM($BV$3:BV324)</f>
        <v>225033209936.66672</v>
      </c>
      <c r="BX324" s="13">
        <f>SUM($BT$3:BT324)</f>
        <v>16411147</v>
      </c>
      <c r="BY324" s="3">
        <f t="shared" ref="BY324:BY383" si="157">BW324/BX324</f>
        <v>13712.217064210485</v>
      </c>
    </row>
    <row r="325" spans="1:77" x14ac:dyDescent="0.3">
      <c r="A325" s="3" t="s">
        <v>365</v>
      </c>
      <c r="B325" s="3">
        <v>11735</v>
      </c>
      <c r="C325" s="3">
        <v>11725</v>
      </c>
      <c r="D325" s="3">
        <v>11575</v>
      </c>
      <c r="E325" s="3">
        <v>11580</v>
      </c>
      <c r="F325" s="3">
        <v>11605</v>
      </c>
      <c r="G325" s="3">
        <v>11615</v>
      </c>
      <c r="H325" s="3">
        <v>11530</v>
      </c>
      <c r="I325" s="3">
        <v>11520</v>
      </c>
      <c r="J325" s="3">
        <v>11895</v>
      </c>
      <c r="K325" s="3">
        <v>11900</v>
      </c>
      <c r="L325" s="3">
        <v>12075</v>
      </c>
      <c r="M325" s="3">
        <v>12075</v>
      </c>
      <c r="N325" s="3">
        <v>12625</v>
      </c>
      <c r="O325" s="3">
        <v>12620</v>
      </c>
      <c r="P325" s="3">
        <v>12520</v>
      </c>
      <c r="Q325" s="3">
        <v>12545</v>
      </c>
      <c r="R325" s="3">
        <v>12545</v>
      </c>
      <c r="S325" s="3">
        <v>12545</v>
      </c>
      <c r="T325" s="3">
        <v>12150</v>
      </c>
      <c r="U325" s="3">
        <v>12150</v>
      </c>
      <c r="V325" s="3">
        <v>12770</v>
      </c>
      <c r="W325" s="3">
        <v>12760</v>
      </c>
      <c r="X325" s="3">
        <v>12630</v>
      </c>
      <c r="Y325" s="3">
        <v>12620</v>
      </c>
      <c r="Z325" s="3">
        <v>12720</v>
      </c>
      <c r="AA325" s="3">
        <v>12725</v>
      </c>
      <c r="AB325" s="3">
        <v>13255</v>
      </c>
      <c r="AC325" s="3">
        <v>13260</v>
      </c>
      <c r="AD325" s="3">
        <v>13300</v>
      </c>
      <c r="AE325" s="3">
        <v>13310</v>
      </c>
      <c r="AF325" s="3">
        <v>13855</v>
      </c>
      <c r="AG325" s="3">
        <v>13850</v>
      </c>
      <c r="AH325" s="3">
        <v>13890</v>
      </c>
      <c r="AI325" s="3">
        <v>13895</v>
      </c>
      <c r="AJ325" s="3">
        <v>13710</v>
      </c>
      <c r="AK325" s="3">
        <v>13720</v>
      </c>
      <c r="AL325" s="3">
        <v>13645</v>
      </c>
      <c r="AM325" s="3">
        <v>13655</v>
      </c>
      <c r="AN325" s="3">
        <v>13385</v>
      </c>
      <c r="AO325" s="3">
        <v>13380</v>
      </c>
      <c r="AP325" s="3">
        <v>13455</v>
      </c>
      <c r="AQ325" s="3">
        <v>13460</v>
      </c>
      <c r="AR325" s="4">
        <f t="shared" ref="AR325:AR383" si="158">ABS(C325/B$3-1)</f>
        <v>1.6912402428447493E-2</v>
      </c>
      <c r="AS325" s="4">
        <f t="shared" si="135"/>
        <v>2.5974025974024872E-3</v>
      </c>
      <c r="AT325" s="4">
        <f t="shared" si="136"/>
        <v>2.2447183098591506E-2</v>
      </c>
      <c r="AU325" s="4">
        <f t="shared" si="137"/>
        <v>2.2071307300509324E-2</v>
      </c>
      <c r="AV325" s="4">
        <f t="shared" si="138"/>
        <v>1.7964071856287456E-2</v>
      </c>
      <c r="AW325" s="4">
        <f t="shared" si="139"/>
        <v>1.8128161888701477E-2</v>
      </c>
      <c r="AX325" s="4">
        <f t="shared" si="140"/>
        <v>4.1683862979777109E-2</v>
      </c>
      <c r="AY325" s="4">
        <f t="shared" si="141"/>
        <v>1.8388106416275418E-2</v>
      </c>
      <c r="AZ325" s="4">
        <f t="shared" si="142"/>
        <v>0</v>
      </c>
      <c r="BA325" s="4">
        <f t="shared" si="143"/>
        <v>1.8181818181818188E-2</v>
      </c>
      <c r="BB325" s="4">
        <f t="shared" si="144"/>
        <v>3.4454803404945222E-2</v>
      </c>
      <c r="BC325" s="4">
        <f t="shared" si="145"/>
        <v>1.1871784724970524E-3</v>
      </c>
      <c r="BD325" s="4">
        <f t="shared" si="146"/>
        <v>8.9563862928349058E-3</v>
      </c>
      <c r="BE325" s="4">
        <f t="shared" si="147"/>
        <v>2.2753567296567745E-2</v>
      </c>
      <c r="BF325" s="4">
        <f t="shared" si="148"/>
        <v>1.6806722689075571E-2</v>
      </c>
      <c r="BG325" s="4">
        <f t="shared" si="149"/>
        <v>3.8620172478440296E-2</v>
      </c>
      <c r="BH325" s="4">
        <f t="shared" si="150"/>
        <v>1.0783608914449738E-3</v>
      </c>
      <c r="BI325" s="4">
        <f t="shared" si="151"/>
        <v>1.1171171171171168E-2</v>
      </c>
      <c r="BJ325" s="4">
        <f t="shared" si="152"/>
        <v>4.737609329446113E-3</v>
      </c>
      <c r="BK325" s="4">
        <f t="shared" si="153"/>
        <v>2.2287175739861165E-2</v>
      </c>
      <c r="BL325" s="4">
        <f t="shared" si="154"/>
        <v>3.7160906726119158E-4</v>
      </c>
      <c r="BM325" s="4">
        <f t="shared" ref="BM325:BM383" si="159">AVERAGE(AS325:BF325)</f>
        <v>1.754432660537739E-2</v>
      </c>
      <c r="BN325" s="9">
        <f t="shared" ref="BN325:BN383" si="160">MAX($AP$3,$AO$383)*(1+BM325)</f>
        <v>13691.058914475354</v>
      </c>
      <c r="BO325" s="10">
        <f t="shared" ref="BO325:BO383" si="161">MIN($AP$3,$AO$383)*(1-BM325)</f>
        <v>13091.221847983346</v>
      </c>
      <c r="BP325">
        <v>13855</v>
      </c>
      <c r="BQ325">
        <v>13870</v>
      </c>
      <c r="BR325">
        <v>13850</v>
      </c>
      <c r="BS325">
        <v>13850</v>
      </c>
      <c r="BT325">
        <v>80285</v>
      </c>
      <c r="BU325" s="13">
        <f t="shared" si="155"/>
        <v>13856.666666666666</v>
      </c>
      <c r="BV325" s="13">
        <f t="shared" si="156"/>
        <v>1112482483.3333333</v>
      </c>
      <c r="BW325" s="13">
        <f>SUM($BV$3:BV325)</f>
        <v>226145692420.00006</v>
      </c>
      <c r="BX325" s="13">
        <f>SUM($BT$3:BT325)</f>
        <v>16491432</v>
      </c>
      <c r="BY325" s="3">
        <f t="shared" si="157"/>
        <v>13712.920286121913</v>
      </c>
    </row>
    <row r="326" spans="1:77" x14ac:dyDescent="0.3">
      <c r="A326" s="3" t="s">
        <v>366</v>
      </c>
      <c r="B326" s="3">
        <v>11725</v>
      </c>
      <c r="C326" s="3">
        <v>11725</v>
      </c>
      <c r="D326" s="3">
        <v>11580</v>
      </c>
      <c r="E326" s="3">
        <v>11570</v>
      </c>
      <c r="F326" s="3">
        <v>11620</v>
      </c>
      <c r="G326" s="3">
        <v>11630</v>
      </c>
      <c r="H326" s="3">
        <v>11520</v>
      </c>
      <c r="I326" s="3">
        <v>11515</v>
      </c>
      <c r="J326" s="3">
        <v>11900</v>
      </c>
      <c r="K326" s="3">
        <v>11900</v>
      </c>
      <c r="L326" s="3">
        <v>12075</v>
      </c>
      <c r="M326" s="3">
        <v>12080</v>
      </c>
      <c r="N326" s="3">
        <v>12625</v>
      </c>
      <c r="O326" s="3">
        <v>12630</v>
      </c>
      <c r="P326" s="3">
        <v>12545</v>
      </c>
      <c r="Q326" s="3">
        <v>12540</v>
      </c>
      <c r="R326" s="3">
        <v>12545</v>
      </c>
      <c r="S326" s="3">
        <v>12550</v>
      </c>
      <c r="T326" s="3">
        <v>12150</v>
      </c>
      <c r="U326" s="3">
        <v>12145</v>
      </c>
      <c r="V326" s="3">
        <v>12760</v>
      </c>
      <c r="W326" s="3">
        <v>12760</v>
      </c>
      <c r="X326" s="3">
        <v>12615</v>
      </c>
      <c r="Y326" s="3">
        <v>12610</v>
      </c>
      <c r="Z326" s="3">
        <v>12720</v>
      </c>
      <c r="AA326" s="3">
        <v>12715</v>
      </c>
      <c r="AB326" s="3">
        <v>13260</v>
      </c>
      <c r="AC326" s="3">
        <v>13265</v>
      </c>
      <c r="AD326" s="3">
        <v>13310</v>
      </c>
      <c r="AE326" s="3">
        <v>13315</v>
      </c>
      <c r="AF326" s="3">
        <v>13850</v>
      </c>
      <c r="AG326" s="3">
        <v>13850</v>
      </c>
      <c r="AH326" s="3">
        <v>13900</v>
      </c>
      <c r="AI326" s="3">
        <v>13890</v>
      </c>
      <c r="AJ326" s="3">
        <v>13725</v>
      </c>
      <c r="AK326" s="3">
        <v>13720</v>
      </c>
      <c r="AL326" s="3">
        <v>13655</v>
      </c>
      <c r="AM326" s="3">
        <v>13655</v>
      </c>
      <c r="AN326" s="3">
        <v>13380</v>
      </c>
      <c r="AO326" s="3">
        <v>13375</v>
      </c>
      <c r="AP326" s="3">
        <v>13455</v>
      </c>
      <c r="AQ326" s="3">
        <v>13480</v>
      </c>
      <c r="AR326" s="4">
        <f t="shared" si="158"/>
        <v>1.6912402428447493E-2</v>
      </c>
      <c r="AS326" s="4">
        <f t="shared" si="135"/>
        <v>1.7316017316018062E-3</v>
      </c>
      <c r="AT326" s="4">
        <f t="shared" si="136"/>
        <v>2.3767605633802757E-2</v>
      </c>
      <c r="AU326" s="4">
        <f t="shared" si="137"/>
        <v>2.2495755517826788E-2</v>
      </c>
      <c r="AV326" s="4">
        <f t="shared" si="138"/>
        <v>1.7964071856287456E-2</v>
      </c>
      <c r="AW326" s="4">
        <f t="shared" si="139"/>
        <v>1.8549747048903775E-2</v>
      </c>
      <c r="AX326" s="4">
        <f t="shared" si="140"/>
        <v>4.2509286009079661E-2</v>
      </c>
      <c r="AY326" s="4">
        <f t="shared" si="141"/>
        <v>1.8779342723004744E-2</v>
      </c>
      <c r="AZ326" s="4">
        <f t="shared" si="142"/>
        <v>3.985651654045963E-4</v>
      </c>
      <c r="BA326" s="4">
        <f t="shared" si="143"/>
        <v>1.8585858585858595E-2</v>
      </c>
      <c r="BB326" s="4">
        <f t="shared" si="144"/>
        <v>3.4454803404945222E-2</v>
      </c>
      <c r="BC326" s="4">
        <f t="shared" si="145"/>
        <v>1.9786307874950504E-3</v>
      </c>
      <c r="BD326" s="4">
        <f t="shared" si="146"/>
        <v>9.7352024922118252E-3</v>
      </c>
      <c r="BE326" s="4">
        <f t="shared" si="147"/>
        <v>2.3139220979560449E-2</v>
      </c>
      <c r="BF326" s="4">
        <f t="shared" si="148"/>
        <v>1.7188693659281995E-2</v>
      </c>
      <c r="BG326" s="4">
        <f t="shared" si="149"/>
        <v>3.8620172478440296E-2</v>
      </c>
      <c r="BH326" s="4">
        <f t="shared" si="150"/>
        <v>1.4378145219267058E-3</v>
      </c>
      <c r="BI326" s="4">
        <f t="shared" si="151"/>
        <v>1.1171171171171168E-2</v>
      </c>
      <c r="BJ326" s="4">
        <f t="shared" si="152"/>
        <v>4.737609329446113E-3</v>
      </c>
      <c r="BK326" s="4">
        <f t="shared" si="153"/>
        <v>2.2652539276580175E-2</v>
      </c>
      <c r="BL326" s="4">
        <f t="shared" si="154"/>
        <v>1.85804533630618E-3</v>
      </c>
      <c r="BM326" s="4">
        <f t="shared" si="159"/>
        <v>1.7948456113947481E-2</v>
      </c>
      <c r="BN326" s="9">
        <f t="shared" si="160"/>
        <v>13696.496477013165</v>
      </c>
      <c r="BO326" s="10">
        <f t="shared" si="161"/>
        <v>13085.83682228165</v>
      </c>
      <c r="BP326">
        <v>13850</v>
      </c>
      <c r="BQ326">
        <v>13860</v>
      </c>
      <c r="BR326">
        <v>13850</v>
      </c>
      <c r="BS326">
        <v>13850</v>
      </c>
      <c r="BT326">
        <v>5438</v>
      </c>
      <c r="BU326" s="13">
        <f t="shared" si="155"/>
        <v>13853.333333333334</v>
      </c>
      <c r="BV326" s="13">
        <f t="shared" si="156"/>
        <v>75334426.666666672</v>
      </c>
      <c r="BW326" s="13">
        <f>SUM($BV$3:BV326)</f>
        <v>226221026846.66672</v>
      </c>
      <c r="BX326" s="13">
        <f>SUM($BT$3:BT326)</f>
        <v>16496870</v>
      </c>
      <c r="BY326" s="3">
        <f t="shared" si="157"/>
        <v>13712.966571638543</v>
      </c>
    </row>
    <row r="327" spans="1:77" x14ac:dyDescent="0.3">
      <c r="A327" s="3" t="s">
        <v>367</v>
      </c>
      <c r="B327" s="3">
        <v>11725</v>
      </c>
      <c r="C327" s="3">
        <v>11720</v>
      </c>
      <c r="D327" s="3">
        <v>11575</v>
      </c>
      <c r="E327" s="3">
        <v>11570</v>
      </c>
      <c r="F327" s="3">
        <v>11625</v>
      </c>
      <c r="G327" s="3">
        <v>11640</v>
      </c>
      <c r="H327" s="3">
        <v>11515</v>
      </c>
      <c r="I327" s="3">
        <v>11500</v>
      </c>
      <c r="J327" s="3">
        <v>11900</v>
      </c>
      <c r="K327" s="3">
        <v>11890</v>
      </c>
      <c r="L327" s="3">
        <v>12080</v>
      </c>
      <c r="M327" s="3">
        <v>12085</v>
      </c>
      <c r="N327" s="3">
        <v>12625</v>
      </c>
      <c r="O327" s="3">
        <v>12630</v>
      </c>
      <c r="P327" s="3">
        <v>12545</v>
      </c>
      <c r="Q327" s="3">
        <v>12540</v>
      </c>
      <c r="R327" s="3">
        <v>12545</v>
      </c>
      <c r="S327" s="3">
        <v>12545</v>
      </c>
      <c r="T327" s="3">
        <v>12145</v>
      </c>
      <c r="U327" s="3">
        <v>12140</v>
      </c>
      <c r="V327" s="3">
        <v>12765</v>
      </c>
      <c r="W327" s="3">
        <v>12765</v>
      </c>
      <c r="X327" s="3">
        <v>12615</v>
      </c>
      <c r="Y327" s="3">
        <v>12620</v>
      </c>
      <c r="Z327" s="3">
        <v>12720</v>
      </c>
      <c r="AA327" s="3">
        <v>12715</v>
      </c>
      <c r="AB327" s="3">
        <v>13265</v>
      </c>
      <c r="AC327" s="3">
        <v>13265</v>
      </c>
      <c r="AD327" s="3">
        <v>13310</v>
      </c>
      <c r="AE327" s="3">
        <v>13325</v>
      </c>
      <c r="AF327" s="3">
        <v>13845</v>
      </c>
      <c r="AG327" s="3">
        <v>13845</v>
      </c>
      <c r="AH327" s="3">
        <v>13890</v>
      </c>
      <c r="AI327" s="3">
        <v>13890</v>
      </c>
      <c r="AJ327" s="3">
        <v>13720</v>
      </c>
      <c r="AK327" s="3">
        <v>13725</v>
      </c>
      <c r="AL327" s="3">
        <v>13650</v>
      </c>
      <c r="AM327" s="3">
        <v>13660</v>
      </c>
      <c r="AN327" s="3">
        <v>13380</v>
      </c>
      <c r="AO327" s="3">
        <v>13375</v>
      </c>
      <c r="AP327" s="3">
        <v>13480</v>
      </c>
      <c r="AQ327" s="3">
        <v>13480</v>
      </c>
      <c r="AR327" s="4">
        <f t="shared" si="158"/>
        <v>1.647875108412844E-2</v>
      </c>
      <c r="AS327" s="4">
        <f t="shared" si="135"/>
        <v>1.7316017316018062E-3</v>
      </c>
      <c r="AT327" s="4">
        <f t="shared" si="136"/>
        <v>2.464788732394374E-2</v>
      </c>
      <c r="AU327" s="4">
        <f t="shared" si="137"/>
        <v>2.3769100169779289E-2</v>
      </c>
      <c r="AV327" s="4">
        <f t="shared" si="138"/>
        <v>1.7108639863130826E-2</v>
      </c>
      <c r="AW327" s="4">
        <f t="shared" si="139"/>
        <v>1.8971332209106295E-2</v>
      </c>
      <c r="AX327" s="4">
        <f t="shared" si="140"/>
        <v>4.2509286009079661E-2</v>
      </c>
      <c r="AY327" s="4">
        <f t="shared" si="141"/>
        <v>1.8779342723004744E-2</v>
      </c>
      <c r="AZ327" s="4">
        <f t="shared" si="142"/>
        <v>0</v>
      </c>
      <c r="BA327" s="4">
        <f t="shared" si="143"/>
        <v>1.8989898989899001E-2</v>
      </c>
      <c r="BB327" s="4">
        <f t="shared" si="144"/>
        <v>3.4860154033238722E-2</v>
      </c>
      <c r="BC327" s="4">
        <f t="shared" si="145"/>
        <v>1.1871784724970524E-3</v>
      </c>
      <c r="BD327" s="4">
        <f t="shared" si="146"/>
        <v>9.7352024922118252E-3</v>
      </c>
      <c r="BE327" s="4">
        <f t="shared" si="147"/>
        <v>2.3139220979560449E-2</v>
      </c>
      <c r="BF327" s="4">
        <f t="shared" si="148"/>
        <v>1.79526355996944E-2</v>
      </c>
      <c r="BG327" s="4">
        <f t="shared" si="149"/>
        <v>3.8245219347581516E-2</v>
      </c>
      <c r="BH327" s="4">
        <f t="shared" si="150"/>
        <v>1.4378145219267058E-3</v>
      </c>
      <c r="BI327" s="4">
        <f t="shared" si="151"/>
        <v>1.0810810810810811E-2</v>
      </c>
      <c r="BJ327" s="4">
        <f t="shared" si="152"/>
        <v>4.3731778425656342E-3</v>
      </c>
      <c r="BK327" s="4">
        <f t="shared" si="153"/>
        <v>2.2652539276580175E-2</v>
      </c>
      <c r="BL327" s="4">
        <f t="shared" si="154"/>
        <v>1.85804533630618E-3</v>
      </c>
      <c r="BM327" s="4">
        <f t="shared" si="159"/>
        <v>1.8098677185481988E-2</v>
      </c>
      <c r="BN327" s="9">
        <f t="shared" si="160"/>
        <v>13698.517701530662</v>
      </c>
      <c r="BO327" s="10">
        <f t="shared" si="161"/>
        <v>13083.835126503453</v>
      </c>
      <c r="BP327">
        <v>13845</v>
      </c>
      <c r="BQ327">
        <v>13850</v>
      </c>
      <c r="BR327">
        <v>13840</v>
      </c>
      <c r="BS327">
        <v>13845</v>
      </c>
      <c r="BT327">
        <v>2215</v>
      </c>
      <c r="BU327" s="13">
        <f t="shared" si="155"/>
        <v>13845</v>
      </c>
      <c r="BV327" s="13">
        <f t="shared" si="156"/>
        <v>30666675</v>
      </c>
      <c r="BW327" s="13">
        <f>SUM($BV$3:BV327)</f>
        <v>226251693521.66672</v>
      </c>
      <c r="BX327" s="13">
        <f>SUM($BT$3:BT327)</f>
        <v>16499085</v>
      </c>
      <c r="BY327" s="3">
        <f t="shared" si="157"/>
        <v>13712.984297109004</v>
      </c>
    </row>
    <row r="328" spans="1:77" x14ac:dyDescent="0.3">
      <c r="A328" s="3" t="s">
        <v>368</v>
      </c>
      <c r="B328" s="3">
        <v>11715</v>
      </c>
      <c r="C328" s="3">
        <v>11715</v>
      </c>
      <c r="D328" s="3">
        <v>11575</v>
      </c>
      <c r="E328" s="3">
        <v>11575</v>
      </c>
      <c r="F328" s="3">
        <v>11640</v>
      </c>
      <c r="G328" s="3">
        <v>11635</v>
      </c>
      <c r="H328" s="3">
        <v>11500</v>
      </c>
      <c r="I328" s="3">
        <v>11485</v>
      </c>
      <c r="J328" s="3">
        <v>11895</v>
      </c>
      <c r="K328" s="3">
        <v>11895</v>
      </c>
      <c r="L328" s="3">
        <v>12085</v>
      </c>
      <c r="M328" s="3">
        <v>12105</v>
      </c>
      <c r="N328" s="3">
        <v>12630</v>
      </c>
      <c r="O328" s="3">
        <v>12635</v>
      </c>
      <c r="P328" s="3">
        <v>12545</v>
      </c>
      <c r="Q328" s="3">
        <v>12550</v>
      </c>
      <c r="R328" s="3">
        <v>12545</v>
      </c>
      <c r="S328" s="3">
        <v>12555</v>
      </c>
      <c r="T328" s="3">
        <v>12135</v>
      </c>
      <c r="U328" s="3">
        <v>12135</v>
      </c>
      <c r="V328" s="3">
        <v>12765</v>
      </c>
      <c r="W328" s="3">
        <v>12755</v>
      </c>
      <c r="X328" s="3">
        <v>12620</v>
      </c>
      <c r="Y328" s="3">
        <v>12630</v>
      </c>
      <c r="Z328" s="3">
        <v>12710</v>
      </c>
      <c r="AA328" s="3">
        <v>12700</v>
      </c>
      <c r="AB328" s="3">
        <v>13265</v>
      </c>
      <c r="AC328" s="3">
        <v>13265</v>
      </c>
      <c r="AD328" s="3">
        <v>13325</v>
      </c>
      <c r="AE328" s="3">
        <v>13335</v>
      </c>
      <c r="AF328" s="3">
        <v>13850</v>
      </c>
      <c r="AG328" s="3">
        <v>13850</v>
      </c>
      <c r="AH328" s="3">
        <v>13895</v>
      </c>
      <c r="AI328" s="3">
        <v>13870</v>
      </c>
      <c r="AJ328" s="3">
        <v>13725</v>
      </c>
      <c r="AK328" s="3">
        <v>13710</v>
      </c>
      <c r="AL328" s="3">
        <v>13655</v>
      </c>
      <c r="AM328" s="3">
        <v>13645</v>
      </c>
      <c r="AN328" s="3">
        <v>13370</v>
      </c>
      <c r="AO328" s="3">
        <v>13375</v>
      </c>
      <c r="AP328" s="3">
        <v>13480</v>
      </c>
      <c r="AQ328" s="3">
        <v>13485</v>
      </c>
      <c r="AR328" s="4">
        <f t="shared" si="158"/>
        <v>1.6045099739809165E-2</v>
      </c>
      <c r="AS328" s="4">
        <f t="shared" si="135"/>
        <v>2.1645021645022577E-3</v>
      </c>
      <c r="AT328" s="4">
        <f t="shared" si="136"/>
        <v>2.4207746478873249E-2</v>
      </c>
      <c r="AU328" s="4">
        <f t="shared" si="137"/>
        <v>2.5042444821731791E-2</v>
      </c>
      <c r="AV328" s="4">
        <f t="shared" si="138"/>
        <v>1.7536355859709252E-2</v>
      </c>
      <c r="AW328" s="4">
        <f t="shared" si="139"/>
        <v>2.0657672849915709E-2</v>
      </c>
      <c r="AX328" s="4">
        <f t="shared" si="140"/>
        <v>4.2921997523730937E-2</v>
      </c>
      <c r="AY328" s="4">
        <f t="shared" si="141"/>
        <v>1.7996870109546204E-2</v>
      </c>
      <c r="AZ328" s="4">
        <f t="shared" si="142"/>
        <v>7.971303308091926E-4</v>
      </c>
      <c r="BA328" s="4">
        <f t="shared" si="143"/>
        <v>1.9393939393939408E-2</v>
      </c>
      <c r="BB328" s="4">
        <f t="shared" si="144"/>
        <v>3.4049452776651723E-2</v>
      </c>
      <c r="BC328" s="4">
        <f t="shared" si="145"/>
        <v>3.9572615749905449E-4</v>
      </c>
      <c r="BD328" s="4">
        <f t="shared" si="146"/>
        <v>1.0903426791277204E-2</v>
      </c>
      <c r="BE328" s="4">
        <f t="shared" si="147"/>
        <v>2.3139220979560449E-2</v>
      </c>
      <c r="BF328" s="4">
        <f t="shared" si="148"/>
        <v>1.8716577540107027E-2</v>
      </c>
      <c r="BG328" s="4">
        <f t="shared" si="149"/>
        <v>3.8620172478440296E-2</v>
      </c>
      <c r="BH328" s="4">
        <f t="shared" si="150"/>
        <v>2.8756290438533005E-3</v>
      </c>
      <c r="BI328" s="4">
        <f t="shared" si="151"/>
        <v>1.1891891891891881E-2</v>
      </c>
      <c r="BJ328" s="4">
        <f t="shared" si="152"/>
        <v>5.4664723032069595E-3</v>
      </c>
      <c r="BK328" s="4">
        <f t="shared" si="153"/>
        <v>2.2652539276580175E-2</v>
      </c>
      <c r="BL328" s="4">
        <f t="shared" si="154"/>
        <v>2.2296544035673715E-3</v>
      </c>
      <c r="BM328" s="4">
        <f t="shared" si="159"/>
        <v>1.8423075984132391E-2</v>
      </c>
      <c r="BN328" s="9">
        <f t="shared" si="160"/>
        <v>13702.882487366502</v>
      </c>
      <c r="BO328" s="10">
        <f t="shared" si="161"/>
        <v>13079.512512511435</v>
      </c>
      <c r="BP328">
        <v>13850</v>
      </c>
      <c r="BQ328">
        <v>13855</v>
      </c>
      <c r="BR328">
        <v>13840</v>
      </c>
      <c r="BS328">
        <v>13850</v>
      </c>
      <c r="BT328">
        <v>7153</v>
      </c>
      <c r="BU328" s="13">
        <f t="shared" si="155"/>
        <v>13848.333333333334</v>
      </c>
      <c r="BV328" s="13">
        <f t="shared" si="156"/>
        <v>99057128.333333343</v>
      </c>
      <c r="BW328" s="13">
        <f>SUM($BV$3:BV328)</f>
        <v>226350750650.00006</v>
      </c>
      <c r="BX328" s="13">
        <f>SUM($BT$3:BT328)</f>
        <v>16506238</v>
      </c>
      <c r="BY328" s="3">
        <f t="shared" si="157"/>
        <v>13713.042950792304</v>
      </c>
    </row>
    <row r="329" spans="1:77" x14ac:dyDescent="0.3">
      <c r="A329" s="3" t="s">
        <v>369</v>
      </c>
      <c r="B329" s="3">
        <v>11720</v>
      </c>
      <c r="C329" s="3">
        <v>11725</v>
      </c>
      <c r="D329" s="3">
        <v>11575</v>
      </c>
      <c r="E329" s="3">
        <v>11565</v>
      </c>
      <c r="F329" s="3">
        <v>11635</v>
      </c>
      <c r="G329" s="3">
        <v>11630</v>
      </c>
      <c r="H329" s="3">
        <v>11485</v>
      </c>
      <c r="I329" s="3">
        <v>11455</v>
      </c>
      <c r="J329" s="3">
        <v>11895</v>
      </c>
      <c r="K329" s="3">
        <v>11890</v>
      </c>
      <c r="L329" s="3">
        <v>12105</v>
      </c>
      <c r="M329" s="3">
        <v>12110</v>
      </c>
      <c r="N329" s="3">
        <v>12635</v>
      </c>
      <c r="O329" s="3">
        <v>12630</v>
      </c>
      <c r="P329" s="3">
        <v>12550</v>
      </c>
      <c r="Q329" s="3">
        <v>12555</v>
      </c>
      <c r="R329" s="3">
        <v>12550</v>
      </c>
      <c r="S329" s="3">
        <v>12550</v>
      </c>
      <c r="T329" s="3">
        <v>12140</v>
      </c>
      <c r="U329" s="3">
        <v>12130</v>
      </c>
      <c r="V329" s="3">
        <v>12750</v>
      </c>
      <c r="W329" s="3">
        <v>12720</v>
      </c>
      <c r="X329" s="3">
        <v>12630</v>
      </c>
      <c r="Y329" s="3">
        <v>12620</v>
      </c>
      <c r="Z329" s="3">
        <v>12700</v>
      </c>
      <c r="AA329" s="3">
        <v>12705</v>
      </c>
      <c r="AB329" s="3">
        <v>13265</v>
      </c>
      <c r="AC329" s="3">
        <v>13265</v>
      </c>
      <c r="AD329" s="3">
        <v>13335</v>
      </c>
      <c r="AE329" s="3">
        <v>13330</v>
      </c>
      <c r="AF329" s="3">
        <v>13850</v>
      </c>
      <c r="AG329" s="3">
        <v>13850</v>
      </c>
      <c r="AH329" s="3">
        <v>13870</v>
      </c>
      <c r="AI329" s="3">
        <v>13865</v>
      </c>
      <c r="AJ329" s="3">
        <v>13720</v>
      </c>
      <c r="AK329" s="3">
        <v>13750</v>
      </c>
      <c r="AL329" s="3">
        <v>13645</v>
      </c>
      <c r="AM329" s="3">
        <v>13650</v>
      </c>
      <c r="AN329" s="3">
        <v>13370</v>
      </c>
      <c r="AO329" s="3">
        <v>13380</v>
      </c>
      <c r="AP329" s="3">
        <v>13475</v>
      </c>
      <c r="AQ329" s="3">
        <v>13480</v>
      </c>
      <c r="AR329" s="4">
        <f t="shared" si="158"/>
        <v>1.6912402428447493E-2</v>
      </c>
      <c r="AS329" s="4">
        <f t="shared" si="135"/>
        <v>1.2987012987013546E-3</v>
      </c>
      <c r="AT329" s="4">
        <f t="shared" si="136"/>
        <v>2.3767605633802757E-2</v>
      </c>
      <c r="AU329" s="4">
        <f t="shared" si="137"/>
        <v>2.7589134125636683E-2</v>
      </c>
      <c r="AV329" s="4">
        <f t="shared" si="138"/>
        <v>1.7108639863130826E-2</v>
      </c>
      <c r="AW329" s="4">
        <f t="shared" si="139"/>
        <v>2.1079258010118007E-2</v>
      </c>
      <c r="AX329" s="4">
        <f t="shared" si="140"/>
        <v>4.2509286009079661E-2</v>
      </c>
      <c r="AY329" s="4">
        <f t="shared" si="141"/>
        <v>1.7605633802816878E-2</v>
      </c>
      <c r="AZ329" s="4">
        <f t="shared" si="142"/>
        <v>3.985651654045963E-4</v>
      </c>
      <c r="BA329" s="4">
        <f t="shared" si="143"/>
        <v>1.9797979797979814E-2</v>
      </c>
      <c r="BB329" s="4">
        <f t="shared" si="144"/>
        <v>3.121199837859745E-2</v>
      </c>
      <c r="BC329" s="4">
        <f t="shared" si="145"/>
        <v>1.1871784724970524E-3</v>
      </c>
      <c r="BD329" s="4">
        <f t="shared" si="146"/>
        <v>1.0514018691588745E-2</v>
      </c>
      <c r="BE329" s="4">
        <f t="shared" si="147"/>
        <v>2.3139220979560449E-2</v>
      </c>
      <c r="BF329" s="4">
        <f t="shared" si="148"/>
        <v>1.8334606569900602E-2</v>
      </c>
      <c r="BG329" s="4">
        <f t="shared" si="149"/>
        <v>3.8620172478440296E-2</v>
      </c>
      <c r="BH329" s="4">
        <f t="shared" si="150"/>
        <v>3.2350826743350325E-3</v>
      </c>
      <c r="BI329" s="4">
        <f t="shared" si="151"/>
        <v>9.009009009009028E-3</v>
      </c>
      <c r="BJ329" s="4">
        <f t="shared" si="152"/>
        <v>5.1020408163264808E-3</v>
      </c>
      <c r="BK329" s="4">
        <f t="shared" si="153"/>
        <v>2.2287175739861165E-2</v>
      </c>
      <c r="BL329" s="4">
        <f t="shared" si="154"/>
        <v>1.85804533630618E-3</v>
      </c>
      <c r="BM329" s="4">
        <f t="shared" si="159"/>
        <v>1.8252987628486778E-2</v>
      </c>
      <c r="BN329" s="9">
        <f t="shared" si="160"/>
        <v>13700.593948541289</v>
      </c>
      <c r="BO329" s="10">
        <f t="shared" si="161"/>
        <v>13081.778939850414</v>
      </c>
      <c r="BP329">
        <v>13850</v>
      </c>
      <c r="BQ329">
        <v>13860</v>
      </c>
      <c r="BR329">
        <v>13850</v>
      </c>
      <c r="BS329">
        <v>13850</v>
      </c>
      <c r="BT329">
        <v>13417</v>
      </c>
      <c r="BU329" s="13">
        <f t="shared" si="155"/>
        <v>13853.333333333334</v>
      </c>
      <c r="BV329" s="13">
        <f t="shared" si="156"/>
        <v>185870173.33333334</v>
      </c>
      <c r="BW329" s="13">
        <f>SUM($BV$3:BV329)</f>
        <v>226536620823.3334</v>
      </c>
      <c r="BX329" s="13">
        <f>SUM($BT$3:BT329)</f>
        <v>16519655</v>
      </c>
      <c r="BY329" s="3">
        <f t="shared" si="157"/>
        <v>13713.156892400804</v>
      </c>
    </row>
    <row r="330" spans="1:77" x14ac:dyDescent="0.3">
      <c r="A330" s="3" t="s">
        <v>370</v>
      </c>
      <c r="B330" s="3">
        <v>11720</v>
      </c>
      <c r="C330" s="3">
        <v>11705</v>
      </c>
      <c r="D330" s="3">
        <v>11565</v>
      </c>
      <c r="E330" s="3">
        <v>11560</v>
      </c>
      <c r="F330" s="3">
        <v>11630</v>
      </c>
      <c r="G330" s="3">
        <v>11615</v>
      </c>
      <c r="H330" s="3">
        <v>11460</v>
      </c>
      <c r="I330" s="3">
        <v>11450</v>
      </c>
      <c r="J330" s="3">
        <v>11885</v>
      </c>
      <c r="K330" s="3">
        <v>11885</v>
      </c>
      <c r="L330" s="3">
        <v>12110</v>
      </c>
      <c r="M330" s="3">
        <v>12090</v>
      </c>
      <c r="N330" s="3">
        <v>12630</v>
      </c>
      <c r="O330" s="3">
        <v>12630</v>
      </c>
      <c r="P330" s="3">
        <v>12555</v>
      </c>
      <c r="Q330" s="3">
        <v>12550</v>
      </c>
      <c r="R330" s="3">
        <v>12550</v>
      </c>
      <c r="S330" s="3">
        <v>12545</v>
      </c>
      <c r="T330" s="3">
        <v>12130</v>
      </c>
      <c r="U330" s="3">
        <v>12125</v>
      </c>
      <c r="V330" s="3">
        <v>12720</v>
      </c>
      <c r="W330" s="3">
        <v>12730</v>
      </c>
      <c r="X330" s="3">
        <v>12615</v>
      </c>
      <c r="Y330" s="3">
        <v>12620</v>
      </c>
      <c r="Z330" s="3">
        <v>12710</v>
      </c>
      <c r="AA330" s="3">
        <v>12695</v>
      </c>
      <c r="AB330" s="3">
        <v>13270</v>
      </c>
      <c r="AC330" s="3">
        <v>13260</v>
      </c>
      <c r="AD330" s="3">
        <v>13335</v>
      </c>
      <c r="AE330" s="3">
        <v>13335</v>
      </c>
      <c r="AF330" s="3">
        <v>13850</v>
      </c>
      <c r="AG330" s="3">
        <v>13850</v>
      </c>
      <c r="AH330" s="3">
        <v>13870</v>
      </c>
      <c r="AI330" s="3">
        <v>13870</v>
      </c>
      <c r="AJ330" s="3">
        <v>13750</v>
      </c>
      <c r="AK330" s="3">
        <v>13740</v>
      </c>
      <c r="AL330" s="3">
        <v>13650</v>
      </c>
      <c r="AM330" s="3">
        <v>13655</v>
      </c>
      <c r="AN330" s="3">
        <v>13380</v>
      </c>
      <c r="AO330" s="3">
        <v>13365</v>
      </c>
      <c r="AP330" s="3">
        <v>13480</v>
      </c>
      <c r="AQ330" s="3">
        <v>13480</v>
      </c>
      <c r="AR330" s="4">
        <f t="shared" si="158"/>
        <v>1.5177797051170838E-2</v>
      </c>
      <c r="AS330" s="4">
        <f t="shared" si="135"/>
        <v>8.658008658009031E-4</v>
      </c>
      <c r="AT330" s="4">
        <f t="shared" si="136"/>
        <v>2.2447183098591506E-2</v>
      </c>
      <c r="AU330" s="4">
        <f t="shared" si="137"/>
        <v>2.8013582342954146E-2</v>
      </c>
      <c r="AV330" s="4">
        <f t="shared" si="138"/>
        <v>1.6680923866552622E-2</v>
      </c>
      <c r="AW330" s="4">
        <f t="shared" si="139"/>
        <v>1.9392917369308593E-2</v>
      </c>
      <c r="AX330" s="4">
        <f t="shared" si="140"/>
        <v>4.2509286009079661E-2</v>
      </c>
      <c r="AY330" s="4">
        <f t="shared" si="141"/>
        <v>1.7996870109546204E-2</v>
      </c>
      <c r="AZ330" s="4">
        <f t="shared" si="142"/>
        <v>0</v>
      </c>
      <c r="BA330" s="4">
        <f t="shared" si="143"/>
        <v>2.0202020202020221E-2</v>
      </c>
      <c r="BB330" s="4">
        <f t="shared" si="144"/>
        <v>3.2022699635184448E-2</v>
      </c>
      <c r="BC330" s="4">
        <f t="shared" si="145"/>
        <v>1.1871784724970524E-3</v>
      </c>
      <c r="BD330" s="4">
        <f t="shared" si="146"/>
        <v>1.1292834890965775E-2</v>
      </c>
      <c r="BE330" s="4">
        <f t="shared" si="147"/>
        <v>2.2753567296567745E-2</v>
      </c>
      <c r="BF330" s="4">
        <f t="shared" si="148"/>
        <v>1.8716577540107027E-2</v>
      </c>
      <c r="BG330" s="4">
        <f t="shared" si="149"/>
        <v>3.8620172478440296E-2</v>
      </c>
      <c r="BH330" s="4">
        <f t="shared" si="150"/>
        <v>2.8756290438533005E-3</v>
      </c>
      <c r="BI330" s="4">
        <f t="shared" si="151"/>
        <v>9.7297297297297414E-3</v>
      </c>
      <c r="BJ330" s="4">
        <f t="shared" si="152"/>
        <v>4.737609329446113E-3</v>
      </c>
      <c r="BK330" s="4">
        <f t="shared" si="153"/>
        <v>2.3383266350018306E-2</v>
      </c>
      <c r="BL330" s="4">
        <f t="shared" si="154"/>
        <v>1.85804533630618E-3</v>
      </c>
      <c r="BM330" s="4">
        <f t="shared" si="159"/>
        <v>1.8148674407083992E-2</v>
      </c>
      <c r="BN330" s="9">
        <f t="shared" si="160"/>
        <v>13699.190414147315</v>
      </c>
      <c r="BO330" s="10">
        <f t="shared" si="161"/>
        <v>13083.168913525606</v>
      </c>
      <c r="BP330">
        <v>13850</v>
      </c>
      <c r="BQ330">
        <v>13850</v>
      </c>
      <c r="BR330">
        <v>13840</v>
      </c>
      <c r="BS330">
        <v>13850</v>
      </c>
      <c r="BT330">
        <v>3316</v>
      </c>
      <c r="BU330" s="13">
        <f t="shared" si="155"/>
        <v>13846.666666666666</v>
      </c>
      <c r="BV330" s="13">
        <f t="shared" si="156"/>
        <v>45915546.666666664</v>
      </c>
      <c r="BW330" s="13">
        <f>SUM($BV$3:BV330)</f>
        <v>226582536370.00006</v>
      </c>
      <c r="BX330" s="13">
        <f>SUM($BT$3:BT330)</f>
        <v>16522971</v>
      </c>
      <c r="BY330" s="3">
        <f t="shared" si="157"/>
        <v>13713.183686517397</v>
      </c>
    </row>
    <row r="331" spans="1:77" x14ac:dyDescent="0.3">
      <c r="A331" s="3" t="s">
        <v>371</v>
      </c>
      <c r="B331" s="3">
        <v>11710</v>
      </c>
      <c r="C331" s="3">
        <v>11695</v>
      </c>
      <c r="D331" s="3">
        <v>11560</v>
      </c>
      <c r="E331" s="3">
        <v>11555</v>
      </c>
      <c r="F331" s="3">
        <v>11615</v>
      </c>
      <c r="G331" s="3">
        <v>11610</v>
      </c>
      <c r="H331" s="3">
        <v>11450</v>
      </c>
      <c r="I331" s="3">
        <v>11430</v>
      </c>
      <c r="J331" s="3">
        <v>11885</v>
      </c>
      <c r="K331" s="3">
        <v>11885</v>
      </c>
      <c r="L331" s="3">
        <v>12090</v>
      </c>
      <c r="M331" s="3">
        <v>12100</v>
      </c>
      <c r="N331" s="3">
        <v>12635</v>
      </c>
      <c r="O331" s="3">
        <v>12625</v>
      </c>
      <c r="P331" s="3">
        <v>12555</v>
      </c>
      <c r="Q331" s="3">
        <v>12555</v>
      </c>
      <c r="R331" s="3">
        <v>12545</v>
      </c>
      <c r="S331" s="3">
        <v>12550</v>
      </c>
      <c r="T331" s="3">
        <v>12120</v>
      </c>
      <c r="U331" s="3">
        <v>12120</v>
      </c>
      <c r="V331" s="3">
        <v>12730</v>
      </c>
      <c r="W331" s="3">
        <v>12710</v>
      </c>
      <c r="X331" s="3">
        <v>12620</v>
      </c>
      <c r="Y331" s="3">
        <v>12630</v>
      </c>
      <c r="Z331" s="3">
        <v>12695</v>
      </c>
      <c r="AA331" s="3">
        <v>12685</v>
      </c>
      <c r="AB331" s="3">
        <v>13260</v>
      </c>
      <c r="AC331" s="3">
        <v>13265</v>
      </c>
      <c r="AD331" s="3">
        <v>13335</v>
      </c>
      <c r="AE331" s="3">
        <v>13330</v>
      </c>
      <c r="AF331" s="3">
        <v>13855</v>
      </c>
      <c r="AG331" s="3">
        <v>13855</v>
      </c>
      <c r="AH331" s="3">
        <v>13875</v>
      </c>
      <c r="AI331" s="3">
        <v>13860</v>
      </c>
      <c r="AJ331" s="3">
        <v>13740</v>
      </c>
      <c r="AK331" s="3">
        <v>13710</v>
      </c>
      <c r="AL331" s="3">
        <v>13660</v>
      </c>
      <c r="AM331" s="3">
        <v>13655</v>
      </c>
      <c r="AN331" s="3">
        <v>13370</v>
      </c>
      <c r="AO331" s="3">
        <v>13375</v>
      </c>
      <c r="AP331" s="3">
        <v>13485</v>
      </c>
      <c r="AQ331" s="3">
        <v>13495</v>
      </c>
      <c r="AR331" s="4">
        <f t="shared" si="158"/>
        <v>1.4310494362532511E-2</v>
      </c>
      <c r="AS331" s="4">
        <f t="shared" si="135"/>
        <v>4.3290043290045155E-4</v>
      </c>
      <c r="AT331" s="4">
        <f t="shared" si="136"/>
        <v>2.2007042253521236E-2</v>
      </c>
      <c r="AU331" s="4">
        <f t="shared" si="137"/>
        <v>2.9711375212224111E-2</v>
      </c>
      <c r="AV331" s="4">
        <f t="shared" si="138"/>
        <v>1.6680923866552622E-2</v>
      </c>
      <c r="AW331" s="4">
        <f t="shared" si="139"/>
        <v>2.0236087689713411E-2</v>
      </c>
      <c r="AX331" s="4">
        <f t="shared" si="140"/>
        <v>4.2096574494428385E-2</v>
      </c>
      <c r="AY331" s="4">
        <f t="shared" si="141"/>
        <v>1.7605633802816878E-2</v>
      </c>
      <c r="AZ331" s="4">
        <f t="shared" si="142"/>
        <v>3.985651654045963E-4</v>
      </c>
      <c r="BA331" s="4">
        <f t="shared" si="143"/>
        <v>2.0606060606060628E-2</v>
      </c>
      <c r="BB331" s="4">
        <f t="shared" si="144"/>
        <v>3.0401297122010451E-2</v>
      </c>
      <c r="BC331" s="4">
        <f t="shared" si="145"/>
        <v>3.9572615749905449E-4</v>
      </c>
      <c r="BD331" s="4">
        <f t="shared" si="146"/>
        <v>1.2071651090342694E-2</v>
      </c>
      <c r="BE331" s="4">
        <f t="shared" si="147"/>
        <v>2.3139220979560449E-2</v>
      </c>
      <c r="BF331" s="4">
        <f t="shared" si="148"/>
        <v>1.8334606569900602E-2</v>
      </c>
      <c r="BG331" s="4">
        <f t="shared" si="149"/>
        <v>3.8995125609298853E-2</v>
      </c>
      <c r="BH331" s="4">
        <f t="shared" si="150"/>
        <v>3.5945363048166534E-3</v>
      </c>
      <c r="BI331" s="4">
        <f t="shared" si="151"/>
        <v>1.1891891891891881E-2</v>
      </c>
      <c r="BJ331" s="4">
        <f t="shared" si="152"/>
        <v>4.737609329446113E-3</v>
      </c>
      <c r="BK331" s="4">
        <f t="shared" si="153"/>
        <v>2.2652539276580175E-2</v>
      </c>
      <c r="BL331" s="4">
        <f t="shared" si="154"/>
        <v>2.9728725380899768E-3</v>
      </c>
      <c r="BM331" s="4">
        <f t="shared" si="159"/>
        <v>1.8151261817352542E-2</v>
      </c>
      <c r="BN331" s="9">
        <f t="shared" si="160"/>
        <v>13699.225227752479</v>
      </c>
      <c r="BO331" s="10">
        <f t="shared" si="161"/>
        <v>13083.134436283777</v>
      </c>
      <c r="BP331">
        <v>13855</v>
      </c>
      <c r="BQ331">
        <v>13860</v>
      </c>
      <c r="BR331">
        <v>13845</v>
      </c>
      <c r="BS331">
        <v>13855</v>
      </c>
      <c r="BT331">
        <v>22503</v>
      </c>
      <c r="BU331" s="13">
        <f t="shared" si="155"/>
        <v>13853.333333333334</v>
      </c>
      <c r="BV331" s="13">
        <f t="shared" si="156"/>
        <v>311741560</v>
      </c>
      <c r="BW331" s="13">
        <f>SUM($BV$3:BV331)</f>
        <v>226894277930.00006</v>
      </c>
      <c r="BX331" s="13">
        <f>SUM($BT$3:BT331)</f>
        <v>16545474</v>
      </c>
      <c r="BY331" s="3">
        <f t="shared" si="157"/>
        <v>13713.374299823628</v>
      </c>
    </row>
    <row r="332" spans="1:77" x14ac:dyDescent="0.3">
      <c r="A332" s="3" t="s">
        <v>372</v>
      </c>
      <c r="B332" s="3">
        <v>11690</v>
      </c>
      <c r="C332" s="3">
        <v>11710</v>
      </c>
      <c r="D332" s="3">
        <v>11555</v>
      </c>
      <c r="E332" s="3">
        <v>11560</v>
      </c>
      <c r="F332" s="3">
        <v>11610</v>
      </c>
      <c r="G332" s="3">
        <v>11610</v>
      </c>
      <c r="H332" s="3">
        <v>11435</v>
      </c>
      <c r="I332" s="3">
        <v>11435</v>
      </c>
      <c r="J332" s="3">
        <v>11885</v>
      </c>
      <c r="K332" s="3">
        <v>11890</v>
      </c>
      <c r="L332" s="3">
        <v>12105</v>
      </c>
      <c r="M332" s="3">
        <v>12095</v>
      </c>
      <c r="N332" s="3">
        <v>12630</v>
      </c>
      <c r="O332" s="3">
        <v>12645</v>
      </c>
      <c r="P332" s="3">
        <v>12560</v>
      </c>
      <c r="Q332" s="3">
        <v>12565</v>
      </c>
      <c r="R332" s="3">
        <v>12550</v>
      </c>
      <c r="S332" s="3">
        <v>12535</v>
      </c>
      <c r="T332" s="3">
        <v>12120</v>
      </c>
      <c r="U332" s="3">
        <v>12105</v>
      </c>
      <c r="V332" s="3">
        <v>12710</v>
      </c>
      <c r="W332" s="3">
        <v>12725</v>
      </c>
      <c r="X332" s="3">
        <v>12625</v>
      </c>
      <c r="Y332" s="3">
        <v>12630</v>
      </c>
      <c r="Z332" s="3">
        <v>12690</v>
      </c>
      <c r="AA332" s="3">
        <v>12700</v>
      </c>
      <c r="AB332" s="3">
        <v>13265</v>
      </c>
      <c r="AC332" s="3">
        <v>13270</v>
      </c>
      <c r="AD332" s="3">
        <v>13330</v>
      </c>
      <c r="AE332" s="3">
        <v>13325</v>
      </c>
      <c r="AF332" s="3">
        <v>13860</v>
      </c>
      <c r="AG332" s="3">
        <v>13855</v>
      </c>
      <c r="AH332" s="3">
        <v>13860</v>
      </c>
      <c r="AI332" s="3">
        <v>13870</v>
      </c>
      <c r="AJ332" s="3">
        <v>13715</v>
      </c>
      <c r="AK332" s="3">
        <v>13725</v>
      </c>
      <c r="AL332" s="3">
        <v>13660</v>
      </c>
      <c r="AM332" s="3">
        <v>13680</v>
      </c>
      <c r="AN332" s="3">
        <v>13370</v>
      </c>
      <c r="AO332" s="3">
        <v>13375</v>
      </c>
      <c r="AP332" s="3">
        <v>13495</v>
      </c>
      <c r="AQ332" s="3">
        <v>13495</v>
      </c>
      <c r="AR332" s="4">
        <f t="shared" si="158"/>
        <v>1.5611448395490113E-2</v>
      </c>
      <c r="AS332" s="4">
        <f t="shared" si="135"/>
        <v>8.658008658009031E-4</v>
      </c>
      <c r="AT332" s="4">
        <f t="shared" si="136"/>
        <v>2.2007042253521236E-2</v>
      </c>
      <c r="AU332" s="4">
        <f t="shared" si="137"/>
        <v>2.9286926994906648E-2</v>
      </c>
      <c r="AV332" s="4">
        <f t="shared" si="138"/>
        <v>1.7108639863130826E-2</v>
      </c>
      <c r="AW332" s="4">
        <f t="shared" si="139"/>
        <v>1.9814502529510891E-2</v>
      </c>
      <c r="AX332" s="4">
        <f t="shared" si="140"/>
        <v>4.3747420553033489E-2</v>
      </c>
      <c r="AY332" s="4">
        <f t="shared" si="141"/>
        <v>1.6823161189358338E-2</v>
      </c>
      <c r="AZ332" s="4">
        <f t="shared" si="142"/>
        <v>7.9713033080908158E-4</v>
      </c>
      <c r="BA332" s="4">
        <f t="shared" si="143"/>
        <v>2.1818181818181848E-2</v>
      </c>
      <c r="BB332" s="4">
        <f t="shared" si="144"/>
        <v>3.1617349006890949E-2</v>
      </c>
      <c r="BC332" s="4">
        <f t="shared" si="145"/>
        <v>3.9572615749905449E-4</v>
      </c>
      <c r="BD332" s="4">
        <f t="shared" si="146"/>
        <v>1.0903426791277204E-2</v>
      </c>
      <c r="BE332" s="4">
        <f t="shared" si="147"/>
        <v>2.352487466255293E-2</v>
      </c>
      <c r="BF332" s="4">
        <f t="shared" si="148"/>
        <v>1.79526355996944E-2</v>
      </c>
      <c r="BG332" s="4">
        <f t="shared" si="149"/>
        <v>3.8995125609298853E-2</v>
      </c>
      <c r="BH332" s="4">
        <f t="shared" si="150"/>
        <v>2.8756290438533005E-3</v>
      </c>
      <c r="BI332" s="4">
        <f t="shared" si="151"/>
        <v>1.0810810810810811E-2</v>
      </c>
      <c r="BJ332" s="4">
        <f t="shared" si="152"/>
        <v>2.9154518950437192E-3</v>
      </c>
      <c r="BK332" s="4">
        <f t="shared" si="153"/>
        <v>2.2652539276580175E-2</v>
      </c>
      <c r="BL332" s="4">
        <f t="shared" si="154"/>
        <v>2.9728725380899768E-3</v>
      </c>
      <c r="BM332" s="4">
        <f t="shared" si="159"/>
        <v>1.8333058472583413E-2</v>
      </c>
      <c r="BN332" s="9">
        <f t="shared" si="160"/>
        <v>13701.671301748609</v>
      </c>
      <c r="BO332" s="10">
        <f t="shared" si="161"/>
        <v>13080.711995852827</v>
      </c>
      <c r="BP332">
        <v>13860</v>
      </c>
      <c r="BQ332">
        <v>13860</v>
      </c>
      <c r="BR332">
        <v>13850</v>
      </c>
      <c r="BS332">
        <v>13855</v>
      </c>
      <c r="BT332">
        <v>5232</v>
      </c>
      <c r="BU332" s="13">
        <f t="shared" si="155"/>
        <v>13855</v>
      </c>
      <c r="BV332" s="13">
        <f t="shared" si="156"/>
        <v>72489360</v>
      </c>
      <c r="BW332" s="13">
        <f>SUM($BV$3:BV332)</f>
        <v>226966767290.00006</v>
      </c>
      <c r="BX332" s="13">
        <f>SUM($BT$3:BT332)</f>
        <v>16550706</v>
      </c>
      <c r="BY332" s="3">
        <f t="shared" si="157"/>
        <v>13713.419070461408</v>
      </c>
    </row>
    <row r="333" spans="1:77" x14ac:dyDescent="0.3">
      <c r="A333" s="3" t="s">
        <v>373</v>
      </c>
      <c r="B333" s="3">
        <v>11710</v>
      </c>
      <c r="C333" s="3">
        <v>11715</v>
      </c>
      <c r="D333" s="3">
        <v>11560</v>
      </c>
      <c r="E333" s="3">
        <v>11545</v>
      </c>
      <c r="F333" s="3">
        <v>11615</v>
      </c>
      <c r="G333" s="3">
        <v>11620</v>
      </c>
      <c r="H333" s="3">
        <v>11430</v>
      </c>
      <c r="I333" s="3">
        <v>11435</v>
      </c>
      <c r="J333" s="3">
        <v>11890</v>
      </c>
      <c r="K333" s="3">
        <v>11890</v>
      </c>
      <c r="L333" s="3">
        <v>12105</v>
      </c>
      <c r="M333" s="3">
        <v>12100</v>
      </c>
      <c r="N333" s="3">
        <v>12645</v>
      </c>
      <c r="O333" s="3">
        <v>12655</v>
      </c>
      <c r="P333" s="3">
        <v>12565</v>
      </c>
      <c r="Q333" s="3">
        <v>12580</v>
      </c>
      <c r="R333" s="3">
        <v>12535</v>
      </c>
      <c r="S333" s="3">
        <v>12545</v>
      </c>
      <c r="T333" s="3">
        <v>12105</v>
      </c>
      <c r="U333" s="3">
        <v>12110</v>
      </c>
      <c r="V333" s="3">
        <v>12725</v>
      </c>
      <c r="W333" s="3">
        <v>12685</v>
      </c>
      <c r="X333" s="3">
        <v>12625</v>
      </c>
      <c r="Y333" s="3">
        <v>12630</v>
      </c>
      <c r="Z333" s="3">
        <v>12695</v>
      </c>
      <c r="AA333" s="3">
        <v>12685</v>
      </c>
      <c r="AB333" s="3">
        <v>13275</v>
      </c>
      <c r="AC333" s="3">
        <v>13270</v>
      </c>
      <c r="AD333" s="3">
        <v>13325</v>
      </c>
      <c r="AE333" s="3">
        <v>13325</v>
      </c>
      <c r="AF333" s="3">
        <v>13855</v>
      </c>
      <c r="AG333" s="3">
        <v>13860</v>
      </c>
      <c r="AH333" s="3">
        <v>13875</v>
      </c>
      <c r="AI333" s="3">
        <v>13895</v>
      </c>
      <c r="AJ333" s="3">
        <v>13725</v>
      </c>
      <c r="AK333" s="3">
        <v>13715</v>
      </c>
      <c r="AL333" s="3">
        <v>13680</v>
      </c>
      <c r="AM333" s="3">
        <v>13670</v>
      </c>
      <c r="AN333" s="3">
        <v>13375</v>
      </c>
      <c r="AO333" s="3">
        <v>13390</v>
      </c>
      <c r="AP333" s="3">
        <v>13490</v>
      </c>
      <c r="AQ333" s="3">
        <v>13480</v>
      </c>
      <c r="AR333" s="4">
        <f t="shared" si="158"/>
        <v>1.6045099739809165E-2</v>
      </c>
      <c r="AS333" s="4">
        <f t="shared" si="135"/>
        <v>4.3290043290045155E-4</v>
      </c>
      <c r="AT333" s="4">
        <f t="shared" si="136"/>
        <v>2.2887323943661997E-2</v>
      </c>
      <c r="AU333" s="4">
        <f t="shared" si="137"/>
        <v>2.9286926994906648E-2</v>
      </c>
      <c r="AV333" s="4">
        <f t="shared" si="138"/>
        <v>1.7108639863130826E-2</v>
      </c>
      <c r="AW333" s="4">
        <f t="shared" si="139"/>
        <v>2.0236087689713411E-2</v>
      </c>
      <c r="AX333" s="4">
        <f t="shared" si="140"/>
        <v>4.4572843582336041E-2</v>
      </c>
      <c r="AY333" s="4">
        <f t="shared" si="141"/>
        <v>1.5649452269170583E-2</v>
      </c>
      <c r="AZ333" s="4">
        <f t="shared" si="142"/>
        <v>0</v>
      </c>
      <c r="BA333" s="4">
        <f t="shared" si="143"/>
        <v>2.1414141414141441E-2</v>
      </c>
      <c r="BB333" s="4">
        <f t="shared" si="144"/>
        <v>2.8374543980543177E-2</v>
      </c>
      <c r="BC333" s="4">
        <f t="shared" si="145"/>
        <v>3.9572615749905449E-4</v>
      </c>
      <c r="BD333" s="4">
        <f t="shared" si="146"/>
        <v>1.2071651090342694E-2</v>
      </c>
      <c r="BE333" s="4">
        <f t="shared" si="147"/>
        <v>2.352487466255293E-2</v>
      </c>
      <c r="BF333" s="4">
        <f t="shared" si="148"/>
        <v>1.79526355996944E-2</v>
      </c>
      <c r="BG333" s="4">
        <f t="shared" si="149"/>
        <v>3.937007874015741E-2</v>
      </c>
      <c r="BH333" s="4">
        <f t="shared" si="150"/>
        <v>1.0783608914449738E-3</v>
      </c>
      <c r="BI333" s="4">
        <f t="shared" si="151"/>
        <v>1.1531531531531525E-2</v>
      </c>
      <c r="BJ333" s="4">
        <f t="shared" si="152"/>
        <v>3.6443148688046767E-3</v>
      </c>
      <c r="BK333" s="4">
        <f t="shared" si="153"/>
        <v>2.1556448666423145E-2</v>
      </c>
      <c r="BL333" s="4">
        <f t="shared" si="154"/>
        <v>1.85804533630618E-3</v>
      </c>
      <c r="BM333" s="4">
        <f t="shared" si="159"/>
        <v>1.8136267691470975E-2</v>
      </c>
      <c r="BN333" s="9">
        <f t="shared" si="160"/>
        <v>13699.023481788741</v>
      </c>
      <c r="BO333" s="10">
        <f t="shared" si="161"/>
        <v>13083.33423301115</v>
      </c>
      <c r="BP333">
        <v>13855</v>
      </c>
      <c r="BQ333">
        <v>13860</v>
      </c>
      <c r="BR333">
        <v>13850</v>
      </c>
      <c r="BS333">
        <v>13860</v>
      </c>
      <c r="BT333">
        <v>9356</v>
      </c>
      <c r="BU333" s="13">
        <f t="shared" si="155"/>
        <v>13856.666666666666</v>
      </c>
      <c r="BV333" s="13">
        <f t="shared" si="156"/>
        <v>129642973.33333333</v>
      </c>
      <c r="BW333" s="13">
        <f>SUM($BV$3:BV333)</f>
        <v>227096410263.3334</v>
      </c>
      <c r="BX333" s="13">
        <f>SUM($BT$3:BT333)</f>
        <v>16560062</v>
      </c>
      <c r="BY333" s="3">
        <f t="shared" si="157"/>
        <v>13713.500001590175</v>
      </c>
    </row>
    <row r="334" spans="1:77" x14ac:dyDescent="0.3">
      <c r="A334" s="3" t="s">
        <v>374</v>
      </c>
      <c r="B334" s="3">
        <v>11720</v>
      </c>
      <c r="C334" s="3">
        <v>11720</v>
      </c>
      <c r="D334" s="3">
        <v>11545</v>
      </c>
      <c r="E334" s="3">
        <v>11550</v>
      </c>
      <c r="F334" s="3">
        <v>11625</v>
      </c>
      <c r="G334" s="3">
        <v>11615</v>
      </c>
      <c r="H334" s="3">
        <v>11435</v>
      </c>
      <c r="I334" s="3">
        <v>11450</v>
      </c>
      <c r="J334" s="3">
        <v>11890</v>
      </c>
      <c r="K334" s="3">
        <v>11895</v>
      </c>
      <c r="L334" s="3">
        <v>12105</v>
      </c>
      <c r="M334" s="3">
        <v>12105</v>
      </c>
      <c r="N334" s="3">
        <v>12655</v>
      </c>
      <c r="O334" s="3">
        <v>12660</v>
      </c>
      <c r="P334" s="3">
        <v>12580</v>
      </c>
      <c r="Q334" s="3">
        <v>12575</v>
      </c>
      <c r="R334" s="3">
        <v>12540</v>
      </c>
      <c r="S334" s="3">
        <v>12550</v>
      </c>
      <c r="T334" s="3">
        <v>12110</v>
      </c>
      <c r="U334" s="3">
        <v>12110</v>
      </c>
      <c r="V334" s="3">
        <v>12695</v>
      </c>
      <c r="W334" s="3">
        <v>12685</v>
      </c>
      <c r="X334" s="3">
        <v>12635</v>
      </c>
      <c r="Y334" s="3">
        <v>12615</v>
      </c>
      <c r="Z334" s="3">
        <v>12685</v>
      </c>
      <c r="AA334" s="3">
        <v>12690</v>
      </c>
      <c r="AB334" s="3">
        <v>13270</v>
      </c>
      <c r="AC334" s="3">
        <v>13265</v>
      </c>
      <c r="AD334" s="3">
        <v>13325</v>
      </c>
      <c r="AE334" s="3">
        <v>13330</v>
      </c>
      <c r="AF334" s="3">
        <v>13855</v>
      </c>
      <c r="AG334" s="3">
        <v>13855</v>
      </c>
      <c r="AH334" s="3">
        <v>13900</v>
      </c>
      <c r="AI334" s="3">
        <v>13895</v>
      </c>
      <c r="AJ334" s="3">
        <v>13710</v>
      </c>
      <c r="AK334" s="3">
        <v>13695</v>
      </c>
      <c r="AL334" s="3">
        <v>13670</v>
      </c>
      <c r="AM334" s="3">
        <v>13665</v>
      </c>
      <c r="AN334" s="3">
        <v>13395</v>
      </c>
      <c r="AO334" s="3">
        <v>13390</v>
      </c>
      <c r="AP334" s="3">
        <v>13480</v>
      </c>
      <c r="AQ334" s="3">
        <v>13470</v>
      </c>
      <c r="AR334" s="4">
        <f t="shared" si="158"/>
        <v>1.647875108412844E-2</v>
      </c>
      <c r="AS334" s="4">
        <f t="shared" si="135"/>
        <v>0</v>
      </c>
      <c r="AT334" s="4">
        <f t="shared" si="136"/>
        <v>2.2447183098591506E-2</v>
      </c>
      <c r="AU334" s="4">
        <f t="shared" si="137"/>
        <v>2.8013582342954146E-2</v>
      </c>
      <c r="AV334" s="4">
        <f t="shared" si="138"/>
        <v>1.7536355859709252E-2</v>
      </c>
      <c r="AW334" s="4">
        <f t="shared" si="139"/>
        <v>2.0657672849915709E-2</v>
      </c>
      <c r="AX334" s="4">
        <f t="shared" si="140"/>
        <v>4.4985555096987095E-2</v>
      </c>
      <c r="AY334" s="4">
        <f t="shared" si="141"/>
        <v>1.6040688575899797E-2</v>
      </c>
      <c r="AZ334" s="4">
        <f t="shared" si="142"/>
        <v>3.985651654045963E-4</v>
      </c>
      <c r="BA334" s="4">
        <f t="shared" si="143"/>
        <v>2.1414141414141441E-2</v>
      </c>
      <c r="BB334" s="4">
        <f t="shared" si="144"/>
        <v>2.8374543980543177E-2</v>
      </c>
      <c r="BC334" s="4">
        <f t="shared" si="145"/>
        <v>1.5829046299959959E-3</v>
      </c>
      <c r="BD334" s="4">
        <f t="shared" si="146"/>
        <v>1.1682242990654235E-2</v>
      </c>
      <c r="BE334" s="4">
        <f t="shared" si="147"/>
        <v>2.3139220979560449E-2</v>
      </c>
      <c r="BF334" s="4">
        <f t="shared" si="148"/>
        <v>1.8334606569900602E-2</v>
      </c>
      <c r="BG334" s="4">
        <f t="shared" si="149"/>
        <v>3.8995125609298853E-2</v>
      </c>
      <c r="BH334" s="4">
        <f t="shared" si="150"/>
        <v>1.0783608914449738E-3</v>
      </c>
      <c r="BI334" s="4">
        <f t="shared" si="151"/>
        <v>1.2972972972972951E-2</v>
      </c>
      <c r="BJ334" s="4">
        <f t="shared" si="152"/>
        <v>4.0087463556851555E-3</v>
      </c>
      <c r="BK334" s="4">
        <f t="shared" si="153"/>
        <v>2.1556448666423145E-2</v>
      </c>
      <c r="BL334" s="4">
        <f t="shared" si="154"/>
        <v>1.1148272017837968E-3</v>
      </c>
      <c r="BM334" s="4">
        <f t="shared" si="159"/>
        <v>1.818623311101843E-2</v>
      </c>
      <c r="BN334" s="9">
        <f t="shared" si="160"/>
        <v>13699.695766508754</v>
      </c>
      <c r="BO334" s="10">
        <f t="shared" si="161"/>
        <v>13082.668443795679</v>
      </c>
      <c r="BP334">
        <v>13855</v>
      </c>
      <c r="BQ334">
        <v>13860</v>
      </c>
      <c r="BR334">
        <v>13850</v>
      </c>
      <c r="BS334">
        <v>13855</v>
      </c>
      <c r="BT334">
        <v>20359</v>
      </c>
      <c r="BU334" s="13">
        <f t="shared" si="155"/>
        <v>13855</v>
      </c>
      <c r="BV334" s="13">
        <f t="shared" si="156"/>
        <v>282073945</v>
      </c>
      <c r="BW334" s="13">
        <f>SUM($BV$3:BV334)</f>
        <v>227378484208.3334</v>
      </c>
      <c r="BX334" s="13">
        <f>SUM($BT$3:BT334)</f>
        <v>16580421</v>
      </c>
      <c r="BY334" s="3">
        <f t="shared" si="157"/>
        <v>13713.673748593803</v>
      </c>
    </row>
    <row r="335" spans="1:77" x14ac:dyDescent="0.3">
      <c r="A335" s="3" t="s">
        <v>375</v>
      </c>
      <c r="B335" s="3">
        <v>11720</v>
      </c>
      <c r="C335" s="3">
        <v>11720</v>
      </c>
      <c r="D335" s="3">
        <v>11545</v>
      </c>
      <c r="E335" s="3">
        <v>11555</v>
      </c>
      <c r="F335" s="3">
        <v>11615</v>
      </c>
      <c r="G335" s="3">
        <v>11625</v>
      </c>
      <c r="H335" s="3">
        <v>11450</v>
      </c>
      <c r="I335" s="3">
        <v>11455</v>
      </c>
      <c r="J335" s="3">
        <v>11895</v>
      </c>
      <c r="K335" s="3">
        <v>11895</v>
      </c>
      <c r="L335" s="3">
        <v>12105</v>
      </c>
      <c r="M335" s="3">
        <v>12105</v>
      </c>
      <c r="N335" s="3">
        <v>12660</v>
      </c>
      <c r="O335" s="3">
        <v>12670</v>
      </c>
      <c r="P335" s="3">
        <v>12575</v>
      </c>
      <c r="Q335" s="3">
        <v>12570</v>
      </c>
      <c r="R335" s="3">
        <v>12540</v>
      </c>
      <c r="S335" s="3">
        <v>12540</v>
      </c>
      <c r="T335" s="3">
        <v>12110</v>
      </c>
      <c r="U335" s="3">
        <v>12120</v>
      </c>
      <c r="V335" s="3">
        <v>12685</v>
      </c>
      <c r="W335" s="3">
        <v>12685</v>
      </c>
      <c r="X335" s="3">
        <v>12615</v>
      </c>
      <c r="Y335" s="3">
        <v>12620</v>
      </c>
      <c r="Z335" s="3">
        <v>12690</v>
      </c>
      <c r="AA335" s="3">
        <v>12690</v>
      </c>
      <c r="AB335" s="3">
        <v>13265</v>
      </c>
      <c r="AC335" s="3">
        <v>13275</v>
      </c>
      <c r="AD335" s="3">
        <v>13330</v>
      </c>
      <c r="AE335" s="3">
        <v>13325</v>
      </c>
      <c r="AF335" s="3">
        <v>13855</v>
      </c>
      <c r="AG335" s="3">
        <v>13840</v>
      </c>
      <c r="AH335" s="3">
        <v>13895</v>
      </c>
      <c r="AI335" s="3">
        <v>13885</v>
      </c>
      <c r="AJ335" s="3">
        <v>13700</v>
      </c>
      <c r="AK335" s="3">
        <v>13700</v>
      </c>
      <c r="AL335" s="3">
        <v>13665</v>
      </c>
      <c r="AM335" s="3">
        <v>13660</v>
      </c>
      <c r="AN335" s="3">
        <v>13395</v>
      </c>
      <c r="AO335" s="3">
        <v>13395</v>
      </c>
      <c r="AP335" s="3">
        <v>13470</v>
      </c>
      <c r="AQ335" s="3">
        <v>13460</v>
      </c>
      <c r="AR335" s="4">
        <f t="shared" si="158"/>
        <v>1.647875108412844E-2</v>
      </c>
      <c r="AS335" s="4">
        <f t="shared" si="135"/>
        <v>4.3290043290045155E-4</v>
      </c>
      <c r="AT335" s="4">
        <f t="shared" si="136"/>
        <v>2.3327464788732488E-2</v>
      </c>
      <c r="AU335" s="4">
        <f t="shared" si="137"/>
        <v>2.7589134125636683E-2</v>
      </c>
      <c r="AV335" s="4">
        <f t="shared" si="138"/>
        <v>1.7536355859709252E-2</v>
      </c>
      <c r="AW335" s="4">
        <f t="shared" si="139"/>
        <v>2.0657672849915709E-2</v>
      </c>
      <c r="AX335" s="4">
        <f t="shared" si="140"/>
        <v>4.5810978126289648E-2</v>
      </c>
      <c r="AY335" s="4">
        <f t="shared" si="141"/>
        <v>1.6431924882629123E-2</v>
      </c>
      <c r="AZ335" s="4">
        <f t="shared" si="142"/>
        <v>3.985651654045963E-4</v>
      </c>
      <c r="BA335" s="4">
        <f t="shared" si="143"/>
        <v>2.0606060606060628E-2</v>
      </c>
      <c r="BB335" s="4">
        <f t="shared" si="144"/>
        <v>2.8374543980543177E-2</v>
      </c>
      <c r="BC335" s="4">
        <f t="shared" si="145"/>
        <v>1.1871784724970524E-3</v>
      </c>
      <c r="BD335" s="4">
        <f t="shared" si="146"/>
        <v>1.1682242990654235E-2</v>
      </c>
      <c r="BE335" s="4">
        <f t="shared" si="147"/>
        <v>2.3910528345545634E-2</v>
      </c>
      <c r="BF335" s="4">
        <f t="shared" si="148"/>
        <v>1.79526355996944E-2</v>
      </c>
      <c r="BG335" s="4">
        <f t="shared" si="149"/>
        <v>3.7870266216722959E-2</v>
      </c>
      <c r="BH335" s="4">
        <f t="shared" si="150"/>
        <v>1.7972681524083267E-3</v>
      </c>
      <c r="BI335" s="4">
        <f t="shared" si="151"/>
        <v>1.2612612612612595E-2</v>
      </c>
      <c r="BJ335" s="4">
        <f t="shared" si="152"/>
        <v>4.3731778425656342E-3</v>
      </c>
      <c r="BK335" s="4">
        <f t="shared" si="153"/>
        <v>2.1191085129704024E-2</v>
      </c>
      <c r="BL335" s="4">
        <f t="shared" si="154"/>
        <v>3.7160906726119158E-4</v>
      </c>
      <c r="BM335" s="4">
        <f t="shared" si="159"/>
        <v>1.8278441873300934E-2</v>
      </c>
      <c r="BN335" s="9">
        <f t="shared" si="160"/>
        <v>13700.936435405263</v>
      </c>
      <c r="BO335" s="10">
        <f t="shared" si="161"/>
        <v>13081.439762038264</v>
      </c>
      <c r="BP335">
        <v>13855</v>
      </c>
      <c r="BQ335">
        <v>13855</v>
      </c>
      <c r="BR335">
        <v>13835</v>
      </c>
      <c r="BS335">
        <v>13840</v>
      </c>
      <c r="BT335">
        <v>49526</v>
      </c>
      <c r="BU335" s="13">
        <f t="shared" si="155"/>
        <v>13843.333333333334</v>
      </c>
      <c r="BV335" s="13">
        <f t="shared" si="156"/>
        <v>685604926.66666675</v>
      </c>
      <c r="BW335" s="13">
        <f>SUM($BV$3:BV335)</f>
        <v>228064089135.00006</v>
      </c>
      <c r="BX335" s="13">
        <f>SUM($BT$3:BT335)</f>
        <v>16629947</v>
      </c>
      <c r="BY335" s="3">
        <f t="shared" si="157"/>
        <v>13714.05989056971</v>
      </c>
    </row>
    <row r="336" spans="1:77" x14ac:dyDescent="0.3">
      <c r="A336" s="3" t="s">
        <v>376</v>
      </c>
      <c r="B336" s="3">
        <v>11725</v>
      </c>
      <c r="C336" s="3">
        <v>11730</v>
      </c>
      <c r="D336" s="3">
        <v>11555</v>
      </c>
      <c r="E336" s="3">
        <v>11550</v>
      </c>
      <c r="F336" s="3">
        <v>11625</v>
      </c>
      <c r="G336" s="3">
        <v>11620</v>
      </c>
      <c r="H336" s="3">
        <v>11460</v>
      </c>
      <c r="I336" s="3">
        <v>11440</v>
      </c>
      <c r="J336" s="3">
        <v>11900</v>
      </c>
      <c r="K336" s="3">
        <v>11900</v>
      </c>
      <c r="L336" s="3">
        <v>12100</v>
      </c>
      <c r="M336" s="3">
        <v>12090</v>
      </c>
      <c r="N336" s="3">
        <v>12670</v>
      </c>
      <c r="O336" s="3">
        <v>12675</v>
      </c>
      <c r="P336" s="3">
        <v>12570</v>
      </c>
      <c r="Q336" s="3">
        <v>12565</v>
      </c>
      <c r="R336" s="3">
        <v>12540</v>
      </c>
      <c r="S336" s="3">
        <v>12540</v>
      </c>
      <c r="T336" s="3">
        <v>12115</v>
      </c>
      <c r="U336" s="3">
        <v>12115</v>
      </c>
      <c r="V336" s="3">
        <v>12690</v>
      </c>
      <c r="W336" s="3">
        <v>12690</v>
      </c>
      <c r="X336" s="3">
        <v>12625</v>
      </c>
      <c r="Y336" s="3">
        <v>12625</v>
      </c>
      <c r="Z336" s="3">
        <v>12690</v>
      </c>
      <c r="AA336" s="3">
        <v>12690</v>
      </c>
      <c r="AB336" s="3">
        <v>13275</v>
      </c>
      <c r="AC336" s="3">
        <v>13285</v>
      </c>
      <c r="AD336" s="3">
        <v>13325</v>
      </c>
      <c r="AE336" s="3">
        <v>13325</v>
      </c>
      <c r="AF336" s="3">
        <v>13840</v>
      </c>
      <c r="AG336" s="3">
        <v>13840</v>
      </c>
      <c r="AH336" s="3">
        <v>13885</v>
      </c>
      <c r="AI336" s="3">
        <v>13875</v>
      </c>
      <c r="AJ336" s="3">
        <v>13700</v>
      </c>
      <c r="AK336" s="3">
        <v>13700</v>
      </c>
      <c r="AL336" s="3">
        <v>13665</v>
      </c>
      <c r="AM336" s="3">
        <v>13660</v>
      </c>
      <c r="AN336" s="3">
        <v>13395</v>
      </c>
      <c r="AO336" s="3">
        <v>13390</v>
      </c>
      <c r="AP336" s="3">
        <v>13460</v>
      </c>
      <c r="AQ336" s="3">
        <v>13450</v>
      </c>
      <c r="AR336" s="4">
        <f t="shared" si="158"/>
        <v>1.7346053772766767E-2</v>
      </c>
      <c r="AS336" s="4">
        <f t="shared" si="135"/>
        <v>0</v>
      </c>
      <c r="AT336" s="4">
        <f t="shared" si="136"/>
        <v>2.2887323943661997E-2</v>
      </c>
      <c r="AU336" s="4">
        <f t="shared" si="137"/>
        <v>2.8862478777589184E-2</v>
      </c>
      <c r="AV336" s="4">
        <f t="shared" si="138"/>
        <v>1.7964071856287456E-2</v>
      </c>
      <c r="AW336" s="4">
        <f t="shared" si="139"/>
        <v>1.9392917369308593E-2</v>
      </c>
      <c r="AX336" s="4">
        <f t="shared" si="140"/>
        <v>4.6223689640940924E-2</v>
      </c>
      <c r="AY336" s="4">
        <f t="shared" si="141"/>
        <v>1.6823161189358338E-2</v>
      </c>
      <c r="AZ336" s="4">
        <f t="shared" si="142"/>
        <v>3.985651654045963E-4</v>
      </c>
      <c r="BA336" s="4">
        <f t="shared" si="143"/>
        <v>2.1010101010101034E-2</v>
      </c>
      <c r="BB336" s="4">
        <f t="shared" si="144"/>
        <v>2.8779894608836676E-2</v>
      </c>
      <c r="BC336" s="4">
        <f t="shared" si="145"/>
        <v>7.9145231499799795E-4</v>
      </c>
      <c r="BD336" s="4">
        <f t="shared" si="146"/>
        <v>1.1682242990654235E-2</v>
      </c>
      <c r="BE336" s="4">
        <f t="shared" si="147"/>
        <v>2.4681835711531042E-2</v>
      </c>
      <c r="BF336" s="4">
        <f t="shared" si="148"/>
        <v>1.79526355996944E-2</v>
      </c>
      <c r="BG336" s="4">
        <f t="shared" si="149"/>
        <v>3.7870266216722959E-2</v>
      </c>
      <c r="BH336" s="4">
        <f t="shared" si="150"/>
        <v>2.5161754133716796E-3</v>
      </c>
      <c r="BI336" s="4">
        <f t="shared" si="151"/>
        <v>1.2612612612612595E-2</v>
      </c>
      <c r="BJ336" s="4">
        <f t="shared" si="152"/>
        <v>4.3731778425656342E-3</v>
      </c>
      <c r="BK336" s="4">
        <f t="shared" si="153"/>
        <v>2.1556448666423145E-2</v>
      </c>
      <c r="BL336" s="4">
        <f t="shared" si="154"/>
        <v>3.7160906726119158E-4</v>
      </c>
      <c r="BM336" s="4">
        <f t="shared" si="159"/>
        <v>1.8389312155597606E-2</v>
      </c>
      <c r="BN336" s="9">
        <f t="shared" si="160"/>
        <v>13702.428195053566</v>
      </c>
      <c r="BO336" s="10">
        <f t="shared" si="161"/>
        <v>13079.962415526663</v>
      </c>
      <c r="BP336">
        <v>13840</v>
      </c>
      <c r="BQ336">
        <v>13850</v>
      </c>
      <c r="BR336">
        <v>13840</v>
      </c>
      <c r="BS336">
        <v>13840</v>
      </c>
      <c r="BT336">
        <v>26759</v>
      </c>
      <c r="BU336" s="13">
        <f t="shared" si="155"/>
        <v>13843.333333333334</v>
      </c>
      <c r="BV336" s="13">
        <f t="shared" si="156"/>
        <v>370433756.66666669</v>
      </c>
      <c r="BW336" s="13">
        <f>SUM($BV$3:BV336)</f>
        <v>228434522891.66672</v>
      </c>
      <c r="BX336" s="13">
        <f>SUM($BT$3:BT336)</f>
        <v>16656706</v>
      </c>
      <c r="BY336" s="3">
        <f t="shared" si="157"/>
        <v>13714.267568369563</v>
      </c>
    </row>
    <row r="337" spans="1:77" x14ac:dyDescent="0.3">
      <c r="A337" s="3" t="s">
        <v>377</v>
      </c>
      <c r="B337" s="3">
        <v>11730</v>
      </c>
      <c r="C337" s="3">
        <v>11725</v>
      </c>
      <c r="D337" s="3">
        <v>11550</v>
      </c>
      <c r="E337" s="3">
        <v>11545</v>
      </c>
      <c r="F337" s="3">
        <v>11620</v>
      </c>
      <c r="G337" s="3">
        <v>11620</v>
      </c>
      <c r="H337" s="3">
        <v>11440</v>
      </c>
      <c r="I337" s="3">
        <v>11450</v>
      </c>
      <c r="J337" s="3">
        <v>11900</v>
      </c>
      <c r="K337" s="3">
        <v>11900</v>
      </c>
      <c r="L337" s="3">
        <v>12090</v>
      </c>
      <c r="M337" s="3">
        <v>12110</v>
      </c>
      <c r="N337" s="3">
        <v>12670</v>
      </c>
      <c r="O337" s="3">
        <v>12670</v>
      </c>
      <c r="P337" s="3">
        <v>12565</v>
      </c>
      <c r="Q337" s="3">
        <v>12550</v>
      </c>
      <c r="R337" s="3">
        <v>12540</v>
      </c>
      <c r="S337" s="3">
        <v>12545</v>
      </c>
      <c r="T337" s="3">
        <v>12115</v>
      </c>
      <c r="U337" s="3">
        <v>12120</v>
      </c>
      <c r="V337" s="3">
        <v>12695</v>
      </c>
      <c r="W337" s="3">
        <v>12700</v>
      </c>
      <c r="X337" s="3">
        <v>12625</v>
      </c>
      <c r="Y337" s="3">
        <v>12630</v>
      </c>
      <c r="Z337" s="3">
        <v>12690</v>
      </c>
      <c r="AA337" s="3">
        <v>12695</v>
      </c>
      <c r="AB337" s="3">
        <v>13285</v>
      </c>
      <c r="AC337" s="3">
        <v>13285</v>
      </c>
      <c r="AD337" s="3">
        <v>13330</v>
      </c>
      <c r="AE337" s="3">
        <v>13325</v>
      </c>
      <c r="AF337" s="3">
        <v>13840</v>
      </c>
      <c r="AG337" s="3">
        <v>13850</v>
      </c>
      <c r="AH337" s="3">
        <v>13875</v>
      </c>
      <c r="AI337" s="3">
        <v>13865</v>
      </c>
      <c r="AJ337" s="3">
        <v>13705</v>
      </c>
      <c r="AK337" s="3">
        <v>13690</v>
      </c>
      <c r="AL337" s="3">
        <v>13660</v>
      </c>
      <c r="AM337" s="3">
        <v>13655</v>
      </c>
      <c r="AN337" s="3">
        <v>13395</v>
      </c>
      <c r="AO337" s="3">
        <v>13395</v>
      </c>
      <c r="AP337" s="3">
        <v>13460</v>
      </c>
      <c r="AQ337" s="3">
        <v>13465</v>
      </c>
      <c r="AR337" s="4">
        <f t="shared" si="158"/>
        <v>1.6912402428447493E-2</v>
      </c>
      <c r="AS337" s="4">
        <f t="shared" si="135"/>
        <v>4.3290043290045155E-4</v>
      </c>
      <c r="AT337" s="4">
        <f t="shared" si="136"/>
        <v>2.2887323943661997E-2</v>
      </c>
      <c r="AU337" s="4">
        <f t="shared" si="137"/>
        <v>2.8013582342954146E-2</v>
      </c>
      <c r="AV337" s="4">
        <f t="shared" si="138"/>
        <v>1.7964071856287456E-2</v>
      </c>
      <c r="AW337" s="4">
        <f t="shared" si="139"/>
        <v>2.1079258010118007E-2</v>
      </c>
      <c r="AX337" s="4">
        <f t="shared" si="140"/>
        <v>4.5810978126289648E-2</v>
      </c>
      <c r="AY337" s="4">
        <f t="shared" si="141"/>
        <v>1.7996870109546204E-2</v>
      </c>
      <c r="AZ337" s="4">
        <f t="shared" si="142"/>
        <v>0</v>
      </c>
      <c r="BA337" s="4">
        <f t="shared" si="143"/>
        <v>2.0606060606060628E-2</v>
      </c>
      <c r="BB337" s="4">
        <f t="shared" si="144"/>
        <v>2.9590595865423674E-2</v>
      </c>
      <c r="BC337" s="4">
        <f t="shared" si="145"/>
        <v>3.9572615749905449E-4</v>
      </c>
      <c r="BD337" s="4">
        <f t="shared" si="146"/>
        <v>1.1292834890965775E-2</v>
      </c>
      <c r="BE337" s="4">
        <f t="shared" si="147"/>
        <v>2.4681835711531042E-2</v>
      </c>
      <c r="BF337" s="4">
        <f t="shared" si="148"/>
        <v>1.79526355996944E-2</v>
      </c>
      <c r="BG337" s="4">
        <f t="shared" si="149"/>
        <v>3.8620172478440296E-2</v>
      </c>
      <c r="BH337" s="4">
        <f t="shared" si="150"/>
        <v>3.2350826743350325E-3</v>
      </c>
      <c r="BI337" s="4">
        <f t="shared" si="151"/>
        <v>1.3333333333333308E-2</v>
      </c>
      <c r="BJ337" s="4">
        <f t="shared" si="152"/>
        <v>4.737609329446113E-3</v>
      </c>
      <c r="BK337" s="4">
        <f t="shared" si="153"/>
        <v>2.1191085129704024E-2</v>
      </c>
      <c r="BL337" s="4">
        <f t="shared" si="154"/>
        <v>7.4321813452238317E-4</v>
      </c>
      <c r="BM337" s="4">
        <f t="shared" si="159"/>
        <v>1.8478905260923748E-2</v>
      </c>
      <c r="BN337" s="9">
        <f t="shared" si="160"/>
        <v>13703.63367028573</v>
      </c>
      <c r="BO337" s="10">
        <f t="shared" si="161"/>
        <v>13078.76858739819</v>
      </c>
      <c r="BP337">
        <v>13840</v>
      </c>
      <c r="BQ337">
        <v>13855</v>
      </c>
      <c r="BR337">
        <v>13835</v>
      </c>
      <c r="BS337">
        <v>13850</v>
      </c>
      <c r="BT337">
        <v>21207</v>
      </c>
      <c r="BU337" s="13">
        <f t="shared" si="155"/>
        <v>13846.666666666666</v>
      </c>
      <c r="BV337" s="13">
        <f t="shared" si="156"/>
        <v>293646260</v>
      </c>
      <c r="BW337" s="13">
        <f>SUM($BV$3:BV337)</f>
        <v>228728169151.66672</v>
      </c>
      <c r="BX337" s="13">
        <f>SUM($BT$3:BT337)</f>
        <v>16677913</v>
      </c>
      <c r="BY337" s="3">
        <f t="shared" si="157"/>
        <v>13714.435922028537</v>
      </c>
    </row>
    <row r="338" spans="1:77" x14ac:dyDescent="0.3">
      <c r="A338" s="3" t="s">
        <v>378</v>
      </c>
      <c r="B338" s="3">
        <v>11725</v>
      </c>
      <c r="C338" s="3">
        <v>11725</v>
      </c>
      <c r="D338" s="3">
        <v>11550</v>
      </c>
      <c r="E338" s="3">
        <v>11540</v>
      </c>
      <c r="F338" s="3">
        <v>11620</v>
      </c>
      <c r="G338" s="3">
        <v>11615</v>
      </c>
      <c r="H338" s="3">
        <v>11450</v>
      </c>
      <c r="I338" s="3">
        <v>11450</v>
      </c>
      <c r="J338" s="3">
        <v>11900</v>
      </c>
      <c r="K338" s="3">
        <v>11890</v>
      </c>
      <c r="L338" s="3">
        <v>12110</v>
      </c>
      <c r="M338" s="3">
        <v>12105</v>
      </c>
      <c r="N338" s="3">
        <v>12670</v>
      </c>
      <c r="O338" s="3">
        <v>12675</v>
      </c>
      <c r="P338" s="3">
        <v>12555</v>
      </c>
      <c r="Q338" s="3">
        <v>12555</v>
      </c>
      <c r="R338" s="3">
        <v>12550</v>
      </c>
      <c r="S338" s="3">
        <v>12550</v>
      </c>
      <c r="T338" s="3">
        <v>12120</v>
      </c>
      <c r="U338" s="3">
        <v>12120</v>
      </c>
      <c r="V338" s="3">
        <v>12700</v>
      </c>
      <c r="W338" s="3">
        <v>12695</v>
      </c>
      <c r="X338" s="3">
        <v>12625</v>
      </c>
      <c r="Y338" s="3">
        <v>12625</v>
      </c>
      <c r="Z338" s="3">
        <v>12695</v>
      </c>
      <c r="AA338" s="3">
        <v>12695</v>
      </c>
      <c r="AB338" s="3">
        <v>13290</v>
      </c>
      <c r="AC338" s="3">
        <v>13275</v>
      </c>
      <c r="AD338" s="3">
        <v>13325</v>
      </c>
      <c r="AE338" s="3">
        <v>13335</v>
      </c>
      <c r="AF338" s="3">
        <v>13850</v>
      </c>
      <c r="AG338" s="3">
        <v>13850</v>
      </c>
      <c r="AH338" s="3">
        <v>13870</v>
      </c>
      <c r="AI338" s="3">
        <v>13860</v>
      </c>
      <c r="AJ338" s="3">
        <v>13690</v>
      </c>
      <c r="AK338" s="3">
        <v>13710</v>
      </c>
      <c r="AL338" s="3">
        <v>13655</v>
      </c>
      <c r="AM338" s="3">
        <v>13645</v>
      </c>
      <c r="AN338" s="3">
        <v>13395</v>
      </c>
      <c r="AO338" s="3">
        <v>13385</v>
      </c>
      <c r="AP338" s="3">
        <v>13460</v>
      </c>
      <c r="AQ338" s="3">
        <v>13455</v>
      </c>
      <c r="AR338" s="4">
        <f t="shared" si="158"/>
        <v>1.6912402428447493E-2</v>
      </c>
      <c r="AS338" s="4">
        <f t="shared" si="135"/>
        <v>8.658008658009031E-4</v>
      </c>
      <c r="AT338" s="4">
        <f t="shared" si="136"/>
        <v>2.2447183098591506E-2</v>
      </c>
      <c r="AU338" s="4">
        <f t="shared" si="137"/>
        <v>2.8013582342954146E-2</v>
      </c>
      <c r="AV338" s="4">
        <f t="shared" si="138"/>
        <v>1.7108639863130826E-2</v>
      </c>
      <c r="AW338" s="4">
        <f t="shared" si="139"/>
        <v>2.0657672849915709E-2</v>
      </c>
      <c r="AX338" s="4">
        <f t="shared" si="140"/>
        <v>4.6223689640940924E-2</v>
      </c>
      <c r="AY338" s="4">
        <f t="shared" si="141"/>
        <v>1.7605633802816878E-2</v>
      </c>
      <c r="AZ338" s="4">
        <f t="shared" si="142"/>
        <v>3.985651654045963E-4</v>
      </c>
      <c r="BA338" s="4">
        <f t="shared" si="143"/>
        <v>2.0606060606060628E-2</v>
      </c>
      <c r="BB338" s="4">
        <f t="shared" si="144"/>
        <v>2.9185245237130175E-2</v>
      </c>
      <c r="BC338" s="4">
        <f t="shared" si="145"/>
        <v>7.9145231499799795E-4</v>
      </c>
      <c r="BD338" s="4">
        <f t="shared" si="146"/>
        <v>1.1292834890965775E-2</v>
      </c>
      <c r="BE338" s="4">
        <f t="shared" si="147"/>
        <v>2.3910528345545634E-2</v>
      </c>
      <c r="BF338" s="4">
        <f t="shared" si="148"/>
        <v>1.8716577540107027E-2</v>
      </c>
      <c r="BG338" s="4">
        <f t="shared" si="149"/>
        <v>3.8620172478440296E-2</v>
      </c>
      <c r="BH338" s="4">
        <f t="shared" si="150"/>
        <v>3.5945363048166534E-3</v>
      </c>
      <c r="BI338" s="4">
        <f t="shared" si="151"/>
        <v>1.1891891891891881E-2</v>
      </c>
      <c r="BJ338" s="4">
        <f t="shared" si="152"/>
        <v>5.4664723032069595E-3</v>
      </c>
      <c r="BK338" s="4">
        <f t="shared" si="153"/>
        <v>2.1921812203142155E-2</v>
      </c>
      <c r="BL338" s="4">
        <f t="shared" si="154"/>
        <v>0</v>
      </c>
      <c r="BM338" s="4">
        <f t="shared" si="159"/>
        <v>1.841596189745448E-2</v>
      </c>
      <c r="BN338" s="9">
        <f t="shared" si="160"/>
        <v>13702.78676733025</v>
      </c>
      <c r="BO338" s="10">
        <f t="shared" si="161"/>
        <v>13079.60730771642</v>
      </c>
      <c r="BP338">
        <v>13850</v>
      </c>
      <c r="BQ338">
        <v>13855</v>
      </c>
      <c r="BR338">
        <v>13850</v>
      </c>
      <c r="BS338">
        <v>13850</v>
      </c>
      <c r="BT338">
        <v>22850</v>
      </c>
      <c r="BU338" s="13">
        <f t="shared" si="155"/>
        <v>13851.666666666666</v>
      </c>
      <c r="BV338" s="13">
        <f t="shared" si="156"/>
        <v>316510583.33333331</v>
      </c>
      <c r="BW338" s="13">
        <f>SUM($BV$3:BV338)</f>
        <v>229044679735.00006</v>
      </c>
      <c r="BX338" s="13">
        <f>SUM($BT$3:BT338)</f>
        <v>16700763</v>
      </c>
      <c r="BY338" s="3">
        <f t="shared" si="157"/>
        <v>13714.623681265344</v>
      </c>
    </row>
    <row r="339" spans="1:77" x14ac:dyDescent="0.3">
      <c r="A339" s="3" t="s">
        <v>379</v>
      </c>
      <c r="B339" s="3">
        <v>11725</v>
      </c>
      <c r="C339" s="3">
        <v>11740</v>
      </c>
      <c r="D339" s="3">
        <v>11540</v>
      </c>
      <c r="E339" s="3">
        <v>11545</v>
      </c>
      <c r="F339" s="3">
        <v>11615</v>
      </c>
      <c r="G339" s="3">
        <v>11635</v>
      </c>
      <c r="H339" s="3">
        <v>11450</v>
      </c>
      <c r="I339" s="3">
        <v>11450</v>
      </c>
      <c r="J339" s="3">
        <v>11890</v>
      </c>
      <c r="K339" s="3">
        <v>11910</v>
      </c>
      <c r="L339" s="3">
        <v>12110</v>
      </c>
      <c r="M339" s="3">
        <v>12110</v>
      </c>
      <c r="N339" s="3">
        <v>12675</v>
      </c>
      <c r="O339" s="3">
        <v>12680</v>
      </c>
      <c r="P339" s="3">
        <v>12560</v>
      </c>
      <c r="Q339" s="3">
        <v>12590</v>
      </c>
      <c r="R339" s="3">
        <v>12555</v>
      </c>
      <c r="S339" s="3">
        <v>12550</v>
      </c>
      <c r="T339" s="3">
        <v>12120</v>
      </c>
      <c r="U339" s="3">
        <v>12120</v>
      </c>
      <c r="V339" s="3">
        <v>12695</v>
      </c>
      <c r="W339" s="3">
        <v>12700</v>
      </c>
      <c r="X339" s="3">
        <v>12625</v>
      </c>
      <c r="Y339" s="3">
        <v>12635</v>
      </c>
      <c r="Z339" s="3">
        <v>12695</v>
      </c>
      <c r="AA339" s="3">
        <v>12690</v>
      </c>
      <c r="AB339" s="3">
        <v>13275</v>
      </c>
      <c r="AC339" s="3">
        <v>13280</v>
      </c>
      <c r="AD339" s="3">
        <v>13335</v>
      </c>
      <c r="AE339" s="3">
        <v>13330</v>
      </c>
      <c r="AF339" s="3">
        <v>13850</v>
      </c>
      <c r="AG339" s="3">
        <v>13845</v>
      </c>
      <c r="AH339" s="3">
        <v>13860</v>
      </c>
      <c r="AI339" s="3">
        <v>13865</v>
      </c>
      <c r="AJ339" s="3">
        <v>13710</v>
      </c>
      <c r="AK339" s="3">
        <v>13710</v>
      </c>
      <c r="AL339" s="3">
        <v>13640</v>
      </c>
      <c r="AM339" s="3">
        <v>13630</v>
      </c>
      <c r="AN339" s="3">
        <v>13380</v>
      </c>
      <c r="AO339" s="3">
        <v>13375</v>
      </c>
      <c r="AP339" s="3">
        <v>13455</v>
      </c>
      <c r="AQ339" s="3">
        <v>13455</v>
      </c>
      <c r="AR339" s="4">
        <f t="shared" si="158"/>
        <v>1.8213356461405095E-2</v>
      </c>
      <c r="AS339" s="4">
        <f t="shared" si="135"/>
        <v>4.3290043290045155E-4</v>
      </c>
      <c r="AT339" s="4">
        <f t="shared" si="136"/>
        <v>2.4207746478873249E-2</v>
      </c>
      <c r="AU339" s="4">
        <f t="shared" si="137"/>
        <v>2.8013582342954146E-2</v>
      </c>
      <c r="AV339" s="4">
        <f t="shared" si="138"/>
        <v>1.8819503849443864E-2</v>
      </c>
      <c r="AW339" s="4">
        <f t="shared" si="139"/>
        <v>2.1079258010118007E-2</v>
      </c>
      <c r="AX339" s="4">
        <f t="shared" si="140"/>
        <v>4.66364011555922E-2</v>
      </c>
      <c r="AY339" s="4">
        <f t="shared" si="141"/>
        <v>1.4866979655712043E-2</v>
      </c>
      <c r="AZ339" s="4">
        <f t="shared" si="142"/>
        <v>3.985651654045963E-4</v>
      </c>
      <c r="BA339" s="4">
        <f t="shared" si="143"/>
        <v>2.0606060606060628E-2</v>
      </c>
      <c r="BB339" s="4">
        <f t="shared" si="144"/>
        <v>2.9590595865423674E-2</v>
      </c>
      <c r="BC339" s="4">
        <f t="shared" si="145"/>
        <v>0</v>
      </c>
      <c r="BD339" s="4">
        <f t="shared" si="146"/>
        <v>1.1682242990654235E-2</v>
      </c>
      <c r="BE339" s="4">
        <f t="shared" si="147"/>
        <v>2.4296182028538338E-2</v>
      </c>
      <c r="BF339" s="4">
        <f t="shared" si="148"/>
        <v>1.8334606569900602E-2</v>
      </c>
      <c r="BG339" s="4">
        <f t="shared" si="149"/>
        <v>3.8245219347581516E-2</v>
      </c>
      <c r="BH339" s="4">
        <f t="shared" si="150"/>
        <v>3.2350826743350325E-3</v>
      </c>
      <c r="BI339" s="4">
        <f t="shared" si="151"/>
        <v>1.1891891891891881E-2</v>
      </c>
      <c r="BJ339" s="4">
        <f t="shared" si="152"/>
        <v>6.5597667638483959E-3</v>
      </c>
      <c r="BK339" s="4">
        <f t="shared" si="153"/>
        <v>2.2652539276580175E-2</v>
      </c>
      <c r="BL339" s="4">
        <f t="shared" si="154"/>
        <v>0</v>
      </c>
      <c r="BM339" s="4">
        <f t="shared" si="159"/>
        <v>1.8497473225112575E-2</v>
      </c>
      <c r="BN339" s="9">
        <f t="shared" si="160"/>
        <v>13703.883502243891</v>
      </c>
      <c r="BO339" s="10">
        <f t="shared" si="161"/>
        <v>13078.521169275376</v>
      </c>
      <c r="BP339">
        <v>13850</v>
      </c>
      <c r="BQ339">
        <v>13850</v>
      </c>
      <c r="BR339">
        <v>13840</v>
      </c>
      <c r="BS339">
        <v>13845</v>
      </c>
      <c r="BT339">
        <v>36017</v>
      </c>
      <c r="BU339" s="13">
        <f t="shared" si="155"/>
        <v>13845</v>
      </c>
      <c r="BV339" s="13">
        <f t="shared" si="156"/>
        <v>498655365</v>
      </c>
      <c r="BW339" s="13">
        <f>SUM($BV$3:BV339)</f>
        <v>229543335100.00006</v>
      </c>
      <c r="BX339" s="13">
        <f>SUM($BT$3:BT339)</f>
        <v>16736780</v>
      </c>
      <c r="BY339" s="3">
        <f t="shared" si="157"/>
        <v>13714.904246814505</v>
      </c>
    </row>
    <row r="340" spans="1:77" x14ac:dyDescent="0.3">
      <c r="A340" s="3" t="s">
        <v>380</v>
      </c>
      <c r="B340" s="3">
        <v>11735</v>
      </c>
      <c r="C340" s="3">
        <v>11735</v>
      </c>
      <c r="D340" s="3">
        <v>11545</v>
      </c>
      <c r="E340" s="3">
        <v>11535</v>
      </c>
      <c r="F340" s="3">
        <v>11635</v>
      </c>
      <c r="G340" s="3">
        <v>11635</v>
      </c>
      <c r="H340" s="3">
        <v>11450</v>
      </c>
      <c r="I340" s="3">
        <v>11470</v>
      </c>
      <c r="J340" s="3">
        <v>11905</v>
      </c>
      <c r="K340" s="3">
        <v>11920</v>
      </c>
      <c r="L340" s="3">
        <v>12110</v>
      </c>
      <c r="M340" s="3">
        <v>12100</v>
      </c>
      <c r="N340" s="3">
        <v>12675</v>
      </c>
      <c r="O340" s="3">
        <v>12680</v>
      </c>
      <c r="P340" s="3">
        <v>12585</v>
      </c>
      <c r="Q340" s="3">
        <v>12585</v>
      </c>
      <c r="R340" s="3">
        <v>12550</v>
      </c>
      <c r="S340" s="3">
        <v>12555</v>
      </c>
      <c r="T340" s="3">
        <v>12120</v>
      </c>
      <c r="U340" s="3">
        <v>12125</v>
      </c>
      <c r="V340" s="3">
        <v>12695</v>
      </c>
      <c r="W340" s="3">
        <v>12710</v>
      </c>
      <c r="X340" s="3">
        <v>12640</v>
      </c>
      <c r="Y340" s="3">
        <v>12640</v>
      </c>
      <c r="Z340" s="3">
        <v>12690</v>
      </c>
      <c r="AA340" s="3">
        <v>12695</v>
      </c>
      <c r="AB340" s="3">
        <v>13280</v>
      </c>
      <c r="AC340" s="3">
        <v>13265</v>
      </c>
      <c r="AD340" s="3">
        <v>13335</v>
      </c>
      <c r="AE340" s="3">
        <v>13325</v>
      </c>
      <c r="AF340" s="3">
        <v>13845</v>
      </c>
      <c r="AG340" s="3">
        <v>13840</v>
      </c>
      <c r="AH340" s="3">
        <v>13870</v>
      </c>
      <c r="AI340" s="3">
        <v>13870</v>
      </c>
      <c r="AJ340" s="3">
        <v>13705</v>
      </c>
      <c r="AK340" s="3">
        <v>13700</v>
      </c>
      <c r="AL340" s="3">
        <v>13630</v>
      </c>
      <c r="AM340" s="3">
        <v>13630</v>
      </c>
      <c r="AN340" s="3">
        <v>13370</v>
      </c>
      <c r="AO340" s="3">
        <v>13365</v>
      </c>
      <c r="AP340" s="3">
        <v>13455</v>
      </c>
      <c r="AQ340" s="3">
        <v>13455</v>
      </c>
      <c r="AR340" s="4">
        <f t="shared" si="158"/>
        <v>1.777970511708582E-2</v>
      </c>
      <c r="AS340" s="4">
        <f t="shared" si="135"/>
        <v>1.2987012987012436E-3</v>
      </c>
      <c r="AT340" s="4">
        <f t="shared" si="136"/>
        <v>2.4207746478873249E-2</v>
      </c>
      <c r="AU340" s="4">
        <f t="shared" si="137"/>
        <v>2.6315789473684181E-2</v>
      </c>
      <c r="AV340" s="4">
        <f t="shared" si="138"/>
        <v>1.9674935842600494E-2</v>
      </c>
      <c r="AW340" s="4">
        <f t="shared" si="139"/>
        <v>2.0236087689713411E-2</v>
      </c>
      <c r="AX340" s="4">
        <f t="shared" si="140"/>
        <v>4.66364011555922E-2</v>
      </c>
      <c r="AY340" s="4">
        <f t="shared" si="141"/>
        <v>1.5258215962441368E-2</v>
      </c>
      <c r="AZ340" s="4">
        <f t="shared" si="142"/>
        <v>7.971303308091926E-4</v>
      </c>
      <c r="BA340" s="4">
        <f t="shared" si="143"/>
        <v>2.0202020202020221E-2</v>
      </c>
      <c r="BB340" s="4">
        <f t="shared" si="144"/>
        <v>3.0401297122010451E-2</v>
      </c>
      <c r="BC340" s="4">
        <f t="shared" si="145"/>
        <v>3.9572615749894346E-4</v>
      </c>
      <c r="BD340" s="4">
        <f t="shared" si="146"/>
        <v>1.1292834890965775E-2</v>
      </c>
      <c r="BE340" s="4">
        <f t="shared" si="147"/>
        <v>2.3139220979560449E-2</v>
      </c>
      <c r="BF340" s="4">
        <f t="shared" si="148"/>
        <v>1.79526355996944E-2</v>
      </c>
      <c r="BG340" s="4">
        <f t="shared" si="149"/>
        <v>3.7870266216722959E-2</v>
      </c>
      <c r="BH340" s="4">
        <f t="shared" si="150"/>
        <v>2.8756290438533005E-3</v>
      </c>
      <c r="BI340" s="4">
        <f t="shared" si="151"/>
        <v>1.2612612612612595E-2</v>
      </c>
      <c r="BJ340" s="4">
        <f t="shared" si="152"/>
        <v>6.5597667638483959E-3</v>
      </c>
      <c r="BK340" s="4">
        <f t="shared" si="153"/>
        <v>2.3383266350018306E-2</v>
      </c>
      <c r="BL340" s="4">
        <f t="shared" si="154"/>
        <v>0</v>
      </c>
      <c r="BM340" s="4">
        <f t="shared" si="159"/>
        <v>1.8414910227440399E-2</v>
      </c>
      <c r="BN340" s="9">
        <f t="shared" si="160"/>
        <v>13702.772617110211</v>
      </c>
      <c r="BO340" s="10">
        <f t="shared" si="161"/>
        <v>13079.621321219358</v>
      </c>
      <c r="BP340">
        <v>13845</v>
      </c>
      <c r="BQ340">
        <v>13845</v>
      </c>
      <c r="BR340">
        <v>13835</v>
      </c>
      <c r="BS340">
        <v>13840</v>
      </c>
      <c r="BT340">
        <v>22819</v>
      </c>
      <c r="BU340" s="13">
        <f t="shared" si="155"/>
        <v>13840</v>
      </c>
      <c r="BV340" s="13">
        <f t="shared" si="156"/>
        <v>315814960</v>
      </c>
      <c r="BW340" s="13">
        <f>SUM($BV$3:BV340)</f>
        <v>229859150060.00006</v>
      </c>
      <c r="BX340" s="13">
        <f>SUM($BT$3:BT340)</f>
        <v>16759599</v>
      </c>
      <c r="BY340" s="3">
        <f t="shared" si="157"/>
        <v>13715.074570698265</v>
      </c>
    </row>
    <row r="341" spans="1:77" x14ac:dyDescent="0.3">
      <c r="A341" s="3" t="s">
        <v>381</v>
      </c>
      <c r="B341" s="3">
        <v>11730</v>
      </c>
      <c r="C341" s="3">
        <v>11725</v>
      </c>
      <c r="D341" s="3">
        <v>11535</v>
      </c>
      <c r="E341" s="3">
        <v>11540</v>
      </c>
      <c r="F341" s="3">
        <v>11635</v>
      </c>
      <c r="G341" s="3">
        <v>11655</v>
      </c>
      <c r="H341" s="3">
        <v>11470</v>
      </c>
      <c r="I341" s="3">
        <v>11455</v>
      </c>
      <c r="J341" s="3">
        <v>11920</v>
      </c>
      <c r="K341" s="3">
        <v>11915</v>
      </c>
      <c r="L341" s="3">
        <v>12100</v>
      </c>
      <c r="M341" s="3">
        <v>12095</v>
      </c>
      <c r="N341" s="3">
        <v>12680</v>
      </c>
      <c r="O341" s="3">
        <v>12675</v>
      </c>
      <c r="P341" s="3">
        <v>12585</v>
      </c>
      <c r="Q341" s="3">
        <v>12585</v>
      </c>
      <c r="R341" s="3">
        <v>12550</v>
      </c>
      <c r="S341" s="3">
        <v>12555</v>
      </c>
      <c r="T341" s="3">
        <v>12130</v>
      </c>
      <c r="U341" s="3">
        <v>12135</v>
      </c>
      <c r="V341" s="3">
        <v>12705</v>
      </c>
      <c r="W341" s="3">
        <v>12705</v>
      </c>
      <c r="X341" s="3">
        <v>12640</v>
      </c>
      <c r="Y341" s="3">
        <v>12660</v>
      </c>
      <c r="Z341" s="3">
        <v>12690</v>
      </c>
      <c r="AA341" s="3">
        <v>12690</v>
      </c>
      <c r="AB341" s="3">
        <v>13270</v>
      </c>
      <c r="AC341" s="3">
        <v>13270</v>
      </c>
      <c r="AD341" s="3">
        <v>13325</v>
      </c>
      <c r="AE341" s="3">
        <v>13335</v>
      </c>
      <c r="AF341" s="3">
        <v>13840</v>
      </c>
      <c r="AG341" s="3">
        <v>13840</v>
      </c>
      <c r="AH341" s="3">
        <v>13870</v>
      </c>
      <c r="AI341" s="3">
        <v>13875</v>
      </c>
      <c r="AJ341" s="3">
        <v>13700</v>
      </c>
      <c r="AK341" s="3">
        <v>13700</v>
      </c>
      <c r="AL341" s="3">
        <v>13630</v>
      </c>
      <c r="AM341" s="3">
        <v>13645</v>
      </c>
      <c r="AN341" s="3">
        <v>13370</v>
      </c>
      <c r="AO341" s="3">
        <v>13365</v>
      </c>
      <c r="AP341" s="3">
        <v>13455</v>
      </c>
      <c r="AQ341" s="3">
        <v>13455</v>
      </c>
      <c r="AR341" s="4">
        <f t="shared" si="158"/>
        <v>1.6912402428447493E-2</v>
      </c>
      <c r="AS341" s="4">
        <f t="shared" si="135"/>
        <v>8.658008658009031E-4</v>
      </c>
      <c r="AT341" s="4">
        <f t="shared" si="136"/>
        <v>2.5968309859154992E-2</v>
      </c>
      <c r="AU341" s="4">
        <f t="shared" si="137"/>
        <v>2.7589134125636683E-2</v>
      </c>
      <c r="AV341" s="4">
        <f t="shared" si="138"/>
        <v>1.924721984602229E-2</v>
      </c>
      <c r="AW341" s="4">
        <f t="shared" si="139"/>
        <v>1.9814502529510891E-2</v>
      </c>
      <c r="AX341" s="4">
        <f t="shared" si="140"/>
        <v>4.6223689640940924E-2</v>
      </c>
      <c r="AY341" s="4">
        <f t="shared" si="141"/>
        <v>1.5258215962441368E-2</v>
      </c>
      <c r="AZ341" s="4">
        <f t="shared" si="142"/>
        <v>7.971303308091926E-4</v>
      </c>
      <c r="BA341" s="4">
        <f t="shared" si="143"/>
        <v>1.9393939393939408E-2</v>
      </c>
      <c r="BB341" s="4">
        <f t="shared" si="144"/>
        <v>2.9995946493717174E-2</v>
      </c>
      <c r="BC341" s="4">
        <f t="shared" si="145"/>
        <v>1.9786307874951614E-3</v>
      </c>
      <c r="BD341" s="4">
        <f t="shared" si="146"/>
        <v>1.1682242990654235E-2</v>
      </c>
      <c r="BE341" s="4">
        <f t="shared" si="147"/>
        <v>2.352487466255293E-2</v>
      </c>
      <c r="BF341" s="4">
        <f t="shared" si="148"/>
        <v>1.8716577540107027E-2</v>
      </c>
      <c r="BG341" s="4">
        <f t="shared" si="149"/>
        <v>3.7870266216722959E-2</v>
      </c>
      <c r="BH341" s="4">
        <f t="shared" si="150"/>
        <v>2.5161754133716796E-3</v>
      </c>
      <c r="BI341" s="4">
        <f t="shared" si="151"/>
        <v>1.2612612612612595E-2</v>
      </c>
      <c r="BJ341" s="4">
        <f t="shared" si="152"/>
        <v>5.4664723032069595E-3</v>
      </c>
      <c r="BK341" s="4">
        <f t="shared" si="153"/>
        <v>2.3383266350018306E-2</v>
      </c>
      <c r="BL341" s="4">
        <f t="shared" si="154"/>
        <v>0</v>
      </c>
      <c r="BM341" s="4">
        <f t="shared" si="159"/>
        <v>1.864687250205594E-2</v>
      </c>
      <c r="BN341" s="9">
        <f t="shared" si="160"/>
        <v>13705.893669515162</v>
      </c>
      <c r="BO341" s="10">
        <f t="shared" si="161"/>
        <v>13076.530423910104</v>
      </c>
      <c r="BP341">
        <v>13840</v>
      </c>
      <c r="BQ341">
        <v>13845</v>
      </c>
      <c r="BR341">
        <v>13835</v>
      </c>
      <c r="BS341">
        <v>13840</v>
      </c>
      <c r="BT341">
        <v>21486</v>
      </c>
      <c r="BU341" s="13">
        <f t="shared" si="155"/>
        <v>13840</v>
      </c>
      <c r="BV341" s="13">
        <f t="shared" si="156"/>
        <v>297366240</v>
      </c>
      <c r="BW341" s="13">
        <f>SUM($BV$3:BV341)</f>
        <v>230156516300.00006</v>
      </c>
      <c r="BX341" s="13">
        <f>SUM($BT$3:BT341)</f>
        <v>16781085</v>
      </c>
      <c r="BY341" s="3">
        <f t="shared" si="157"/>
        <v>13715.234521486547</v>
      </c>
    </row>
    <row r="342" spans="1:77" x14ac:dyDescent="0.3">
      <c r="A342" s="3" t="s">
        <v>382</v>
      </c>
      <c r="B342" s="3">
        <v>11730</v>
      </c>
      <c r="C342" s="3">
        <v>11730</v>
      </c>
      <c r="D342" s="3">
        <v>11540</v>
      </c>
      <c r="E342" s="3">
        <v>11530</v>
      </c>
      <c r="F342" s="3">
        <v>11655</v>
      </c>
      <c r="G342" s="3">
        <v>11660</v>
      </c>
      <c r="H342" s="3">
        <v>11455</v>
      </c>
      <c r="I342" s="3">
        <v>11470</v>
      </c>
      <c r="J342" s="3">
        <v>11915</v>
      </c>
      <c r="K342" s="3">
        <v>11920</v>
      </c>
      <c r="L342" s="3">
        <v>12095</v>
      </c>
      <c r="M342" s="3">
        <v>12085</v>
      </c>
      <c r="N342" s="3">
        <v>12670</v>
      </c>
      <c r="O342" s="3">
        <v>12675</v>
      </c>
      <c r="P342" s="3">
        <v>12590</v>
      </c>
      <c r="Q342" s="3">
        <v>12590</v>
      </c>
      <c r="R342" s="3">
        <v>12550</v>
      </c>
      <c r="S342" s="3">
        <v>12550</v>
      </c>
      <c r="T342" s="3">
        <v>12135</v>
      </c>
      <c r="U342" s="3">
        <v>12145</v>
      </c>
      <c r="V342" s="3">
        <v>12700</v>
      </c>
      <c r="W342" s="3">
        <v>12700</v>
      </c>
      <c r="X342" s="3">
        <v>12660</v>
      </c>
      <c r="Y342" s="3">
        <v>12655</v>
      </c>
      <c r="Z342" s="3">
        <v>12690</v>
      </c>
      <c r="AA342" s="3">
        <v>12695</v>
      </c>
      <c r="AB342" s="3">
        <v>13270</v>
      </c>
      <c r="AC342" s="3">
        <v>13270</v>
      </c>
      <c r="AD342" s="3">
        <v>13340</v>
      </c>
      <c r="AE342" s="3">
        <v>13340</v>
      </c>
      <c r="AF342" s="3">
        <v>13840</v>
      </c>
      <c r="AG342" s="3">
        <v>13845</v>
      </c>
      <c r="AH342" s="3">
        <v>13875</v>
      </c>
      <c r="AI342" s="3">
        <v>13900</v>
      </c>
      <c r="AJ342" s="3">
        <v>13700</v>
      </c>
      <c r="AK342" s="3">
        <v>13715</v>
      </c>
      <c r="AL342" s="3">
        <v>13645</v>
      </c>
      <c r="AM342" s="3">
        <v>13635</v>
      </c>
      <c r="AN342" s="3">
        <v>13365</v>
      </c>
      <c r="AO342" s="3">
        <v>13360</v>
      </c>
      <c r="AP342" s="3">
        <v>13460</v>
      </c>
      <c r="AQ342" s="3">
        <v>13445</v>
      </c>
      <c r="AR342" s="4">
        <f t="shared" si="158"/>
        <v>1.7346053772766767E-2</v>
      </c>
      <c r="AS342" s="4">
        <f t="shared" si="135"/>
        <v>1.7316017316016952E-3</v>
      </c>
      <c r="AT342" s="4">
        <f t="shared" si="136"/>
        <v>2.6408450704225261E-2</v>
      </c>
      <c r="AU342" s="4">
        <f t="shared" si="137"/>
        <v>2.6315789473684181E-2</v>
      </c>
      <c r="AV342" s="4">
        <f t="shared" si="138"/>
        <v>1.9674935842600494E-2</v>
      </c>
      <c r="AW342" s="4">
        <f t="shared" si="139"/>
        <v>1.8971332209106295E-2</v>
      </c>
      <c r="AX342" s="4">
        <f t="shared" si="140"/>
        <v>4.6223689640940924E-2</v>
      </c>
      <c r="AY342" s="4">
        <f t="shared" si="141"/>
        <v>1.4866979655712043E-2</v>
      </c>
      <c r="AZ342" s="4">
        <f t="shared" si="142"/>
        <v>3.985651654045963E-4</v>
      </c>
      <c r="BA342" s="4">
        <f t="shared" si="143"/>
        <v>1.8585858585858595E-2</v>
      </c>
      <c r="BB342" s="4">
        <f t="shared" si="144"/>
        <v>2.9590595865423674E-2</v>
      </c>
      <c r="BC342" s="4">
        <f t="shared" si="145"/>
        <v>1.5829046299959959E-3</v>
      </c>
      <c r="BD342" s="4">
        <f t="shared" si="146"/>
        <v>1.1292834890965775E-2</v>
      </c>
      <c r="BE342" s="4">
        <f t="shared" si="147"/>
        <v>2.352487466255293E-2</v>
      </c>
      <c r="BF342" s="4">
        <f t="shared" si="148"/>
        <v>1.9098548510313229E-2</v>
      </c>
      <c r="BG342" s="4">
        <f t="shared" si="149"/>
        <v>3.8245219347581516E-2</v>
      </c>
      <c r="BH342" s="4">
        <f t="shared" si="150"/>
        <v>7.1890726096335289E-4</v>
      </c>
      <c r="BI342" s="4">
        <f t="shared" si="151"/>
        <v>1.1531531531531525E-2</v>
      </c>
      <c r="BJ342" s="4">
        <f t="shared" si="152"/>
        <v>6.1953352769679171E-3</v>
      </c>
      <c r="BK342" s="4">
        <f t="shared" si="153"/>
        <v>2.3748629886737316E-2</v>
      </c>
      <c r="BL342" s="4">
        <f t="shared" si="154"/>
        <v>7.4321813452249419E-4</v>
      </c>
      <c r="BM342" s="4">
        <f t="shared" si="159"/>
        <v>1.8447640112027548E-2</v>
      </c>
      <c r="BN342" s="9">
        <f t="shared" si="160"/>
        <v>13703.212997707329</v>
      </c>
      <c r="BO342" s="10">
        <f t="shared" si="161"/>
        <v>13079.185195507232</v>
      </c>
      <c r="BP342">
        <v>13840</v>
      </c>
      <c r="BQ342">
        <v>13850</v>
      </c>
      <c r="BR342">
        <v>13835</v>
      </c>
      <c r="BS342">
        <v>13845</v>
      </c>
      <c r="BT342">
        <v>7447</v>
      </c>
      <c r="BU342" s="13">
        <f t="shared" si="155"/>
        <v>13843.333333333334</v>
      </c>
      <c r="BV342" s="13">
        <f t="shared" si="156"/>
        <v>103091303.33333334</v>
      </c>
      <c r="BW342" s="13">
        <f>SUM($BV$3:BV342)</f>
        <v>230259607603.3334</v>
      </c>
      <c r="BX342" s="13">
        <f>SUM($BT$3:BT342)</f>
        <v>16788532</v>
      </c>
      <c r="BY342" s="3">
        <f t="shared" si="157"/>
        <v>13715.291343122401</v>
      </c>
    </row>
    <row r="343" spans="1:77" x14ac:dyDescent="0.3">
      <c r="A343" s="3" t="s">
        <v>383</v>
      </c>
      <c r="B343" s="3">
        <v>11725</v>
      </c>
      <c r="C343" s="3">
        <v>11730</v>
      </c>
      <c r="D343" s="3">
        <v>11530</v>
      </c>
      <c r="E343" s="3">
        <v>11520</v>
      </c>
      <c r="F343" s="3">
        <v>11660</v>
      </c>
      <c r="G343" s="3">
        <v>11650</v>
      </c>
      <c r="H343" s="3">
        <v>11475</v>
      </c>
      <c r="I343" s="3">
        <v>11465</v>
      </c>
      <c r="J343" s="3">
        <v>11920</v>
      </c>
      <c r="K343" s="3">
        <v>11915</v>
      </c>
      <c r="L343" s="3">
        <v>12085</v>
      </c>
      <c r="M343" s="3">
        <v>12085</v>
      </c>
      <c r="N343" s="3">
        <v>12675</v>
      </c>
      <c r="O343" s="3">
        <v>12660</v>
      </c>
      <c r="P343" s="3">
        <v>12590</v>
      </c>
      <c r="Q343" s="3">
        <v>12585</v>
      </c>
      <c r="R343" s="3">
        <v>12550</v>
      </c>
      <c r="S343" s="3">
        <v>12545</v>
      </c>
      <c r="T343" s="3">
        <v>12145</v>
      </c>
      <c r="U343" s="3">
        <v>12140</v>
      </c>
      <c r="V343" s="3">
        <v>12700</v>
      </c>
      <c r="W343" s="3">
        <v>12695</v>
      </c>
      <c r="X343" s="3">
        <v>12655</v>
      </c>
      <c r="Y343" s="3">
        <v>12675</v>
      </c>
      <c r="Z343" s="3">
        <v>12690</v>
      </c>
      <c r="AA343" s="3">
        <v>12695</v>
      </c>
      <c r="AB343" s="3">
        <v>13270</v>
      </c>
      <c r="AC343" s="3">
        <v>13260</v>
      </c>
      <c r="AD343" s="3">
        <v>13340</v>
      </c>
      <c r="AE343" s="3">
        <v>13340</v>
      </c>
      <c r="AF343" s="3">
        <v>13845</v>
      </c>
      <c r="AG343" s="3">
        <v>13850</v>
      </c>
      <c r="AH343" s="3">
        <v>13900</v>
      </c>
      <c r="AI343" s="3">
        <v>13925</v>
      </c>
      <c r="AJ343" s="3">
        <v>13710</v>
      </c>
      <c r="AK343" s="3">
        <v>13720</v>
      </c>
      <c r="AL343" s="3">
        <v>13630</v>
      </c>
      <c r="AM343" s="3">
        <v>13625</v>
      </c>
      <c r="AN343" s="3">
        <v>13360</v>
      </c>
      <c r="AO343" s="3">
        <v>13335</v>
      </c>
      <c r="AP343" s="3">
        <v>13445</v>
      </c>
      <c r="AQ343" s="3">
        <v>13420</v>
      </c>
      <c r="AR343" s="4">
        <f t="shared" si="158"/>
        <v>1.7346053772766767E-2</v>
      </c>
      <c r="AS343" s="4">
        <f t="shared" si="135"/>
        <v>2.5974025974025983E-3</v>
      </c>
      <c r="AT343" s="4">
        <f t="shared" si="136"/>
        <v>2.5528169014084501E-2</v>
      </c>
      <c r="AU343" s="4">
        <f t="shared" si="137"/>
        <v>2.6740237691001645E-2</v>
      </c>
      <c r="AV343" s="4">
        <f t="shared" si="138"/>
        <v>1.924721984602229E-2</v>
      </c>
      <c r="AW343" s="4">
        <f t="shared" si="139"/>
        <v>1.8971332209106295E-2</v>
      </c>
      <c r="AX343" s="4">
        <f t="shared" si="140"/>
        <v>4.4985555096987095E-2</v>
      </c>
      <c r="AY343" s="4">
        <f t="shared" si="141"/>
        <v>1.5258215962441368E-2</v>
      </c>
      <c r="AZ343" s="4">
        <f t="shared" si="142"/>
        <v>0</v>
      </c>
      <c r="BA343" s="4">
        <f t="shared" si="143"/>
        <v>1.8989898989899001E-2</v>
      </c>
      <c r="BB343" s="4">
        <f t="shared" si="144"/>
        <v>2.9185245237130175E-2</v>
      </c>
      <c r="BC343" s="4">
        <f t="shared" si="145"/>
        <v>3.1658092599919918E-3</v>
      </c>
      <c r="BD343" s="4">
        <f t="shared" si="146"/>
        <v>1.1292834890965775E-2</v>
      </c>
      <c r="BE343" s="4">
        <f t="shared" si="147"/>
        <v>2.2753567296567745E-2</v>
      </c>
      <c r="BF343" s="4">
        <f t="shared" si="148"/>
        <v>1.9098548510313229E-2</v>
      </c>
      <c r="BG343" s="4">
        <f t="shared" si="149"/>
        <v>3.8620172478440296E-2</v>
      </c>
      <c r="BH343" s="4">
        <f t="shared" si="150"/>
        <v>1.0783608914450848E-3</v>
      </c>
      <c r="BI343" s="4">
        <f t="shared" si="151"/>
        <v>1.1171171171171168E-2</v>
      </c>
      <c r="BJ343" s="4">
        <f t="shared" si="152"/>
        <v>6.9241982507288746E-3</v>
      </c>
      <c r="BK343" s="4">
        <f t="shared" si="153"/>
        <v>2.5575447570332477E-2</v>
      </c>
      <c r="BL343" s="4">
        <f t="shared" si="154"/>
        <v>2.6012634708286742E-3</v>
      </c>
      <c r="BM343" s="4">
        <f t="shared" si="159"/>
        <v>1.8415288328708122E-2</v>
      </c>
      <c r="BN343" s="9">
        <f t="shared" si="160"/>
        <v>13702.777704462767</v>
      </c>
      <c r="BO343" s="10">
        <f t="shared" si="161"/>
        <v>13079.616283019965</v>
      </c>
      <c r="BP343">
        <v>13845</v>
      </c>
      <c r="BQ343">
        <v>13855</v>
      </c>
      <c r="BR343">
        <v>13840</v>
      </c>
      <c r="BS343">
        <v>13850</v>
      </c>
      <c r="BT343">
        <v>13521</v>
      </c>
      <c r="BU343" s="13">
        <f t="shared" si="155"/>
        <v>13848.333333333334</v>
      </c>
      <c r="BV343" s="13">
        <f t="shared" si="156"/>
        <v>187243315</v>
      </c>
      <c r="BW343" s="13">
        <f>SUM($BV$3:BV343)</f>
        <v>230446850918.3334</v>
      </c>
      <c r="BX343" s="13">
        <f>SUM($BT$3:BT343)</f>
        <v>16802053</v>
      </c>
      <c r="BY343" s="3">
        <f t="shared" si="157"/>
        <v>13715.398405083795</v>
      </c>
    </row>
    <row r="344" spans="1:77" x14ac:dyDescent="0.3">
      <c r="A344" s="3" t="s">
        <v>384</v>
      </c>
      <c r="B344" s="3">
        <v>11725</v>
      </c>
      <c r="C344" s="3">
        <v>11720</v>
      </c>
      <c r="D344" s="3">
        <v>11520</v>
      </c>
      <c r="E344" s="3">
        <v>11530</v>
      </c>
      <c r="F344" s="3">
        <v>11650</v>
      </c>
      <c r="G344" s="3">
        <v>11655</v>
      </c>
      <c r="H344" s="3">
        <v>11465</v>
      </c>
      <c r="I344" s="3">
        <v>11470</v>
      </c>
      <c r="J344" s="3">
        <v>11915</v>
      </c>
      <c r="K344" s="3">
        <v>11925</v>
      </c>
      <c r="L344" s="3">
        <v>12085</v>
      </c>
      <c r="M344" s="3">
        <v>12095</v>
      </c>
      <c r="N344" s="3">
        <v>12665</v>
      </c>
      <c r="O344" s="3">
        <v>12665</v>
      </c>
      <c r="P344" s="3">
        <v>12590</v>
      </c>
      <c r="Q344" s="3">
        <v>12575</v>
      </c>
      <c r="R344" s="3">
        <v>12540</v>
      </c>
      <c r="S344" s="3">
        <v>12535</v>
      </c>
      <c r="T344" s="3">
        <v>12140</v>
      </c>
      <c r="U344" s="3">
        <v>12145</v>
      </c>
      <c r="V344" s="3">
        <v>12690</v>
      </c>
      <c r="W344" s="3">
        <v>12695</v>
      </c>
      <c r="X344" s="3">
        <v>12670</v>
      </c>
      <c r="Y344" s="3">
        <v>12665</v>
      </c>
      <c r="Z344" s="3">
        <v>12690</v>
      </c>
      <c r="AA344" s="3">
        <v>12700</v>
      </c>
      <c r="AB344" s="3">
        <v>13265</v>
      </c>
      <c r="AC344" s="3">
        <v>13265</v>
      </c>
      <c r="AD344" s="3">
        <v>13340</v>
      </c>
      <c r="AE344" s="3">
        <v>13330</v>
      </c>
      <c r="AF344" s="3">
        <v>13850</v>
      </c>
      <c r="AG344" s="3">
        <v>13845</v>
      </c>
      <c r="AH344" s="3">
        <v>13925</v>
      </c>
      <c r="AI344" s="3">
        <v>13920</v>
      </c>
      <c r="AJ344" s="3">
        <v>13720</v>
      </c>
      <c r="AK344" s="3">
        <v>13730</v>
      </c>
      <c r="AL344" s="3">
        <v>13625</v>
      </c>
      <c r="AM344" s="3">
        <v>13615</v>
      </c>
      <c r="AN344" s="3">
        <v>13330</v>
      </c>
      <c r="AO344" s="3">
        <v>13305</v>
      </c>
      <c r="AP344" s="3">
        <v>13425</v>
      </c>
      <c r="AQ344" s="3">
        <v>13425</v>
      </c>
      <c r="AR344" s="4">
        <f t="shared" si="158"/>
        <v>1.647875108412844E-2</v>
      </c>
      <c r="AS344" s="4">
        <f t="shared" si="135"/>
        <v>1.7316017316016952E-3</v>
      </c>
      <c r="AT344" s="4">
        <f t="shared" si="136"/>
        <v>2.5968309859154992E-2</v>
      </c>
      <c r="AU344" s="4">
        <f t="shared" si="137"/>
        <v>2.6315789473684181E-2</v>
      </c>
      <c r="AV344" s="4">
        <f t="shared" si="138"/>
        <v>2.0102651839178698E-2</v>
      </c>
      <c r="AW344" s="4">
        <f t="shared" si="139"/>
        <v>1.9814502529510891E-2</v>
      </c>
      <c r="AX344" s="4">
        <f t="shared" si="140"/>
        <v>4.5398266611638372E-2</v>
      </c>
      <c r="AY344" s="4">
        <f t="shared" si="141"/>
        <v>1.6040688575899797E-2</v>
      </c>
      <c r="AZ344" s="4">
        <f t="shared" si="142"/>
        <v>7.9713033080908158E-4</v>
      </c>
      <c r="BA344" s="4">
        <f t="shared" si="143"/>
        <v>1.8585858585858595E-2</v>
      </c>
      <c r="BB344" s="4">
        <f t="shared" si="144"/>
        <v>2.9185245237130175E-2</v>
      </c>
      <c r="BC344" s="4">
        <f t="shared" si="145"/>
        <v>2.3743569449941049E-3</v>
      </c>
      <c r="BD344" s="4">
        <f t="shared" si="146"/>
        <v>1.0903426791277204E-2</v>
      </c>
      <c r="BE344" s="4">
        <f t="shared" si="147"/>
        <v>2.3139220979560449E-2</v>
      </c>
      <c r="BF344" s="4">
        <f t="shared" si="148"/>
        <v>1.8334606569900602E-2</v>
      </c>
      <c r="BG344" s="4">
        <f t="shared" si="149"/>
        <v>3.8245219347581516E-2</v>
      </c>
      <c r="BH344" s="4">
        <f t="shared" si="150"/>
        <v>7.1890726096324187E-4</v>
      </c>
      <c r="BI344" s="4">
        <f t="shared" si="151"/>
        <v>1.0450450450450455E-2</v>
      </c>
      <c r="BJ344" s="4">
        <f t="shared" si="152"/>
        <v>7.6530612244898322E-3</v>
      </c>
      <c r="BK344" s="4">
        <f t="shared" si="153"/>
        <v>2.7767628790646648E-2</v>
      </c>
      <c r="BL344" s="4">
        <f t="shared" si="154"/>
        <v>2.2296544035674826E-3</v>
      </c>
      <c r="BM344" s="4">
        <f t="shared" si="159"/>
        <v>1.8477975432871347E-2</v>
      </c>
      <c r="BN344" s="9">
        <f t="shared" si="160"/>
        <v>13703.621159449285</v>
      </c>
      <c r="BO344" s="10">
        <f t="shared" si="161"/>
        <v>13078.78097735699</v>
      </c>
      <c r="BP344">
        <v>13850</v>
      </c>
      <c r="BQ344">
        <v>13855</v>
      </c>
      <c r="BR344">
        <v>13845</v>
      </c>
      <c r="BS344">
        <v>13845</v>
      </c>
      <c r="BT344">
        <v>16179</v>
      </c>
      <c r="BU344" s="13">
        <f t="shared" si="155"/>
        <v>13848.333333333334</v>
      </c>
      <c r="BV344" s="13">
        <f t="shared" si="156"/>
        <v>224052185</v>
      </c>
      <c r="BW344" s="13">
        <f>SUM($BV$3:BV344)</f>
        <v>230670903103.3334</v>
      </c>
      <c r="BX344" s="13">
        <f>SUM($BT$3:BT344)</f>
        <v>16818232</v>
      </c>
      <c r="BY344" s="3">
        <f t="shared" si="157"/>
        <v>13715.526287384631</v>
      </c>
    </row>
    <row r="345" spans="1:77" x14ac:dyDescent="0.3">
      <c r="A345" s="3" t="s">
        <v>385</v>
      </c>
      <c r="B345" s="3">
        <v>11725</v>
      </c>
      <c r="C345" s="3">
        <v>11715</v>
      </c>
      <c r="D345" s="3">
        <v>11530</v>
      </c>
      <c r="E345" s="3">
        <v>11540</v>
      </c>
      <c r="F345" s="3">
        <v>11650</v>
      </c>
      <c r="G345" s="3">
        <v>11660</v>
      </c>
      <c r="H345" s="3">
        <v>11475</v>
      </c>
      <c r="I345" s="3">
        <v>11475</v>
      </c>
      <c r="J345" s="3">
        <v>11925</v>
      </c>
      <c r="K345" s="3">
        <v>11930</v>
      </c>
      <c r="L345" s="3">
        <v>12100</v>
      </c>
      <c r="M345" s="3">
        <v>12090</v>
      </c>
      <c r="N345" s="3">
        <v>12660</v>
      </c>
      <c r="O345" s="3">
        <v>12660</v>
      </c>
      <c r="P345" s="3">
        <v>12575</v>
      </c>
      <c r="Q345" s="3">
        <v>12570</v>
      </c>
      <c r="R345" s="3">
        <v>12535</v>
      </c>
      <c r="S345" s="3">
        <v>12540</v>
      </c>
      <c r="T345" s="3">
        <v>12140</v>
      </c>
      <c r="U345" s="3">
        <v>12145</v>
      </c>
      <c r="V345" s="3">
        <v>12700</v>
      </c>
      <c r="W345" s="3">
        <v>12680</v>
      </c>
      <c r="X345" s="3">
        <v>12665</v>
      </c>
      <c r="Y345" s="3">
        <v>12660</v>
      </c>
      <c r="Z345" s="3">
        <v>12695</v>
      </c>
      <c r="AA345" s="3">
        <v>12700</v>
      </c>
      <c r="AB345" s="3">
        <v>13270</v>
      </c>
      <c r="AC345" s="3">
        <v>13265</v>
      </c>
      <c r="AD345" s="3">
        <v>13325</v>
      </c>
      <c r="AE345" s="3">
        <v>13330</v>
      </c>
      <c r="AF345" s="3">
        <v>13850</v>
      </c>
      <c r="AG345" s="3">
        <v>13855</v>
      </c>
      <c r="AH345" s="3">
        <v>13920</v>
      </c>
      <c r="AI345" s="3">
        <v>13920</v>
      </c>
      <c r="AJ345" s="3">
        <v>13725</v>
      </c>
      <c r="AK345" s="3">
        <v>13725</v>
      </c>
      <c r="AL345" s="3">
        <v>13615</v>
      </c>
      <c r="AM345" s="3">
        <v>13620</v>
      </c>
      <c r="AN345" s="3">
        <v>13305</v>
      </c>
      <c r="AO345" s="3">
        <v>13275</v>
      </c>
      <c r="AP345" s="3">
        <v>13425</v>
      </c>
      <c r="AQ345" s="3">
        <v>13430</v>
      </c>
      <c r="AR345" s="4">
        <f t="shared" si="158"/>
        <v>1.6045099739809165E-2</v>
      </c>
      <c r="AS345" s="4">
        <f t="shared" si="135"/>
        <v>8.658008658009031E-4</v>
      </c>
      <c r="AT345" s="4">
        <f t="shared" si="136"/>
        <v>2.6408450704225261E-2</v>
      </c>
      <c r="AU345" s="4">
        <f t="shared" si="137"/>
        <v>2.5891341256366718E-2</v>
      </c>
      <c r="AV345" s="4">
        <f t="shared" si="138"/>
        <v>2.0530367835757124E-2</v>
      </c>
      <c r="AW345" s="4">
        <f t="shared" si="139"/>
        <v>1.9392917369308593E-2</v>
      </c>
      <c r="AX345" s="4">
        <f t="shared" si="140"/>
        <v>4.4985555096987095E-2</v>
      </c>
      <c r="AY345" s="4">
        <f t="shared" si="141"/>
        <v>1.6431924882629123E-2</v>
      </c>
      <c r="AZ345" s="4">
        <f t="shared" si="142"/>
        <v>3.985651654045963E-4</v>
      </c>
      <c r="BA345" s="4">
        <f t="shared" si="143"/>
        <v>1.8585858585858595E-2</v>
      </c>
      <c r="BB345" s="4">
        <f t="shared" si="144"/>
        <v>2.7969193352249677E-2</v>
      </c>
      <c r="BC345" s="4">
        <f t="shared" si="145"/>
        <v>1.9786307874951614E-3</v>
      </c>
      <c r="BD345" s="4">
        <f t="shared" si="146"/>
        <v>1.0903426791277204E-2</v>
      </c>
      <c r="BE345" s="4">
        <f t="shared" si="147"/>
        <v>2.3139220979560449E-2</v>
      </c>
      <c r="BF345" s="4">
        <f t="shared" si="148"/>
        <v>1.8334606569900602E-2</v>
      </c>
      <c r="BG345" s="4">
        <f t="shared" si="149"/>
        <v>3.8995125609298853E-2</v>
      </c>
      <c r="BH345" s="4">
        <f t="shared" si="150"/>
        <v>7.1890726096324187E-4</v>
      </c>
      <c r="BI345" s="4">
        <f t="shared" si="151"/>
        <v>1.0810810810810811E-2</v>
      </c>
      <c r="BJ345" s="4">
        <f t="shared" si="152"/>
        <v>7.2886297376093534E-3</v>
      </c>
      <c r="BK345" s="4">
        <f t="shared" si="153"/>
        <v>2.995981001096093E-2</v>
      </c>
      <c r="BL345" s="4">
        <f t="shared" si="154"/>
        <v>1.85804533630618E-3</v>
      </c>
      <c r="BM345" s="4">
        <f t="shared" si="159"/>
        <v>1.8272561445915794E-2</v>
      </c>
      <c r="BN345" s="9">
        <f t="shared" si="160"/>
        <v>13700.857314254798</v>
      </c>
      <c r="BO345" s="10">
        <f t="shared" si="161"/>
        <v>13081.518118733171</v>
      </c>
      <c r="BP345">
        <v>13850</v>
      </c>
      <c r="BQ345">
        <v>13860</v>
      </c>
      <c r="BR345">
        <v>13850</v>
      </c>
      <c r="BS345">
        <v>13855</v>
      </c>
      <c r="BT345">
        <v>9180</v>
      </c>
      <c r="BU345" s="13">
        <f t="shared" si="155"/>
        <v>13855</v>
      </c>
      <c r="BV345" s="13">
        <f t="shared" si="156"/>
        <v>127188900</v>
      </c>
      <c r="BW345" s="13">
        <f>SUM($BV$3:BV345)</f>
        <v>230798092003.3334</v>
      </c>
      <c r="BX345" s="13">
        <f>SUM($BT$3:BT345)</f>
        <v>16827412</v>
      </c>
      <c r="BY345" s="3">
        <f t="shared" si="157"/>
        <v>13715.602375655473</v>
      </c>
    </row>
    <row r="346" spans="1:77" x14ac:dyDescent="0.3">
      <c r="A346" s="3" t="s">
        <v>386</v>
      </c>
      <c r="B346" s="3">
        <v>11720</v>
      </c>
      <c r="C346" s="3">
        <v>11715</v>
      </c>
      <c r="D346" s="3">
        <v>11535</v>
      </c>
      <c r="E346" s="3">
        <v>11540</v>
      </c>
      <c r="F346" s="3">
        <v>11660</v>
      </c>
      <c r="G346" s="3">
        <v>11650</v>
      </c>
      <c r="H346" s="3">
        <v>11475</v>
      </c>
      <c r="I346" s="3">
        <v>11465</v>
      </c>
      <c r="J346" s="3">
        <v>11930</v>
      </c>
      <c r="K346" s="3">
        <v>11930</v>
      </c>
      <c r="L346" s="3">
        <v>12090</v>
      </c>
      <c r="M346" s="3">
        <v>12090</v>
      </c>
      <c r="N346" s="3">
        <v>12660</v>
      </c>
      <c r="O346" s="3">
        <v>12665</v>
      </c>
      <c r="P346" s="3">
        <v>12570</v>
      </c>
      <c r="Q346" s="3">
        <v>12575</v>
      </c>
      <c r="R346" s="3">
        <v>12540</v>
      </c>
      <c r="S346" s="3">
        <v>12540</v>
      </c>
      <c r="T346" s="3">
        <v>12145</v>
      </c>
      <c r="U346" s="3">
        <v>12155</v>
      </c>
      <c r="V346" s="3">
        <v>12680</v>
      </c>
      <c r="W346" s="3">
        <v>12680</v>
      </c>
      <c r="X346" s="3">
        <v>12660</v>
      </c>
      <c r="Y346" s="3">
        <v>12670</v>
      </c>
      <c r="Z346" s="3">
        <v>12700</v>
      </c>
      <c r="AA346" s="3">
        <v>12705</v>
      </c>
      <c r="AB346" s="3">
        <v>13265</v>
      </c>
      <c r="AC346" s="3">
        <v>13270</v>
      </c>
      <c r="AD346" s="3">
        <v>13325</v>
      </c>
      <c r="AE346" s="3">
        <v>13325</v>
      </c>
      <c r="AF346" s="3">
        <v>13855</v>
      </c>
      <c r="AG346" s="3">
        <v>13860</v>
      </c>
      <c r="AH346" s="3">
        <v>13925</v>
      </c>
      <c r="AI346" s="3">
        <v>13965</v>
      </c>
      <c r="AJ346" s="3">
        <v>13725</v>
      </c>
      <c r="AK346" s="3">
        <v>13700</v>
      </c>
      <c r="AL346" s="3">
        <v>13615</v>
      </c>
      <c r="AM346" s="3">
        <v>13610</v>
      </c>
      <c r="AN346" s="3">
        <v>13280</v>
      </c>
      <c r="AO346" s="3">
        <v>13275</v>
      </c>
      <c r="AP346" s="3">
        <v>13430</v>
      </c>
      <c r="AQ346" s="3">
        <v>13435</v>
      </c>
      <c r="AR346" s="4">
        <f t="shared" si="158"/>
        <v>1.6045099739809165E-2</v>
      </c>
      <c r="AS346" s="4">
        <f t="shared" si="135"/>
        <v>8.658008658009031E-4</v>
      </c>
      <c r="AT346" s="4">
        <f t="shared" si="136"/>
        <v>2.5528169014084501E-2</v>
      </c>
      <c r="AU346" s="4">
        <f t="shared" si="137"/>
        <v>2.6740237691001645E-2</v>
      </c>
      <c r="AV346" s="4">
        <f t="shared" si="138"/>
        <v>2.0530367835757124E-2</v>
      </c>
      <c r="AW346" s="4">
        <f t="shared" si="139"/>
        <v>1.9392917369308593E-2</v>
      </c>
      <c r="AX346" s="4">
        <f t="shared" si="140"/>
        <v>4.5398266611638372E-2</v>
      </c>
      <c r="AY346" s="4">
        <f t="shared" si="141"/>
        <v>1.6040688575899797E-2</v>
      </c>
      <c r="AZ346" s="4">
        <f t="shared" si="142"/>
        <v>3.985651654045963E-4</v>
      </c>
      <c r="BA346" s="4">
        <f t="shared" si="143"/>
        <v>1.7777777777777781E-2</v>
      </c>
      <c r="BB346" s="4">
        <f t="shared" si="144"/>
        <v>2.7969193352249677E-2</v>
      </c>
      <c r="BC346" s="4">
        <f t="shared" si="145"/>
        <v>2.7700831024930483E-3</v>
      </c>
      <c r="BD346" s="4">
        <f t="shared" si="146"/>
        <v>1.0514018691588745E-2</v>
      </c>
      <c r="BE346" s="4">
        <f t="shared" si="147"/>
        <v>2.352487466255293E-2</v>
      </c>
      <c r="BF346" s="4">
        <f t="shared" si="148"/>
        <v>1.79526355996944E-2</v>
      </c>
      <c r="BG346" s="4">
        <f t="shared" si="149"/>
        <v>3.937007874015741E-2</v>
      </c>
      <c r="BH346" s="4">
        <f t="shared" si="150"/>
        <v>3.9539899352982744E-3</v>
      </c>
      <c r="BI346" s="4">
        <f t="shared" si="151"/>
        <v>1.2612612612612595E-2</v>
      </c>
      <c r="BJ346" s="4">
        <f t="shared" si="152"/>
        <v>8.0174927113703109E-3</v>
      </c>
      <c r="BK346" s="4">
        <f t="shared" si="153"/>
        <v>2.995981001096093E-2</v>
      </c>
      <c r="BL346" s="4">
        <f t="shared" si="154"/>
        <v>1.4864362690449884E-3</v>
      </c>
      <c r="BM346" s="4">
        <f t="shared" si="159"/>
        <v>1.824311402251801E-2</v>
      </c>
      <c r="BN346" s="9">
        <f t="shared" si="160"/>
        <v>13700.461099172981</v>
      </c>
      <c r="BO346" s="10">
        <f t="shared" si="161"/>
        <v>13081.910505649948</v>
      </c>
      <c r="BP346">
        <v>13855</v>
      </c>
      <c r="BQ346">
        <v>13860</v>
      </c>
      <c r="BR346">
        <v>13850</v>
      </c>
      <c r="BS346">
        <v>13860</v>
      </c>
      <c r="BT346">
        <v>10991</v>
      </c>
      <c r="BU346" s="13">
        <f t="shared" si="155"/>
        <v>13856.666666666666</v>
      </c>
      <c r="BV346" s="13">
        <f t="shared" si="156"/>
        <v>152298623.33333331</v>
      </c>
      <c r="BW346" s="13">
        <f>SUM($BV$3:BV346)</f>
        <v>230950390626.66675</v>
      </c>
      <c r="BX346" s="13">
        <f>SUM($BT$3:BT346)</f>
        <v>16838403</v>
      </c>
      <c r="BY346" s="3">
        <f t="shared" si="157"/>
        <v>13715.694453129952</v>
      </c>
    </row>
    <row r="347" spans="1:77" x14ac:dyDescent="0.3">
      <c r="A347" s="3" t="s">
        <v>387</v>
      </c>
      <c r="B347" s="3">
        <v>11715</v>
      </c>
      <c r="C347" s="3">
        <v>11710</v>
      </c>
      <c r="D347" s="3">
        <v>11545</v>
      </c>
      <c r="E347" s="3">
        <v>11535</v>
      </c>
      <c r="F347" s="3">
        <v>11655</v>
      </c>
      <c r="G347" s="3">
        <v>11650</v>
      </c>
      <c r="H347" s="3">
        <v>11465</v>
      </c>
      <c r="I347" s="3">
        <v>11455</v>
      </c>
      <c r="J347" s="3">
        <v>11930</v>
      </c>
      <c r="K347" s="3">
        <v>11925</v>
      </c>
      <c r="L347" s="3">
        <v>12090</v>
      </c>
      <c r="M347" s="3">
        <v>12095</v>
      </c>
      <c r="N347" s="3">
        <v>12670</v>
      </c>
      <c r="O347" s="3">
        <v>12660</v>
      </c>
      <c r="P347" s="3">
        <v>12575</v>
      </c>
      <c r="Q347" s="3">
        <v>12565</v>
      </c>
      <c r="R347" s="3">
        <v>12535</v>
      </c>
      <c r="S347" s="3">
        <v>12520</v>
      </c>
      <c r="T347" s="3">
        <v>12155</v>
      </c>
      <c r="U347" s="3">
        <v>12155</v>
      </c>
      <c r="V347" s="3">
        <v>12685</v>
      </c>
      <c r="W347" s="3">
        <v>12670</v>
      </c>
      <c r="X347" s="3">
        <v>12670</v>
      </c>
      <c r="Y347" s="3">
        <v>12660</v>
      </c>
      <c r="Z347" s="3">
        <v>12705</v>
      </c>
      <c r="AA347" s="3">
        <v>12695</v>
      </c>
      <c r="AB347" s="3">
        <v>13270</v>
      </c>
      <c r="AC347" s="3">
        <v>13250</v>
      </c>
      <c r="AD347" s="3">
        <v>13325</v>
      </c>
      <c r="AE347" s="3">
        <v>13320</v>
      </c>
      <c r="AF347" s="3">
        <v>13850</v>
      </c>
      <c r="AG347" s="3">
        <v>13860</v>
      </c>
      <c r="AH347" s="3">
        <v>13965</v>
      </c>
      <c r="AI347" s="3">
        <v>13960</v>
      </c>
      <c r="AJ347" s="3">
        <v>13700</v>
      </c>
      <c r="AK347" s="3">
        <v>13705</v>
      </c>
      <c r="AL347" s="3">
        <v>13615</v>
      </c>
      <c r="AM347" s="3">
        <v>13600</v>
      </c>
      <c r="AN347" s="3">
        <v>13275</v>
      </c>
      <c r="AO347" s="3">
        <v>13260</v>
      </c>
      <c r="AP347" s="3">
        <v>13435</v>
      </c>
      <c r="AQ347" s="3">
        <v>13430</v>
      </c>
      <c r="AR347" s="4">
        <f t="shared" si="158"/>
        <v>1.5611448395490113E-2</v>
      </c>
      <c r="AS347" s="4">
        <f t="shared" si="135"/>
        <v>1.2987012987012436E-3</v>
      </c>
      <c r="AT347" s="4">
        <f t="shared" si="136"/>
        <v>2.5528169014084501E-2</v>
      </c>
      <c r="AU347" s="4">
        <f t="shared" si="137"/>
        <v>2.7589134125636683E-2</v>
      </c>
      <c r="AV347" s="4">
        <f t="shared" si="138"/>
        <v>2.0102651839178698E-2</v>
      </c>
      <c r="AW347" s="4">
        <f t="shared" si="139"/>
        <v>1.9814502529510891E-2</v>
      </c>
      <c r="AX347" s="4">
        <f t="shared" si="140"/>
        <v>4.4985555096987095E-2</v>
      </c>
      <c r="AY347" s="4">
        <f t="shared" si="141"/>
        <v>1.6823161189358338E-2</v>
      </c>
      <c r="AZ347" s="4">
        <f t="shared" si="142"/>
        <v>1.9928258270227595E-3</v>
      </c>
      <c r="BA347" s="4">
        <f t="shared" si="143"/>
        <v>1.7777777777777781E-2</v>
      </c>
      <c r="BB347" s="4">
        <f t="shared" si="144"/>
        <v>2.7158492095662679E-2</v>
      </c>
      <c r="BC347" s="4">
        <f t="shared" si="145"/>
        <v>1.9786307874951614E-3</v>
      </c>
      <c r="BD347" s="4">
        <f t="shared" si="146"/>
        <v>1.1292834890965775E-2</v>
      </c>
      <c r="BE347" s="4">
        <f t="shared" si="147"/>
        <v>2.1982259930582337E-2</v>
      </c>
      <c r="BF347" s="4">
        <f t="shared" si="148"/>
        <v>1.7570664629488197E-2</v>
      </c>
      <c r="BG347" s="4">
        <f t="shared" si="149"/>
        <v>3.937007874015741E-2</v>
      </c>
      <c r="BH347" s="4">
        <f t="shared" si="150"/>
        <v>3.5945363048166534E-3</v>
      </c>
      <c r="BI347" s="4">
        <f t="shared" si="151"/>
        <v>1.2252252252252238E-2</v>
      </c>
      <c r="BJ347" s="4">
        <f t="shared" si="152"/>
        <v>8.7463556851311575E-3</v>
      </c>
      <c r="BK347" s="4">
        <f t="shared" si="153"/>
        <v>3.105590062111796E-2</v>
      </c>
      <c r="BL347" s="4">
        <f t="shared" si="154"/>
        <v>1.85804533630618E-3</v>
      </c>
      <c r="BM347" s="4">
        <f t="shared" si="159"/>
        <v>1.8278240073746583E-2</v>
      </c>
      <c r="BN347" s="9">
        <f t="shared" si="160"/>
        <v>13700.933720192261</v>
      </c>
      <c r="BO347" s="10">
        <f t="shared" si="161"/>
        <v>13081.442451017327</v>
      </c>
      <c r="BP347">
        <v>13850</v>
      </c>
      <c r="BQ347">
        <v>13860</v>
      </c>
      <c r="BR347">
        <v>13850</v>
      </c>
      <c r="BS347">
        <v>13860</v>
      </c>
      <c r="BT347">
        <v>4439</v>
      </c>
      <c r="BU347" s="13">
        <f t="shared" si="155"/>
        <v>13856.666666666666</v>
      </c>
      <c r="BV347" s="13">
        <f t="shared" si="156"/>
        <v>61509743.333333328</v>
      </c>
      <c r="BW347" s="13">
        <f>SUM($BV$3:BV347)</f>
        <v>231011900370.00009</v>
      </c>
      <c r="BX347" s="13">
        <f>SUM($BT$3:BT347)</f>
        <v>16842842</v>
      </c>
      <c r="BY347" s="3">
        <f t="shared" si="157"/>
        <v>13715.731606934274</v>
      </c>
    </row>
    <row r="348" spans="1:77" x14ac:dyDescent="0.3">
      <c r="A348" s="3" t="s">
        <v>388</v>
      </c>
      <c r="B348" s="3">
        <v>11710</v>
      </c>
      <c r="C348" s="3">
        <v>11710</v>
      </c>
      <c r="D348" s="3">
        <v>11535</v>
      </c>
      <c r="E348" s="3">
        <v>11530</v>
      </c>
      <c r="F348" s="3">
        <v>11655</v>
      </c>
      <c r="G348" s="3">
        <v>11650</v>
      </c>
      <c r="H348" s="3">
        <v>11455</v>
      </c>
      <c r="I348" s="3">
        <v>11445</v>
      </c>
      <c r="J348" s="3">
        <v>11925</v>
      </c>
      <c r="K348" s="3">
        <v>11930</v>
      </c>
      <c r="L348" s="3">
        <v>12100</v>
      </c>
      <c r="M348" s="3">
        <v>12105</v>
      </c>
      <c r="N348" s="3">
        <v>12665</v>
      </c>
      <c r="O348" s="3">
        <v>12655</v>
      </c>
      <c r="P348" s="3">
        <v>12565</v>
      </c>
      <c r="Q348" s="3">
        <v>12560</v>
      </c>
      <c r="R348" s="3">
        <v>12520</v>
      </c>
      <c r="S348" s="3">
        <v>12520</v>
      </c>
      <c r="T348" s="3">
        <v>12155</v>
      </c>
      <c r="U348" s="3">
        <v>12165</v>
      </c>
      <c r="V348" s="3">
        <v>12675</v>
      </c>
      <c r="W348" s="3">
        <v>12670</v>
      </c>
      <c r="X348" s="3">
        <v>12665</v>
      </c>
      <c r="Y348" s="3">
        <v>12665</v>
      </c>
      <c r="Z348" s="3">
        <v>12700</v>
      </c>
      <c r="AA348" s="3">
        <v>12700</v>
      </c>
      <c r="AB348" s="3">
        <v>13250</v>
      </c>
      <c r="AC348" s="3">
        <v>13235</v>
      </c>
      <c r="AD348" s="3">
        <v>13320</v>
      </c>
      <c r="AE348" s="3">
        <v>13305</v>
      </c>
      <c r="AF348" s="3">
        <v>13855</v>
      </c>
      <c r="AG348" s="3">
        <v>13845</v>
      </c>
      <c r="AH348" s="3">
        <v>13965</v>
      </c>
      <c r="AI348" s="3">
        <v>13970</v>
      </c>
      <c r="AJ348" s="3">
        <v>13700</v>
      </c>
      <c r="AK348" s="3">
        <v>13700</v>
      </c>
      <c r="AL348" s="3">
        <v>13600</v>
      </c>
      <c r="AM348" s="3">
        <v>13615</v>
      </c>
      <c r="AN348" s="3">
        <v>13260</v>
      </c>
      <c r="AO348" s="3">
        <v>13280</v>
      </c>
      <c r="AP348" s="3">
        <v>13420</v>
      </c>
      <c r="AQ348" s="3">
        <v>13430</v>
      </c>
      <c r="AR348" s="4">
        <f t="shared" si="158"/>
        <v>1.5611448395490113E-2</v>
      </c>
      <c r="AS348" s="4">
        <f t="shared" si="135"/>
        <v>1.7316017316016952E-3</v>
      </c>
      <c r="AT348" s="4">
        <f t="shared" si="136"/>
        <v>2.5528169014084501E-2</v>
      </c>
      <c r="AU348" s="4">
        <f t="shared" si="137"/>
        <v>2.843803056027161E-2</v>
      </c>
      <c r="AV348" s="4">
        <f t="shared" si="138"/>
        <v>2.0530367835757124E-2</v>
      </c>
      <c r="AW348" s="4">
        <f t="shared" si="139"/>
        <v>2.0657672849915709E-2</v>
      </c>
      <c r="AX348" s="4">
        <f t="shared" si="140"/>
        <v>4.4572843582336041E-2</v>
      </c>
      <c r="AY348" s="4">
        <f t="shared" si="141"/>
        <v>1.7214397496087663E-2</v>
      </c>
      <c r="AZ348" s="4">
        <f t="shared" si="142"/>
        <v>1.9928258270227595E-3</v>
      </c>
      <c r="BA348" s="4">
        <f t="shared" si="143"/>
        <v>1.6969696969696968E-2</v>
      </c>
      <c r="BB348" s="4">
        <f t="shared" si="144"/>
        <v>2.7158492095662679E-2</v>
      </c>
      <c r="BC348" s="4">
        <f t="shared" si="145"/>
        <v>2.3743569449941049E-3</v>
      </c>
      <c r="BD348" s="4">
        <f t="shared" si="146"/>
        <v>1.0903426791277204E-2</v>
      </c>
      <c r="BE348" s="4">
        <f t="shared" si="147"/>
        <v>2.0825298881604226E-2</v>
      </c>
      <c r="BF348" s="4">
        <f t="shared" si="148"/>
        <v>1.6424751718869368E-2</v>
      </c>
      <c r="BG348" s="4">
        <f t="shared" si="149"/>
        <v>3.8245219347581516E-2</v>
      </c>
      <c r="BH348" s="4">
        <f t="shared" si="150"/>
        <v>4.3134435657801173E-3</v>
      </c>
      <c r="BI348" s="4">
        <f t="shared" si="151"/>
        <v>1.2612612612612595E-2</v>
      </c>
      <c r="BJ348" s="4">
        <f t="shared" si="152"/>
        <v>7.6530612244898322E-3</v>
      </c>
      <c r="BK348" s="4">
        <f t="shared" si="153"/>
        <v>2.959444647424192E-2</v>
      </c>
      <c r="BL348" s="4">
        <f t="shared" si="154"/>
        <v>1.85804533630618E-3</v>
      </c>
      <c r="BM348" s="4">
        <f t="shared" si="159"/>
        <v>1.8237280878512976E-2</v>
      </c>
      <c r="BN348" s="9">
        <f t="shared" si="160"/>
        <v>13700.382614220392</v>
      </c>
      <c r="BO348" s="10">
        <f t="shared" si="161"/>
        <v>13081.988232293816</v>
      </c>
      <c r="BP348">
        <v>13855</v>
      </c>
      <c r="BQ348">
        <v>13860</v>
      </c>
      <c r="BR348">
        <v>13845</v>
      </c>
      <c r="BS348">
        <v>13845</v>
      </c>
      <c r="BT348">
        <v>15378</v>
      </c>
      <c r="BU348" s="13">
        <f t="shared" si="155"/>
        <v>13850</v>
      </c>
      <c r="BV348" s="13">
        <f t="shared" si="156"/>
        <v>212985300</v>
      </c>
      <c r="BW348" s="13">
        <f>SUM($BV$3:BV348)</f>
        <v>231224885670.00009</v>
      </c>
      <c r="BX348" s="13">
        <f>SUM($BT$3:BT348)</f>
        <v>16858220</v>
      </c>
      <c r="BY348" s="3">
        <f t="shared" si="157"/>
        <v>13715.854086018577</v>
      </c>
    </row>
    <row r="349" spans="1:77" x14ac:dyDescent="0.3">
      <c r="A349" s="3" t="s">
        <v>389</v>
      </c>
      <c r="B349" s="3">
        <v>11710</v>
      </c>
      <c r="C349" s="3">
        <v>11705</v>
      </c>
      <c r="D349" s="3">
        <v>11530</v>
      </c>
      <c r="E349" s="3">
        <v>11540</v>
      </c>
      <c r="F349" s="3">
        <v>11650</v>
      </c>
      <c r="G349" s="3">
        <v>11665</v>
      </c>
      <c r="H349" s="3">
        <v>11450</v>
      </c>
      <c r="I349" s="3">
        <v>11475</v>
      </c>
      <c r="J349" s="3">
        <v>11930</v>
      </c>
      <c r="K349" s="3">
        <v>11935</v>
      </c>
      <c r="L349" s="3">
        <v>12110</v>
      </c>
      <c r="M349" s="3">
        <v>12105</v>
      </c>
      <c r="N349" s="3">
        <v>12650</v>
      </c>
      <c r="O349" s="3">
        <v>12660</v>
      </c>
      <c r="P349" s="3">
        <v>12565</v>
      </c>
      <c r="Q349" s="3">
        <v>12580</v>
      </c>
      <c r="R349" s="3">
        <v>12525</v>
      </c>
      <c r="S349" s="3">
        <v>12525</v>
      </c>
      <c r="T349" s="3">
        <v>12160</v>
      </c>
      <c r="U349" s="3">
        <v>12175</v>
      </c>
      <c r="V349" s="3">
        <v>12670</v>
      </c>
      <c r="W349" s="3">
        <v>12680</v>
      </c>
      <c r="X349" s="3">
        <v>12670</v>
      </c>
      <c r="Y349" s="3">
        <v>12675</v>
      </c>
      <c r="Z349" s="3">
        <v>12695</v>
      </c>
      <c r="AA349" s="3">
        <v>12695</v>
      </c>
      <c r="AB349" s="3">
        <v>13230</v>
      </c>
      <c r="AC349" s="3">
        <v>13225</v>
      </c>
      <c r="AD349" s="3">
        <v>13300</v>
      </c>
      <c r="AE349" s="3">
        <v>13305</v>
      </c>
      <c r="AF349" s="3">
        <v>13850</v>
      </c>
      <c r="AG349" s="3">
        <v>13840</v>
      </c>
      <c r="AH349" s="3">
        <v>13975</v>
      </c>
      <c r="AI349" s="3">
        <v>13980</v>
      </c>
      <c r="AJ349" s="3">
        <v>13695</v>
      </c>
      <c r="AK349" s="3">
        <v>13690</v>
      </c>
      <c r="AL349" s="3">
        <v>13620</v>
      </c>
      <c r="AM349" s="3">
        <v>13615</v>
      </c>
      <c r="AN349" s="3">
        <v>13275</v>
      </c>
      <c r="AO349" s="3">
        <v>13295</v>
      </c>
      <c r="AP349" s="3">
        <v>13430</v>
      </c>
      <c r="AQ349" s="3">
        <v>13435</v>
      </c>
      <c r="AR349" s="4">
        <f t="shared" si="158"/>
        <v>1.5177797051170838E-2</v>
      </c>
      <c r="AS349" s="4">
        <f t="shared" si="135"/>
        <v>8.658008658009031E-4</v>
      </c>
      <c r="AT349" s="4">
        <f t="shared" si="136"/>
        <v>2.6848591549295753E-2</v>
      </c>
      <c r="AU349" s="4">
        <f t="shared" si="137"/>
        <v>2.5891341256366718E-2</v>
      </c>
      <c r="AV349" s="4">
        <f t="shared" si="138"/>
        <v>2.0958083832335328E-2</v>
      </c>
      <c r="AW349" s="4">
        <f t="shared" si="139"/>
        <v>2.0657672849915709E-2</v>
      </c>
      <c r="AX349" s="4">
        <f t="shared" si="140"/>
        <v>4.4985555096987095E-2</v>
      </c>
      <c r="AY349" s="4">
        <f t="shared" si="141"/>
        <v>1.5649452269170583E-2</v>
      </c>
      <c r="AZ349" s="4">
        <f t="shared" si="142"/>
        <v>1.5942606616181632E-3</v>
      </c>
      <c r="BA349" s="4">
        <f t="shared" si="143"/>
        <v>1.6161616161616155E-2</v>
      </c>
      <c r="BB349" s="4">
        <f t="shared" si="144"/>
        <v>2.7969193352249677E-2</v>
      </c>
      <c r="BC349" s="4">
        <f t="shared" si="145"/>
        <v>3.1658092599919918E-3</v>
      </c>
      <c r="BD349" s="4">
        <f t="shared" si="146"/>
        <v>1.1292834890965775E-2</v>
      </c>
      <c r="BE349" s="4">
        <f t="shared" si="147"/>
        <v>2.0053991515619041E-2</v>
      </c>
      <c r="BF349" s="4">
        <f t="shared" si="148"/>
        <v>1.6424751718869368E-2</v>
      </c>
      <c r="BG349" s="4">
        <f t="shared" si="149"/>
        <v>3.7870266216722959E-2</v>
      </c>
      <c r="BH349" s="4">
        <f t="shared" si="150"/>
        <v>5.0323508267433592E-3</v>
      </c>
      <c r="BI349" s="4">
        <f t="shared" si="151"/>
        <v>1.3333333333333308E-2</v>
      </c>
      <c r="BJ349" s="4">
        <f t="shared" si="152"/>
        <v>7.6530612244898322E-3</v>
      </c>
      <c r="BK349" s="4">
        <f t="shared" si="153"/>
        <v>2.8498355864084779E-2</v>
      </c>
      <c r="BL349" s="4">
        <f t="shared" si="154"/>
        <v>1.4864362690449884E-3</v>
      </c>
      <c r="BM349" s="4">
        <f t="shared" si="159"/>
        <v>1.8037068234343017E-2</v>
      </c>
      <c r="BN349" s="9">
        <f t="shared" si="160"/>
        <v>13697.688753093084</v>
      </c>
      <c r="BO349" s="10">
        <f t="shared" si="161"/>
        <v>13084.656065777379</v>
      </c>
      <c r="BP349">
        <v>13850</v>
      </c>
      <c r="BQ349">
        <v>13850</v>
      </c>
      <c r="BR349">
        <v>13840</v>
      </c>
      <c r="BS349">
        <v>13840</v>
      </c>
      <c r="BT349">
        <v>6657</v>
      </c>
      <c r="BU349" s="13">
        <f t="shared" si="155"/>
        <v>13843.333333333334</v>
      </c>
      <c r="BV349" s="13">
        <f t="shared" si="156"/>
        <v>92155070</v>
      </c>
      <c r="BW349" s="13">
        <f>SUM($BV$3:BV349)</f>
        <v>231317040740.00009</v>
      </c>
      <c r="BX349" s="13">
        <f>SUM($BT$3:BT349)</f>
        <v>16864877</v>
      </c>
      <c r="BY349" s="3">
        <f t="shared" si="157"/>
        <v>13715.904405350842</v>
      </c>
    </row>
    <row r="350" spans="1:77" x14ac:dyDescent="0.3">
      <c r="A350" s="3" t="s">
        <v>390</v>
      </c>
      <c r="B350" s="3">
        <v>11705</v>
      </c>
      <c r="C350" s="3">
        <v>11705</v>
      </c>
      <c r="D350" s="3">
        <v>11540</v>
      </c>
      <c r="E350" s="3">
        <v>11550</v>
      </c>
      <c r="F350" s="3">
        <v>11665</v>
      </c>
      <c r="G350" s="3">
        <v>11665</v>
      </c>
      <c r="H350" s="3">
        <v>11475</v>
      </c>
      <c r="I350" s="3">
        <v>11475</v>
      </c>
      <c r="J350" s="3">
        <v>11935</v>
      </c>
      <c r="K350" s="3">
        <v>11945</v>
      </c>
      <c r="L350" s="3">
        <v>12100</v>
      </c>
      <c r="M350" s="3">
        <v>12115</v>
      </c>
      <c r="N350" s="3">
        <v>12665</v>
      </c>
      <c r="O350" s="3">
        <v>12670</v>
      </c>
      <c r="P350" s="3">
        <v>12580</v>
      </c>
      <c r="Q350" s="3">
        <v>12585</v>
      </c>
      <c r="R350" s="3">
        <v>12520</v>
      </c>
      <c r="S350" s="3">
        <v>12525</v>
      </c>
      <c r="T350" s="3">
        <v>12175</v>
      </c>
      <c r="U350" s="3">
        <v>12170</v>
      </c>
      <c r="V350" s="3">
        <v>12685</v>
      </c>
      <c r="W350" s="3">
        <v>12695</v>
      </c>
      <c r="X350" s="3">
        <v>12680</v>
      </c>
      <c r="Y350" s="3">
        <v>12685</v>
      </c>
      <c r="Z350" s="3">
        <v>12700</v>
      </c>
      <c r="AA350" s="3">
        <v>12690</v>
      </c>
      <c r="AB350" s="3">
        <v>13225</v>
      </c>
      <c r="AC350" s="3">
        <v>13230</v>
      </c>
      <c r="AD350" s="3">
        <v>13310</v>
      </c>
      <c r="AE350" s="3">
        <v>13295</v>
      </c>
      <c r="AF350" s="3">
        <v>13840</v>
      </c>
      <c r="AG350" s="3">
        <v>13845</v>
      </c>
      <c r="AH350" s="3">
        <v>13980</v>
      </c>
      <c r="AI350" s="3">
        <v>13970</v>
      </c>
      <c r="AJ350" s="3">
        <v>13690</v>
      </c>
      <c r="AK350" s="3">
        <v>13680</v>
      </c>
      <c r="AL350" s="3">
        <v>13615</v>
      </c>
      <c r="AM350" s="3">
        <v>13610</v>
      </c>
      <c r="AN350" s="3">
        <v>13300</v>
      </c>
      <c r="AO350" s="3">
        <v>13295</v>
      </c>
      <c r="AP350" s="3">
        <v>13435</v>
      </c>
      <c r="AQ350" s="3">
        <v>13430</v>
      </c>
      <c r="AR350" s="4">
        <f t="shared" si="158"/>
        <v>1.5177797051170838E-2</v>
      </c>
      <c r="AS350" s="4">
        <f t="shared" si="135"/>
        <v>0</v>
      </c>
      <c r="AT350" s="4">
        <f t="shared" si="136"/>
        <v>2.6848591549295753E-2</v>
      </c>
      <c r="AU350" s="4">
        <f t="shared" si="137"/>
        <v>2.5891341256366718E-2</v>
      </c>
      <c r="AV350" s="4">
        <f t="shared" si="138"/>
        <v>2.1813515825491958E-2</v>
      </c>
      <c r="AW350" s="4">
        <f t="shared" si="139"/>
        <v>2.1500843170320305E-2</v>
      </c>
      <c r="AX350" s="4">
        <f t="shared" si="140"/>
        <v>4.5810978126289648E-2</v>
      </c>
      <c r="AY350" s="4">
        <f t="shared" si="141"/>
        <v>1.5258215962441368E-2</v>
      </c>
      <c r="AZ350" s="4">
        <f t="shared" si="142"/>
        <v>1.5942606616181632E-3</v>
      </c>
      <c r="BA350" s="4">
        <f t="shared" si="143"/>
        <v>1.6565656565656561E-2</v>
      </c>
      <c r="BB350" s="4">
        <f t="shared" si="144"/>
        <v>2.9185245237130175E-2</v>
      </c>
      <c r="BC350" s="4">
        <f t="shared" si="145"/>
        <v>3.9572615749901008E-3</v>
      </c>
      <c r="BD350" s="4">
        <f t="shared" si="146"/>
        <v>1.1682242990654235E-2</v>
      </c>
      <c r="BE350" s="4">
        <f t="shared" si="147"/>
        <v>2.0439645198611744E-2</v>
      </c>
      <c r="BF350" s="4">
        <f t="shared" si="148"/>
        <v>1.5660809778456741E-2</v>
      </c>
      <c r="BG350" s="4">
        <f t="shared" si="149"/>
        <v>3.8245219347581516E-2</v>
      </c>
      <c r="BH350" s="4">
        <f t="shared" si="150"/>
        <v>4.3134435657801173E-3</v>
      </c>
      <c r="BI350" s="4">
        <f t="shared" si="151"/>
        <v>1.4054054054054022E-2</v>
      </c>
      <c r="BJ350" s="4">
        <f t="shared" si="152"/>
        <v>8.0174927113703109E-3</v>
      </c>
      <c r="BK350" s="4">
        <f t="shared" si="153"/>
        <v>2.8498355864084779E-2</v>
      </c>
      <c r="BL350" s="4">
        <f t="shared" si="154"/>
        <v>1.85804533630618E-3</v>
      </c>
      <c r="BM350" s="4">
        <f t="shared" si="159"/>
        <v>1.830061484980882E-2</v>
      </c>
      <c r="BN350" s="9">
        <f t="shared" si="160"/>
        <v>13701.234772804179</v>
      </c>
      <c r="BO350" s="10">
        <f t="shared" si="161"/>
        <v>13081.144307126297</v>
      </c>
      <c r="BP350">
        <v>13840</v>
      </c>
      <c r="BQ350">
        <v>13850</v>
      </c>
      <c r="BR350">
        <v>13840</v>
      </c>
      <c r="BS350">
        <v>13845</v>
      </c>
      <c r="BT350">
        <v>6763</v>
      </c>
      <c r="BU350" s="13">
        <f t="shared" si="155"/>
        <v>13845</v>
      </c>
      <c r="BV350" s="13">
        <f t="shared" si="156"/>
        <v>93633735</v>
      </c>
      <c r="BW350" s="13">
        <f>SUM($BV$3:BV350)</f>
        <v>231410674475.00009</v>
      </c>
      <c r="BX350" s="13">
        <f>SUM($BT$3:BT350)</f>
        <v>16871640</v>
      </c>
      <c r="BY350" s="3">
        <f t="shared" si="157"/>
        <v>13715.956153343723</v>
      </c>
    </row>
    <row r="351" spans="1:77" x14ac:dyDescent="0.3">
      <c r="A351" s="3" t="s">
        <v>391</v>
      </c>
      <c r="B351" s="3">
        <v>11705</v>
      </c>
      <c r="C351" s="3">
        <v>11715</v>
      </c>
      <c r="D351" s="3">
        <v>11550</v>
      </c>
      <c r="E351" s="3">
        <v>11545</v>
      </c>
      <c r="F351" s="3">
        <v>11665</v>
      </c>
      <c r="G351" s="3">
        <v>11660</v>
      </c>
      <c r="H351" s="3">
        <v>11470</v>
      </c>
      <c r="I351" s="3">
        <v>11455</v>
      </c>
      <c r="J351" s="3">
        <v>11950</v>
      </c>
      <c r="K351" s="3">
        <v>11945</v>
      </c>
      <c r="L351" s="3">
        <v>12120</v>
      </c>
      <c r="M351" s="3">
        <v>12130</v>
      </c>
      <c r="N351" s="3">
        <v>12670</v>
      </c>
      <c r="O351" s="3">
        <v>12670</v>
      </c>
      <c r="P351" s="3">
        <v>12585</v>
      </c>
      <c r="Q351" s="3">
        <v>12595</v>
      </c>
      <c r="R351" s="3">
        <v>12520</v>
      </c>
      <c r="S351" s="3">
        <v>12520</v>
      </c>
      <c r="T351" s="3">
        <v>12170</v>
      </c>
      <c r="U351" s="3">
        <v>12190</v>
      </c>
      <c r="V351" s="3">
        <v>12695</v>
      </c>
      <c r="W351" s="3">
        <v>12705</v>
      </c>
      <c r="X351" s="3">
        <v>12680</v>
      </c>
      <c r="Y351" s="3">
        <v>12710</v>
      </c>
      <c r="Z351" s="3">
        <v>12690</v>
      </c>
      <c r="AA351" s="3">
        <v>12695</v>
      </c>
      <c r="AB351" s="3">
        <v>13230</v>
      </c>
      <c r="AC351" s="3">
        <v>13240</v>
      </c>
      <c r="AD351" s="3">
        <v>13295</v>
      </c>
      <c r="AE351" s="3">
        <v>13295</v>
      </c>
      <c r="AF351" s="3">
        <v>13850</v>
      </c>
      <c r="AG351" s="3">
        <v>13850</v>
      </c>
      <c r="AH351" s="3">
        <v>13965</v>
      </c>
      <c r="AI351" s="3">
        <v>13955</v>
      </c>
      <c r="AJ351" s="3">
        <v>13680</v>
      </c>
      <c r="AK351" s="3">
        <v>13695</v>
      </c>
      <c r="AL351" s="3">
        <v>13610</v>
      </c>
      <c r="AM351" s="3">
        <v>13625</v>
      </c>
      <c r="AN351" s="3">
        <v>13290</v>
      </c>
      <c r="AO351" s="3">
        <v>13300</v>
      </c>
      <c r="AP351" s="3">
        <v>13430</v>
      </c>
      <c r="AQ351" s="3">
        <v>13420</v>
      </c>
      <c r="AR351" s="4">
        <f t="shared" si="158"/>
        <v>1.6045099739809165E-2</v>
      </c>
      <c r="AS351" s="4">
        <f t="shared" si="135"/>
        <v>4.3290043290045155E-4</v>
      </c>
      <c r="AT351" s="4">
        <f t="shared" si="136"/>
        <v>2.6408450704225261E-2</v>
      </c>
      <c r="AU351" s="4">
        <f t="shared" si="137"/>
        <v>2.7589134125636683E-2</v>
      </c>
      <c r="AV351" s="4">
        <f t="shared" si="138"/>
        <v>2.1813515825491958E-2</v>
      </c>
      <c r="AW351" s="4">
        <f t="shared" si="139"/>
        <v>2.2765598650927421E-2</v>
      </c>
      <c r="AX351" s="4">
        <f t="shared" si="140"/>
        <v>4.5810978126289648E-2</v>
      </c>
      <c r="AY351" s="4">
        <f t="shared" si="141"/>
        <v>1.4475743348982828E-2</v>
      </c>
      <c r="AZ351" s="4">
        <f t="shared" si="142"/>
        <v>1.9928258270227595E-3</v>
      </c>
      <c r="BA351" s="4">
        <f t="shared" si="143"/>
        <v>1.4949494949494935E-2</v>
      </c>
      <c r="BB351" s="4">
        <f t="shared" si="144"/>
        <v>2.9995946493717174E-2</v>
      </c>
      <c r="BC351" s="4">
        <f t="shared" si="145"/>
        <v>5.9358923624852622E-3</v>
      </c>
      <c r="BD351" s="4">
        <f t="shared" si="146"/>
        <v>1.1292834890965775E-2</v>
      </c>
      <c r="BE351" s="4">
        <f t="shared" si="147"/>
        <v>2.121095256459693E-2</v>
      </c>
      <c r="BF351" s="4">
        <f t="shared" si="148"/>
        <v>1.5660809778456741E-2</v>
      </c>
      <c r="BG351" s="4">
        <f t="shared" si="149"/>
        <v>3.8620172478440296E-2</v>
      </c>
      <c r="BH351" s="4">
        <f t="shared" si="150"/>
        <v>3.2350826743350325E-3</v>
      </c>
      <c r="BI351" s="4">
        <f t="shared" si="151"/>
        <v>1.2972972972972951E-2</v>
      </c>
      <c r="BJ351" s="4">
        <f t="shared" si="152"/>
        <v>6.9241982507288746E-3</v>
      </c>
      <c r="BK351" s="4">
        <f t="shared" si="153"/>
        <v>2.8132992327365769E-2</v>
      </c>
      <c r="BL351" s="4">
        <f t="shared" si="154"/>
        <v>2.6012634708286742E-3</v>
      </c>
      <c r="BM351" s="4">
        <f t="shared" si="159"/>
        <v>1.8595362720085273E-2</v>
      </c>
      <c r="BN351" s="9">
        <f t="shared" si="160"/>
        <v>13705.200605398746</v>
      </c>
      <c r="BO351" s="10">
        <f t="shared" si="161"/>
        <v>13077.216791754865</v>
      </c>
      <c r="BP351">
        <v>13850</v>
      </c>
      <c r="BQ351">
        <v>13850</v>
      </c>
      <c r="BR351">
        <v>13845</v>
      </c>
      <c r="BS351">
        <v>13850</v>
      </c>
      <c r="BT351">
        <v>10147</v>
      </c>
      <c r="BU351" s="13">
        <f t="shared" si="155"/>
        <v>13848.333333333334</v>
      </c>
      <c r="BV351" s="13">
        <f t="shared" si="156"/>
        <v>140519038.33333334</v>
      </c>
      <c r="BW351" s="13">
        <f>SUM($BV$3:BV351)</f>
        <v>231551193513.33344</v>
      </c>
      <c r="BX351" s="13">
        <f>SUM($BT$3:BT351)</f>
        <v>16881787</v>
      </c>
      <c r="BY351" s="3">
        <f t="shared" si="157"/>
        <v>13716.035720231124</v>
      </c>
    </row>
    <row r="352" spans="1:77" x14ac:dyDescent="0.3">
      <c r="A352" s="3" t="s">
        <v>392</v>
      </c>
      <c r="B352" s="3">
        <v>11715</v>
      </c>
      <c r="C352" s="3">
        <v>11720</v>
      </c>
      <c r="D352" s="3">
        <v>11545</v>
      </c>
      <c r="E352" s="3">
        <v>11545</v>
      </c>
      <c r="F352" s="3">
        <v>11665</v>
      </c>
      <c r="G352" s="3">
        <v>11660</v>
      </c>
      <c r="H352" s="3">
        <v>11455</v>
      </c>
      <c r="I352" s="3">
        <v>11475</v>
      </c>
      <c r="J352" s="3">
        <v>11940</v>
      </c>
      <c r="K352" s="3">
        <v>11945</v>
      </c>
      <c r="L352" s="3">
        <v>12130</v>
      </c>
      <c r="M352" s="3">
        <v>12115</v>
      </c>
      <c r="N352" s="3">
        <v>12665</v>
      </c>
      <c r="O352" s="3">
        <v>12675</v>
      </c>
      <c r="P352" s="3">
        <v>12600</v>
      </c>
      <c r="Q352" s="3">
        <v>12590</v>
      </c>
      <c r="R352" s="3">
        <v>12520</v>
      </c>
      <c r="S352" s="3">
        <v>12515</v>
      </c>
      <c r="T352" s="3">
        <v>12195</v>
      </c>
      <c r="U352" s="3">
        <v>12195</v>
      </c>
      <c r="V352" s="3">
        <v>12710</v>
      </c>
      <c r="W352" s="3">
        <v>12720</v>
      </c>
      <c r="X352" s="3">
        <v>12710</v>
      </c>
      <c r="Y352" s="3">
        <v>12710</v>
      </c>
      <c r="Z352" s="3">
        <v>12695</v>
      </c>
      <c r="AA352" s="3">
        <v>12695</v>
      </c>
      <c r="AB352" s="3">
        <v>13240</v>
      </c>
      <c r="AC352" s="3">
        <v>13255</v>
      </c>
      <c r="AD352" s="3">
        <v>13295</v>
      </c>
      <c r="AE352" s="3">
        <v>13285</v>
      </c>
      <c r="AF352" s="3">
        <v>13850</v>
      </c>
      <c r="AG352" s="3">
        <v>13850</v>
      </c>
      <c r="AH352" s="3">
        <v>13955</v>
      </c>
      <c r="AI352" s="3">
        <v>13985</v>
      </c>
      <c r="AJ352" s="3">
        <v>13700</v>
      </c>
      <c r="AK352" s="3">
        <v>13710</v>
      </c>
      <c r="AL352" s="3">
        <v>13625</v>
      </c>
      <c r="AM352" s="3">
        <v>13620</v>
      </c>
      <c r="AN352" s="3">
        <v>13305</v>
      </c>
      <c r="AO352" s="3">
        <v>13310</v>
      </c>
      <c r="AP352" s="3">
        <v>13420</v>
      </c>
      <c r="AQ352" s="3">
        <v>13410</v>
      </c>
      <c r="AR352" s="4">
        <f t="shared" si="158"/>
        <v>1.647875108412844E-2</v>
      </c>
      <c r="AS352" s="4">
        <f t="shared" si="135"/>
        <v>4.3290043290045155E-4</v>
      </c>
      <c r="AT352" s="4">
        <f t="shared" si="136"/>
        <v>2.6408450704225261E-2</v>
      </c>
      <c r="AU352" s="4">
        <f t="shared" si="137"/>
        <v>2.5891341256366718E-2</v>
      </c>
      <c r="AV352" s="4">
        <f t="shared" si="138"/>
        <v>2.1813515825491958E-2</v>
      </c>
      <c r="AW352" s="4">
        <f t="shared" si="139"/>
        <v>2.1500843170320305E-2</v>
      </c>
      <c r="AX352" s="4">
        <f t="shared" si="140"/>
        <v>4.6223689640940924E-2</v>
      </c>
      <c r="AY352" s="4">
        <f t="shared" si="141"/>
        <v>1.4866979655712043E-2</v>
      </c>
      <c r="AZ352" s="4">
        <f t="shared" si="142"/>
        <v>2.3913909924272447E-3</v>
      </c>
      <c r="BA352" s="4">
        <f t="shared" si="143"/>
        <v>1.4545454545454528E-2</v>
      </c>
      <c r="BB352" s="4">
        <f t="shared" si="144"/>
        <v>3.121199837859745E-2</v>
      </c>
      <c r="BC352" s="4">
        <f t="shared" si="145"/>
        <v>5.9358923624852622E-3</v>
      </c>
      <c r="BD352" s="4">
        <f t="shared" si="146"/>
        <v>1.1292834890965775E-2</v>
      </c>
      <c r="BE352" s="4">
        <f t="shared" si="147"/>
        <v>2.2367913613575041E-2</v>
      </c>
      <c r="BF352" s="4">
        <f t="shared" si="148"/>
        <v>1.4896867838044336E-2</v>
      </c>
      <c r="BG352" s="4">
        <f t="shared" si="149"/>
        <v>3.8620172478440296E-2</v>
      </c>
      <c r="BH352" s="4">
        <f t="shared" si="150"/>
        <v>5.3918044572249801E-3</v>
      </c>
      <c r="BI352" s="4">
        <f t="shared" si="151"/>
        <v>1.1891891891891881E-2</v>
      </c>
      <c r="BJ352" s="4">
        <f t="shared" si="152"/>
        <v>7.2886297376093534E-3</v>
      </c>
      <c r="BK352" s="4">
        <f t="shared" si="153"/>
        <v>2.7402265253927638E-2</v>
      </c>
      <c r="BL352" s="4">
        <f t="shared" si="154"/>
        <v>3.3444816053511683E-3</v>
      </c>
      <c r="BM352" s="4">
        <f t="shared" si="159"/>
        <v>1.8555719521964806E-2</v>
      </c>
      <c r="BN352" s="9">
        <f t="shared" si="160"/>
        <v>13704.667206168037</v>
      </c>
      <c r="BO352" s="10">
        <f t="shared" si="161"/>
        <v>13077.745037369819</v>
      </c>
      <c r="BP352">
        <v>13850</v>
      </c>
      <c r="BQ352">
        <v>13855</v>
      </c>
      <c r="BR352">
        <v>13845</v>
      </c>
      <c r="BS352">
        <v>13850</v>
      </c>
      <c r="BT352">
        <v>1131</v>
      </c>
      <c r="BU352" s="13">
        <f t="shared" si="155"/>
        <v>13850</v>
      </c>
      <c r="BV352" s="13">
        <f t="shared" si="156"/>
        <v>15664350</v>
      </c>
      <c r="BW352" s="13">
        <f>SUM($BV$3:BV352)</f>
        <v>231566857863.33344</v>
      </c>
      <c r="BX352" s="13">
        <f>SUM($BT$3:BT352)</f>
        <v>16882918</v>
      </c>
      <c r="BY352" s="3">
        <f t="shared" si="157"/>
        <v>13716.044694603945</v>
      </c>
    </row>
    <row r="353" spans="1:77" x14ac:dyDescent="0.3">
      <c r="A353" s="3" t="s">
        <v>393</v>
      </c>
      <c r="B353" s="3">
        <v>11715</v>
      </c>
      <c r="C353" s="3">
        <v>11725</v>
      </c>
      <c r="D353" s="3">
        <v>11550</v>
      </c>
      <c r="E353" s="3">
        <v>11555</v>
      </c>
      <c r="F353" s="3">
        <v>11655</v>
      </c>
      <c r="G353" s="3">
        <v>11655</v>
      </c>
      <c r="H353" s="3">
        <v>11475</v>
      </c>
      <c r="I353" s="3">
        <v>11485</v>
      </c>
      <c r="J353" s="3">
        <v>11945</v>
      </c>
      <c r="K353" s="3">
        <v>11945</v>
      </c>
      <c r="L353" s="3">
        <v>12120</v>
      </c>
      <c r="M353" s="3">
        <v>12110</v>
      </c>
      <c r="N353" s="3">
        <v>12675</v>
      </c>
      <c r="O353" s="3">
        <v>12675</v>
      </c>
      <c r="P353" s="3">
        <v>12590</v>
      </c>
      <c r="Q353" s="3">
        <v>12600</v>
      </c>
      <c r="R353" s="3">
        <v>12515</v>
      </c>
      <c r="S353" s="3">
        <v>12510</v>
      </c>
      <c r="T353" s="3">
        <v>12195</v>
      </c>
      <c r="U353" s="3">
        <v>12200</v>
      </c>
      <c r="V353" s="3">
        <v>12720</v>
      </c>
      <c r="W353" s="3">
        <v>12720</v>
      </c>
      <c r="X353" s="3">
        <v>12705</v>
      </c>
      <c r="Y353" s="3">
        <v>12705</v>
      </c>
      <c r="Z353" s="3">
        <v>12695</v>
      </c>
      <c r="AA353" s="3">
        <v>12700</v>
      </c>
      <c r="AB353" s="3">
        <v>13260</v>
      </c>
      <c r="AC353" s="3">
        <v>13270</v>
      </c>
      <c r="AD353" s="3">
        <v>13285</v>
      </c>
      <c r="AE353" s="3">
        <v>13290</v>
      </c>
      <c r="AF353" s="3">
        <v>13855</v>
      </c>
      <c r="AG353" s="3">
        <v>13840</v>
      </c>
      <c r="AH353" s="3">
        <v>13985</v>
      </c>
      <c r="AI353" s="3">
        <v>13995</v>
      </c>
      <c r="AJ353" s="3">
        <v>13705</v>
      </c>
      <c r="AK353" s="3">
        <v>13720</v>
      </c>
      <c r="AL353" s="3">
        <v>13620</v>
      </c>
      <c r="AM353" s="3">
        <v>13635</v>
      </c>
      <c r="AN353" s="3">
        <v>13310</v>
      </c>
      <c r="AO353" s="3">
        <v>13315</v>
      </c>
      <c r="AP353" s="3">
        <v>13410</v>
      </c>
      <c r="AQ353" s="3">
        <v>13405</v>
      </c>
      <c r="AR353" s="4">
        <f t="shared" si="158"/>
        <v>1.6912402428447493E-2</v>
      </c>
      <c r="AS353" s="4">
        <f t="shared" si="135"/>
        <v>4.3290043290045155E-4</v>
      </c>
      <c r="AT353" s="4">
        <f t="shared" si="136"/>
        <v>2.5968309859154992E-2</v>
      </c>
      <c r="AU353" s="4">
        <f t="shared" si="137"/>
        <v>2.5042444821731791E-2</v>
      </c>
      <c r="AV353" s="4">
        <f t="shared" si="138"/>
        <v>2.1813515825491958E-2</v>
      </c>
      <c r="AW353" s="4">
        <f t="shared" si="139"/>
        <v>2.1079258010118007E-2</v>
      </c>
      <c r="AX353" s="4">
        <f t="shared" si="140"/>
        <v>4.6223689640940924E-2</v>
      </c>
      <c r="AY353" s="4">
        <f t="shared" si="141"/>
        <v>1.4084507042253502E-2</v>
      </c>
      <c r="AZ353" s="4">
        <f t="shared" si="142"/>
        <v>2.789956157831841E-3</v>
      </c>
      <c r="BA353" s="4">
        <f t="shared" si="143"/>
        <v>1.4141414141414121E-2</v>
      </c>
      <c r="BB353" s="4">
        <f t="shared" si="144"/>
        <v>3.121199837859745E-2</v>
      </c>
      <c r="BC353" s="4">
        <f t="shared" si="145"/>
        <v>5.5401662049860967E-3</v>
      </c>
      <c r="BD353" s="4">
        <f t="shared" si="146"/>
        <v>1.0903426791277204E-2</v>
      </c>
      <c r="BE353" s="4">
        <f t="shared" si="147"/>
        <v>2.352487466255293E-2</v>
      </c>
      <c r="BF353" s="4">
        <f t="shared" si="148"/>
        <v>1.5278838808250539E-2</v>
      </c>
      <c r="BG353" s="4">
        <f t="shared" si="149"/>
        <v>3.7870266216722959E-2</v>
      </c>
      <c r="BH353" s="4">
        <f t="shared" si="150"/>
        <v>6.1107117181884441E-3</v>
      </c>
      <c r="BI353" s="4">
        <f t="shared" si="151"/>
        <v>1.1171171171171168E-2</v>
      </c>
      <c r="BJ353" s="4">
        <f t="shared" si="152"/>
        <v>6.1953352769679171E-3</v>
      </c>
      <c r="BK353" s="4">
        <f t="shared" si="153"/>
        <v>2.7036901717208628E-2</v>
      </c>
      <c r="BL353" s="4">
        <f t="shared" si="154"/>
        <v>3.7160906726123599E-3</v>
      </c>
      <c r="BM353" s="4">
        <f t="shared" si="159"/>
        <v>1.84310929126787E-2</v>
      </c>
      <c r="BN353" s="9">
        <f t="shared" si="160"/>
        <v>13702.990355140093</v>
      </c>
      <c r="BO353" s="10">
        <f t="shared" si="161"/>
        <v>13079.405686938555</v>
      </c>
      <c r="BP353">
        <v>13855</v>
      </c>
      <c r="BQ353">
        <v>13855</v>
      </c>
      <c r="BR353">
        <v>13840</v>
      </c>
      <c r="BS353">
        <v>13840</v>
      </c>
      <c r="BT353">
        <v>20392</v>
      </c>
      <c r="BU353" s="13">
        <f t="shared" si="155"/>
        <v>13845</v>
      </c>
      <c r="BV353" s="13">
        <f t="shared" si="156"/>
        <v>282327240</v>
      </c>
      <c r="BW353" s="13">
        <f>SUM($BV$3:BV353)</f>
        <v>231849185103.33344</v>
      </c>
      <c r="BX353" s="13">
        <f>SUM($BT$3:BT353)</f>
        <v>16903310</v>
      </c>
      <c r="BY353" s="3">
        <f t="shared" si="157"/>
        <v>13716.200265115735</v>
      </c>
    </row>
    <row r="354" spans="1:77" x14ac:dyDescent="0.3">
      <c r="A354" s="3" t="s">
        <v>394</v>
      </c>
      <c r="B354" s="3">
        <v>11725</v>
      </c>
      <c r="C354" s="3">
        <v>11725</v>
      </c>
      <c r="D354" s="3">
        <v>11555</v>
      </c>
      <c r="E354" s="3">
        <v>11555</v>
      </c>
      <c r="F354" s="3">
        <v>11655</v>
      </c>
      <c r="G354" s="3">
        <v>11645</v>
      </c>
      <c r="H354" s="3">
        <v>11485</v>
      </c>
      <c r="I354" s="3">
        <v>11495</v>
      </c>
      <c r="J354" s="3">
        <v>11945</v>
      </c>
      <c r="K354" s="3">
        <v>11955</v>
      </c>
      <c r="L354" s="3">
        <v>12110</v>
      </c>
      <c r="M354" s="3">
        <v>12125</v>
      </c>
      <c r="N354" s="3">
        <v>12680</v>
      </c>
      <c r="O354" s="3">
        <v>12690</v>
      </c>
      <c r="P354" s="3">
        <v>12605</v>
      </c>
      <c r="Q354" s="3">
        <v>12595</v>
      </c>
      <c r="R354" s="3">
        <v>12510</v>
      </c>
      <c r="S354" s="3">
        <v>12515</v>
      </c>
      <c r="T354" s="3">
        <v>12200</v>
      </c>
      <c r="U354" s="3">
        <v>12210</v>
      </c>
      <c r="V354" s="3">
        <v>12715</v>
      </c>
      <c r="W354" s="3">
        <v>12715</v>
      </c>
      <c r="X354" s="3">
        <v>12705</v>
      </c>
      <c r="Y354" s="3">
        <v>12720</v>
      </c>
      <c r="Z354" s="3">
        <v>12700</v>
      </c>
      <c r="AA354" s="3">
        <v>12705</v>
      </c>
      <c r="AB354" s="3">
        <v>13270</v>
      </c>
      <c r="AC354" s="3">
        <v>13270</v>
      </c>
      <c r="AD354" s="3">
        <v>13285</v>
      </c>
      <c r="AE354" s="3">
        <v>13280</v>
      </c>
      <c r="AF354" s="3">
        <v>13840</v>
      </c>
      <c r="AG354" s="3">
        <v>13835</v>
      </c>
      <c r="AH354" s="3">
        <v>14000</v>
      </c>
      <c r="AI354" s="3">
        <v>14010</v>
      </c>
      <c r="AJ354" s="3">
        <v>13720</v>
      </c>
      <c r="AK354" s="3">
        <v>13710</v>
      </c>
      <c r="AL354" s="3">
        <v>13635</v>
      </c>
      <c r="AM354" s="3">
        <v>13635</v>
      </c>
      <c r="AN354" s="3">
        <v>13315</v>
      </c>
      <c r="AO354" s="3">
        <v>13320</v>
      </c>
      <c r="AP354" s="3">
        <v>13405</v>
      </c>
      <c r="AQ354" s="3">
        <v>13390</v>
      </c>
      <c r="AR354" s="4">
        <f t="shared" si="158"/>
        <v>1.6912402428447493E-2</v>
      </c>
      <c r="AS354" s="4">
        <f t="shared" si="135"/>
        <v>4.3290043290045155E-4</v>
      </c>
      <c r="AT354" s="4">
        <f t="shared" si="136"/>
        <v>2.5088028169014009E-2</v>
      </c>
      <c r="AU354" s="4">
        <f t="shared" si="137"/>
        <v>2.4193548387096753E-2</v>
      </c>
      <c r="AV354" s="4">
        <f t="shared" si="138"/>
        <v>2.2668947818648366E-2</v>
      </c>
      <c r="AW354" s="4">
        <f t="shared" si="139"/>
        <v>2.2344013490725123E-2</v>
      </c>
      <c r="AX354" s="4">
        <f t="shared" si="140"/>
        <v>4.7461824184894752E-2</v>
      </c>
      <c r="AY354" s="4">
        <f t="shared" si="141"/>
        <v>1.4475743348982828E-2</v>
      </c>
      <c r="AZ354" s="4">
        <f t="shared" si="142"/>
        <v>2.3913909924272447E-3</v>
      </c>
      <c r="BA354" s="4">
        <f t="shared" si="143"/>
        <v>1.3333333333333308E-2</v>
      </c>
      <c r="BB354" s="4">
        <f t="shared" si="144"/>
        <v>3.080664775030395E-2</v>
      </c>
      <c r="BC354" s="4">
        <f t="shared" si="145"/>
        <v>6.7273446774831491E-3</v>
      </c>
      <c r="BD354" s="4">
        <f t="shared" si="146"/>
        <v>1.0514018691588745E-2</v>
      </c>
      <c r="BE354" s="4">
        <f t="shared" si="147"/>
        <v>2.352487466255293E-2</v>
      </c>
      <c r="BF354" s="4">
        <f t="shared" si="148"/>
        <v>1.4514896867838134E-2</v>
      </c>
      <c r="BG354" s="4">
        <f t="shared" si="149"/>
        <v>3.7495313085864179E-2</v>
      </c>
      <c r="BH354" s="4">
        <f t="shared" si="150"/>
        <v>7.1890726096333069E-3</v>
      </c>
      <c r="BI354" s="4">
        <f t="shared" si="151"/>
        <v>1.1891891891891881E-2</v>
      </c>
      <c r="BJ354" s="4">
        <f t="shared" si="152"/>
        <v>6.1953352769679171E-3</v>
      </c>
      <c r="BK354" s="4">
        <f t="shared" si="153"/>
        <v>2.6671538180489618E-2</v>
      </c>
      <c r="BL354" s="4">
        <f t="shared" si="154"/>
        <v>4.8309178743961567E-3</v>
      </c>
      <c r="BM354" s="4">
        <f t="shared" si="159"/>
        <v>1.8462679486270697E-2</v>
      </c>
      <c r="BN354" s="9">
        <f t="shared" si="160"/>
        <v>13703.415352487773</v>
      </c>
      <c r="BO354" s="10">
        <f t="shared" si="161"/>
        <v>13078.984795845443</v>
      </c>
      <c r="BP354">
        <v>13840</v>
      </c>
      <c r="BQ354">
        <v>13840</v>
      </c>
      <c r="BR354">
        <v>13835</v>
      </c>
      <c r="BS354">
        <v>13835</v>
      </c>
      <c r="BT354">
        <v>38930</v>
      </c>
      <c r="BU354" s="13">
        <f t="shared" si="155"/>
        <v>13836.666666666666</v>
      </c>
      <c r="BV354" s="13">
        <f t="shared" si="156"/>
        <v>538661433.33333325</v>
      </c>
      <c r="BW354" s="13">
        <f>SUM($BV$3:BV354)</f>
        <v>232387846536.66678</v>
      </c>
      <c r="BX354" s="13">
        <f>SUM($BT$3:BT354)</f>
        <v>16942240</v>
      </c>
      <c r="BY354" s="3">
        <f t="shared" si="157"/>
        <v>13716.477073673066</v>
      </c>
    </row>
    <row r="355" spans="1:77" x14ac:dyDescent="0.3">
      <c r="A355" s="3" t="s">
        <v>395</v>
      </c>
      <c r="B355" s="3">
        <v>11725</v>
      </c>
      <c r="C355" s="3">
        <v>11725</v>
      </c>
      <c r="D355" s="3">
        <v>11550</v>
      </c>
      <c r="E355" s="3">
        <v>11555</v>
      </c>
      <c r="F355" s="3">
        <v>11650</v>
      </c>
      <c r="G355" s="3">
        <v>11650</v>
      </c>
      <c r="H355" s="3">
        <v>11495</v>
      </c>
      <c r="I355" s="3">
        <v>11495</v>
      </c>
      <c r="J355" s="3">
        <v>11955</v>
      </c>
      <c r="K355" s="3">
        <v>11975</v>
      </c>
      <c r="L355" s="3">
        <v>12125</v>
      </c>
      <c r="M355" s="3">
        <v>12125</v>
      </c>
      <c r="N355" s="3">
        <v>12695</v>
      </c>
      <c r="O355" s="3">
        <v>12690</v>
      </c>
      <c r="P355" s="3">
        <v>12595</v>
      </c>
      <c r="Q355" s="3">
        <v>12600</v>
      </c>
      <c r="R355" s="3">
        <v>12515</v>
      </c>
      <c r="S355" s="3">
        <v>12515</v>
      </c>
      <c r="T355" s="3">
        <v>12210</v>
      </c>
      <c r="U355" s="3">
        <v>12195</v>
      </c>
      <c r="V355" s="3">
        <v>12715</v>
      </c>
      <c r="W355" s="3">
        <v>12715</v>
      </c>
      <c r="X355" s="3">
        <v>12720</v>
      </c>
      <c r="Y355" s="3">
        <v>12725</v>
      </c>
      <c r="Z355" s="3">
        <v>12700</v>
      </c>
      <c r="AA355" s="3">
        <v>12700</v>
      </c>
      <c r="AB355" s="3">
        <v>13270</v>
      </c>
      <c r="AC355" s="3">
        <v>13275</v>
      </c>
      <c r="AD355" s="3">
        <v>13285</v>
      </c>
      <c r="AE355" s="3">
        <v>13285</v>
      </c>
      <c r="AF355" s="3">
        <v>13835</v>
      </c>
      <c r="AG355" s="3">
        <v>13830</v>
      </c>
      <c r="AH355" s="3">
        <v>14005</v>
      </c>
      <c r="AI355" s="3">
        <v>14015</v>
      </c>
      <c r="AJ355" s="3">
        <v>13710</v>
      </c>
      <c r="AK355" s="3">
        <v>13700</v>
      </c>
      <c r="AL355" s="3">
        <v>13635</v>
      </c>
      <c r="AM355" s="3">
        <v>13630</v>
      </c>
      <c r="AN355" s="3">
        <v>13315</v>
      </c>
      <c r="AO355" s="3">
        <v>13315</v>
      </c>
      <c r="AP355" s="3">
        <v>13400</v>
      </c>
      <c r="AQ355" s="3">
        <v>13395</v>
      </c>
      <c r="AR355" s="4">
        <f t="shared" si="158"/>
        <v>1.6912402428447493E-2</v>
      </c>
      <c r="AS355" s="4">
        <f t="shared" si="135"/>
        <v>4.3290043290045155E-4</v>
      </c>
      <c r="AT355" s="4">
        <f t="shared" si="136"/>
        <v>2.5528169014084501E-2</v>
      </c>
      <c r="AU355" s="4">
        <f t="shared" si="137"/>
        <v>2.4193548387096753E-2</v>
      </c>
      <c r="AV355" s="4">
        <f t="shared" si="138"/>
        <v>2.4379811804961404E-2</v>
      </c>
      <c r="AW355" s="4">
        <f t="shared" si="139"/>
        <v>2.2344013490725123E-2</v>
      </c>
      <c r="AX355" s="4">
        <f t="shared" si="140"/>
        <v>4.7461824184894752E-2</v>
      </c>
      <c r="AY355" s="4">
        <f t="shared" si="141"/>
        <v>1.4084507042253502E-2</v>
      </c>
      <c r="AZ355" s="4">
        <f t="shared" si="142"/>
        <v>2.3913909924272447E-3</v>
      </c>
      <c r="BA355" s="4">
        <f t="shared" si="143"/>
        <v>1.4545454545454528E-2</v>
      </c>
      <c r="BB355" s="4">
        <f t="shared" si="144"/>
        <v>3.080664775030395E-2</v>
      </c>
      <c r="BC355" s="4">
        <f t="shared" si="145"/>
        <v>7.1230708349820926E-3</v>
      </c>
      <c r="BD355" s="4">
        <f t="shared" si="146"/>
        <v>1.0903426791277204E-2</v>
      </c>
      <c r="BE355" s="4">
        <f t="shared" si="147"/>
        <v>2.3910528345545634E-2</v>
      </c>
      <c r="BF355" s="4">
        <f t="shared" si="148"/>
        <v>1.4896867838044336E-2</v>
      </c>
      <c r="BG355" s="4">
        <f t="shared" si="149"/>
        <v>3.7120359955005622E-2</v>
      </c>
      <c r="BH355" s="4">
        <f t="shared" si="150"/>
        <v>7.5485262401149278E-3</v>
      </c>
      <c r="BI355" s="4">
        <f t="shared" si="151"/>
        <v>1.2612612612612595E-2</v>
      </c>
      <c r="BJ355" s="4">
        <f t="shared" si="152"/>
        <v>6.5597667638483959E-3</v>
      </c>
      <c r="BK355" s="4">
        <f t="shared" si="153"/>
        <v>2.7036901717208628E-2</v>
      </c>
      <c r="BL355" s="4">
        <f t="shared" si="154"/>
        <v>4.4593088071348541E-3</v>
      </c>
      <c r="BM355" s="4">
        <f t="shared" si="159"/>
        <v>1.8785868675353676E-2</v>
      </c>
      <c r="BN355" s="9">
        <f t="shared" si="160"/>
        <v>13707.763863026885</v>
      </c>
      <c r="BO355" s="10">
        <f t="shared" si="161"/>
        <v>13074.678299900912</v>
      </c>
      <c r="BP355">
        <v>13835</v>
      </c>
      <c r="BQ355">
        <v>13835</v>
      </c>
      <c r="BR355">
        <v>13830</v>
      </c>
      <c r="BS355">
        <v>13830</v>
      </c>
      <c r="BT355">
        <v>63867</v>
      </c>
      <c r="BU355" s="13">
        <f t="shared" si="155"/>
        <v>13831.666666666666</v>
      </c>
      <c r="BV355" s="13">
        <f t="shared" si="156"/>
        <v>883387055</v>
      </c>
      <c r="BW355" s="13">
        <f>SUM($BV$3:BV355)</f>
        <v>233271233591.66678</v>
      </c>
      <c r="BX355" s="13">
        <f>SUM($BT$3:BT355)</f>
        <v>17006107</v>
      </c>
      <c r="BY355" s="3">
        <f t="shared" si="157"/>
        <v>13716.909672017633</v>
      </c>
    </row>
    <row r="356" spans="1:77" x14ac:dyDescent="0.3">
      <c r="A356" s="3" t="s">
        <v>396</v>
      </c>
      <c r="B356" s="3">
        <v>11725</v>
      </c>
      <c r="C356" s="3">
        <v>11720</v>
      </c>
      <c r="D356" s="3">
        <v>11555</v>
      </c>
      <c r="E356" s="3">
        <v>11560</v>
      </c>
      <c r="F356" s="3">
        <v>11650</v>
      </c>
      <c r="G356" s="3">
        <v>11655</v>
      </c>
      <c r="H356" s="3">
        <v>11500</v>
      </c>
      <c r="I356" s="3">
        <v>11505</v>
      </c>
      <c r="J356" s="3">
        <v>11975</v>
      </c>
      <c r="K356" s="3">
        <v>11980</v>
      </c>
      <c r="L356" s="3">
        <v>12125</v>
      </c>
      <c r="M356" s="3">
        <v>12130</v>
      </c>
      <c r="N356" s="3">
        <v>12690</v>
      </c>
      <c r="O356" s="3">
        <v>12685</v>
      </c>
      <c r="P356" s="3">
        <v>12605</v>
      </c>
      <c r="Q356" s="3">
        <v>12590</v>
      </c>
      <c r="R356" s="3">
        <v>12515</v>
      </c>
      <c r="S356" s="3">
        <v>12515</v>
      </c>
      <c r="T356" s="3">
        <v>12195</v>
      </c>
      <c r="U356" s="3">
        <v>12205</v>
      </c>
      <c r="V356" s="3">
        <v>12715</v>
      </c>
      <c r="W356" s="3">
        <v>12715</v>
      </c>
      <c r="X356" s="3">
        <v>12725</v>
      </c>
      <c r="Y356" s="3">
        <v>12725</v>
      </c>
      <c r="Z356" s="3">
        <v>12700</v>
      </c>
      <c r="AA356" s="3">
        <v>12710</v>
      </c>
      <c r="AB356" s="3">
        <v>13275</v>
      </c>
      <c r="AC356" s="3">
        <v>13275</v>
      </c>
      <c r="AD356" s="3">
        <v>13290</v>
      </c>
      <c r="AE356" s="3">
        <v>13290</v>
      </c>
      <c r="AF356" s="3">
        <v>13830</v>
      </c>
      <c r="AG356" s="3">
        <v>13835</v>
      </c>
      <c r="AH356" s="3">
        <v>14015</v>
      </c>
      <c r="AI356" s="3">
        <v>14005</v>
      </c>
      <c r="AJ356" s="3">
        <v>13700</v>
      </c>
      <c r="AK356" s="3">
        <v>13705</v>
      </c>
      <c r="AL356" s="3">
        <v>13630</v>
      </c>
      <c r="AM356" s="3">
        <v>13630</v>
      </c>
      <c r="AN356" s="3">
        <v>13315</v>
      </c>
      <c r="AO356" s="3">
        <v>13330</v>
      </c>
      <c r="AP356" s="3">
        <v>13395</v>
      </c>
      <c r="AQ356" s="3">
        <v>13375</v>
      </c>
      <c r="AR356" s="4">
        <f t="shared" si="158"/>
        <v>1.647875108412844E-2</v>
      </c>
      <c r="AS356" s="4">
        <f t="shared" si="135"/>
        <v>8.658008658009031E-4</v>
      </c>
      <c r="AT356" s="4">
        <f t="shared" si="136"/>
        <v>2.5968309859154992E-2</v>
      </c>
      <c r="AU356" s="4">
        <f t="shared" si="137"/>
        <v>2.3344651952461826E-2</v>
      </c>
      <c r="AV356" s="4">
        <f t="shared" si="138"/>
        <v>2.480752780153983E-2</v>
      </c>
      <c r="AW356" s="4">
        <f t="shared" si="139"/>
        <v>2.2765598650927421E-2</v>
      </c>
      <c r="AX356" s="4">
        <f t="shared" si="140"/>
        <v>4.7049112670243476E-2</v>
      </c>
      <c r="AY356" s="4">
        <f t="shared" si="141"/>
        <v>1.4866979655712043E-2</v>
      </c>
      <c r="AZ356" s="4">
        <f t="shared" si="142"/>
        <v>2.3913909924272447E-3</v>
      </c>
      <c r="BA356" s="4">
        <f t="shared" si="143"/>
        <v>1.3737373737373715E-2</v>
      </c>
      <c r="BB356" s="4">
        <f t="shared" si="144"/>
        <v>3.080664775030395E-2</v>
      </c>
      <c r="BC356" s="4">
        <f t="shared" si="145"/>
        <v>7.1230708349820926E-3</v>
      </c>
      <c r="BD356" s="4">
        <f t="shared" si="146"/>
        <v>1.0124610591900285E-2</v>
      </c>
      <c r="BE356" s="4">
        <f t="shared" si="147"/>
        <v>2.3910528345545634E-2</v>
      </c>
      <c r="BF356" s="4">
        <f t="shared" si="148"/>
        <v>1.5278838808250539E-2</v>
      </c>
      <c r="BG356" s="4">
        <f t="shared" si="149"/>
        <v>3.7495313085864179E-2</v>
      </c>
      <c r="BH356" s="4">
        <f t="shared" si="150"/>
        <v>6.8296189791516859E-3</v>
      </c>
      <c r="BI356" s="4">
        <f t="shared" si="151"/>
        <v>1.2252252252252238E-2</v>
      </c>
      <c r="BJ356" s="4">
        <f t="shared" si="152"/>
        <v>6.5597667638483959E-3</v>
      </c>
      <c r="BK356" s="4">
        <f t="shared" si="153"/>
        <v>2.5940811107051487E-2</v>
      </c>
      <c r="BL356" s="4">
        <f t="shared" si="154"/>
        <v>5.9457450761798425E-3</v>
      </c>
      <c r="BM356" s="4">
        <f t="shared" si="159"/>
        <v>1.8788603036901712E-2</v>
      </c>
      <c r="BN356" s="9">
        <f t="shared" si="160"/>
        <v>13707.800653861514</v>
      </c>
      <c r="BO356" s="10">
        <f t="shared" si="161"/>
        <v>13074.641864533285</v>
      </c>
      <c r="BP356">
        <v>13830</v>
      </c>
      <c r="BQ356">
        <v>13840</v>
      </c>
      <c r="BR356">
        <v>13830</v>
      </c>
      <c r="BS356">
        <v>13835</v>
      </c>
      <c r="BT356">
        <v>23386</v>
      </c>
      <c r="BU356" s="13">
        <f t="shared" si="155"/>
        <v>13835</v>
      </c>
      <c r="BV356" s="13">
        <f t="shared" si="156"/>
        <v>323545310</v>
      </c>
      <c r="BW356" s="13">
        <f>SUM($BV$3:BV356)</f>
        <v>233594778901.66678</v>
      </c>
      <c r="BX356" s="13">
        <f>SUM($BT$3:BT356)</f>
        <v>17029493</v>
      </c>
      <c r="BY356" s="3">
        <f t="shared" si="157"/>
        <v>13717.071841285397</v>
      </c>
    </row>
    <row r="357" spans="1:77" x14ac:dyDescent="0.3">
      <c r="A357" s="3" t="s">
        <v>397</v>
      </c>
      <c r="B357" s="3">
        <v>11715</v>
      </c>
      <c r="C357" s="3">
        <v>11720</v>
      </c>
      <c r="D357" s="3">
        <v>11555</v>
      </c>
      <c r="E357" s="3">
        <v>11540</v>
      </c>
      <c r="F357" s="3">
        <v>11655</v>
      </c>
      <c r="G357" s="3">
        <v>11660</v>
      </c>
      <c r="H357" s="3">
        <v>11505</v>
      </c>
      <c r="I357" s="3">
        <v>11510</v>
      </c>
      <c r="J357" s="3">
        <v>11980</v>
      </c>
      <c r="K357" s="3">
        <v>11975</v>
      </c>
      <c r="L357" s="3">
        <v>12130</v>
      </c>
      <c r="M357" s="3">
        <v>12120</v>
      </c>
      <c r="N357" s="3">
        <v>12685</v>
      </c>
      <c r="O357" s="3">
        <v>12690</v>
      </c>
      <c r="P357" s="3">
        <v>12595</v>
      </c>
      <c r="Q357" s="3">
        <v>12600</v>
      </c>
      <c r="R357" s="3">
        <v>12515</v>
      </c>
      <c r="S357" s="3">
        <v>12520</v>
      </c>
      <c r="T357" s="3">
        <v>12200</v>
      </c>
      <c r="U357" s="3">
        <v>12220</v>
      </c>
      <c r="V357" s="3">
        <v>12715</v>
      </c>
      <c r="W357" s="3">
        <v>12730</v>
      </c>
      <c r="X357" s="3">
        <v>12725</v>
      </c>
      <c r="Y357" s="3">
        <v>12740</v>
      </c>
      <c r="Z357" s="3">
        <v>12710</v>
      </c>
      <c r="AA357" s="3">
        <v>12710</v>
      </c>
      <c r="AB357" s="3">
        <v>13270</v>
      </c>
      <c r="AC357" s="3">
        <v>13275</v>
      </c>
      <c r="AD357" s="3">
        <v>13285</v>
      </c>
      <c r="AE357" s="3">
        <v>13285</v>
      </c>
      <c r="AF357" s="3">
        <v>13840</v>
      </c>
      <c r="AG357" s="3">
        <v>13840</v>
      </c>
      <c r="AH357" s="3">
        <v>14000</v>
      </c>
      <c r="AI357" s="3">
        <v>14000</v>
      </c>
      <c r="AJ357" s="3">
        <v>13700</v>
      </c>
      <c r="AK357" s="3">
        <v>13695</v>
      </c>
      <c r="AL357" s="3">
        <v>13630</v>
      </c>
      <c r="AM357" s="3">
        <v>13630</v>
      </c>
      <c r="AN357" s="3">
        <v>13335</v>
      </c>
      <c r="AO357" s="3">
        <v>13335</v>
      </c>
      <c r="AP357" s="3">
        <v>13380</v>
      </c>
      <c r="AQ357" s="3">
        <v>13390</v>
      </c>
      <c r="AR357" s="4">
        <f t="shared" si="158"/>
        <v>1.647875108412844E-2</v>
      </c>
      <c r="AS357" s="4">
        <f t="shared" si="135"/>
        <v>8.658008658009031E-4</v>
      </c>
      <c r="AT357" s="4">
        <f t="shared" si="136"/>
        <v>2.6408450704225261E-2</v>
      </c>
      <c r="AU357" s="4">
        <f t="shared" si="137"/>
        <v>2.2920203735144362E-2</v>
      </c>
      <c r="AV357" s="4">
        <f t="shared" si="138"/>
        <v>2.4379811804961404E-2</v>
      </c>
      <c r="AW357" s="4">
        <f t="shared" si="139"/>
        <v>2.1922428330522825E-2</v>
      </c>
      <c r="AX357" s="4">
        <f t="shared" si="140"/>
        <v>4.7461824184894752E-2</v>
      </c>
      <c r="AY357" s="4">
        <f t="shared" si="141"/>
        <v>1.4084507042253502E-2</v>
      </c>
      <c r="AZ357" s="4">
        <f t="shared" si="142"/>
        <v>1.9928258270227595E-3</v>
      </c>
      <c r="BA357" s="4">
        <f t="shared" si="143"/>
        <v>1.2525252525252495E-2</v>
      </c>
      <c r="BB357" s="4">
        <f t="shared" si="144"/>
        <v>3.2022699635184448E-2</v>
      </c>
      <c r="BC357" s="4">
        <f t="shared" si="145"/>
        <v>8.310249307479145E-3</v>
      </c>
      <c r="BD357" s="4">
        <f t="shared" si="146"/>
        <v>1.0124610591900285E-2</v>
      </c>
      <c r="BE357" s="4">
        <f t="shared" si="147"/>
        <v>2.3910528345545634E-2</v>
      </c>
      <c r="BF357" s="4">
        <f t="shared" si="148"/>
        <v>1.4896867838044336E-2</v>
      </c>
      <c r="BG357" s="4">
        <f t="shared" si="149"/>
        <v>3.7870266216722959E-2</v>
      </c>
      <c r="BH357" s="4">
        <f t="shared" si="150"/>
        <v>6.470165348670065E-3</v>
      </c>
      <c r="BI357" s="4">
        <f t="shared" si="151"/>
        <v>1.2972972972972951E-2</v>
      </c>
      <c r="BJ357" s="4">
        <f t="shared" si="152"/>
        <v>6.5597667638483959E-3</v>
      </c>
      <c r="BK357" s="4">
        <f t="shared" si="153"/>
        <v>2.5575447570332477E-2</v>
      </c>
      <c r="BL357" s="4">
        <f t="shared" si="154"/>
        <v>4.8309178743961567E-3</v>
      </c>
      <c r="BM357" s="4">
        <f t="shared" si="159"/>
        <v>1.8701861481302293E-2</v>
      </c>
      <c r="BN357" s="9">
        <f t="shared" si="160"/>
        <v>13706.633546230923</v>
      </c>
      <c r="BO357" s="10">
        <f t="shared" si="161"/>
        <v>13075.797695761647</v>
      </c>
      <c r="BP357">
        <v>13840</v>
      </c>
      <c r="BQ357">
        <v>13845</v>
      </c>
      <c r="BR357">
        <v>13835</v>
      </c>
      <c r="BS357">
        <v>13840</v>
      </c>
      <c r="BT357">
        <v>8208</v>
      </c>
      <c r="BU357" s="13">
        <f t="shared" si="155"/>
        <v>13840</v>
      </c>
      <c r="BV357" s="13">
        <f t="shared" si="156"/>
        <v>113598720</v>
      </c>
      <c r="BW357" s="13">
        <f>SUM($BV$3:BV357)</f>
        <v>233708377621.66678</v>
      </c>
      <c r="BX357" s="13">
        <f>SUM($BT$3:BT357)</f>
        <v>17037701</v>
      </c>
      <c r="BY357" s="3">
        <f t="shared" si="157"/>
        <v>13717.131062557488</v>
      </c>
    </row>
    <row r="358" spans="1:77" x14ac:dyDescent="0.3">
      <c r="A358" s="3" t="s">
        <v>398</v>
      </c>
      <c r="B358" s="3">
        <v>11720</v>
      </c>
      <c r="C358" s="3">
        <v>11725</v>
      </c>
      <c r="D358" s="3">
        <v>11545</v>
      </c>
      <c r="E358" s="3">
        <v>11545</v>
      </c>
      <c r="F358" s="3">
        <v>11655</v>
      </c>
      <c r="G358" s="3">
        <v>11665</v>
      </c>
      <c r="H358" s="3">
        <v>11510</v>
      </c>
      <c r="I358" s="3">
        <v>11530</v>
      </c>
      <c r="J358" s="3">
        <v>11975</v>
      </c>
      <c r="K358" s="3">
        <v>11980</v>
      </c>
      <c r="L358" s="3">
        <v>12125</v>
      </c>
      <c r="M358" s="3">
        <v>12125</v>
      </c>
      <c r="N358" s="3">
        <v>12690</v>
      </c>
      <c r="O358" s="3">
        <v>12695</v>
      </c>
      <c r="P358" s="3">
        <v>12600</v>
      </c>
      <c r="Q358" s="3">
        <v>12605</v>
      </c>
      <c r="R358" s="3">
        <v>12520</v>
      </c>
      <c r="S358" s="3">
        <v>12515</v>
      </c>
      <c r="T358" s="3">
        <v>12220</v>
      </c>
      <c r="U358" s="3">
        <v>12215</v>
      </c>
      <c r="V358" s="3">
        <v>12730</v>
      </c>
      <c r="W358" s="3">
        <v>12710</v>
      </c>
      <c r="X358" s="3">
        <v>12735</v>
      </c>
      <c r="Y358" s="3">
        <v>12735</v>
      </c>
      <c r="Z358" s="3">
        <v>12710</v>
      </c>
      <c r="AA358" s="3">
        <v>12710</v>
      </c>
      <c r="AB358" s="3">
        <v>13275</v>
      </c>
      <c r="AC358" s="3">
        <v>13275</v>
      </c>
      <c r="AD358" s="3">
        <v>13280</v>
      </c>
      <c r="AE358" s="3">
        <v>13270</v>
      </c>
      <c r="AF358" s="3">
        <v>13840</v>
      </c>
      <c r="AG358" s="3">
        <v>13845</v>
      </c>
      <c r="AH358" s="3">
        <v>14000</v>
      </c>
      <c r="AI358" s="3">
        <v>14005</v>
      </c>
      <c r="AJ358" s="3">
        <v>13705</v>
      </c>
      <c r="AK358" s="3">
        <v>13710</v>
      </c>
      <c r="AL358" s="3">
        <v>13630</v>
      </c>
      <c r="AM358" s="3">
        <v>13630</v>
      </c>
      <c r="AN358" s="3">
        <v>13335</v>
      </c>
      <c r="AO358" s="3">
        <v>13335</v>
      </c>
      <c r="AP358" s="3">
        <v>13390</v>
      </c>
      <c r="AQ358" s="3">
        <v>13395</v>
      </c>
      <c r="AR358" s="4">
        <f t="shared" si="158"/>
        <v>1.6912402428447493E-2</v>
      </c>
      <c r="AS358" s="4">
        <f t="shared" si="135"/>
        <v>4.3290043290045155E-4</v>
      </c>
      <c r="AT358" s="4">
        <f t="shared" si="136"/>
        <v>2.6848591549295753E-2</v>
      </c>
      <c r="AU358" s="4">
        <f t="shared" si="137"/>
        <v>2.1222410865874397E-2</v>
      </c>
      <c r="AV358" s="4">
        <f t="shared" si="138"/>
        <v>2.480752780153983E-2</v>
      </c>
      <c r="AW358" s="4">
        <f t="shared" si="139"/>
        <v>2.2344013490725123E-2</v>
      </c>
      <c r="AX358" s="4">
        <f t="shared" si="140"/>
        <v>4.7874535699546028E-2</v>
      </c>
      <c r="AY358" s="4">
        <f t="shared" si="141"/>
        <v>1.3693270735524288E-2</v>
      </c>
      <c r="AZ358" s="4">
        <f t="shared" si="142"/>
        <v>2.3913909924272447E-3</v>
      </c>
      <c r="BA358" s="4">
        <f t="shared" si="143"/>
        <v>1.2929292929292902E-2</v>
      </c>
      <c r="BB358" s="4">
        <f t="shared" si="144"/>
        <v>3.0401297122010451E-2</v>
      </c>
      <c r="BC358" s="4">
        <f t="shared" si="145"/>
        <v>7.9145231499802016E-3</v>
      </c>
      <c r="BD358" s="4">
        <f t="shared" si="146"/>
        <v>1.0124610591900285E-2</v>
      </c>
      <c r="BE358" s="4">
        <f t="shared" si="147"/>
        <v>2.3910528345545634E-2</v>
      </c>
      <c r="BF358" s="4">
        <f t="shared" si="148"/>
        <v>1.3750954927425507E-2</v>
      </c>
      <c r="BG358" s="4">
        <f t="shared" si="149"/>
        <v>3.8245219347581516E-2</v>
      </c>
      <c r="BH358" s="4">
        <f t="shared" si="150"/>
        <v>6.8296189791516859E-3</v>
      </c>
      <c r="BI358" s="4">
        <f t="shared" si="151"/>
        <v>1.1891891891891881E-2</v>
      </c>
      <c r="BJ358" s="4">
        <f t="shared" si="152"/>
        <v>6.5597667638483959E-3</v>
      </c>
      <c r="BK358" s="4">
        <f t="shared" si="153"/>
        <v>2.5575447570332477E-2</v>
      </c>
      <c r="BL358" s="4">
        <f t="shared" si="154"/>
        <v>4.4593088071348541E-3</v>
      </c>
      <c r="BM358" s="4">
        <f t="shared" si="159"/>
        <v>1.8474703473856293E-2</v>
      </c>
      <c r="BN358" s="9">
        <f t="shared" si="160"/>
        <v>13703.577135240737</v>
      </c>
      <c r="BO358" s="10">
        <f t="shared" si="161"/>
        <v>13078.824576210865</v>
      </c>
      <c r="BP358">
        <v>13840</v>
      </c>
      <c r="BQ358">
        <v>13850</v>
      </c>
      <c r="BR358">
        <v>13840</v>
      </c>
      <c r="BS358">
        <v>13845</v>
      </c>
      <c r="BT358">
        <v>8320</v>
      </c>
      <c r="BU358" s="13">
        <f t="shared" si="155"/>
        <v>13845</v>
      </c>
      <c r="BV358" s="13">
        <f t="shared" si="156"/>
        <v>115190400</v>
      </c>
      <c r="BW358" s="13">
        <f>SUM($BV$3:BV358)</f>
        <v>233823568021.66678</v>
      </c>
      <c r="BX358" s="13">
        <f>SUM($BT$3:BT358)</f>
        <v>17046021</v>
      </c>
      <c r="BY358" s="3">
        <f t="shared" si="157"/>
        <v>13717.193474164251</v>
      </c>
    </row>
    <row r="359" spans="1:77" x14ac:dyDescent="0.3">
      <c r="A359" s="3" t="s">
        <v>399</v>
      </c>
      <c r="B359" s="3">
        <v>11725</v>
      </c>
      <c r="C359" s="3">
        <v>11725</v>
      </c>
      <c r="D359" s="3">
        <v>11540</v>
      </c>
      <c r="E359" s="3">
        <v>11545</v>
      </c>
      <c r="F359" s="3">
        <v>11665</v>
      </c>
      <c r="G359" s="3">
        <v>11670</v>
      </c>
      <c r="H359" s="3">
        <v>11530</v>
      </c>
      <c r="I359" s="3">
        <v>11520</v>
      </c>
      <c r="J359" s="3">
        <v>11985</v>
      </c>
      <c r="K359" s="3">
        <v>11985</v>
      </c>
      <c r="L359" s="3">
        <v>12125</v>
      </c>
      <c r="M359" s="3">
        <v>12120</v>
      </c>
      <c r="N359" s="3">
        <v>12695</v>
      </c>
      <c r="O359" s="3">
        <v>12700</v>
      </c>
      <c r="P359" s="3">
        <v>12610</v>
      </c>
      <c r="Q359" s="3">
        <v>12620</v>
      </c>
      <c r="R359" s="3">
        <v>12515</v>
      </c>
      <c r="S359" s="3">
        <v>12510</v>
      </c>
      <c r="T359" s="3">
        <v>12220</v>
      </c>
      <c r="U359" s="3">
        <v>12245</v>
      </c>
      <c r="V359" s="3">
        <v>12710</v>
      </c>
      <c r="W359" s="3">
        <v>12710</v>
      </c>
      <c r="X359" s="3">
        <v>12740</v>
      </c>
      <c r="Y359" s="3">
        <v>12730</v>
      </c>
      <c r="Z359" s="3">
        <v>12710</v>
      </c>
      <c r="AA359" s="3">
        <v>12705</v>
      </c>
      <c r="AB359" s="3">
        <v>13275</v>
      </c>
      <c r="AC359" s="3">
        <v>13280</v>
      </c>
      <c r="AD359" s="3">
        <v>13275</v>
      </c>
      <c r="AE359" s="3">
        <v>13270</v>
      </c>
      <c r="AF359" s="3">
        <v>13850</v>
      </c>
      <c r="AG359" s="3">
        <v>13870</v>
      </c>
      <c r="AH359" s="3">
        <v>14005</v>
      </c>
      <c r="AI359" s="3">
        <v>13995</v>
      </c>
      <c r="AJ359" s="3">
        <v>13705</v>
      </c>
      <c r="AK359" s="3">
        <v>13695</v>
      </c>
      <c r="AL359" s="3">
        <v>13630</v>
      </c>
      <c r="AM359" s="3">
        <v>13645</v>
      </c>
      <c r="AN359" s="3">
        <v>13340</v>
      </c>
      <c r="AO359" s="3">
        <v>13330</v>
      </c>
      <c r="AP359" s="3">
        <v>13390</v>
      </c>
      <c r="AQ359" s="3">
        <v>13395</v>
      </c>
      <c r="AR359" s="4">
        <f t="shared" si="158"/>
        <v>1.6912402428447493E-2</v>
      </c>
      <c r="AS359" s="4">
        <f t="shared" si="135"/>
        <v>4.3290043290045155E-4</v>
      </c>
      <c r="AT359" s="4">
        <f t="shared" si="136"/>
        <v>2.7288732394366244E-2</v>
      </c>
      <c r="AU359" s="4">
        <f t="shared" si="137"/>
        <v>2.2071307300509324E-2</v>
      </c>
      <c r="AV359" s="4">
        <f t="shared" si="138"/>
        <v>2.5235243798118034E-2</v>
      </c>
      <c r="AW359" s="4">
        <f t="shared" si="139"/>
        <v>2.1922428330522825E-2</v>
      </c>
      <c r="AX359" s="4">
        <f t="shared" si="140"/>
        <v>4.8287247214197304E-2</v>
      </c>
      <c r="AY359" s="4">
        <f t="shared" si="141"/>
        <v>1.2519561815336422E-2</v>
      </c>
      <c r="AZ359" s="4">
        <f t="shared" si="142"/>
        <v>2.789956157831841E-3</v>
      </c>
      <c r="BA359" s="4">
        <f t="shared" si="143"/>
        <v>1.0505050505050462E-2</v>
      </c>
      <c r="BB359" s="4">
        <f t="shared" si="144"/>
        <v>3.0401297122010451E-2</v>
      </c>
      <c r="BC359" s="4">
        <f t="shared" si="145"/>
        <v>7.5187969924812581E-3</v>
      </c>
      <c r="BD359" s="4">
        <f t="shared" si="146"/>
        <v>1.0514018691588745E-2</v>
      </c>
      <c r="BE359" s="4">
        <f t="shared" si="147"/>
        <v>2.4296182028538338E-2</v>
      </c>
      <c r="BF359" s="4">
        <f t="shared" si="148"/>
        <v>1.3750954927425507E-2</v>
      </c>
      <c r="BG359" s="4">
        <f t="shared" si="149"/>
        <v>4.0119985001874747E-2</v>
      </c>
      <c r="BH359" s="4">
        <f t="shared" si="150"/>
        <v>6.1107117181884441E-3</v>
      </c>
      <c r="BI359" s="4">
        <f t="shared" si="151"/>
        <v>1.2972972972972951E-2</v>
      </c>
      <c r="BJ359" s="4">
        <f t="shared" si="152"/>
        <v>5.4664723032069595E-3</v>
      </c>
      <c r="BK359" s="4">
        <f t="shared" si="153"/>
        <v>2.5940811107051487E-2</v>
      </c>
      <c r="BL359" s="4">
        <f t="shared" si="154"/>
        <v>4.4593088071348541E-3</v>
      </c>
      <c r="BM359" s="4">
        <f t="shared" si="159"/>
        <v>1.8395262693634087E-2</v>
      </c>
      <c r="BN359" s="9">
        <f t="shared" si="160"/>
        <v>13702.508259542847</v>
      </c>
      <c r="BO359" s="10">
        <f t="shared" si="161"/>
        <v>13079.883124607326</v>
      </c>
      <c r="BP359">
        <v>13850</v>
      </c>
      <c r="BQ359">
        <v>13870</v>
      </c>
      <c r="BR359">
        <v>13845</v>
      </c>
      <c r="BS359">
        <v>13870</v>
      </c>
      <c r="BT359">
        <v>76129</v>
      </c>
      <c r="BU359" s="13">
        <f t="shared" si="155"/>
        <v>13861.666666666666</v>
      </c>
      <c r="BV359" s="13">
        <f t="shared" si="156"/>
        <v>1055274821.6666666</v>
      </c>
      <c r="BW359" s="13">
        <f>SUM($BV$3:BV359)</f>
        <v>234878842843.33344</v>
      </c>
      <c r="BX359" s="13">
        <f>SUM($BT$3:BT359)</f>
        <v>17122150</v>
      </c>
      <c r="BY359" s="3">
        <f t="shared" si="157"/>
        <v>13717.835835063554</v>
      </c>
    </row>
    <row r="360" spans="1:77" x14ac:dyDescent="0.3">
      <c r="A360" s="3" t="s">
        <v>400</v>
      </c>
      <c r="B360" s="3">
        <v>11730</v>
      </c>
      <c r="C360" s="3">
        <v>11730</v>
      </c>
      <c r="D360" s="3">
        <v>11545</v>
      </c>
      <c r="E360" s="3">
        <v>11540</v>
      </c>
      <c r="F360" s="3">
        <v>11670</v>
      </c>
      <c r="G360" s="3">
        <v>11675</v>
      </c>
      <c r="H360" s="3">
        <v>11520</v>
      </c>
      <c r="I360" s="3">
        <v>11515</v>
      </c>
      <c r="J360" s="3">
        <v>11985</v>
      </c>
      <c r="K360" s="3">
        <v>11995</v>
      </c>
      <c r="L360" s="3">
        <v>12120</v>
      </c>
      <c r="M360" s="3">
        <v>12120</v>
      </c>
      <c r="N360" s="3">
        <v>12700</v>
      </c>
      <c r="O360" s="3">
        <v>12700</v>
      </c>
      <c r="P360" s="3">
        <v>12625</v>
      </c>
      <c r="Q360" s="3">
        <v>12625</v>
      </c>
      <c r="R360" s="3">
        <v>12510</v>
      </c>
      <c r="S360" s="3">
        <v>12525</v>
      </c>
      <c r="T360" s="3">
        <v>12240</v>
      </c>
      <c r="U360" s="3">
        <v>12235</v>
      </c>
      <c r="V360" s="3">
        <v>12710</v>
      </c>
      <c r="W360" s="3">
        <v>12720</v>
      </c>
      <c r="X360" s="3">
        <v>12735</v>
      </c>
      <c r="Y360" s="3">
        <v>12735</v>
      </c>
      <c r="Z360" s="3">
        <v>12710</v>
      </c>
      <c r="AA360" s="3">
        <v>12700</v>
      </c>
      <c r="AB360" s="3">
        <v>13275</v>
      </c>
      <c r="AC360" s="3">
        <v>13280</v>
      </c>
      <c r="AD360" s="3">
        <v>13275</v>
      </c>
      <c r="AE360" s="3">
        <v>13260</v>
      </c>
      <c r="AF360" s="3">
        <v>13870</v>
      </c>
      <c r="AG360" s="3">
        <v>13875</v>
      </c>
      <c r="AH360" s="3">
        <v>13995</v>
      </c>
      <c r="AI360" s="3">
        <v>13995</v>
      </c>
      <c r="AJ360" s="3">
        <v>13695</v>
      </c>
      <c r="AK360" s="3">
        <v>13700</v>
      </c>
      <c r="AL360" s="3">
        <v>13645</v>
      </c>
      <c r="AM360" s="3">
        <v>13650</v>
      </c>
      <c r="AN360" s="3">
        <v>13330</v>
      </c>
      <c r="AO360" s="3">
        <v>13320</v>
      </c>
      <c r="AP360" s="3">
        <v>13395</v>
      </c>
      <c r="AQ360" s="3">
        <v>13395</v>
      </c>
      <c r="AR360" s="4">
        <f t="shared" si="158"/>
        <v>1.7346053772766767E-2</v>
      </c>
      <c r="AS360" s="4">
        <f t="shared" si="135"/>
        <v>8.658008658009031E-4</v>
      </c>
      <c r="AT360" s="4">
        <f t="shared" si="136"/>
        <v>2.7728873239436513E-2</v>
      </c>
      <c r="AU360" s="4">
        <f t="shared" si="137"/>
        <v>2.2495755517826788E-2</v>
      </c>
      <c r="AV360" s="4">
        <f t="shared" si="138"/>
        <v>2.6090675791274665E-2</v>
      </c>
      <c r="AW360" s="4">
        <f t="shared" si="139"/>
        <v>2.1922428330522825E-2</v>
      </c>
      <c r="AX360" s="4">
        <f t="shared" si="140"/>
        <v>4.8287247214197304E-2</v>
      </c>
      <c r="AY360" s="4">
        <f t="shared" si="141"/>
        <v>1.2128325508607207E-2</v>
      </c>
      <c r="AZ360" s="4">
        <f t="shared" si="142"/>
        <v>1.5942606616181632E-3</v>
      </c>
      <c r="BA360" s="4">
        <f t="shared" si="143"/>
        <v>1.1313131313131275E-2</v>
      </c>
      <c r="BB360" s="4">
        <f t="shared" si="144"/>
        <v>3.121199837859745E-2</v>
      </c>
      <c r="BC360" s="4">
        <f t="shared" si="145"/>
        <v>7.9145231499802016E-3</v>
      </c>
      <c r="BD360" s="4">
        <f t="shared" si="146"/>
        <v>1.0903426791277204E-2</v>
      </c>
      <c r="BE360" s="4">
        <f t="shared" si="147"/>
        <v>2.4296182028538338E-2</v>
      </c>
      <c r="BF360" s="4">
        <f t="shared" si="148"/>
        <v>1.298701298701288E-2</v>
      </c>
      <c r="BG360" s="4">
        <f t="shared" si="149"/>
        <v>4.0494938132733305E-2</v>
      </c>
      <c r="BH360" s="4">
        <f t="shared" si="150"/>
        <v>6.1107117181884441E-3</v>
      </c>
      <c r="BI360" s="4">
        <f t="shared" si="151"/>
        <v>1.2612612612612595E-2</v>
      </c>
      <c r="BJ360" s="4">
        <f t="shared" si="152"/>
        <v>5.1020408163264808E-3</v>
      </c>
      <c r="BK360" s="4">
        <f t="shared" si="153"/>
        <v>2.6671538180489618E-2</v>
      </c>
      <c r="BL360" s="4">
        <f t="shared" si="154"/>
        <v>4.4593088071348541E-3</v>
      </c>
      <c r="BM360" s="4">
        <f t="shared" si="159"/>
        <v>1.8552831555558695E-2</v>
      </c>
      <c r="BN360" s="9">
        <f t="shared" si="160"/>
        <v>13704.628348580043</v>
      </c>
      <c r="BO360" s="10">
        <f t="shared" si="161"/>
        <v>13077.783519522181</v>
      </c>
      <c r="BP360">
        <v>13870</v>
      </c>
      <c r="BQ360">
        <v>13880</v>
      </c>
      <c r="BR360">
        <v>13865</v>
      </c>
      <c r="BS360">
        <v>13875</v>
      </c>
      <c r="BT360">
        <v>82546</v>
      </c>
      <c r="BU360" s="13">
        <f t="shared" si="155"/>
        <v>13873.333333333334</v>
      </c>
      <c r="BV360" s="13">
        <f t="shared" si="156"/>
        <v>1145188173.3333335</v>
      </c>
      <c r="BW360" s="13">
        <f>SUM($BV$3:BV360)</f>
        <v>236024031016.66678</v>
      </c>
      <c r="BX360" s="13">
        <f>SUM($BT$3:BT360)</f>
        <v>17204696</v>
      </c>
      <c r="BY360" s="3">
        <f t="shared" si="157"/>
        <v>13718.581892796406</v>
      </c>
    </row>
    <row r="361" spans="1:77" x14ac:dyDescent="0.3">
      <c r="A361" s="3" t="s">
        <v>401</v>
      </c>
      <c r="B361" s="3">
        <v>11725</v>
      </c>
      <c r="C361" s="3">
        <v>11735</v>
      </c>
      <c r="D361" s="3">
        <v>11540</v>
      </c>
      <c r="E361" s="3">
        <v>11545</v>
      </c>
      <c r="F361" s="3">
        <v>11675</v>
      </c>
      <c r="G361" s="3">
        <v>11685</v>
      </c>
      <c r="H361" s="3">
        <v>11520</v>
      </c>
      <c r="I361" s="3">
        <v>11505</v>
      </c>
      <c r="J361" s="3">
        <v>11990</v>
      </c>
      <c r="K361" s="3">
        <v>11990</v>
      </c>
      <c r="L361" s="3">
        <v>12125</v>
      </c>
      <c r="M361" s="3">
        <v>12130</v>
      </c>
      <c r="N361" s="3">
        <v>12700</v>
      </c>
      <c r="O361" s="3">
        <v>12710</v>
      </c>
      <c r="P361" s="3">
        <v>12620</v>
      </c>
      <c r="Q361" s="3">
        <v>12600</v>
      </c>
      <c r="R361" s="3">
        <v>12525</v>
      </c>
      <c r="S361" s="3">
        <v>12520</v>
      </c>
      <c r="T361" s="3">
        <v>12235</v>
      </c>
      <c r="U361" s="3">
        <v>12230</v>
      </c>
      <c r="V361" s="3">
        <v>12720</v>
      </c>
      <c r="W361" s="3">
        <v>12720</v>
      </c>
      <c r="X361" s="3">
        <v>12735</v>
      </c>
      <c r="Y361" s="3">
        <v>12730</v>
      </c>
      <c r="Z361" s="3">
        <v>12700</v>
      </c>
      <c r="AA361" s="3">
        <v>12695</v>
      </c>
      <c r="AB361" s="3">
        <v>13280</v>
      </c>
      <c r="AC361" s="3">
        <v>13275</v>
      </c>
      <c r="AD361" s="3">
        <v>13260</v>
      </c>
      <c r="AE361" s="3">
        <v>13275</v>
      </c>
      <c r="AF361" s="3">
        <v>13870</v>
      </c>
      <c r="AG361" s="3">
        <v>13875</v>
      </c>
      <c r="AH361" s="3">
        <v>13995</v>
      </c>
      <c r="AI361" s="3">
        <v>13980</v>
      </c>
      <c r="AJ361" s="3">
        <v>13700</v>
      </c>
      <c r="AK361" s="3">
        <v>13695</v>
      </c>
      <c r="AL361" s="3">
        <v>13650</v>
      </c>
      <c r="AM361" s="3">
        <v>13640</v>
      </c>
      <c r="AN361" s="3">
        <v>13325</v>
      </c>
      <c r="AO361" s="3">
        <v>13330</v>
      </c>
      <c r="AP361" s="3">
        <v>13390</v>
      </c>
      <c r="AQ361" s="3">
        <v>13405</v>
      </c>
      <c r="AR361" s="4">
        <f t="shared" si="158"/>
        <v>1.777970511708582E-2</v>
      </c>
      <c r="AS361" s="4">
        <f t="shared" si="135"/>
        <v>4.3290043290045155E-4</v>
      </c>
      <c r="AT361" s="4">
        <f t="shared" si="136"/>
        <v>2.8609154929577496E-2</v>
      </c>
      <c r="AU361" s="4">
        <f t="shared" si="137"/>
        <v>2.3344651952461826E-2</v>
      </c>
      <c r="AV361" s="4">
        <f t="shared" si="138"/>
        <v>2.5662959794696238E-2</v>
      </c>
      <c r="AW361" s="4">
        <f t="shared" si="139"/>
        <v>2.2765598650927421E-2</v>
      </c>
      <c r="AX361" s="4">
        <f t="shared" si="140"/>
        <v>4.9112670243499856E-2</v>
      </c>
      <c r="AY361" s="4">
        <f t="shared" si="141"/>
        <v>1.4084507042253502E-2</v>
      </c>
      <c r="AZ361" s="4">
        <f t="shared" si="142"/>
        <v>1.9928258270227595E-3</v>
      </c>
      <c r="BA361" s="4">
        <f t="shared" si="143"/>
        <v>1.1717171717171682E-2</v>
      </c>
      <c r="BB361" s="4">
        <f t="shared" si="144"/>
        <v>3.121199837859745E-2</v>
      </c>
      <c r="BC361" s="4">
        <f t="shared" si="145"/>
        <v>7.5187969924812581E-3</v>
      </c>
      <c r="BD361" s="4">
        <f t="shared" si="146"/>
        <v>1.1292834890965775E-2</v>
      </c>
      <c r="BE361" s="4">
        <f t="shared" si="147"/>
        <v>2.3910528345545634E-2</v>
      </c>
      <c r="BF361" s="4">
        <f t="shared" si="148"/>
        <v>1.413292589763171E-2</v>
      </c>
      <c r="BG361" s="4">
        <f t="shared" si="149"/>
        <v>4.0494938132733305E-2</v>
      </c>
      <c r="BH361" s="4">
        <f t="shared" si="150"/>
        <v>5.0323508267433592E-3</v>
      </c>
      <c r="BI361" s="4">
        <f t="shared" si="151"/>
        <v>1.2972972972972951E-2</v>
      </c>
      <c r="BJ361" s="4">
        <f t="shared" si="152"/>
        <v>5.8309037900874383E-3</v>
      </c>
      <c r="BK361" s="4">
        <f t="shared" si="153"/>
        <v>2.5940811107051487E-2</v>
      </c>
      <c r="BL361" s="4">
        <f t="shared" si="154"/>
        <v>3.7160906726123599E-3</v>
      </c>
      <c r="BM361" s="4">
        <f t="shared" si="159"/>
        <v>1.8984966078266646E-2</v>
      </c>
      <c r="BN361" s="9">
        <f t="shared" si="160"/>
        <v>13710.442718583077</v>
      </c>
      <c r="BO361" s="10">
        <f t="shared" si="161"/>
        <v>13072.025327007097</v>
      </c>
      <c r="BP361">
        <v>13870</v>
      </c>
      <c r="BQ361">
        <v>13880</v>
      </c>
      <c r="BR361">
        <v>13865</v>
      </c>
      <c r="BS361">
        <v>13875</v>
      </c>
      <c r="BT361">
        <v>32549</v>
      </c>
      <c r="BU361" s="13">
        <f t="shared" si="155"/>
        <v>13873.333333333334</v>
      </c>
      <c r="BV361" s="13">
        <f t="shared" si="156"/>
        <v>451563126.66666669</v>
      </c>
      <c r="BW361" s="13">
        <f>SUM($BV$3:BV361)</f>
        <v>236475594143.33344</v>
      </c>
      <c r="BX361" s="13">
        <f>SUM($BT$3:BT361)</f>
        <v>17237245</v>
      </c>
      <c r="BY361" s="3">
        <f t="shared" si="157"/>
        <v>13718.87410913597</v>
      </c>
    </row>
    <row r="362" spans="1:77" x14ac:dyDescent="0.3">
      <c r="A362" s="3" t="s">
        <v>402</v>
      </c>
      <c r="B362" s="3">
        <v>11735</v>
      </c>
      <c r="C362" s="3">
        <v>11730</v>
      </c>
      <c r="D362" s="3">
        <v>11545</v>
      </c>
      <c r="E362" s="3">
        <v>11545</v>
      </c>
      <c r="F362" s="3">
        <v>11685</v>
      </c>
      <c r="G362" s="3">
        <v>11685</v>
      </c>
      <c r="H362" s="3">
        <v>11505</v>
      </c>
      <c r="I362" s="3">
        <v>11505</v>
      </c>
      <c r="J362" s="3">
        <v>11990</v>
      </c>
      <c r="K362" s="3">
        <v>11985</v>
      </c>
      <c r="L362" s="3">
        <v>12130</v>
      </c>
      <c r="M362" s="3">
        <v>12135</v>
      </c>
      <c r="N362" s="3">
        <v>12710</v>
      </c>
      <c r="O362" s="3">
        <v>12710</v>
      </c>
      <c r="P362" s="3">
        <v>12595</v>
      </c>
      <c r="Q362" s="3">
        <v>12600</v>
      </c>
      <c r="R362" s="3">
        <v>12520</v>
      </c>
      <c r="S362" s="3">
        <v>12520</v>
      </c>
      <c r="T362" s="3">
        <v>12235</v>
      </c>
      <c r="U362" s="3">
        <v>12235</v>
      </c>
      <c r="V362" s="3">
        <v>12715</v>
      </c>
      <c r="W362" s="3">
        <v>12710</v>
      </c>
      <c r="X362" s="3">
        <v>12730</v>
      </c>
      <c r="Y362" s="3">
        <v>12735</v>
      </c>
      <c r="Z362" s="3">
        <v>12695</v>
      </c>
      <c r="AA362" s="3">
        <v>12700</v>
      </c>
      <c r="AB362" s="3">
        <v>13275</v>
      </c>
      <c r="AC362" s="3">
        <v>13265</v>
      </c>
      <c r="AD362" s="3">
        <v>13275</v>
      </c>
      <c r="AE362" s="3">
        <v>13270</v>
      </c>
      <c r="AF362" s="3">
        <v>13875</v>
      </c>
      <c r="AG362" s="3">
        <v>13870</v>
      </c>
      <c r="AH362" s="3">
        <v>13980</v>
      </c>
      <c r="AI362" s="3">
        <v>13960</v>
      </c>
      <c r="AJ362" s="3">
        <v>13695</v>
      </c>
      <c r="AK362" s="3">
        <v>13685</v>
      </c>
      <c r="AL362" s="3">
        <v>13645</v>
      </c>
      <c r="AM362" s="3">
        <v>13635</v>
      </c>
      <c r="AN362" s="3">
        <v>13330</v>
      </c>
      <c r="AO362" s="3">
        <v>13330</v>
      </c>
      <c r="AP362" s="3">
        <v>13410</v>
      </c>
      <c r="AQ362" s="3">
        <v>13400</v>
      </c>
      <c r="AR362" s="4">
        <f t="shared" si="158"/>
        <v>1.7346053772766767E-2</v>
      </c>
      <c r="AS362" s="4">
        <f t="shared" si="135"/>
        <v>4.3290043290045155E-4</v>
      </c>
      <c r="AT362" s="4">
        <f t="shared" si="136"/>
        <v>2.8609154929577496E-2</v>
      </c>
      <c r="AU362" s="4">
        <f t="shared" si="137"/>
        <v>2.3344651952461826E-2</v>
      </c>
      <c r="AV362" s="4">
        <f t="shared" si="138"/>
        <v>2.5235243798118034E-2</v>
      </c>
      <c r="AW362" s="4">
        <f t="shared" si="139"/>
        <v>2.3187183811129941E-2</v>
      </c>
      <c r="AX362" s="4">
        <f t="shared" si="140"/>
        <v>4.9112670243499856E-2</v>
      </c>
      <c r="AY362" s="4">
        <f t="shared" si="141"/>
        <v>1.4084507042253502E-2</v>
      </c>
      <c r="AZ362" s="4">
        <f t="shared" si="142"/>
        <v>1.9928258270227595E-3</v>
      </c>
      <c r="BA362" s="4">
        <f t="shared" si="143"/>
        <v>1.1313131313131275E-2</v>
      </c>
      <c r="BB362" s="4">
        <f t="shared" si="144"/>
        <v>3.0401297122010451E-2</v>
      </c>
      <c r="BC362" s="4">
        <f t="shared" si="145"/>
        <v>7.9145231499802016E-3</v>
      </c>
      <c r="BD362" s="4">
        <f t="shared" si="146"/>
        <v>1.0903426791277204E-2</v>
      </c>
      <c r="BE362" s="4">
        <f t="shared" si="147"/>
        <v>2.3139220979560449E-2</v>
      </c>
      <c r="BF362" s="4">
        <f t="shared" si="148"/>
        <v>1.3750954927425507E-2</v>
      </c>
      <c r="BG362" s="4">
        <f t="shared" si="149"/>
        <v>4.0119985001874747E-2</v>
      </c>
      <c r="BH362" s="4">
        <f t="shared" si="150"/>
        <v>3.5945363048166534E-3</v>
      </c>
      <c r="BI362" s="4">
        <f t="shared" si="151"/>
        <v>1.3693693693693665E-2</v>
      </c>
      <c r="BJ362" s="4">
        <f t="shared" si="152"/>
        <v>6.1953352769679171E-3</v>
      </c>
      <c r="BK362" s="4">
        <f t="shared" si="153"/>
        <v>2.5940811107051487E-2</v>
      </c>
      <c r="BL362" s="4">
        <f t="shared" si="154"/>
        <v>4.0876997398736625E-3</v>
      </c>
      <c r="BM362" s="4">
        <f t="shared" si="159"/>
        <v>1.881583516573921E-2</v>
      </c>
      <c r="BN362" s="9">
        <f t="shared" si="160"/>
        <v>13708.167062155022</v>
      </c>
      <c r="BO362" s="10">
        <f t="shared" si="161"/>
        <v>13074.278996416524</v>
      </c>
      <c r="BP362">
        <v>13875</v>
      </c>
      <c r="BQ362">
        <v>13875</v>
      </c>
      <c r="BR362">
        <v>13870</v>
      </c>
      <c r="BS362">
        <v>13870</v>
      </c>
      <c r="BT362">
        <v>17088</v>
      </c>
      <c r="BU362" s="13">
        <f t="shared" si="155"/>
        <v>13871.666666666666</v>
      </c>
      <c r="BV362" s="13">
        <f t="shared" si="156"/>
        <v>237039040</v>
      </c>
      <c r="BW362" s="13">
        <f>SUM($BV$3:BV362)</f>
        <v>236712633183.33344</v>
      </c>
      <c r="BX362" s="13">
        <f>SUM($BT$3:BT362)</f>
        <v>17254333</v>
      </c>
      <c r="BY362" s="3">
        <f t="shared" si="157"/>
        <v>13719.025428762354</v>
      </c>
    </row>
    <row r="363" spans="1:77" x14ac:dyDescent="0.3">
      <c r="A363" s="3" t="s">
        <v>403</v>
      </c>
      <c r="B363" s="3">
        <v>11725</v>
      </c>
      <c r="C363" s="3">
        <v>11730</v>
      </c>
      <c r="D363" s="3">
        <v>11545</v>
      </c>
      <c r="E363" s="3">
        <v>11550</v>
      </c>
      <c r="F363" s="3">
        <v>11685</v>
      </c>
      <c r="G363" s="3">
        <v>11685</v>
      </c>
      <c r="H363" s="3">
        <v>11505</v>
      </c>
      <c r="I363" s="3">
        <v>11490</v>
      </c>
      <c r="J363" s="3">
        <v>11985</v>
      </c>
      <c r="K363" s="3">
        <v>11975</v>
      </c>
      <c r="L363" s="3">
        <v>12135</v>
      </c>
      <c r="M363" s="3">
        <v>12135</v>
      </c>
      <c r="N363" s="3">
        <v>12710</v>
      </c>
      <c r="O363" s="3">
        <v>12700</v>
      </c>
      <c r="P363" s="3">
        <v>12605</v>
      </c>
      <c r="Q363" s="3">
        <v>12605</v>
      </c>
      <c r="R363" s="3">
        <v>12515</v>
      </c>
      <c r="S363" s="3">
        <v>12515</v>
      </c>
      <c r="T363" s="3">
        <v>12235</v>
      </c>
      <c r="U363" s="3">
        <v>12240</v>
      </c>
      <c r="V363" s="3">
        <v>12705</v>
      </c>
      <c r="W363" s="3">
        <v>12690</v>
      </c>
      <c r="X363" s="3">
        <v>12740</v>
      </c>
      <c r="Y363" s="3">
        <v>12750</v>
      </c>
      <c r="Z363" s="3">
        <v>12700</v>
      </c>
      <c r="AA363" s="3">
        <v>12705</v>
      </c>
      <c r="AB363" s="3">
        <v>13265</v>
      </c>
      <c r="AC363" s="3">
        <v>13260</v>
      </c>
      <c r="AD363" s="3">
        <v>13270</v>
      </c>
      <c r="AE363" s="3">
        <v>13280</v>
      </c>
      <c r="AF363" s="3">
        <v>13870</v>
      </c>
      <c r="AG363" s="3">
        <v>13860</v>
      </c>
      <c r="AH363" s="3">
        <v>13960</v>
      </c>
      <c r="AI363" s="3">
        <v>13955</v>
      </c>
      <c r="AJ363" s="3">
        <v>13685</v>
      </c>
      <c r="AK363" s="3">
        <v>13715</v>
      </c>
      <c r="AL363" s="3">
        <v>13640</v>
      </c>
      <c r="AM363" s="3">
        <v>13640</v>
      </c>
      <c r="AN363" s="3">
        <v>13330</v>
      </c>
      <c r="AO363" s="3">
        <v>13340</v>
      </c>
      <c r="AP363" s="3">
        <v>13395</v>
      </c>
      <c r="AQ363" s="3">
        <v>13405</v>
      </c>
      <c r="AR363" s="4">
        <f t="shared" si="158"/>
        <v>1.7346053772766767E-2</v>
      </c>
      <c r="AS363" s="4">
        <f t="shared" si="135"/>
        <v>0</v>
      </c>
      <c r="AT363" s="4">
        <f t="shared" si="136"/>
        <v>2.8609154929577496E-2</v>
      </c>
      <c r="AU363" s="4">
        <f t="shared" si="137"/>
        <v>2.4617996604414216E-2</v>
      </c>
      <c r="AV363" s="4">
        <f t="shared" si="138"/>
        <v>2.4379811804961404E-2</v>
      </c>
      <c r="AW363" s="4">
        <f t="shared" si="139"/>
        <v>2.3187183811129941E-2</v>
      </c>
      <c r="AX363" s="4">
        <f t="shared" si="140"/>
        <v>4.8287247214197304E-2</v>
      </c>
      <c r="AY363" s="4">
        <f t="shared" si="141"/>
        <v>1.3693270735524288E-2</v>
      </c>
      <c r="AZ363" s="4">
        <f t="shared" si="142"/>
        <v>2.3913909924272447E-3</v>
      </c>
      <c r="BA363" s="4">
        <f t="shared" si="143"/>
        <v>1.0909090909090868E-2</v>
      </c>
      <c r="BB363" s="4">
        <f t="shared" si="144"/>
        <v>2.8779894608836676E-2</v>
      </c>
      <c r="BC363" s="4">
        <f t="shared" si="145"/>
        <v>9.101701622477254E-3</v>
      </c>
      <c r="BD363" s="4">
        <f t="shared" si="146"/>
        <v>1.0514018691588745E-2</v>
      </c>
      <c r="BE363" s="4">
        <f t="shared" si="147"/>
        <v>2.2753567296567745E-2</v>
      </c>
      <c r="BF363" s="4">
        <f t="shared" si="148"/>
        <v>1.4514896867838134E-2</v>
      </c>
      <c r="BG363" s="4">
        <f t="shared" si="149"/>
        <v>3.937007874015741E-2</v>
      </c>
      <c r="BH363" s="4">
        <f t="shared" si="150"/>
        <v>3.2350826743350325E-3</v>
      </c>
      <c r="BI363" s="4">
        <f t="shared" si="151"/>
        <v>1.1531531531531525E-2</v>
      </c>
      <c r="BJ363" s="4">
        <f t="shared" si="152"/>
        <v>5.8309037900874383E-3</v>
      </c>
      <c r="BK363" s="4">
        <f t="shared" si="153"/>
        <v>2.5210084033613467E-2</v>
      </c>
      <c r="BL363" s="4">
        <f t="shared" si="154"/>
        <v>3.7160906726123599E-3</v>
      </c>
      <c r="BM363" s="4">
        <f t="shared" si="159"/>
        <v>1.8695659006330807E-2</v>
      </c>
      <c r="BN363" s="9">
        <f t="shared" si="160"/>
        <v>13706.550091930179</v>
      </c>
      <c r="BO363" s="10">
        <f t="shared" si="161"/>
        <v>13075.88034374064</v>
      </c>
      <c r="BP363">
        <v>13870</v>
      </c>
      <c r="BQ363">
        <v>13870</v>
      </c>
      <c r="BR363">
        <v>13850</v>
      </c>
      <c r="BS363">
        <v>13860</v>
      </c>
      <c r="BT363">
        <v>17838</v>
      </c>
      <c r="BU363" s="13">
        <f t="shared" si="155"/>
        <v>13860</v>
      </c>
      <c r="BV363" s="13">
        <f t="shared" si="156"/>
        <v>247234680</v>
      </c>
      <c r="BW363" s="13">
        <f>SUM($BV$3:BV363)</f>
        <v>236959867863.33344</v>
      </c>
      <c r="BX363" s="13">
        <f>SUM($BT$3:BT363)</f>
        <v>17272171</v>
      </c>
      <c r="BY363" s="3">
        <f t="shared" si="157"/>
        <v>13719.171021600783</v>
      </c>
    </row>
    <row r="364" spans="1:77" x14ac:dyDescent="0.3">
      <c r="A364" s="3" t="s">
        <v>404</v>
      </c>
      <c r="B364" s="3">
        <v>11735</v>
      </c>
      <c r="C364" s="3">
        <v>11735</v>
      </c>
      <c r="D364" s="3">
        <v>11555</v>
      </c>
      <c r="E364" s="3">
        <v>11555</v>
      </c>
      <c r="F364" s="3">
        <v>11685</v>
      </c>
      <c r="G364" s="3">
        <v>11675</v>
      </c>
      <c r="H364" s="3">
        <v>11485</v>
      </c>
      <c r="I364" s="3">
        <v>11485</v>
      </c>
      <c r="J364" s="3">
        <v>11980</v>
      </c>
      <c r="K364" s="3">
        <v>11980</v>
      </c>
      <c r="L364" s="3">
        <v>12135</v>
      </c>
      <c r="M364" s="3">
        <v>12145</v>
      </c>
      <c r="N364" s="3">
        <v>12700</v>
      </c>
      <c r="O364" s="3">
        <v>12700</v>
      </c>
      <c r="P364" s="3">
        <v>12605</v>
      </c>
      <c r="Q364" s="3">
        <v>12615</v>
      </c>
      <c r="R364" s="3">
        <v>12520</v>
      </c>
      <c r="S364" s="3">
        <v>12520</v>
      </c>
      <c r="T364" s="3">
        <v>12240</v>
      </c>
      <c r="U364" s="3">
        <v>12220</v>
      </c>
      <c r="V364" s="3">
        <v>12690</v>
      </c>
      <c r="W364" s="3">
        <v>12695</v>
      </c>
      <c r="X364" s="3">
        <v>12745</v>
      </c>
      <c r="Y364" s="3">
        <v>12735</v>
      </c>
      <c r="Z364" s="3">
        <v>12700</v>
      </c>
      <c r="AA364" s="3">
        <v>12705</v>
      </c>
      <c r="AB364" s="3">
        <v>13260</v>
      </c>
      <c r="AC364" s="3">
        <v>13250</v>
      </c>
      <c r="AD364" s="3">
        <v>13280</v>
      </c>
      <c r="AE364" s="3">
        <v>13260</v>
      </c>
      <c r="AF364" s="3">
        <v>13860</v>
      </c>
      <c r="AG364" s="3">
        <v>13840</v>
      </c>
      <c r="AH364" s="3">
        <v>13960</v>
      </c>
      <c r="AI364" s="3">
        <v>13930</v>
      </c>
      <c r="AJ364" s="3">
        <v>13710</v>
      </c>
      <c r="AK364" s="3">
        <v>13715</v>
      </c>
      <c r="AL364" s="3">
        <v>13640</v>
      </c>
      <c r="AM364" s="3">
        <v>13625</v>
      </c>
      <c r="AN364" s="3">
        <v>13340</v>
      </c>
      <c r="AO364" s="3">
        <v>13345</v>
      </c>
      <c r="AP364" s="3">
        <v>13405</v>
      </c>
      <c r="AQ364" s="3">
        <v>13395</v>
      </c>
      <c r="AR364" s="4">
        <f t="shared" si="158"/>
        <v>1.777970511708582E-2</v>
      </c>
      <c r="AS364" s="4">
        <f t="shared" si="135"/>
        <v>4.3290043290045155E-4</v>
      </c>
      <c r="AT364" s="4">
        <f t="shared" si="136"/>
        <v>2.7728873239436513E-2</v>
      </c>
      <c r="AU364" s="4">
        <f t="shared" si="137"/>
        <v>2.5042444821731791E-2</v>
      </c>
      <c r="AV364" s="4">
        <f t="shared" si="138"/>
        <v>2.480752780153983E-2</v>
      </c>
      <c r="AW364" s="4">
        <f t="shared" si="139"/>
        <v>2.4030354131534537E-2</v>
      </c>
      <c r="AX364" s="4">
        <f t="shared" si="140"/>
        <v>4.8287247214197304E-2</v>
      </c>
      <c r="AY364" s="4">
        <f t="shared" si="141"/>
        <v>1.2910798122065748E-2</v>
      </c>
      <c r="AZ364" s="4">
        <f t="shared" si="142"/>
        <v>1.9928258270227595E-3</v>
      </c>
      <c r="BA364" s="4">
        <f t="shared" si="143"/>
        <v>1.2525252525252495E-2</v>
      </c>
      <c r="BB364" s="4">
        <f t="shared" si="144"/>
        <v>2.9185245237130175E-2</v>
      </c>
      <c r="BC364" s="4">
        <f t="shared" si="145"/>
        <v>7.9145231499802016E-3</v>
      </c>
      <c r="BD364" s="4">
        <f t="shared" si="146"/>
        <v>1.0514018691588745E-2</v>
      </c>
      <c r="BE364" s="4">
        <f t="shared" si="147"/>
        <v>2.1982259930582337E-2</v>
      </c>
      <c r="BF364" s="4">
        <f t="shared" si="148"/>
        <v>1.298701298701288E-2</v>
      </c>
      <c r="BG364" s="4">
        <f t="shared" si="149"/>
        <v>3.7870266216722959E-2</v>
      </c>
      <c r="BH364" s="4">
        <f t="shared" si="150"/>
        <v>1.4378145219267058E-3</v>
      </c>
      <c r="BI364" s="4">
        <f t="shared" si="151"/>
        <v>1.1531531531531525E-2</v>
      </c>
      <c r="BJ364" s="4">
        <f t="shared" si="152"/>
        <v>6.9241982507288746E-3</v>
      </c>
      <c r="BK364" s="4">
        <f t="shared" si="153"/>
        <v>2.4844720496894457E-2</v>
      </c>
      <c r="BL364" s="4">
        <f t="shared" si="154"/>
        <v>4.4593088071348541E-3</v>
      </c>
      <c r="BM364" s="4">
        <f t="shared" si="159"/>
        <v>1.8595806007998268E-2</v>
      </c>
      <c r="BN364" s="9">
        <f t="shared" si="160"/>
        <v>13705.206569837617</v>
      </c>
      <c r="BO364" s="10">
        <f t="shared" si="161"/>
        <v>13077.210884943423</v>
      </c>
      <c r="BP364">
        <v>13860</v>
      </c>
      <c r="BQ364">
        <v>13860</v>
      </c>
      <c r="BR364">
        <v>13840</v>
      </c>
      <c r="BS364">
        <v>13840</v>
      </c>
      <c r="BT364">
        <v>25596</v>
      </c>
      <c r="BU364" s="13">
        <f t="shared" si="155"/>
        <v>13846.666666666666</v>
      </c>
      <c r="BV364" s="13">
        <f t="shared" si="156"/>
        <v>354419280</v>
      </c>
      <c r="BW364" s="13">
        <f>SUM($BV$3:BV364)</f>
        <v>237314287143.33344</v>
      </c>
      <c r="BX364" s="13">
        <f>SUM($BT$3:BT364)</f>
        <v>17297767</v>
      </c>
      <c r="BY364" s="3">
        <f t="shared" si="157"/>
        <v>13719.359680549138</v>
      </c>
    </row>
    <row r="365" spans="1:77" x14ac:dyDescent="0.3">
      <c r="A365" s="3" t="s">
        <v>405</v>
      </c>
      <c r="B365" s="3">
        <v>11735</v>
      </c>
      <c r="C365" s="3">
        <v>11735</v>
      </c>
      <c r="D365" s="3">
        <v>11555</v>
      </c>
      <c r="E365" s="3">
        <v>11570</v>
      </c>
      <c r="F365" s="3">
        <v>11675</v>
      </c>
      <c r="G365" s="3">
        <v>11675</v>
      </c>
      <c r="H365" s="3">
        <v>11485</v>
      </c>
      <c r="I365" s="3">
        <v>11480</v>
      </c>
      <c r="J365" s="3">
        <v>11985</v>
      </c>
      <c r="K365" s="3">
        <v>11980</v>
      </c>
      <c r="L365" s="3">
        <v>12140</v>
      </c>
      <c r="M365" s="3">
        <v>12145</v>
      </c>
      <c r="N365" s="3">
        <v>12695</v>
      </c>
      <c r="O365" s="3">
        <v>12695</v>
      </c>
      <c r="P365" s="3">
        <v>12615</v>
      </c>
      <c r="Q365" s="3">
        <v>12610</v>
      </c>
      <c r="R365" s="3">
        <v>12520</v>
      </c>
      <c r="S365" s="3">
        <v>12515</v>
      </c>
      <c r="T365" s="3">
        <v>12220</v>
      </c>
      <c r="U365" s="3">
        <v>12230</v>
      </c>
      <c r="V365" s="3">
        <v>12695</v>
      </c>
      <c r="W365" s="3">
        <v>12695</v>
      </c>
      <c r="X365" s="3">
        <v>12740</v>
      </c>
      <c r="Y365" s="3">
        <v>12750</v>
      </c>
      <c r="Z365" s="3">
        <v>12705</v>
      </c>
      <c r="AA365" s="3">
        <v>12705</v>
      </c>
      <c r="AB365" s="3">
        <v>13250</v>
      </c>
      <c r="AC365" s="3">
        <v>13245</v>
      </c>
      <c r="AD365" s="3">
        <v>13265</v>
      </c>
      <c r="AE365" s="3">
        <v>13270</v>
      </c>
      <c r="AF365" s="3">
        <v>13845</v>
      </c>
      <c r="AG365" s="3">
        <v>13860</v>
      </c>
      <c r="AH365" s="3">
        <v>13930</v>
      </c>
      <c r="AI365" s="3">
        <v>13935</v>
      </c>
      <c r="AJ365" s="3">
        <v>13715</v>
      </c>
      <c r="AK365" s="3">
        <v>13720</v>
      </c>
      <c r="AL365" s="3">
        <v>13630</v>
      </c>
      <c r="AM365" s="3">
        <v>13625</v>
      </c>
      <c r="AN365" s="3">
        <v>13350</v>
      </c>
      <c r="AO365" s="3">
        <v>13355</v>
      </c>
      <c r="AP365" s="3">
        <v>13395</v>
      </c>
      <c r="AQ365" s="3">
        <v>13400</v>
      </c>
      <c r="AR365" s="4">
        <f t="shared" si="158"/>
        <v>1.777970511708582E-2</v>
      </c>
      <c r="AS365" s="4">
        <f t="shared" si="135"/>
        <v>1.7316017316018062E-3</v>
      </c>
      <c r="AT365" s="4">
        <f t="shared" si="136"/>
        <v>2.7728873239436513E-2</v>
      </c>
      <c r="AU365" s="4">
        <f t="shared" si="137"/>
        <v>2.5466893039049254E-2</v>
      </c>
      <c r="AV365" s="4">
        <f t="shared" si="138"/>
        <v>2.480752780153983E-2</v>
      </c>
      <c r="AW365" s="4">
        <f t="shared" si="139"/>
        <v>2.4030354131534537E-2</v>
      </c>
      <c r="AX365" s="4">
        <f t="shared" si="140"/>
        <v>4.7874535699546028E-2</v>
      </c>
      <c r="AY365" s="4">
        <f t="shared" si="141"/>
        <v>1.3302034428794962E-2</v>
      </c>
      <c r="AZ365" s="4">
        <f t="shared" si="142"/>
        <v>2.3913909924272447E-3</v>
      </c>
      <c r="BA365" s="4">
        <f t="shared" si="143"/>
        <v>1.1717171717171682E-2</v>
      </c>
      <c r="BB365" s="4">
        <f t="shared" si="144"/>
        <v>2.9185245237130175E-2</v>
      </c>
      <c r="BC365" s="4">
        <f t="shared" si="145"/>
        <v>9.101701622477254E-3</v>
      </c>
      <c r="BD365" s="4">
        <f t="shared" si="146"/>
        <v>1.0514018691588745E-2</v>
      </c>
      <c r="BE365" s="4">
        <f t="shared" si="147"/>
        <v>2.1596606247589634E-2</v>
      </c>
      <c r="BF365" s="4">
        <f t="shared" si="148"/>
        <v>1.3750954927425507E-2</v>
      </c>
      <c r="BG365" s="4">
        <f t="shared" si="149"/>
        <v>3.937007874015741E-2</v>
      </c>
      <c r="BH365" s="4">
        <f t="shared" si="150"/>
        <v>1.7972681524083267E-3</v>
      </c>
      <c r="BI365" s="4">
        <f t="shared" si="151"/>
        <v>1.1171171171171168E-2</v>
      </c>
      <c r="BJ365" s="4">
        <f t="shared" si="152"/>
        <v>6.9241982507288746E-3</v>
      </c>
      <c r="BK365" s="4">
        <f t="shared" si="153"/>
        <v>2.4113993423456326E-2</v>
      </c>
      <c r="BL365" s="4">
        <f t="shared" si="154"/>
        <v>4.0876997398736625E-3</v>
      </c>
      <c r="BM365" s="4">
        <f t="shared" si="159"/>
        <v>1.8799922107665228E-2</v>
      </c>
      <c r="BN365" s="9">
        <f t="shared" si="160"/>
        <v>13707.952951958634</v>
      </c>
      <c r="BO365" s="10">
        <f t="shared" si="161"/>
        <v>13074.491037915361</v>
      </c>
      <c r="BP365">
        <v>13845</v>
      </c>
      <c r="BQ365">
        <v>13860</v>
      </c>
      <c r="BR365">
        <v>13840</v>
      </c>
      <c r="BS365">
        <v>13860</v>
      </c>
      <c r="BT365">
        <v>19096</v>
      </c>
      <c r="BU365" s="13">
        <f t="shared" si="155"/>
        <v>13853.333333333334</v>
      </c>
      <c r="BV365" s="13">
        <f t="shared" si="156"/>
        <v>264543253.33333334</v>
      </c>
      <c r="BW365" s="13">
        <f>SUM($BV$3:BV365)</f>
        <v>237578830396.66678</v>
      </c>
      <c r="BX365" s="13">
        <f>SUM($BT$3:BT365)</f>
        <v>17316863</v>
      </c>
      <c r="BY365" s="3">
        <f t="shared" si="157"/>
        <v>13719.507418674317</v>
      </c>
    </row>
    <row r="366" spans="1:77" x14ac:dyDescent="0.3">
      <c r="A366" s="3" t="s">
        <v>406</v>
      </c>
      <c r="B366" s="3">
        <v>11740</v>
      </c>
      <c r="C366" s="3">
        <v>11745</v>
      </c>
      <c r="D366" s="3">
        <v>11575</v>
      </c>
      <c r="E366" s="3">
        <v>11575</v>
      </c>
      <c r="F366" s="3">
        <v>11670</v>
      </c>
      <c r="G366" s="3">
        <v>11670</v>
      </c>
      <c r="H366" s="3">
        <v>11485</v>
      </c>
      <c r="I366" s="3">
        <v>11470</v>
      </c>
      <c r="J366" s="3">
        <v>11985</v>
      </c>
      <c r="K366" s="3">
        <v>11990</v>
      </c>
      <c r="L366" s="3">
        <v>12145</v>
      </c>
      <c r="M366" s="3">
        <v>12130</v>
      </c>
      <c r="N366" s="3">
        <v>12695</v>
      </c>
      <c r="O366" s="3">
        <v>12695</v>
      </c>
      <c r="P366" s="3">
        <v>12610</v>
      </c>
      <c r="Q366" s="3">
        <v>12595</v>
      </c>
      <c r="R366" s="3">
        <v>12515</v>
      </c>
      <c r="S366" s="3">
        <v>12530</v>
      </c>
      <c r="T366" s="3">
        <v>12225</v>
      </c>
      <c r="U366" s="3">
        <v>12220</v>
      </c>
      <c r="V366" s="3">
        <v>12695</v>
      </c>
      <c r="W366" s="3">
        <v>12710</v>
      </c>
      <c r="X366" s="3">
        <v>12745</v>
      </c>
      <c r="Y366" s="3">
        <v>12745</v>
      </c>
      <c r="Z366" s="3">
        <v>12705</v>
      </c>
      <c r="AA366" s="3">
        <v>12700</v>
      </c>
      <c r="AB366" s="3">
        <v>13245</v>
      </c>
      <c r="AC366" s="3">
        <v>13240</v>
      </c>
      <c r="AD366" s="3">
        <v>13275</v>
      </c>
      <c r="AE366" s="3">
        <v>13265</v>
      </c>
      <c r="AF366" s="3">
        <v>13860</v>
      </c>
      <c r="AG366" s="3">
        <v>13835</v>
      </c>
      <c r="AH366" s="3">
        <v>13935</v>
      </c>
      <c r="AI366" s="3">
        <v>13915</v>
      </c>
      <c r="AJ366" s="3">
        <v>13720</v>
      </c>
      <c r="AK366" s="3">
        <v>13725</v>
      </c>
      <c r="AL366" s="3">
        <v>13625</v>
      </c>
      <c r="AM366" s="3">
        <v>13640</v>
      </c>
      <c r="AN366" s="3">
        <v>13355</v>
      </c>
      <c r="AO366" s="3">
        <v>13345</v>
      </c>
      <c r="AP366" s="3">
        <v>13400</v>
      </c>
      <c r="AQ366" s="3">
        <v>13395</v>
      </c>
      <c r="AR366" s="4">
        <f t="shared" si="158"/>
        <v>1.8647007805724147E-2</v>
      </c>
      <c r="AS366" s="4">
        <f t="shared" si="135"/>
        <v>2.1645021645022577E-3</v>
      </c>
      <c r="AT366" s="4">
        <f t="shared" si="136"/>
        <v>2.7288732394366244E-2</v>
      </c>
      <c r="AU366" s="4">
        <f t="shared" si="137"/>
        <v>2.6315789473684181E-2</v>
      </c>
      <c r="AV366" s="4">
        <f t="shared" si="138"/>
        <v>2.5662959794696238E-2</v>
      </c>
      <c r="AW366" s="4">
        <f t="shared" si="139"/>
        <v>2.2765598650927421E-2</v>
      </c>
      <c r="AX366" s="4">
        <f t="shared" si="140"/>
        <v>4.7874535699546028E-2</v>
      </c>
      <c r="AY366" s="4">
        <f t="shared" si="141"/>
        <v>1.4475743348982828E-2</v>
      </c>
      <c r="AZ366" s="4">
        <f t="shared" si="142"/>
        <v>1.1956954962136779E-3</v>
      </c>
      <c r="BA366" s="4">
        <f t="shared" si="143"/>
        <v>1.2525252525252495E-2</v>
      </c>
      <c r="BB366" s="4">
        <f t="shared" si="144"/>
        <v>3.0401297122010451E-2</v>
      </c>
      <c r="BC366" s="4">
        <f t="shared" si="145"/>
        <v>8.7059754649783105E-3</v>
      </c>
      <c r="BD366" s="4">
        <f t="shared" si="146"/>
        <v>1.0903426791277204E-2</v>
      </c>
      <c r="BE366" s="4">
        <f t="shared" si="147"/>
        <v>2.121095256459693E-2</v>
      </c>
      <c r="BF366" s="4">
        <f t="shared" si="148"/>
        <v>1.3368983957219305E-2</v>
      </c>
      <c r="BG366" s="4">
        <f t="shared" si="149"/>
        <v>3.7495313085864179E-2</v>
      </c>
      <c r="BH366" s="4">
        <f t="shared" si="150"/>
        <v>3.5945363048162093E-4</v>
      </c>
      <c r="BI366" s="4">
        <f t="shared" si="151"/>
        <v>1.0810810810810811E-2</v>
      </c>
      <c r="BJ366" s="4">
        <f t="shared" si="152"/>
        <v>5.8309037900874383E-3</v>
      </c>
      <c r="BK366" s="4">
        <f t="shared" si="153"/>
        <v>2.4844720496894457E-2</v>
      </c>
      <c r="BL366" s="4">
        <f t="shared" si="154"/>
        <v>4.4593088071348541E-3</v>
      </c>
      <c r="BM366" s="4">
        <f t="shared" si="159"/>
        <v>1.8918531817732398E-2</v>
      </c>
      <c r="BN366" s="9">
        <f t="shared" si="160"/>
        <v>13709.548845607587</v>
      </c>
      <c r="BO366" s="10">
        <f t="shared" si="161"/>
        <v>13072.910563528716</v>
      </c>
      <c r="BP366">
        <v>13860</v>
      </c>
      <c r="BQ366">
        <v>13860</v>
      </c>
      <c r="BR366">
        <v>13835</v>
      </c>
      <c r="BS366">
        <v>13835</v>
      </c>
      <c r="BT366">
        <v>41021</v>
      </c>
      <c r="BU366" s="13">
        <f t="shared" si="155"/>
        <v>13843.333333333334</v>
      </c>
      <c r="BV366" s="13">
        <f t="shared" si="156"/>
        <v>567867376.66666675</v>
      </c>
      <c r="BW366" s="13">
        <f>SUM($BV$3:BV366)</f>
        <v>238146697773.33344</v>
      </c>
      <c r="BX366" s="13">
        <f>SUM($BT$3:BT366)</f>
        <v>17357884</v>
      </c>
      <c r="BY366" s="3">
        <f t="shared" si="157"/>
        <v>13719.800050129004</v>
      </c>
    </row>
    <row r="367" spans="1:77" x14ac:dyDescent="0.3">
      <c r="A367" s="3" t="s">
        <v>407</v>
      </c>
      <c r="B367" s="3">
        <v>11745</v>
      </c>
      <c r="C367" s="3">
        <v>11740</v>
      </c>
      <c r="D367" s="3">
        <v>11570</v>
      </c>
      <c r="E367" s="3">
        <v>11570</v>
      </c>
      <c r="F367" s="3">
        <v>11660</v>
      </c>
      <c r="G367" s="3">
        <v>11660</v>
      </c>
      <c r="H367" s="3">
        <v>11475</v>
      </c>
      <c r="I367" s="3">
        <v>11470</v>
      </c>
      <c r="J367" s="3">
        <v>11995</v>
      </c>
      <c r="K367" s="3">
        <v>11995</v>
      </c>
      <c r="L367" s="3">
        <v>12130</v>
      </c>
      <c r="M367" s="3">
        <v>12135</v>
      </c>
      <c r="N367" s="3">
        <v>12700</v>
      </c>
      <c r="O367" s="3">
        <v>12700</v>
      </c>
      <c r="P367" s="3">
        <v>12600</v>
      </c>
      <c r="Q367" s="3">
        <v>12600</v>
      </c>
      <c r="R367" s="3">
        <v>12530</v>
      </c>
      <c r="S367" s="3">
        <v>12525</v>
      </c>
      <c r="T367" s="3">
        <v>12220</v>
      </c>
      <c r="U367" s="3">
        <v>12215</v>
      </c>
      <c r="V367" s="3">
        <v>12710</v>
      </c>
      <c r="W367" s="3">
        <v>12700</v>
      </c>
      <c r="X367" s="3">
        <v>12745</v>
      </c>
      <c r="Y367" s="3">
        <v>12745</v>
      </c>
      <c r="Z367" s="3">
        <v>12700</v>
      </c>
      <c r="AA367" s="3">
        <v>12700</v>
      </c>
      <c r="AB367" s="3">
        <v>13235</v>
      </c>
      <c r="AC367" s="3">
        <v>13250</v>
      </c>
      <c r="AD367" s="3">
        <v>13270</v>
      </c>
      <c r="AE367" s="3">
        <v>13265</v>
      </c>
      <c r="AF367" s="3">
        <v>13835</v>
      </c>
      <c r="AG367" s="3">
        <v>13845</v>
      </c>
      <c r="AH367" s="3">
        <v>13915</v>
      </c>
      <c r="AI367" s="3">
        <v>13915</v>
      </c>
      <c r="AJ367" s="3">
        <v>13725</v>
      </c>
      <c r="AK367" s="3">
        <v>13715</v>
      </c>
      <c r="AL367" s="3">
        <v>13640</v>
      </c>
      <c r="AM367" s="3">
        <v>13655</v>
      </c>
      <c r="AN367" s="3">
        <v>13345</v>
      </c>
      <c r="AO367" s="3">
        <v>13335</v>
      </c>
      <c r="AP367" s="3">
        <v>13395</v>
      </c>
      <c r="AQ367" s="3">
        <v>13395</v>
      </c>
      <c r="AR367" s="4">
        <f t="shared" si="158"/>
        <v>1.8213356461405095E-2</v>
      </c>
      <c r="AS367" s="4">
        <f t="shared" si="135"/>
        <v>1.7316017316018062E-3</v>
      </c>
      <c r="AT367" s="4">
        <f t="shared" si="136"/>
        <v>2.6408450704225261E-2</v>
      </c>
      <c r="AU367" s="4">
        <f t="shared" si="137"/>
        <v>2.6315789473684181E-2</v>
      </c>
      <c r="AV367" s="4">
        <f t="shared" si="138"/>
        <v>2.6090675791274665E-2</v>
      </c>
      <c r="AW367" s="4">
        <f t="shared" si="139"/>
        <v>2.3187183811129941E-2</v>
      </c>
      <c r="AX367" s="4">
        <f t="shared" si="140"/>
        <v>4.8287247214197304E-2</v>
      </c>
      <c r="AY367" s="4">
        <f t="shared" si="141"/>
        <v>1.4084507042253502E-2</v>
      </c>
      <c r="AZ367" s="4">
        <f t="shared" si="142"/>
        <v>1.5942606616181632E-3</v>
      </c>
      <c r="BA367" s="4">
        <f t="shared" si="143"/>
        <v>1.2929292929292902E-2</v>
      </c>
      <c r="BB367" s="4">
        <f t="shared" si="144"/>
        <v>2.9590595865423674E-2</v>
      </c>
      <c r="BC367" s="4">
        <f t="shared" si="145"/>
        <v>8.7059754649783105E-3</v>
      </c>
      <c r="BD367" s="4">
        <f t="shared" si="146"/>
        <v>1.0903426791277204E-2</v>
      </c>
      <c r="BE367" s="4">
        <f t="shared" si="147"/>
        <v>2.1982259930582337E-2</v>
      </c>
      <c r="BF367" s="4">
        <f t="shared" si="148"/>
        <v>1.3368983957219305E-2</v>
      </c>
      <c r="BG367" s="4">
        <f t="shared" si="149"/>
        <v>3.8245219347581516E-2</v>
      </c>
      <c r="BH367" s="4">
        <f t="shared" si="150"/>
        <v>3.5945363048162093E-4</v>
      </c>
      <c r="BI367" s="4">
        <f t="shared" si="151"/>
        <v>1.1531531531531525E-2</v>
      </c>
      <c r="BJ367" s="4">
        <f t="shared" si="152"/>
        <v>4.737609329446113E-3</v>
      </c>
      <c r="BK367" s="4">
        <f t="shared" si="153"/>
        <v>2.5575447570332477E-2</v>
      </c>
      <c r="BL367" s="4">
        <f t="shared" si="154"/>
        <v>4.4593088071348541E-3</v>
      </c>
      <c r="BM367" s="4">
        <f t="shared" si="159"/>
        <v>1.8941446526339896E-2</v>
      </c>
      <c r="BN367" s="9">
        <f t="shared" si="160"/>
        <v>13709.857163011904</v>
      </c>
      <c r="BO367" s="10">
        <f t="shared" si="161"/>
        <v>13072.605225036521</v>
      </c>
      <c r="BP367">
        <v>13835</v>
      </c>
      <c r="BQ367">
        <v>13855</v>
      </c>
      <c r="BR367">
        <v>13835</v>
      </c>
      <c r="BS367">
        <v>13845</v>
      </c>
      <c r="BT367">
        <v>22090</v>
      </c>
      <c r="BU367" s="13">
        <f t="shared" si="155"/>
        <v>13845</v>
      </c>
      <c r="BV367" s="13">
        <f t="shared" si="156"/>
        <v>305836050</v>
      </c>
      <c r="BW367" s="13">
        <f>SUM($BV$3:BV367)</f>
        <v>238452533823.33344</v>
      </c>
      <c r="BX367" s="13">
        <f>SUM($BT$3:BT367)</f>
        <v>17379974</v>
      </c>
      <c r="BY367" s="3">
        <f t="shared" si="157"/>
        <v>13719.959179647416</v>
      </c>
    </row>
    <row r="368" spans="1:77" x14ac:dyDescent="0.3">
      <c r="A368" s="3" t="s">
        <v>408</v>
      </c>
      <c r="B368" s="3">
        <v>11740</v>
      </c>
      <c r="C368" s="3">
        <v>11730</v>
      </c>
      <c r="D368" s="3">
        <v>11570</v>
      </c>
      <c r="E368" s="3">
        <v>11565</v>
      </c>
      <c r="F368" s="3">
        <v>11660</v>
      </c>
      <c r="G368" s="3">
        <v>11670</v>
      </c>
      <c r="H368" s="3">
        <v>11475</v>
      </c>
      <c r="I368" s="3">
        <v>11485</v>
      </c>
      <c r="J368" s="3">
        <v>11995</v>
      </c>
      <c r="K368" s="3">
        <v>11990</v>
      </c>
      <c r="L368" s="3">
        <v>12135</v>
      </c>
      <c r="M368" s="3">
        <v>12130</v>
      </c>
      <c r="N368" s="3">
        <v>12700</v>
      </c>
      <c r="O368" s="3">
        <v>12700</v>
      </c>
      <c r="P368" s="3">
        <v>12595</v>
      </c>
      <c r="Q368" s="3">
        <v>12610</v>
      </c>
      <c r="R368" s="3">
        <v>12530</v>
      </c>
      <c r="S368" s="3">
        <v>12525</v>
      </c>
      <c r="T368" s="3">
        <v>12215</v>
      </c>
      <c r="U368" s="3">
        <v>12215</v>
      </c>
      <c r="V368" s="3">
        <v>12695</v>
      </c>
      <c r="W368" s="3">
        <v>12710</v>
      </c>
      <c r="X368" s="3">
        <v>12745</v>
      </c>
      <c r="Y368" s="3">
        <v>12735</v>
      </c>
      <c r="Z368" s="3">
        <v>12700</v>
      </c>
      <c r="AA368" s="3">
        <v>12695</v>
      </c>
      <c r="AB368" s="3">
        <v>13250</v>
      </c>
      <c r="AC368" s="3">
        <v>13245</v>
      </c>
      <c r="AD368" s="3">
        <v>13265</v>
      </c>
      <c r="AE368" s="3">
        <v>13265</v>
      </c>
      <c r="AF368" s="3">
        <v>13845</v>
      </c>
      <c r="AG368" s="3">
        <v>13845</v>
      </c>
      <c r="AH368" s="3">
        <v>13915</v>
      </c>
      <c r="AI368" s="3">
        <v>13920</v>
      </c>
      <c r="AJ368" s="3">
        <v>13720</v>
      </c>
      <c r="AK368" s="3">
        <v>13720</v>
      </c>
      <c r="AL368" s="3">
        <v>13650</v>
      </c>
      <c r="AM368" s="3">
        <v>13655</v>
      </c>
      <c r="AN368" s="3">
        <v>13335</v>
      </c>
      <c r="AO368" s="3">
        <v>13335</v>
      </c>
      <c r="AP368" s="3">
        <v>13395</v>
      </c>
      <c r="AQ368" s="3">
        <v>13395</v>
      </c>
      <c r="AR368" s="4">
        <f t="shared" si="158"/>
        <v>1.7346053772766767E-2</v>
      </c>
      <c r="AS368" s="4">
        <f t="shared" si="135"/>
        <v>1.2987012987013546E-3</v>
      </c>
      <c r="AT368" s="4">
        <f t="shared" si="136"/>
        <v>2.7288732394366244E-2</v>
      </c>
      <c r="AU368" s="4">
        <f t="shared" si="137"/>
        <v>2.5042444821731791E-2</v>
      </c>
      <c r="AV368" s="4">
        <f t="shared" si="138"/>
        <v>2.5662959794696238E-2</v>
      </c>
      <c r="AW368" s="4">
        <f t="shared" si="139"/>
        <v>2.2765598650927421E-2</v>
      </c>
      <c r="AX368" s="4">
        <f t="shared" si="140"/>
        <v>4.8287247214197304E-2</v>
      </c>
      <c r="AY368" s="4">
        <f t="shared" si="141"/>
        <v>1.3302034428794962E-2</v>
      </c>
      <c r="AZ368" s="4">
        <f t="shared" si="142"/>
        <v>1.5942606616181632E-3</v>
      </c>
      <c r="BA368" s="4">
        <f t="shared" si="143"/>
        <v>1.2929292929292902E-2</v>
      </c>
      <c r="BB368" s="4">
        <f t="shared" si="144"/>
        <v>3.0401297122010451E-2</v>
      </c>
      <c r="BC368" s="4">
        <f t="shared" si="145"/>
        <v>7.9145231499802016E-3</v>
      </c>
      <c r="BD368" s="4">
        <f t="shared" si="146"/>
        <v>1.1292834890965775E-2</v>
      </c>
      <c r="BE368" s="4">
        <f t="shared" si="147"/>
        <v>2.1596606247589634E-2</v>
      </c>
      <c r="BF368" s="4">
        <f t="shared" si="148"/>
        <v>1.3368983957219305E-2</v>
      </c>
      <c r="BG368" s="4">
        <f t="shared" si="149"/>
        <v>3.8245219347581516E-2</v>
      </c>
      <c r="BH368" s="4">
        <f t="shared" si="150"/>
        <v>7.1890726096324187E-4</v>
      </c>
      <c r="BI368" s="4">
        <f t="shared" si="151"/>
        <v>1.1171171171171168E-2</v>
      </c>
      <c r="BJ368" s="4">
        <f t="shared" si="152"/>
        <v>4.737609329446113E-3</v>
      </c>
      <c r="BK368" s="4">
        <f t="shared" si="153"/>
        <v>2.5575447570332477E-2</v>
      </c>
      <c r="BL368" s="4">
        <f t="shared" si="154"/>
        <v>4.4593088071348541E-3</v>
      </c>
      <c r="BM368" s="4">
        <f t="shared" si="159"/>
        <v>1.8767536968720838E-2</v>
      </c>
      <c r="BN368" s="9">
        <f t="shared" si="160"/>
        <v>13707.517209914138</v>
      </c>
      <c r="BO368" s="10">
        <f t="shared" si="161"/>
        <v>13074.922569891796</v>
      </c>
      <c r="BP368">
        <v>13845</v>
      </c>
      <c r="BQ368">
        <v>13850</v>
      </c>
      <c r="BR368">
        <v>13835</v>
      </c>
      <c r="BS368">
        <v>13845</v>
      </c>
      <c r="BT368">
        <v>36415</v>
      </c>
      <c r="BU368" s="13">
        <f t="shared" si="155"/>
        <v>13843.333333333334</v>
      </c>
      <c r="BV368" s="13">
        <f t="shared" si="156"/>
        <v>504104983.33333337</v>
      </c>
      <c r="BW368" s="13">
        <f>SUM($BV$3:BV368)</f>
        <v>238956638806.66678</v>
      </c>
      <c r="BX368" s="13">
        <f>SUM($BT$3:BT368)</f>
        <v>17416389</v>
      </c>
      <c r="BY368" s="3">
        <f t="shared" si="157"/>
        <v>13720.217136093295</v>
      </c>
    </row>
    <row r="369" spans="1:77" x14ac:dyDescent="0.3">
      <c r="A369" s="3" t="s">
        <v>409</v>
      </c>
      <c r="B369" s="3">
        <v>11730</v>
      </c>
      <c r="C369" s="3">
        <v>11715</v>
      </c>
      <c r="D369" s="3">
        <v>11560</v>
      </c>
      <c r="E369" s="3">
        <v>11555</v>
      </c>
      <c r="F369" s="3">
        <v>11660</v>
      </c>
      <c r="G369" s="3">
        <v>11670</v>
      </c>
      <c r="H369" s="3">
        <v>11490</v>
      </c>
      <c r="I369" s="3">
        <v>11490</v>
      </c>
      <c r="J369" s="3">
        <v>11990</v>
      </c>
      <c r="K369" s="3">
        <v>11980</v>
      </c>
      <c r="L369" s="3">
        <v>12130</v>
      </c>
      <c r="M369" s="3">
        <v>12140</v>
      </c>
      <c r="N369" s="3">
        <v>12700</v>
      </c>
      <c r="O369" s="3">
        <v>12700</v>
      </c>
      <c r="P369" s="3">
        <v>12610</v>
      </c>
      <c r="Q369" s="3">
        <v>12620</v>
      </c>
      <c r="R369" s="3">
        <v>12530</v>
      </c>
      <c r="S369" s="3">
        <v>12520</v>
      </c>
      <c r="T369" s="3">
        <v>12215</v>
      </c>
      <c r="U369" s="3">
        <v>12210</v>
      </c>
      <c r="V369" s="3">
        <v>12705</v>
      </c>
      <c r="W369" s="3">
        <v>12700</v>
      </c>
      <c r="X369" s="3">
        <v>12735</v>
      </c>
      <c r="Y369" s="3">
        <v>12740</v>
      </c>
      <c r="Z369" s="3">
        <v>12695</v>
      </c>
      <c r="AA369" s="3">
        <v>12690</v>
      </c>
      <c r="AB369" s="3">
        <v>13245</v>
      </c>
      <c r="AC369" s="3">
        <v>13245</v>
      </c>
      <c r="AD369" s="3">
        <v>13260</v>
      </c>
      <c r="AE369" s="3">
        <v>13260</v>
      </c>
      <c r="AF369" s="3">
        <v>13845</v>
      </c>
      <c r="AG369" s="3">
        <v>13835</v>
      </c>
      <c r="AH369" s="3">
        <v>13920</v>
      </c>
      <c r="AI369" s="3">
        <v>13915</v>
      </c>
      <c r="AJ369" s="3">
        <v>13725</v>
      </c>
      <c r="AK369" s="3">
        <v>13710</v>
      </c>
      <c r="AL369" s="3">
        <v>13655</v>
      </c>
      <c r="AM369" s="3">
        <v>13655</v>
      </c>
      <c r="AN369" s="3">
        <v>13335</v>
      </c>
      <c r="AO369" s="3">
        <v>13315</v>
      </c>
      <c r="AP369" s="3">
        <v>13395</v>
      </c>
      <c r="AQ369" s="3">
        <v>13385</v>
      </c>
      <c r="AR369" s="4">
        <f t="shared" si="158"/>
        <v>1.6045099739809165E-2</v>
      </c>
      <c r="AS369" s="4">
        <f t="shared" si="135"/>
        <v>4.3290043290045155E-4</v>
      </c>
      <c r="AT369" s="4">
        <f t="shared" si="136"/>
        <v>2.7288732394366244E-2</v>
      </c>
      <c r="AU369" s="4">
        <f t="shared" si="137"/>
        <v>2.4617996604414216E-2</v>
      </c>
      <c r="AV369" s="4">
        <f t="shared" si="138"/>
        <v>2.480752780153983E-2</v>
      </c>
      <c r="AW369" s="4">
        <f t="shared" si="139"/>
        <v>2.3608768971332239E-2</v>
      </c>
      <c r="AX369" s="4">
        <f t="shared" si="140"/>
        <v>4.8287247214197304E-2</v>
      </c>
      <c r="AY369" s="4">
        <f t="shared" si="141"/>
        <v>1.2519561815336422E-2</v>
      </c>
      <c r="AZ369" s="4">
        <f t="shared" si="142"/>
        <v>1.9928258270227595E-3</v>
      </c>
      <c r="BA369" s="4">
        <f t="shared" si="143"/>
        <v>1.3333333333333308E-2</v>
      </c>
      <c r="BB369" s="4">
        <f t="shared" si="144"/>
        <v>2.9590595865423674E-2</v>
      </c>
      <c r="BC369" s="4">
        <f t="shared" si="145"/>
        <v>8.310249307479145E-3</v>
      </c>
      <c r="BD369" s="4">
        <f t="shared" si="146"/>
        <v>1.1682242990654235E-2</v>
      </c>
      <c r="BE369" s="4">
        <f t="shared" si="147"/>
        <v>2.1596606247589634E-2</v>
      </c>
      <c r="BF369" s="4">
        <f t="shared" si="148"/>
        <v>1.298701298701288E-2</v>
      </c>
      <c r="BG369" s="4">
        <f t="shared" si="149"/>
        <v>3.7495313085864179E-2</v>
      </c>
      <c r="BH369" s="4">
        <f t="shared" si="150"/>
        <v>3.5945363048162093E-4</v>
      </c>
      <c r="BI369" s="4">
        <f t="shared" si="151"/>
        <v>1.1891891891891881E-2</v>
      </c>
      <c r="BJ369" s="4">
        <f t="shared" si="152"/>
        <v>4.737609329446113E-3</v>
      </c>
      <c r="BK369" s="4">
        <f t="shared" si="153"/>
        <v>2.7036901717208628E-2</v>
      </c>
      <c r="BL369" s="4">
        <f t="shared" si="154"/>
        <v>5.2025269416573483E-3</v>
      </c>
      <c r="BM369" s="4">
        <f t="shared" si="159"/>
        <v>1.8646828699471596E-2</v>
      </c>
      <c r="BN369" s="9">
        <f t="shared" si="160"/>
        <v>13705.893080151391</v>
      </c>
      <c r="BO369" s="10">
        <f t="shared" si="161"/>
        <v>13076.531007579541</v>
      </c>
      <c r="BP369">
        <v>13845</v>
      </c>
      <c r="BQ369">
        <v>13855</v>
      </c>
      <c r="BR369">
        <v>13835</v>
      </c>
      <c r="BS369">
        <v>13835</v>
      </c>
      <c r="BT369">
        <v>18384</v>
      </c>
      <c r="BU369" s="13">
        <f t="shared" si="155"/>
        <v>13841.666666666666</v>
      </c>
      <c r="BV369" s="13">
        <f t="shared" si="156"/>
        <v>254465200</v>
      </c>
      <c r="BW369" s="13">
        <f>SUM($BV$3:BV369)</f>
        <v>239211104006.66678</v>
      </c>
      <c r="BX369" s="13">
        <f>SUM($BT$3:BT369)</f>
        <v>17434773</v>
      </c>
      <c r="BY369" s="3">
        <f t="shared" si="157"/>
        <v>13720.345197879364</v>
      </c>
    </row>
    <row r="370" spans="1:77" x14ac:dyDescent="0.3">
      <c r="A370" s="3" t="s">
        <v>410</v>
      </c>
      <c r="B370" s="3">
        <v>11715</v>
      </c>
      <c r="C370" s="3">
        <v>11705</v>
      </c>
      <c r="D370" s="3">
        <v>11555</v>
      </c>
      <c r="E370" s="3">
        <v>11560</v>
      </c>
      <c r="F370" s="3">
        <v>11670</v>
      </c>
      <c r="G370" s="3">
        <v>11665</v>
      </c>
      <c r="H370" s="3">
        <v>11495</v>
      </c>
      <c r="I370" s="3">
        <v>11490</v>
      </c>
      <c r="J370" s="3">
        <v>11980</v>
      </c>
      <c r="K370" s="3">
        <v>11970</v>
      </c>
      <c r="L370" s="3">
        <v>12140</v>
      </c>
      <c r="M370" s="3">
        <v>12145</v>
      </c>
      <c r="N370" s="3">
        <v>12700</v>
      </c>
      <c r="O370" s="3">
        <v>12700</v>
      </c>
      <c r="P370" s="3">
        <v>12615</v>
      </c>
      <c r="Q370" s="3">
        <v>12620</v>
      </c>
      <c r="R370" s="3">
        <v>12520</v>
      </c>
      <c r="S370" s="3">
        <v>12525</v>
      </c>
      <c r="T370" s="3">
        <v>12210</v>
      </c>
      <c r="U370" s="3">
        <v>12220</v>
      </c>
      <c r="V370" s="3">
        <v>12700</v>
      </c>
      <c r="W370" s="3">
        <v>12705</v>
      </c>
      <c r="X370" s="3">
        <v>12740</v>
      </c>
      <c r="Y370" s="3">
        <v>12735</v>
      </c>
      <c r="Z370" s="3">
        <v>12695</v>
      </c>
      <c r="AA370" s="3">
        <v>12690</v>
      </c>
      <c r="AB370" s="3">
        <v>13245</v>
      </c>
      <c r="AC370" s="3">
        <v>13250</v>
      </c>
      <c r="AD370" s="3">
        <v>13260</v>
      </c>
      <c r="AE370" s="3">
        <v>13250</v>
      </c>
      <c r="AF370" s="3">
        <v>13835</v>
      </c>
      <c r="AG370" s="3">
        <v>13840</v>
      </c>
      <c r="AH370" s="3">
        <v>13915</v>
      </c>
      <c r="AI370" s="3">
        <v>13905</v>
      </c>
      <c r="AJ370" s="3">
        <v>13710</v>
      </c>
      <c r="AK370" s="3">
        <v>13705</v>
      </c>
      <c r="AL370" s="3">
        <v>13655</v>
      </c>
      <c r="AM370" s="3">
        <v>13650</v>
      </c>
      <c r="AN370" s="3">
        <v>13315</v>
      </c>
      <c r="AO370" s="3">
        <v>13310</v>
      </c>
      <c r="AP370" s="3">
        <v>13385</v>
      </c>
      <c r="AQ370" s="3">
        <v>13385</v>
      </c>
      <c r="AR370" s="4">
        <f t="shared" si="158"/>
        <v>1.5177797051170838E-2</v>
      </c>
      <c r="AS370" s="4">
        <f t="shared" si="135"/>
        <v>8.658008658009031E-4</v>
      </c>
      <c r="AT370" s="4">
        <f t="shared" si="136"/>
        <v>2.6848591549295753E-2</v>
      </c>
      <c r="AU370" s="4">
        <f t="shared" si="137"/>
        <v>2.4617996604414216E-2</v>
      </c>
      <c r="AV370" s="4">
        <f t="shared" si="138"/>
        <v>2.39520958083832E-2</v>
      </c>
      <c r="AW370" s="4">
        <f t="shared" si="139"/>
        <v>2.4030354131534537E-2</v>
      </c>
      <c r="AX370" s="4">
        <f t="shared" si="140"/>
        <v>4.8287247214197304E-2</v>
      </c>
      <c r="AY370" s="4">
        <f t="shared" si="141"/>
        <v>1.2519561815336422E-2</v>
      </c>
      <c r="AZ370" s="4">
        <f t="shared" si="142"/>
        <v>1.5942606616181632E-3</v>
      </c>
      <c r="BA370" s="4">
        <f t="shared" si="143"/>
        <v>1.2525252525252495E-2</v>
      </c>
      <c r="BB370" s="4">
        <f t="shared" si="144"/>
        <v>2.9995946493717174E-2</v>
      </c>
      <c r="BC370" s="4">
        <f t="shared" si="145"/>
        <v>7.9145231499802016E-3</v>
      </c>
      <c r="BD370" s="4">
        <f t="shared" si="146"/>
        <v>1.1682242990654235E-2</v>
      </c>
      <c r="BE370" s="4">
        <f t="shared" si="147"/>
        <v>2.1982259930582337E-2</v>
      </c>
      <c r="BF370" s="4">
        <f t="shared" si="148"/>
        <v>1.2223071046600475E-2</v>
      </c>
      <c r="BG370" s="4">
        <f t="shared" si="149"/>
        <v>3.7870266216722959E-2</v>
      </c>
      <c r="BH370" s="4">
        <f t="shared" si="150"/>
        <v>3.5945363048162093E-4</v>
      </c>
      <c r="BI370" s="4">
        <f t="shared" si="151"/>
        <v>1.2252252252252238E-2</v>
      </c>
      <c r="BJ370" s="4">
        <f t="shared" si="152"/>
        <v>5.1020408163264808E-3</v>
      </c>
      <c r="BK370" s="4">
        <f t="shared" si="153"/>
        <v>2.7402265253927638E-2</v>
      </c>
      <c r="BL370" s="4">
        <f t="shared" si="154"/>
        <v>5.2025269416573483E-3</v>
      </c>
      <c r="BM370" s="4">
        <f t="shared" si="159"/>
        <v>1.8502800341954815E-2</v>
      </c>
      <c r="BN370" s="9">
        <f t="shared" si="160"/>
        <v>13703.955178601002</v>
      </c>
      <c r="BO370" s="10">
        <f t="shared" si="161"/>
        <v>13078.450185443451</v>
      </c>
      <c r="BP370">
        <v>13835</v>
      </c>
      <c r="BQ370">
        <v>13845</v>
      </c>
      <c r="BR370">
        <v>13830</v>
      </c>
      <c r="BS370">
        <v>13840</v>
      </c>
      <c r="BT370">
        <v>14702</v>
      </c>
      <c r="BU370" s="13">
        <f t="shared" si="155"/>
        <v>13838.333333333334</v>
      </c>
      <c r="BV370" s="13">
        <f t="shared" si="156"/>
        <v>203451176.66666669</v>
      </c>
      <c r="BW370" s="13">
        <f>SUM($BV$3:BV370)</f>
        <v>239414555183.33344</v>
      </c>
      <c r="BX370" s="13">
        <f>SUM($BT$3:BT370)</f>
        <v>17449475</v>
      </c>
      <c r="BY370" s="3">
        <f t="shared" si="157"/>
        <v>13720.444608409905</v>
      </c>
    </row>
    <row r="371" spans="1:77" x14ac:dyDescent="0.3">
      <c r="A371" s="3" t="s">
        <v>411</v>
      </c>
      <c r="B371" s="3">
        <v>11710</v>
      </c>
      <c r="C371" s="3">
        <v>11715</v>
      </c>
      <c r="D371" s="3">
        <v>11565</v>
      </c>
      <c r="E371" s="3">
        <v>11565</v>
      </c>
      <c r="F371" s="3">
        <v>11665</v>
      </c>
      <c r="G371" s="3">
        <v>11665</v>
      </c>
      <c r="H371" s="3">
        <v>11490</v>
      </c>
      <c r="I371" s="3">
        <v>11465</v>
      </c>
      <c r="J371" s="3">
        <v>11970</v>
      </c>
      <c r="K371" s="3">
        <v>11975</v>
      </c>
      <c r="L371" s="3">
        <v>12145</v>
      </c>
      <c r="M371" s="3">
        <v>12145</v>
      </c>
      <c r="N371" s="3">
        <v>12700</v>
      </c>
      <c r="O371" s="3">
        <v>12700</v>
      </c>
      <c r="P371" s="3">
        <v>12620</v>
      </c>
      <c r="Q371" s="3">
        <v>12620</v>
      </c>
      <c r="R371" s="3">
        <v>12525</v>
      </c>
      <c r="S371" s="3">
        <v>12525</v>
      </c>
      <c r="T371" s="3">
        <v>12220</v>
      </c>
      <c r="U371" s="3">
        <v>12220</v>
      </c>
      <c r="V371" s="3">
        <v>12705</v>
      </c>
      <c r="W371" s="3">
        <v>12710</v>
      </c>
      <c r="X371" s="3">
        <v>12740</v>
      </c>
      <c r="Y371" s="3">
        <v>12730</v>
      </c>
      <c r="Z371" s="3">
        <v>12690</v>
      </c>
      <c r="AA371" s="3">
        <v>12685</v>
      </c>
      <c r="AB371" s="3">
        <v>13250</v>
      </c>
      <c r="AC371" s="3">
        <v>13260</v>
      </c>
      <c r="AD371" s="3">
        <v>13245</v>
      </c>
      <c r="AE371" s="3">
        <v>13250</v>
      </c>
      <c r="AF371" s="3">
        <v>13835</v>
      </c>
      <c r="AG371" s="3">
        <v>13845</v>
      </c>
      <c r="AH371" s="3">
        <v>13905</v>
      </c>
      <c r="AI371" s="3">
        <v>13905</v>
      </c>
      <c r="AJ371" s="3">
        <v>13705</v>
      </c>
      <c r="AK371" s="3">
        <v>13705</v>
      </c>
      <c r="AL371" s="3">
        <v>13650</v>
      </c>
      <c r="AM371" s="3">
        <v>13650</v>
      </c>
      <c r="AN371" s="3">
        <v>13310</v>
      </c>
      <c r="AO371" s="3">
        <v>13305</v>
      </c>
      <c r="AP371" s="3">
        <v>13385</v>
      </c>
      <c r="AQ371" s="3">
        <v>13375</v>
      </c>
      <c r="AR371" s="4">
        <f t="shared" si="158"/>
        <v>1.6045099739809165E-2</v>
      </c>
      <c r="AS371" s="4">
        <f t="shared" si="135"/>
        <v>1.2987012987013546E-3</v>
      </c>
      <c r="AT371" s="4">
        <f t="shared" si="136"/>
        <v>2.6848591549295753E-2</v>
      </c>
      <c r="AU371" s="4">
        <f t="shared" si="137"/>
        <v>2.6740237691001645E-2</v>
      </c>
      <c r="AV371" s="4">
        <f t="shared" si="138"/>
        <v>2.4379811804961404E-2</v>
      </c>
      <c r="AW371" s="4">
        <f t="shared" si="139"/>
        <v>2.4030354131534537E-2</v>
      </c>
      <c r="AX371" s="4">
        <f t="shared" si="140"/>
        <v>4.8287247214197304E-2</v>
      </c>
      <c r="AY371" s="4">
        <f t="shared" si="141"/>
        <v>1.2519561815336422E-2</v>
      </c>
      <c r="AZ371" s="4">
        <f t="shared" si="142"/>
        <v>1.5942606616181632E-3</v>
      </c>
      <c r="BA371" s="4">
        <f t="shared" si="143"/>
        <v>1.2525252525252495E-2</v>
      </c>
      <c r="BB371" s="4">
        <f t="shared" si="144"/>
        <v>3.0401297122010451E-2</v>
      </c>
      <c r="BC371" s="4">
        <f t="shared" si="145"/>
        <v>7.5187969924812581E-3</v>
      </c>
      <c r="BD371" s="4">
        <f t="shared" si="146"/>
        <v>1.2071651090342694E-2</v>
      </c>
      <c r="BE371" s="4">
        <f t="shared" si="147"/>
        <v>2.2753567296567745E-2</v>
      </c>
      <c r="BF371" s="4">
        <f t="shared" si="148"/>
        <v>1.2223071046600475E-2</v>
      </c>
      <c r="BG371" s="4">
        <f t="shared" si="149"/>
        <v>3.8245219347581516E-2</v>
      </c>
      <c r="BH371" s="4">
        <f t="shared" si="150"/>
        <v>3.5945363048162093E-4</v>
      </c>
      <c r="BI371" s="4">
        <f t="shared" si="151"/>
        <v>1.2252252252252238E-2</v>
      </c>
      <c r="BJ371" s="4">
        <f t="shared" si="152"/>
        <v>5.1020408163264808E-3</v>
      </c>
      <c r="BK371" s="4">
        <f t="shared" si="153"/>
        <v>2.7767628790646648E-2</v>
      </c>
      <c r="BL371" s="4">
        <f t="shared" si="154"/>
        <v>5.9457450761798425E-3</v>
      </c>
      <c r="BM371" s="4">
        <f t="shared" si="159"/>
        <v>1.8799457302850122E-2</v>
      </c>
      <c r="BN371" s="9">
        <f t="shared" si="160"/>
        <v>13707.946698009848</v>
      </c>
      <c r="BO371" s="10">
        <f t="shared" si="161"/>
        <v>13074.497231439522</v>
      </c>
      <c r="BP371">
        <v>13835</v>
      </c>
      <c r="BQ371">
        <v>13845</v>
      </c>
      <c r="BR371">
        <v>13830</v>
      </c>
      <c r="BS371">
        <v>13845</v>
      </c>
      <c r="BT371">
        <v>34654</v>
      </c>
      <c r="BU371" s="13">
        <f t="shared" si="155"/>
        <v>13840</v>
      </c>
      <c r="BV371" s="13">
        <f t="shared" si="156"/>
        <v>479611360</v>
      </c>
      <c r="BW371" s="13">
        <f>SUM($BV$3:BV371)</f>
        <v>239894166543.33344</v>
      </c>
      <c r="BX371" s="13">
        <f>SUM($BT$3:BT371)</f>
        <v>17484129</v>
      </c>
      <c r="BY371" s="3">
        <f t="shared" si="157"/>
        <v>13720.681570316339</v>
      </c>
    </row>
    <row r="372" spans="1:77" x14ac:dyDescent="0.3">
      <c r="A372" s="3" t="s">
        <v>412</v>
      </c>
      <c r="B372" s="3">
        <v>11710</v>
      </c>
      <c r="C372" s="3">
        <v>11710</v>
      </c>
      <c r="D372" s="3">
        <v>11570</v>
      </c>
      <c r="E372" s="3">
        <v>11570</v>
      </c>
      <c r="F372" s="3">
        <v>11675</v>
      </c>
      <c r="G372" s="3">
        <v>11675</v>
      </c>
      <c r="H372" s="3">
        <v>11465</v>
      </c>
      <c r="I372" s="3">
        <v>11470</v>
      </c>
      <c r="J372" s="3">
        <v>11980</v>
      </c>
      <c r="K372" s="3">
        <v>11980</v>
      </c>
      <c r="L372" s="3">
        <v>12145</v>
      </c>
      <c r="M372" s="3">
        <v>12140</v>
      </c>
      <c r="N372" s="3">
        <v>12695</v>
      </c>
      <c r="O372" s="3">
        <v>12695</v>
      </c>
      <c r="P372" s="3">
        <v>12625</v>
      </c>
      <c r="Q372" s="3">
        <v>12605</v>
      </c>
      <c r="R372" s="3">
        <v>12525</v>
      </c>
      <c r="S372" s="3">
        <v>12525</v>
      </c>
      <c r="T372" s="3">
        <v>12220</v>
      </c>
      <c r="U372" s="3">
        <v>12230</v>
      </c>
      <c r="V372" s="3">
        <v>12705</v>
      </c>
      <c r="W372" s="3">
        <v>12695</v>
      </c>
      <c r="X372" s="3">
        <v>12735</v>
      </c>
      <c r="Y372" s="3">
        <v>12740</v>
      </c>
      <c r="Z372" s="3">
        <v>12685</v>
      </c>
      <c r="AA372" s="3">
        <v>12690</v>
      </c>
      <c r="AB372" s="3">
        <v>13255</v>
      </c>
      <c r="AC372" s="3">
        <v>13270</v>
      </c>
      <c r="AD372" s="3">
        <v>13255</v>
      </c>
      <c r="AE372" s="3">
        <v>13260</v>
      </c>
      <c r="AF372" s="3">
        <v>13840</v>
      </c>
      <c r="AG372" s="3">
        <v>13835</v>
      </c>
      <c r="AH372" s="3">
        <v>13905</v>
      </c>
      <c r="AI372" s="3">
        <v>13930</v>
      </c>
      <c r="AJ372" s="3">
        <v>13705</v>
      </c>
      <c r="AK372" s="3">
        <v>13705</v>
      </c>
      <c r="AL372" s="3">
        <v>13650</v>
      </c>
      <c r="AM372" s="3">
        <v>13640</v>
      </c>
      <c r="AN372" s="3">
        <v>13310</v>
      </c>
      <c r="AO372" s="3">
        <v>13305</v>
      </c>
      <c r="AP372" s="3">
        <v>13375</v>
      </c>
      <c r="AQ372" s="3">
        <v>13395</v>
      </c>
      <c r="AR372" s="4">
        <f t="shared" si="158"/>
        <v>1.5611448395490113E-2</v>
      </c>
      <c r="AS372" s="4">
        <f t="shared" si="135"/>
        <v>1.7316017316018062E-3</v>
      </c>
      <c r="AT372" s="4">
        <f t="shared" si="136"/>
        <v>2.7728873239436513E-2</v>
      </c>
      <c r="AU372" s="4">
        <f t="shared" si="137"/>
        <v>2.6315789473684181E-2</v>
      </c>
      <c r="AV372" s="4">
        <f t="shared" si="138"/>
        <v>2.480752780153983E-2</v>
      </c>
      <c r="AW372" s="4">
        <f t="shared" si="139"/>
        <v>2.3608768971332239E-2</v>
      </c>
      <c r="AX372" s="4">
        <f t="shared" si="140"/>
        <v>4.7874535699546028E-2</v>
      </c>
      <c r="AY372" s="4">
        <f t="shared" si="141"/>
        <v>1.3693270735524288E-2</v>
      </c>
      <c r="AZ372" s="4">
        <f t="shared" si="142"/>
        <v>1.5942606616181632E-3</v>
      </c>
      <c r="BA372" s="4">
        <f t="shared" si="143"/>
        <v>1.1717171717171682E-2</v>
      </c>
      <c r="BB372" s="4">
        <f t="shared" si="144"/>
        <v>2.9185245237130175E-2</v>
      </c>
      <c r="BC372" s="4">
        <f t="shared" si="145"/>
        <v>8.310249307479145E-3</v>
      </c>
      <c r="BD372" s="4">
        <f t="shared" si="146"/>
        <v>1.1682242990654235E-2</v>
      </c>
      <c r="BE372" s="4">
        <f t="shared" si="147"/>
        <v>2.352487466255293E-2</v>
      </c>
      <c r="BF372" s="4">
        <f t="shared" si="148"/>
        <v>1.298701298701288E-2</v>
      </c>
      <c r="BG372" s="4">
        <f t="shared" si="149"/>
        <v>3.7495313085864179E-2</v>
      </c>
      <c r="BH372" s="4">
        <f t="shared" si="150"/>
        <v>1.4378145219267058E-3</v>
      </c>
      <c r="BI372" s="4">
        <f t="shared" si="151"/>
        <v>1.2252252252252238E-2</v>
      </c>
      <c r="BJ372" s="4">
        <f t="shared" si="152"/>
        <v>5.8309037900874383E-3</v>
      </c>
      <c r="BK372" s="4">
        <f t="shared" si="153"/>
        <v>2.7767628790646648E-2</v>
      </c>
      <c r="BL372" s="4">
        <f t="shared" si="154"/>
        <v>4.4593088071348541E-3</v>
      </c>
      <c r="BM372" s="4">
        <f t="shared" si="159"/>
        <v>1.8911530372591721E-2</v>
      </c>
      <c r="BN372" s="9">
        <f t="shared" si="160"/>
        <v>13709.454641163222</v>
      </c>
      <c r="BO372" s="10">
        <f t="shared" si="161"/>
        <v>13073.003857785216</v>
      </c>
      <c r="BP372">
        <v>13840</v>
      </c>
      <c r="BQ372">
        <v>13840</v>
      </c>
      <c r="BR372">
        <v>13825</v>
      </c>
      <c r="BS372">
        <v>13835</v>
      </c>
      <c r="BT372">
        <v>66229</v>
      </c>
      <c r="BU372" s="13">
        <f t="shared" si="155"/>
        <v>13833.333333333334</v>
      </c>
      <c r="BV372" s="13">
        <f t="shared" si="156"/>
        <v>916167833.33333337</v>
      </c>
      <c r="BW372" s="13">
        <f>SUM($BV$3:BV372)</f>
        <v>240810334376.66678</v>
      </c>
      <c r="BX372" s="13">
        <f>SUM($BT$3:BT372)</f>
        <v>17550358</v>
      </c>
      <c r="BY372" s="3">
        <f t="shared" si="157"/>
        <v>13721.10667922938</v>
      </c>
    </row>
    <row r="373" spans="1:77" x14ac:dyDescent="0.3">
      <c r="A373" s="3" t="s">
        <v>413</v>
      </c>
      <c r="B373" s="3">
        <v>11710</v>
      </c>
      <c r="C373" s="3">
        <v>11700</v>
      </c>
      <c r="D373" s="3">
        <v>11570</v>
      </c>
      <c r="E373" s="3">
        <v>11565</v>
      </c>
      <c r="F373" s="3">
        <v>11675</v>
      </c>
      <c r="G373" s="3">
        <v>11670</v>
      </c>
      <c r="H373" s="3">
        <v>11470</v>
      </c>
      <c r="I373" s="3">
        <v>11480</v>
      </c>
      <c r="J373" s="3">
        <v>11975</v>
      </c>
      <c r="K373" s="3">
        <v>11970</v>
      </c>
      <c r="L373" s="3">
        <v>12140</v>
      </c>
      <c r="M373" s="3">
        <v>12140</v>
      </c>
      <c r="N373" s="3">
        <v>12690</v>
      </c>
      <c r="O373" s="3">
        <v>12690</v>
      </c>
      <c r="P373" s="3">
        <v>12600</v>
      </c>
      <c r="Q373" s="3">
        <v>12595</v>
      </c>
      <c r="R373" s="3">
        <v>12525</v>
      </c>
      <c r="S373" s="3">
        <v>12525</v>
      </c>
      <c r="T373" s="3">
        <v>12230</v>
      </c>
      <c r="U373" s="3">
        <v>12225</v>
      </c>
      <c r="V373" s="3">
        <v>12700</v>
      </c>
      <c r="W373" s="3">
        <v>12690</v>
      </c>
      <c r="X373" s="3">
        <v>12735</v>
      </c>
      <c r="Y373" s="3">
        <v>12725</v>
      </c>
      <c r="Z373" s="3">
        <v>12685</v>
      </c>
      <c r="AA373" s="3">
        <v>12685</v>
      </c>
      <c r="AB373" s="3">
        <v>13270</v>
      </c>
      <c r="AC373" s="3">
        <v>13255</v>
      </c>
      <c r="AD373" s="3">
        <v>13260</v>
      </c>
      <c r="AE373" s="3">
        <v>13265</v>
      </c>
      <c r="AF373" s="3">
        <v>13835</v>
      </c>
      <c r="AG373" s="3">
        <v>13825</v>
      </c>
      <c r="AH373" s="3">
        <v>13925</v>
      </c>
      <c r="AI373" s="3">
        <v>13925</v>
      </c>
      <c r="AJ373" s="3">
        <v>13710</v>
      </c>
      <c r="AK373" s="3">
        <v>13715</v>
      </c>
      <c r="AL373" s="3">
        <v>13640</v>
      </c>
      <c r="AM373" s="3">
        <v>13640</v>
      </c>
      <c r="AN373" s="3">
        <v>13300</v>
      </c>
      <c r="AO373" s="3">
        <v>13305</v>
      </c>
      <c r="AP373" s="3">
        <v>13390</v>
      </c>
      <c r="AQ373" s="3">
        <v>13385</v>
      </c>
      <c r="AR373" s="4">
        <f t="shared" si="158"/>
        <v>1.4744145706851786E-2</v>
      </c>
      <c r="AS373" s="4">
        <f t="shared" si="135"/>
        <v>1.2987012987013546E-3</v>
      </c>
      <c r="AT373" s="4">
        <f t="shared" si="136"/>
        <v>2.7288732394366244E-2</v>
      </c>
      <c r="AU373" s="4">
        <f t="shared" si="137"/>
        <v>2.5466893039049254E-2</v>
      </c>
      <c r="AV373" s="4">
        <f t="shared" si="138"/>
        <v>2.39520958083832E-2</v>
      </c>
      <c r="AW373" s="4">
        <f t="shared" si="139"/>
        <v>2.3608768971332239E-2</v>
      </c>
      <c r="AX373" s="4">
        <f t="shared" si="140"/>
        <v>4.7461824184894752E-2</v>
      </c>
      <c r="AY373" s="4">
        <f t="shared" si="141"/>
        <v>1.4475743348982828E-2</v>
      </c>
      <c r="AZ373" s="4">
        <f t="shared" si="142"/>
        <v>1.5942606616181632E-3</v>
      </c>
      <c r="BA373" s="4">
        <f t="shared" si="143"/>
        <v>1.2121212121212088E-2</v>
      </c>
      <c r="BB373" s="4">
        <f t="shared" si="144"/>
        <v>2.8779894608836676E-2</v>
      </c>
      <c r="BC373" s="4">
        <f t="shared" si="145"/>
        <v>7.1230708349820926E-3</v>
      </c>
      <c r="BD373" s="4">
        <f t="shared" si="146"/>
        <v>1.2071651090342694E-2</v>
      </c>
      <c r="BE373" s="4">
        <f t="shared" si="147"/>
        <v>2.2367913613575041E-2</v>
      </c>
      <c r="BF373" s="4">
        <f t="shared" si="148"/>
        <v>1.3368983957219305E-2</v>
      </c>
      <c r="BG373" s="4">
        <f t="shared" si="149"/>
        <v>3.6745406824147064E-2</v>
      </c>
      <c r="BH373" s="4">
        <f t="shared" si="150"/>
        <v>1.0783608914450848E-3</v>
      </c>
      <c r="BI373" s="4">
        <f t="shared" si="151"/>
        <v>1.1531531531531525E-2</v>
      </c>
      <c r="BJ373" s="4">
        <f t="shared" si="152"/>
        <v>5.8309037900874383E-3</v>
      </c>
      <c r="BK373" s="4">
        <f t="shared" si="153"/>
        <v>2.7767628790646648E-2</v>
      </c>
      <c r="BL373" s="4">
        <f t="shared" si="154"/>
        <v>5.2025269416573483E-3</v>
      </c>
      <c r="BM373" s="4">
        <f t="shared" si="159"/>
        <v>1.8641410423821139E-2</v>
      </c>
      <c r="BN373" s="9">
        <f t="shared" si="160"/>
        <v>13705.820177252512</v>
      </c>
      <c r="BO373" s="10">
        <f t="shared" si="161"/>
        <v>13076.603206102583</v>
      </c>
      <c r="BP373">
        <v>13835</v>
      </c>
      <c r="BQ373">
        <v>13840</v>
      </c>
      <c r="BR373">
        <v>13820</v>
      </c>
      <c r="BS373">
        <v>13825</v>
      </c>
      <c r="BT373">
        <v>18987</v>
      </c>
      <c r="BU373" s="13">
        <f t="shared" si="155"/>
        <v>13828.333333333334</v>
      </c>
      <c r="BV373" s="13">
        <f t="shared" si="156"/>
        <v>262558565</v>
      </c>
      <c r="BW373" s="13">
        <f>SUM($BV$3:BV373)</f>
        <v>241072892941.66678</v>
      </c>
      <c r="BX373" s="13">
        <f>SUM($BT$3:BT373)</f>
        <v>17569345</v>
      </c>
      <c r="BY373" s="3">
        <f t="shared" si="157"/>
        <v>13721.222557907922</v>
      </c>
    </row>
    <row r="374" spans="1:77" x14ac:dyDescent="0.3">
      <c r="A374" s="3" t="s">
        <v>414</v>
      </c>
      <c r="B374" s="3">
        <v>11700</v>
      </c>
      <c r="C374" s="3">
        <v>11695</v>
      </c>
      <c r="D374" s="3">
        <v>11565</v>
      </c>
      <c r="E374" s="3">
        <v>11555</v>
      </c>
      <c r="F374" s="3">
        <v>11670</v>
      </c>
      <c r="G374" s="3">
        <v>11670</v>
      </c>
      <c r="H374" s="3">
        <v>11485</v>
      </c>
      <c r="I374" s="3">
        <v>11475</v>
      </c>
      <c r="J374" s="3">
        <v>11965</v>
      </c>
      <c r="K374" s="3">
        <v>11970</v>
      </c>
      <c r="L374" s="3">
        <v>12140</v>
      </c>
      <c r="M374" s="3">
        <v>12135</v>
      </c>
      <c r="N374" s="3">
        <v>12690</v>
      </c>
      <c r="O374" s="3">
        <v>12695</v>
      </c>
      <c r="P374" s="3">
        <v>12595</v>
      </c>
      <c r="Q374" s="3">
        <v>12595</v>
      </c>
      <c r="R374" s="3">
        <v>12525</v>
      </c>
      <c r="S374" s="3">
        <v>12530</v>
      </c>
      <c r="T374" s="3">
        <v>12225</v>
      </c>
      <c r="U374" s="3">
        <v>12225</v>
      </c>
      <c r="V374" s="3">
        <v>12685</v>
      </c>
      <c r="W374" s="3">
        <v>12685</v>
      </c>
      <c r="X374" s="3">
        <v>12730</v>
      </c>
      <c r="Y374" s="3">
        <v>12730</v>
      </c>
      <c r="Z374" s="3">
        <v>12680</v>
      </c>
      <c r="AA374" s="3">
        <v>12690</v>
      </c>
      <c r="AB374" s="3">
        <v>13260</v>
      </c>
      <c r="AC374" s="3">
        <v>13265</v>
      </c>
      <c r="AD374" s="3">
        <v>13260</v>
      </c>
      <c r="AE374" s="3">
        <v>13260</v>
      </c>
      <c r="AF374" s="3">
        <v>13825</v>
      </c>
      <c r="AG374" s="3">
        <v>13835</v>
      </c>
      <c r="AH374" s="3">
        <v>13920</v>
      </c>
      <c r="AI374" s="3">
        <v>13910</v>
      </c>
      <c r="AJ374" s="3">
        <v>13715</v>
      </c>
      <c r="AK374" s="3">
        <v>13705</v>
      </c>
      <c r="AL374" s="3">
        <v>13640</v>
      </c>
      <c r="AM374" s="3">
        <v>13645</v>
      </c>
      <c r="AN374" s="3">
        <v>13300</v>
      </c>
      <c r="AO374" s="3">
        <v>13315</v>
      </c>
      <c r="AP374" s="3">
        <v>13385</v>
      </c>
      <c r="AQ374" s="3">
        <v>13395</v>
      </c>
      <c r="AR374" s="4">
        <f t="shared" si="158"/>
        <v>1.4310494362532511E-2</v>
      </c>
      <c r="AS374" s="4">
        <f t="shared" si="135"/>
        <v>4.3290043290045155E-4</v>
      </c>
      <c r="AT374" s="4">
        <f t="shared" si="136"/>
        <v>2.7288732394366244E-2</v>
      </c>
      <c r="AU374" s="4">
        <f t="shared" si="137"/>
        <v>2.5891341256366718E-2</v>
      </c>
      <c r="AV374" s="4">
        <f t="shared" si="138"/>
        <v>2.39520958083832E-2</v>
      </c>
      <c r="AW374" s="4">
        <f t="shared" si="139"/>
        <v>2.3187183811129941E-2</v>
      </c>
      <c r="AX374" s="4">
        <f t="shared" si="140"/>
        <v>4.7874535699546028E-2</v>
      </c>
      <c r="AY374" s="4">
        <f t="shared" si="141"/>
        <v>1.4475743348982828E-2</v>
      </c>
      <c r="AZ374" s="4">
        <f t="shared" si="142"/>
        <v>1.1956954962136779E-3</v>
      </c>
      <c r="BA374" s="4">
        <f t="shared" si="143"/>
        <v>1.2121212121212088E-2</v>
      </c>
      <c r="BB374" s="4">
        <f t="shared" si="144"/>
        <v>2.8374543980543177E-2</v>
      </c>
      <c r="BC374" s="4">
        <f t="shared" si="145"/>
        <v>7.5187969924812581E-3</v>
      </c>
      <c r="BD374" s="4">
        <f t="shared" si="146"/>
        <v>1.1682242990654235E-2</v>
      </c>
      <c r="BE374" s="4">
        <f t="shared" si="147"/>
        <v>2.3139220979560449E-2</v>
      </c>
      <c r="BF374" s="4">
        <f t="shared" si="148"/>
        <v>1.298701298701288E-2</v>
      </c>
      <c r="BG374" s="4">
        <f t="shared" si="149"/>
        <v>3.7495313085864179E-2</v>
      </c>
      <c r="BH374" s="4">
        <f t="shared" si="150"/>
        <v>0</v>
      </c>
      <c r="BI374" s="4">
        <f t="shared" si="151"/>
        <v>1.2252252252252238E-2</v>
      </c>
      <c r="BJ374" s="4">
        <f t="shared" si="152"/>
        <v>5.4664723032069595E-3</v>
      </c>
      <c r="BK374" s="4">
        <f t="shared" si="153"/>
        <v>2.7036901717208628E-2</v>
      </c>
      <c r="BL374" s="4">
        <f t="shared" si="154"/>
        <v>4.4593088071348541E-3</v>
      </c>
      <c r="BM374" s="4">
        <f t="shared" si="159"/>
        <v>1.8580089878525226E-2</v>
      </c>
      <c r="BN374" s="9">
        <f t="shared" si="160"/>
        <v>13704.995109315558</v>
      </c>
      <c r="BO374" s="10">
        <f t="shared" si="161"/>
        <v>13077.420302368651</v>
      </c>
      <c r="BP374">
        <v>13825</v>
      </c>
      <c r="BQ374">
        <v>13835</v>
      </c>
      <c r="BR374">
        <v>13820</v>
      </c>
      <c r="BS374">
        <v>13835</v>
      </c>
      <c r="BT374">
        <v>26446</v>
      </c>
      <c r="BU374" s="13">
        <f t="shared" si="155"/>
        <v>13830</v>
      </c>
      <c r="BV374" s="13">
        <f t="shared" si="156"/>
        <v>365748180</v>
      </c>
      <c r="BW374" s="13">
        <f>SUM($BV$3:BV374)</f>
        <v>241438641121.66678</v>
      </c>
      <c r="BX374" s="13">
        <f>SUM($BT$3:BT374)</f>
        <v>17595791</v>
      </c>
      <c r="BY374" s="3">
        <f t="shared" si="157"/>
        <v>13721.386047473898</v>
      </c>
    </row>
    <row r="375" spans="1:77" x14ac:dyDescent="0.3">
      <c r="A375" s="3" t="s">
        <v>415</v>
      </c>
      <c r="B375" s="3">
        <v>11695</v>
      </c>
      <c r="C375" s="3">
        <v>11705</v>
      </c>
      <c r="D375" s="3">
        <v>11560</v>
      </c>
      <c r="E375" s="3">
        <v>11560</v>
      </c>
      <c r="F375" s="3">
        <v>11670</v>
      </c>
      <c r="G375" s="3">
        <v>11670</v>
      </c>
      <c r="H375" s="3">
        <v>11485</v>
      </c>
      <c r="I375" s="3">
        <v>11485</v>
      </c>
      <c r="J375" s="3">
        <v>11970</v>
      </c>
      <c r="K375" s="3">
        <v>11970</v>
      </c>
      <c r="L375" s="3">
        <v>12135</v>
      </c>
      <c r="M375" s="3">
        <v>12120</v>
      </c>
      <c r="N375" s="3">
        <v>12700</v>
      </c>
      <c r="O375" s="3">
        <v>12690</v>
      </c>
      <c r="P375" s="3">
        <v>12590</v>
      </c>
      <c r="Q375" s="3">
        <v>12570</v>
      </c>
      <c r="R375" s="3">
        <v>12530</v>
      </c>
      <c r="S375" s="3">
        <v>12535</v>
      </c>
      <c r="T375" s="3">
        <v>12225</v>
      </c>
      <c r="U375" s="3">
        <v>12235</v>
      </c>
      <c r="V375" s="3">
        <v>12690</v>
      </c>
      <c r="W375" s="3">
        <v>12695</v>
      </c>
      <c r="X375" s="3">
        <v>12735</v>
      </c>
      <c r="Y375" s="3">
        <v>12730</v>
      </c>
      <c r="Z375" s="3">
        <v>12690</v>
      </c>
      <c r="AA375" s="3">
        <v>12685</v>
      </c>
      <c r="AB375" s="3">
        <v>13265</v>
      </c>
      <c r="AC375" s="3">
        <v>13275</v>
      </c>
      <c r="AD375" s="3">
        <v>13260</v>
      </c>
      <c r="AE375" s="3">
        <v>13270</v>
      </c>
      <c r="AF375" s="3">
        <v>13835</v>
      </c>
      <c r="AG375" s="3">
        <v>13845</v>
      </c>
      <c r="AH375" s="3">
        <v>13910</v>
      </c>
      <c r="AI375" s="3">
        <v>13905</v>
      </c>
      <c r="AJ375" s="3">
        <v>13705</v>
      </c>
      <c r="AK375" s="3">
        <v>13710</v>
      </c>
      <c r="AL375" s="3">
        <v>13645</v>
      </c>
      <c r="AM375" s="3">
        <v>13630</v>
      </c>
      <c r="AN375" s="3">
        <v>13310</v>
      </c>
      <c r="AO375" s="3">
        <v>13315</v>
      </c>
      <c r="AP375" s="3">
        <v>13395</v>
      </c>
      <c r="AQ375" s="3">
        <v>13390</v>
      </c>
      <c r="AR375" s="4">
        <f t="shared" si="158"/>
        <v>1.5177797051170838E-2</v>
      </c>
      <c r="AS375" s="4">
        <f t="shared" si="135"/>
        <v>8.658008658009031E-4</v>
      </c>
      <c r="AT375" s="4">
        <f t="shared" si="136"/>
        <v>2.7288732394366244E-2</v>
      </c>
      <c r="AU375" s="4">
        <f t="shared" si="137"/>
        <v>2.5042444821731791E-2</v>
      </c>
      <c r="AV375" s="4">
        <f t="shared" si="138"/>
        <v>2.39520958083832E-2</v>
      </c>
      <c r="AW375" s="4">
        <f t="shared" si="139"/>
        <v>2.1922428330522825E-2</v>
      </c>
      <c r="AX375" s="4">
        <f t="shared" si="140"/>
        <v>4.7461824184894752E-2</v>
      </c>
      <c r="AY375" s="4">
        <f t="shared" si="141"/>
        <v>1.6431924882629123E-2</v>
      </c>
      <c r="AZ375" s="4">
        <f t="shared" si="142"/>
        <v>7.9713033080908158E-4</v>
      </c>
      <c r="BA375" s="4">
        <f t="shared" si="143"/>
        <v>1.1313131313131275E-2</v>
      </c>
      <c r="BB375" s="4">
        <f t="shared" si="144"/>
        <v>2.9185245237130175E-2</v>
      </c>
      <c r="BC375" s="4">
        <f t="shared" si="145"/>
        <v>7.5187969924812581E-3</v>
      </c>
      <c r="BD375" s="4">
        <f t="shared" si="146"/>
        <v>1.2071651090342694E-2</v>
      </c>
      <c r="BE375" s="4">
        <f t="shared" si="147"/>
        <v>2.3910528345545634E-2</v>
      </c>
      <c r="BF375" s="4">
        <f t="shared" si="148"/>
        <v>1.3750954927425507E-2</v>
      </c>
      <c r="BG375" s="4">
        <f t="shared" si="149"/>
        <v>3.8245219347581516E-2</v>
      </c>
      <c r="BH375" s="4">
        <f t="shared" si="150"/>
        <v>3.5945363048162093E-4</v>
      </c>
      <c r="BI375" s="4">
        <f t="shared" si="151"/>
        <v>1.1891891891891881E-2</v>
      </c>
      <c r="BJ375" s="4">
        <f t="shared" si="152"/>
        <v>6.5597667638483959E-3</v>
      </c>
      <c r="BK375" s="4">
        <f t="shared" si="153"/>
        <v>2.7036901717208628E-2</v>
      </c>
      <c r="BL375" s="4">
        <f t="shared" si="154"/>
        <v>4.8309178743961567E-3</v>
      </c>
      <c r="BM375" s="4">
        <f t="shared" si="159"/>
        <v>1.8679477823228176E-2</v>
      </c>
      <c r="BN375" s="9">
        <f t="shared" si="160"/>
        <v>13706.332374111536</v>
      </c>
      <c r="BO375" s="10">
        <f t="shared" si="161"/>
        <v>13076.095958005484</v>
      </c>
      <c r="BP375">
        <v>13835</v>
      </c>
      <c r="BQ375">
        <v>13850</v>
      </c>
      <c r="BR375">
        <v>13835</v>
      </c>
      <c r="BS375">
        <v>13845</v>
      </c>
      <c r="BT375">
        <v>30558</v>
      </c>
      <c r="BU375" s="13">
        <f t="shared" si="155"/>
        <v>13843.333333333334</v>
      </c>
      <c r="BV375" s="13">
        <f t="shared" si="156"/>
        <v>423024580</v>
      </c>
      <c r="BW375" s="13">
        <f>SUM($BV$3:BV375)</f>
        <v>241861665701.66678</v>
      </c>
      <c r="BX375" s="13">
        <f>SUM($BT$3:BT375)</f>
        <v>17626349</v>
      </c>
      <c r="BY375" s="3">
        <f t="shared" si="157"/>
        <v>13721.597461939893</v>
      </c>
    </row>
    <row r="376" spans="1:77" x14ac:dyDescent="0.3">
      <c r="A376" s="3" t="s">
        <v>416</v>
      </c>
      <c r="B376" s="3">
        <v>11705</v>
      </c>
      <c r="C376" s="3">
        <v>11710</v>
      </c>
      <c r="D376" s="3">
        <v>11560</v>
      </c>
      <c r="E376" s="3">
        <v>11560</v>
      </c>
      <c r="F376" s="3">
        <v>11665</v>
      </c>
      <c r="G376" s="3">
        <v>11675</v>
      </c>
      <c r="H376" s="3">
        <v>11490</v>
      </c>
      <c r="I376" s="3">
        <v>11495</v>
      </c>
      <c r="J376" s="3">
        <v>11970</v>
      </c>
      <c r="K376" s="3">
        <v>11965</v>
      </c>
      <c r="L376" s="3">
        <v>12120</v>
      </c>
      <c r="M376" s="3">
        <v>12120</v>
      </c>
      <c r="N376" s="3">
        <v>12700</v>
      </c>
      <c r="O376" s="3">
        <v>12710</v>
      </c>
      <c r="P376" s="3">
        <v>12570</v>
      </c>
      <c r="Q376" s="3">
        <v>12580</v>
      </c>
      <c r="R376" s="3">
        <v>12535</v>
      </c>
      <c r="S376" s="3">
        <v>12535</v>
      </c>
      <c r="T376" s="3">
        <v>12235</v>
      </c>
      <c r="U376" s="3">
        <v>12240</v>
      </c>
      <c r="V376" s="3">
        <v>12700</v>
      </c>
      <c r="W376" s="3">
        <v>12695</v>
      </c>
      <c r="X376" s="3">
        <v>12735</v>
      </c>
      <c r="Y376" s="3">
        <v>12745</v>
      </c>
      <c r="Z376" s="3">
        <v>12685</v>
      </c>
      <c r="AA376" s="3">
        <v>12685</v>
      </c>
      <c r="AB376" s="3">
        <v>13275</v>
      </c>
      <c r="AC376" s="3">
        <v>13270</v>
      </c>
      <c r="AD376" s="3">
        <v>13270</v>
      </c>
      <c r="AE376" s="3">
        <v>13280</v>
      </c>
      <c r="AF376" s="3">
        <v>13845</v>
      </c>
      <c r="AG376" s="3">
        <v>13840</v>
      </c>
      <c r="AH376" s="3">
        <v>13910</v>
      </c>
      <c r="AI376" s="3">
        <v>13910</v>
      </c>
      <c r="AJ376" s="3">
        <v>13710</v>
      </c>
      <c r="AK376" s="3">
        <v>13725</v>
      </c>
      <c r="AL376" s="3">
        <v>13635</v>
      </c>
      <c r="AM376" s="3">
        <v>13640</v>
      </c>
      <c r="AN376" s="3">
        <v>13315</v>
      </c>
      <c r="AO376" s="3">
        <v>13300</v>
      </c>
      <c r="AP376" s="3">
        <v>13390</v>
      </c>
      <c r="AQ376" s="3">
        <v>13390</v>
      </c>
      <c r="AR376" s="4">
        <f t="shared" si="158"/>
        <v>1.5611448395490113E-2</v>
      </c>
      <c r="AS376" s="4">
        <f t="shared" si="135"/>
        <v>8.658008658009031E-4</v>
      </c>
      <c r="AT376" s="4">
        <f t="shared" si="136"/>
        <v>2.7728873239436513E-2</v>
      </c>
      <c r="AU376" s="4">
        <f t="shared" si="137"/>
        <v>2.4193548387096753E-2</v>
      </c>
      <c r="AV376" s="4">
        <f t="shared" si="138"/>
        <v>2.3524379811804996E-2</v>
      </c>
      <c r="AW376" s="4">
        <f t="shared" si="139"/>
        <v>2.1922428330522825E-2</v>
      </c>
      <c r="AX376" s="4">
        <f t="shared" si="140"/>
        <v>4.9112670243499856E-2</v>
      </c>
      <c r="AY376" s="4">
        <f t="shared" si="141"/>
        <v>1.5649452269170583E-2</v>
      </c>
      <c r="AZ376" s="4">
        <f t="shared" si="142"/>
        <v>7.9713033080908158E-4</v>
      </c>
      <c r="BA376" s="4">
        <f t="shared" si="143"/>
        <v>1.0909090909090868E-2</v>
      </c>
      <c r="BB376" s="4">
        <f t="shared" si="144"/>
        <v>2.9185245237130175E-2</v>
      </c>
      <c r="BC376" s="4">
        <f t="shared" si="145"/>
        <v>8.7059754649783105E-3</v>
      </c>
      <c r="BD376" s="4">
        <f t="shared" si="146"/>
        <v>1.2071651090342694E-2</v>
      </c>
      <c r="BE376" s="4">
        <f t="shared" si="147"/>
        <v>2.352487466255293E-2</v>
      </c>
      <c r="BF376" s="4">
        <f t="shared" si="148"/>
        <v>1.4514896867838134E-2</v>
      </c>
      <c r="BG376" s="4">
        <f t="shared" si="149"/>
        <v>3.7870266216722959E-2</v>
      </c>
      <c r="BH376" s="4">
        <f t="shared" si="150"/>
        <v>0</v>
      </c>
      <c r="BI376" s="4">
        <f t="shared" si="151"/>
        <v>1.0810810810810811E-2</v>
      </c>
      <c r="BJ376" s="4">
        <f t="shared" si="152"/>
        <v>5.8309037900874383E-3</v>
      </c>
      <c r="BK376" s="4">
        <f t="shared" si="153"/>
        <v>2.8132992327365769E-2</v>
      </c>
      <c r="BL376" s="4">
        <f t="shared" si="154"/>
        <v>4.8309178743961567E-3</v>
      </c>
      <c r="BM376" s="4">
        <f t="shared" si="159"/>
        <v>1.8764715550719617E-2</v>
      </c>
      <c r="BN376" s="9">
        <f t="shared" si="160"/>
        <v>13707.479247734931</v>
      </c>
      <c r="BO376" s="10">
        <f t="shared" si="161"/>
        <v>13074.960165286662</v>
      </c>
      <c r="BP376">
        <v>13845</v>
      </c>
      <c r="BQ376">
        <v>13850</v>
      </c>
      <c r="BR376">
        <v>13835</v>
      </c>
      <c r="BS376">
        <v>13840</v>
      </c>
      <c r="BT376">
        <v>26673</v>
      </c>
      <c r="BU376" s="13">
        <f t="shared" si="155"/>
        <v>13841.666666666666</v>
      </c>
      <c r="BV376" s="13">
        <f t="shared" si="156"/>
        <v>369198775</v>
      </c>
      <c r="BW376" s="13">
        <f>SUM($BV$3:BV376)</f>
        <v>242230864476.66678</v>
      </c>
      <c r="BX376" s="13">
        <f>SUM($BT$3:BT376)</f>
        <v>17653022</v>
      </c>
      <c r="BY376" s="3">
        <f t="shared" si="157"/>
        <v>13721.778881636626</v>
      </c>
    </row>
    <row r="377" spans="1:77" x14ac:dyDescent="0.3">
      <c r="A377" s="3" t="s">
        <v>417</v>
      </c>
      <c r="B377" s="3">
        <v>11710</v>
      </c>
      <c r="C377" s="3">
        <v>11715</v>
      </c>
      <c r="D377" s="3">
        <v>11560</v>
      </c>
      <c r="E377" s="3">
        <v>11560</v>
      </c>
      <c r="F377" s="3">
        <v>11670</v>
      </c>
      <c r="G377" s="3">
        <v>11680</v>
      </c>
      <c r="H377" s="3">
        <v>11495</v>
      </c>
      <c r="I377" s="3">
        <v>11505</v>
      </c>
      <c r="J377" s="3">
        <v>11965</v>
      </c>
      <c r="K377" s="3">
        <v>11970</v>
      </c>
      <c r="L377" s="3">
        <v>12120</v>
      </c>
      <c r="M377" s="3">
        <v>12120</v>
      </c>
      <c r="N377" s="3">
        <v>12705</v>
      </c>
      <c r="O377" s="3">
        <v>12710</v>
      </c>
      <c r="P377" s="3">
        <v>12580</v>
      </c>
      <c r="Q377" s="3">
        <v>12590</v>
      </c>
      <c r="R377" s="3">
        <v>12535</v>
      </c>
      <c r="S377" s="3">
        <v>12535</v>
      </c>
      <c r="T377" s="3">
        <v>12240</v>
      </c>
      <c r="U377" s="3">
        <v>12250</v>
      </c>
      <c r="V377" s="3">
        <v>12695</v>
      </c>
      <c r="W377" s="3">
        <v>12695</v>
      </c>
      <c r="X377" s="3">
        <v>12745</v>
      </c>
      <c r="Y377" s="3">
        <v>12735</v>
      </c>
      <c r="Z377" s="3">
        <v>12685</v>
      </c>
      <c r="AA377" s="3">
        <v>12690</v>
      </c>
      <c r="AB377" s="3">
        <v>13270</v>
      </c>
      <c r="AC377" s="3">
        <v>13265</v>
      </c>
      <c r="AD377" s="3">
        <v>13275</v>
      </c>
      <c r="AE377" s="3">
        <v>13280</v>
      </c>
      <c r="AF377" s="3">
        <v>13845</v>
      </c>
      <c r="AG377" s="3">
        <v>13845</v>
      </c>
      <c r="AH377" s="3">
        <v>13910</v>
      </c>
      <c r="AI377" s="3">
        <v>13925</v>
      </c>
      <c r="AJ377" s="3">
        <v>13720</v>
      </c>
      <c r="AK377" s="3">
        <v>13715</v>
      </c>
      <c r="AL377" s="3">
        <v>13635</v>
      </c>
      <c r="AM377" s="3">
        <v>13625</v>
      </c>
      <c r="AN377" s="3">
        <v>13295</v>
      </c>
      <c r="AO377" s="3">
        <v>13290</v>
      </c>
      <c r="AP377" s="3">
        <v>13390</v>
      </c>
      <c r="AQ377" s="3">
        <v>13390</v>
      </c>
      <c r="AR377" s="4">
        <f t="shared" si="158"/>
        <v>1.6045099739809165E-2</v>
      </c>
      <c r="AS377" s="4">
        <f t="shared" si="135"/>
        <v>8.658008658009031E-4</v>
      </c>
      <c r="AT377" s="4">
        <f t="shared" si="136"/>
        <v>2.8169014084507005E-2</v>
      </c>
      <c r="AU377" s="4">
        <f t="shared" si="137"/>
        <v>2.3344651952461826E-2</v>
      </c>
      <c r="AV377" s="4">
        <f t="shared" si="138"/>
        <v>2.39520958083832E-2</v>
      </c>
      <c r="AW377" s="4">
        <f t="shared" si="139"/>
        <v>2.1922428330522825E-2</v>
      </c>
      <c r="AX377" s="4">
        <f t="shared" si="140"/>
        <v>4.9112670243499856E-2</v>
      </c>
      <c r="AY377" s="4">
        <f t="shared" si="141"/>
        <v>1.4866979655712043E-2</v>
      </c>
      <c r="AZ377" s="4">
        <f t="shared" si="142"/>
        <v>7.9713033080908158E-4</v>
      </c>
      <c r="BA377" s="4">
        <f t="shared" si="143"/>
        <v>1.0101010101010055E-2</v>
      </c>
      <c r="BB377" s="4">
        <f t="shared" si="144"/>
        <v>2.9185245237130175E-2</v>
      </c>
      <c r="BC377" s="4">
        <f t="shared" si="145"/>
        <v>7.9145231499802016E-3</v>
      </c>
      <c r="BD377" s="4">
        <f t="shared" si="146"/>
        <v>1.1682242990654235E-2</v>
      </c>
      <c r="BE377" s="4">
        <f t="shared" si="147"/>
        <v>2.3139220979560449E-2</v>
      </c>
      <c r="BF377" s="4">
        <f t="shared" si="148"/>
        <v>1.4514896867838134E-2</v>
      </c>
      <c r="BG377" s="4">
        <f t="shared" si="149"/>
        <v>3.8245219347581516E-2</v>
      </c>
      <c r="BH377" s="4">
        <f t="shared" si="150"/>
        <v>1.0783608914450848E-3</v>
      </c>
      <c r="BI377" s="4">
        <f t="shared" si="151"/>
        <v>1.1531531531531525E-2</v>
      </c>
      <c r="BJ377" s="4">
        <f t="shared" si="152"/>
        <v>6.9241982507288746E-3</v>
      </c>
      <c r="BK377" s="4">
        <f t="shared" si="153"/>
        <v>2.8863719400803789E-2</v>
      </c>
      <c r="BL377" s="4">
        <f t="shared" si="154"/>
        <v>4.8309178743961567E-3</v>
      </c>
      <c r="BM377" s="4">
        <f t="shared" si="159"/>
        <v>1.8540565042704998E-2</v>
      </c>
      <c r="BN377" s="9">
        <f t="shared" si="160"/>
        <v>13704.463302649598</v>
      </c>
      <c r="BO377" s="10">
        <f t="shared" si="161"/>
        <v>13077.946970805957</v>
      </c>
      <c r="BP377">
        <v>13845</v>
      </c>
      <c r="BQ377">
        <v>13850</v>
      </c>
      <c r="BR377">
        <v>13835</v>
      </c>
      <c r="BS377">
        <v>13845</v>
      </c>
      <c r="BT377">
        <v>46537</v>
      </c>
      <c r="BU377" s="13">
        <f t="shared" si="155"/>
        <v>13843.333333333334</v>
      </c>
      <c r="BV377" s="13">
        <f t="shared" si="156"/>
        <v>644227203.33333337</v>
      </c>
      <c r="BW377" s="13">
        <f>SUM($BV$3:BV377)</f>
        <v>242875091680.00012</v>
      </c>
      <c r="BX377" s="13">
        <f>SUM($BT$3:BT377)</f>
        <v>17699559</v>
      </c>
      <c r="BY377" s="3">
        <f t="shared" si="157"/>
        <v>13722.098481662742</v>
      </c>
    </row>
    <row r="378" spans="1:77" x14ac:dyDescent="0.3">
      <c r="A378" s="3" t="s">
        <v>418</v>
      </c>
      <c r="B378" s="3">
        <v>11710</v>
      </c>
      <c r="C378" s="3">
        <v>11720</v>
      </c>
      <c r="D378" s="3">
        <v>11565</v>
      </c>
      <c r="E378" s="3">
        <v>11570</v>
      </c>
      <c r="F378" s="3">
        <v>11680</v>
      </c>
      <c r="G378" s="3">
        <v>11675</v>
      </c>
      <c r="H378" s="3">
        <v>11505</v>
      </c>
      <c r="I378" s="3">
        <v>11510</v>
      </c>
      <c r="J378" s="3">
        <v>11975</v>
      </c>
      <c r="K378" s="3">
        <v>11980</v>
      </c>
      <c r="L378" s="3">
        <v>12125</v>
      </c>
      <c r="M378" s="3">
        <v>12135</v>
      </c>
      <c r="N378" s="3">
        <v>12705</v>
      </c>
      <c r="O378" s="3">
        <v>12705</v>
      </c>
      <c r="P378" s="3">
        <v>12585</v>
      </c>
      <c r="Q378" s="3">
        <v>12590</v>
      </c>
      <c r="R378" s="3">
        <v>12535</v>
      </c>
      <c r="S378" s="3">
        <v>12540</v>
      </c>
      <c r="T378" s="3">
        <v>12250</v>
      </c>
      <c r="U378" s="3">
        <v>12255</v>
      </c>
      <c r="V378" s="3">
        <v>12700</v>
      </c>
      <c r="W378" s="3">
        <v>12685</v>
      </c>
      <c r="X378" s="3">
        <v>12740</v>
      </c>
      <c r="Y378" s="3">
        <v>12745</v>
      </c>
      <c r="Z378" s="3">
        <v>12690</v>
      </c>
      <c r="AA378" s="3">
        <v>12690</v>
      </c>
      <c r="AB378" s="3">
        <v>13265</v>
      </c>
      <c r="AC378" s="3">
        <v>13255</v>
      </c>
      <c r="AD378" s="3">
        <v>13275</v>
      </c>
      <c r="AE378" s="3">
        <v>13280</v>
      </c>
      <c r="AF378" s="3">
        <v>13845</v>
      </c>
      <c r="AG378" s="3">
        <v>13845</v>
      </c>
      <c r="AH378" s="3">
        <v>13920</v>
      </c>
      <c r="AI378" s="3">
        <v>13935</v>
      </c>
      <c r="AJ378" s="3">
        <v>13710</v>
      </c>
      <c r="AK378" s="3">
        <v>13710</v>
      </c>
      <c r="AL378" s="3">
        <v>13625</v>
      </c>
      <c r="AM378" s="3">
        <v>13630</v>
      </c>
      <c r="AN378" s="3">
        <v>13290</v>
      </c>
      <c r="AO378" s="3">
        <v>13280</v>
      </c>
      <c r="AP378" s="3">
        <v>13390</v>
      </c>
      <c r="AQ378" s="3">
        <v>13395</v>
      </c>
      <c r="AR378" s="4">
        <f t="shared" si="158"/>
        <v>1.647875108412844E-2</v>
      </c>
      <c r="AS378" s="4">
        <f t="shared" si="135"/>
        <v>1.7316017316018062E-3</v>
      </c>
      <c r="AT378" s="4">
        <f t="shared" si="136"/>
        <v>2.7728873239436513E-2</v>
      </c>
      <c r="AU378" s="4">
        <f t="shared" si="137"/>
        <v>2.2920203735144362E-2</v>
      </c>
      <c r="AV378" s="4">
        <f t="shared" si="138"/>
        <v>2.480752780153983E-2</v>
      </c>
      <c r="AW378" s="4">
        <f t="shared" si="139"/>
        <v>2.3187183811129941E-2</v>
      </c>
      <c r="AX378" s="4">
        <f t="shared" si="140"/>
        <v>4.869995872884858E-2</v>
      </c>
      <c r="AY378" s="4">
        <f t="shared" si="141"/>
        <v>1.4866979655712043E-2</v>
      </c>
      <c r="AZ378" s="4">
        <f t="shared" si="142"/>
        <v>3.985651654045963E-4</v>
      </c>
      <c r="BA378" s="4">
        <f t="shared" si="143"/>
        <v>9.6969696969696484E-3</v>
      </c>
      <c r="BB378" s="4">
        <f t="shared" si="144"/>
        <v>2.8374543980543177E-2</v>
      </c>
      <c r="BC378" s="4">
        <f t="shared" si="145"/>
        <v>8.7059754649783105E-3</v>
      </c>
      <c r="BD378" s="4">
        <f t="shared" si="146"/>
        <v>1.1682242990654235E-2</v>
      </c>
      <c r="BE378" s="4">
        <f t="shared" si="147"/>
        <v>2.2367913613575041E-2</v>
      </c>
      <c r="BF378" s="4">
        <f t="shared" si="148"/>
        <v>1.4514896867838134E-2</v>
      </c>
      <c r="BG378" s="4">
        <f t="shared" si="149"/>
        <v>3.8245219347581516E-2</v>
      </c>
      <c r="BH378" s="4">
        <f t="shared" si="150"/>
        <v>1.7972681524083267E-3</v>
      </c>
      <c r="BI378" s="4">
        <f t="shared" si="151"/>
        <v>1.1891891891891881E-2</v>
      </c>
      <c r="BJ378" s="4">
        <f t="shared" si="152"/>
        <v>6.5597667638483959E-3</v>
      </c>
      <c r="BK378" s="4">
        <f t="shared" si="153"/>
        <v>2.959444647424192E-2</v>
      </c>
      <c r="BL378" s="4">
        <f t="shared" si="154"/>
        <v>4.4593088071348541E-3</v>
      </c>
      <c r="BM378" s="4">
        <f t="shared" si="159"/>
        <v>1.854881689166973E-2</v>
      </c>
      <c r="BN378" s="9">
        <f t="shared" si="160"/>
        <v>13704.574331277416</v>
      </c>
      <c r="BO378" s="10">
        <f t="shared" si="161"/>
        <v>13077.837014918501</v>
      </c>
      <c r="BP378">
        <v>13845</v>
      </c>
      <c r="BQ378">
        <v>13850</v>
      </c>
      <c r="BR378">
        <v>13835</v>
      </c>
      <c r="BS378">
        <v>13845</v>
      </c>
      <c r="BT378">
        <v>11506</v>
      </c>
      <c r="BU378" s="13">
        <f t="shared" si="155"/>
        <v>13843.333333333334</v>
      </c>
      <c r="BV378" s="13">
        <f t="shared" si="156"/>
        <v>159281393.33333334</v>
      </c>
      <c r="BW378" s="13">
        <f>SUM($BV$3:BV378)</f>
        <v>243034373073.33347</v>
      </c>
      <c r="BX378" s="13">
        <f>SUM($BT$3:BT378)</f>
        <v>17711065</v>
      </c>
      <c r="BY378" s="3">
        <f t="shared" si="157"/>
        <v>13722.177241929465</v>
      </c>
    </row>
    <row r="379" spans="1:77" x14ac:dyDescent="0.3">
      <c r="A379" s="3" t="s">
        <v>419</v>
      </c>
      <c r="B379" s="3">
        <v>11720</v>
      </c>
      <c r="C379" s="3">
        <v>11725</v>
      </c>
      <c r="D379" s="3">
        <v>11570</v>
      </c>
      <c r="E379" s="3">
        <v>11575</v>
      </c>
      <c r="F379" s="3">
        <v>11675</v>
      </c>
      <c r="G379" s="3">
        <v>11675</v>
      </c>
      <c r="H379" s="3">
        <v>11510</v>
      </c>
      <c r="I379" s="3">
        <v>11490</v>
      </c>
      <c r="J379" s="3">
        <v>11980</v>
      </c>
      <c r="K379" s="3">
        <v>11980</v>
      </c>
      <c r="L379" s="3">
        <v>12125</v>
      </c>
      <c r="M379" s="3">
        <v>12130</v>
      </c>
      <c r="N379" s="3">
        <v>12705</v>
      </c>
      <c r="O379" s="3">
        <v>12690</v>
      </c>
      <c r="P379" s="3">
        <v>12585</v>
      </c>
      <c r="Q379" s="3">
        <v>12585</v>
      </c>
      <c r="R379" s="3">
        <v>12545</v>
      </c>
      <c r="S379" s="3">
        <v>12550</v>
      </c>
      <c r="T379" s="3">
        <v>12260</v>
      </c>
      <c r="U379" s="3">
        <v>12260</v>
      </c>
      <c r="V379" s="3">
        <v>12685</v>
      </c>
      <c r="W379" s="3">
        <v>12695</v>
      </c>
      <c r="X379" s="3">
        <v>12750</v>
      </c>
      <c r="Y379" s="3">
        <v>12745</v>
      </c>
      <c r="Z379" s="3">
        <v>12690</v>
      </c>
      <c r="AA379" s="3">
        <v>12690</v>
      </c>
      <c r="AB379" s="3">
        <v>13255</v>
      </c>
      <c r="AC379" s="3">
        <v>13245</v>
      </c>
      <c r="AD379" s="3">
        <v>13280</v>
      </c>
      <c r="AE379" s="3">
        <v>13285</v>
      </c>
      <c r="AF379" s="3">
        <v>13845</v>
      </c>
      <c r="AG379" s="3">
        <v>13840</v>
      </c>
      <c r="AH379" s="3">
        <v>13935</v>
      </c>
      <c r="AI379" s="3">
        <v>13935</v>
      </c>
      <c r="AJ379" s="3">
        <v>13715</v>
      </c>
      <c r="AK379" s="3">
        <v>13725</v>
      </c>
      <c r="AL379" s="3">
        <v>13635</v>
      </c>
      <c r="AM379" s="3">
        <v>13630</v>
      </c>
      <c r="AN379" s="3">
        <v>13290</v>
      </c>
      <c r="AO379" s="3">
        <v>13290</v>
      </c>
      <c r="AP379" s="3">
        <v>13390</v>
      </c>
      <c r="AQ379" s="3">
        <v>13395</v>
      </c>
      <c r="AR379" s="4">
        <f t="shared" si="158"/>
        <v>1.6912402428447493E-2</v>
      </c>
      <c r="AS379" s="4">
        <f t="shared" si="135"/>
        <v>2.1645021645022577E-3</v>
      </c>
      <c r="AT379" s="4">
        <f t="shared" si="136"/>
        <v>2.7728873239436513E-2</v>
      </c>
      <c r="AU379" s="4">
        <f t="shared" si="137"/>
        <v>2.4617996604414216E-2</v>
      </c>
      <c r="AV379" s="4">
        <f t="shared" si="138"/>
        <v>2.480752780153983E-2</v>
      </c>
      <c r="AW379" s="4">
        <f t="shared" si="139"/>
        <v>2.2765598650927421E-2</v>
      </c>
      <c r="AX379" s="4">
        <f t="shared" si="140"/>
        <v>4.7461824184894752E-2</v>
      </c>
      <c r="AY379" s="4">
        <f t="shared" si="141"/>
        <v>1.5258215962441368E-2</v>
      </c>
      <c r="AZ379" s="4">
        <f t="shared" si="142"/>
        <v>3.985651654045963E-4</v>
      </c>
      <c r="BA379" s="4">
        <f t="shared" si="143"/>
        <v>9.2929292929292417E-3</v>
      </c>
      <c r="BB379" s="4">
        <f t="shared" si="144"/>
        <v>2.9185245237130175E-2</v>
      </c>
      <c r="BC379" s="4">
        <f t="shared" si="145"/>
        <v>8.7059754649783105E-3</v>
      </c>
      <c r="BD379" s="4">
        <f t="shared" si="146"/>
        <v>1.1682242990654235E-2</v>
      </c>
      <c r="BE379" s="4">
        <f t="shared" si="147"/>
        <v>2.1596606247589634E-2</v>
      </c>
      <c r="BF379" s="4">
        <f t="shared" si="148"/>
        <v>1.4896867838044336E-2</v>
      </c>
      <c r="BG379" s="4">
        <f t="shared" si="149"/>
        <v>3.7870266216722959E-2</v>
      </c>
      <c r="BH379" s="4">
        <f t="shared" si="150"/>
        <v>1.7972681524083267E-3</v>
      </c>
      <c r="BI379" s="4">
        <f t="shared" si="151"/>
        <v>1.0810810810810811E-2</v>
      </c>
      <c r="BJ379" s="4">
        <f t="shared" si="152"/>
        <v>6.5597667638483959E-3</v>
      </c>
      <c r="BK379" s="4">
        <f t="shared" si="153"/>
        <v>2.8863719400803789E-2</v>
      </c>
      <c r="BL379" s="4">
        <f t="shared" si="154"/>
        <v>4.4593088071348541E-3</v>
      </c>
      <c r="BM379" s="4">
        <f t="shared" si="159"/>
        <v>1.8611640774634779E-2</v>
      </c>
      <c r="BN379" s="9">
        <f t="shared" si="160"/>
        <v>13705.419626622712</v>
      </c>
      <c r="BO379" s="10">
        <f t="shared" si="161"/>
        <v>13076.999886677992</v>
      </c>
      <c r="BP379">
        <v>13845</v>
      </c>
      <c r="BQ379">
        <v>13850</v>
      </c>
      <c r="BR379">
        <v>13835</v>
      </c>
      <c r="BS379">
        <v>13840</v>
      </c>
      <c r="BT379">
        <v>20337</v>
      </c>
      <c r="BU379" s="13">
        <f t="shared" si="155"/>
        <v>13841.666666666666</v>
      </c>
      <c r="BV379" s="13">
        <f t="shared" si="156"/>
        <v>281497975</v>
      </c>
      <c r="BW379" s="13">
        <f>SUM($BV$3:BV379)</f>
        <v>243315871048.33347</v>
      </c>
      <c r="BX379" s="13">
        <f>SUM($BT$3:BT379)</f>
        <v>17731402</v>
      </c>
      <c r="BY379" s="3">
        <f t="shared" si="157"/>
        <v>13722.314290112732</v>
      </c>
    </row>
    <row r="380" spans="1:77" x14ac:dyDescent="0.3">
      <c r="A380" s="3" t="s">
        <v>420</v>
      </c>
      <c r="B380" s="3">
        <v>11725</v>
      </c>
      <c r="C380" s="3">
        <v>11730</v>
      </c>
      <c r="D380" s="3">
        <v>11575</v>
      </c>
      <c r="E380" s="3">
        <v>11565</v>
      </c>
      <c r="F380" s="3">
        <v>11670</v>
      </c>
      <c r="G380" s="3">
        <v>11675</v>
      </c>
      <c r="H380" s="3">
        <v>11495</v>
      </c>
      <c r="I380" s="3">
        <v>11480</v>
      </c>
      <c r="J380" s="3">
        <v>11980</v>
      </c>
      <c r="K380" s="3">
        <v>11975</v>
      </c>
      <c r="L380" s="3">
        <v>12125</v>
      </c>
      <c r="M380" s="3">
        <v>12125</v>
      </c>
      <c r="N380" s="3">
        <v>12700</v>
      </c>
      <c r="O380" s="3">
        <v>12690</v>
      </c>
      <c r="P380" s="3">
        <v>12590</v>
      </c>
      <c r="Q380" s="3">
        <v>12595</v>
      </c>
      <c r="R380" s="3">
        <v>12550</v>
      </c>
      <c r="S380" s="3">
        <v>12545</v>
      </c>
      <c r="T380" s="3">
        <v>12260</v>
      </c>
      <c r="U380" s="3">
        <v>12275</v>
      </c>
      <c r="V380" s="3">
        <v>12695</v>
      </c>
      <c r="W380" s="3">
        <v>12705</v>
      </c>
      <c r="X380" s="3">
        <v>12750</v>
      </c>
      <c r="Y380" s="3">
        <v>12745</v>
      </c>
      <c r="Z380" s="3">
        <v>12690</v>
      </c>
      <c r="AA380" s="3">
        <v>12690</v>
      </c>
      <c r="AB380" s="3">
        <v>13250</v>
      </c>
      <c r="AC380" s="3">
        <v>13245</v>
      </c>
      <c r="AD380" s="3">
        <v>13285</v>
      </c>
      <c r="AE380" s="3">
        <v>13275</v>
      </c>
      <c r="AF380" s="3">
        <v>13845</v>
      </c>
      <c r="AG380" s="3">
        <v>13825</v>
      </c>
      <c r="AH380" s="3">
        <v>13930</v>
      </c>
      <c r="AI380" s="3">
        <v>13935</v>
      </c>
      <c r="AJ380" s="3">
        <v>13725</v>
      </c>
      <c r="AK380" s="3">
        <v>13710</v>
      </c>
      <c r="AL380" s="3">
        <v>13625</v>
      </c>
      <c r="AM380" s="3">
        <v>13630</v>
      </c>
      <c r="AN380" s="3">
        <v>13290</v>
      </c>
      <c r="AO380" s="3">
        <v>13290</v>
      </c>
      <c r="AP380" s="3">
        <v>13395</v>
      </c>
      <c r="AQ380" s="3">
        <v>13395</v>
      </c>
      <c r="AR380" s="4">
        <f t="shared" si="158"/>
        <v>1.7346053772766767E-2</v>
      </c>
      <c r="AS380" s="4">
        <f t="shared" si="135"/>
        <v>1.2987012987013546E-3</v>
      </c>
      <c r="AT380" s="4">
        <f t="shared" si="136"/>
        <v>2.7728873239436513E-2</v>
      </c>
      <c r="AU380" s="4">
        <f t="shared" si="137"/>
        <v>2.5466893039049254E-2</v>
      </c>
      <c r="AV380" s="4">
        <f t="shared" si="138"/>
        <v>2.4379811804961404E-2</v>
      </c>
      <c r="AW380" s="4">
        <f t="shared" si="139"/>
        <v>2.2344013490725123E-2</v>
      </c>
      <c r="AX380" s="4">
        <f t="shared" si="140"/>
        <v>4.7461824184894752E-2</v>
      </c>
      <c r="AY380" s="4">
        <f t="shared" si="141"/>
        <v>1.4475743348982828E-2</v>
      </c>
      <c r="AZ380" s="4">
        <f t="shared" si="142"/>
        <v>0</v>
      </c>
      <c r="BA380" s="4">
        <f t="shared" si="143"/>
        <v>8.0808080808081328E-3</v>
      </c>
      <c r="BB380" s="4">
        <f t="shared" si="144"/>
        <v>2.9995946493717174E-2</v>
      </c>
      <c r="BC380" s="4">
        <f t="shared" si="145"/>
        <v>8.7059754649783105E-3</v>
      </c>
      <c r="BD380" s="4">
        <f t="shared" si="146"/>
        <v>1.1682242990654235E-2</v>
      </c>
      <c r="BE380" s="4">
        <f t="shared" si="147"/>
        <v>2.1596606247589634E-2</v>
      </c>
      <c r="BF380" s="4">
        <f t="shared" si="148"/>
        <v>1.413292589763171E-2</v>
      </c>
      <c r="BG380" s="4">
        <f t="shared" si="149"/>
        <v>3.6745406824147064E-2</v>
      </c>
      <c r="BH380" s="4">
        <f t="shared" si="150"/>
        <v>1.7972681524083267E-3</v>
      </c>
      <c r="BI380" s="4">
        <f t="shared" si="151"/>
        <v>1.1891891891891881E-2</v>
      </c>
      <c r="BJ380" s="4">
        <f t="shared" si="152"/>
        <v>6.5597667638483959E-3</v>
      </c>
      <c r="BK380" s="4">
        <f t="shared" si="153"/>
        <v>2.8863719400803789E-2</v>
      </c>
      <c r="BL380" s="4">
        <f t="shared" si="154"/>
        <v>4.4593088071348541E-3</v>
      </c>
      <c r="BM380" s="4">
        <f t="shared" si="159"/>
        <v>1.8382168970152175E-2</v>
      </c>
      <c r="BN380" s="9">
        <f t="shared" si="160"/>
        <v>13702.332083493398</v>
      </c>
      <c r="BO380" s="10">
        <f t="shared" si="161"/>
        <v>13080.057598472722</v>
      </c>
      <c r="BP380">
        <v>13845</v>
      </c>
      <c r="BQ380">
        <v>13845</v>
      </c>
      <c r="BR380">
        <v>13825</v>
      </c>
      <c r="BS380">
        <v>13825</v>
      </c>
      <c r="BT380">
        <v>13243</v>
      </c>
      <c r="BU380" s="13">
        <f t="shared" si="155"/>
        <v>13831.666666666666</v>
      </c>
      <c r="BV380" s="13">
        <f t="shared" si="156"/>
        <v>183172761.66666666</v>
      </c>
      <c r="BW380" s="13">
        <f>SUM($BV$3:BV380)</f>
        <v>243499043810.00012</v>
      </c>
      <c r="BX380" s="13">
        <f>SUM($BT$3:BT380)</f>
        <v>17744645</v>
      </c>
      <c r="BY380" s="3">
        <f t="shared" si="157"/>
        <v>13722.39590084784</v>
      </c>
    </row>
    <row r="381" spans="1:77" x14ac:dyDescent="0.3">
      <c r="A381" s="3" t="s">
        <v>421</v>
      </c>
      <c r="B381" s="3">
        <v>11730</v>
      </c>
      <c r="C381" s="3">
        <v>11730</v>
      </c>
      <c r="D381" s="3">
        <v>11565</v>
      </c>
      <c r="E381" s="3">
        <v>11555</v>
      </c>
      <c r="F381" s="3">
        <v>11675</v>
      </c>
      <c r="G381" s="3">
        <v>11690</v>
      </c>
      <c r="H381" s="3">
        <v>11480</v>
      </c>
      <c r="I381" s="3">
        <v>11490</v>
      </c>
      <c r="J381" s="3">
        <v>11980</v>
      </c>
      <c r="K381" s="3">
        <v>11980</v>
      </c>
      <c r="L381" s="3">
        <v>12125</v>
      </c>
      <c r="M381" s="3">
        <v>12130</v>
      </c>
      <c r="N381" s="3">
        <v>12690</v>
      </c>
      <c r="O381" s="3">
        <v>12685</v>
      </c>
      <c r="P381" s="3">
        <v>12600</v>
      </c>
      <c r="Q381" s="3">
        <v>12600</v>
      </c>
      <c r="R381" s="3">
        <v>12550</v>
      </c>
      <c r="S381" s="3">
        <v>12550</v>
      </c>
      <c r="T381" s="3">
        <v>12280</v>
      </c>
      <c r="U381" s="3">
        <v>12285</v>
      </c>
      <c r="V381" s="3">
        <v>12705</v>
      </c>
      <c r="W381" s="3">
        <v>12710</v>
      </c>
      <c r="X381" s="3">
        <v>12740</v>
      </c>
      <c r="Y381" s="3">
        <v>12745</v>
      </c>
      <c r="Z381" s="3">
        <v>12690</v>
      </c>
      <c r="AA381" s="3">
        <v>12685</v>
      </c>
      <c r="AB381" s="3">
        <v>13245</v>
      </c>
      <c r="AC381" s="3">
        <v>13245</v>
      </c>
      <c r="AD381" s="3">
        <v>13280</v>
      </c>
      <c r="AE381" s="3">
        <v>13280</v>
      </c>
      <c r="AF381" s="3">
        <v>13825</v>
      </c>
      <c r="AG381" s="3">
        <v>13830</v>
      </c>
      <c r="AH381" s="3">
        <v>13930</v>
      </c>
      <c r="AI381" s="3">
        <v>13950</v>
      </c>
      <c r="AJ381" s="3">
        <v>13715</v>
      </c>
      <c r="AK381" s="3">
        <v>13715</v>
      </c>
      <c r="AL381" s="3">
        <v>13630</v>
      </c>
      <c r="AM381" s="3">
        <v>13625</v>
      </c>
      <c r="AN381" s="3">
        <v>13290</v>
      </c>
      <c r="AO381" s="3">
        <v>13295</v>
      </c>
      <c r="AP381" s="3">
        <v>13400</v>
      </c>
      <c r="AQ381" s="3">
        <v>13400</v>
      </c>
      <c r="AR381" s="4">
        <f t="shared" si="158"/>
        <v>1.7346053772766767E-2</v>
      </c>
      <c r="AS381" s="4">
        <f t="shared" si="135"/>
        <v>4.3290043290045155E-4</v>
      </c>
      <c r="AT381" s="4">
        <f t="shared" si="136"/>
        <v>2.9049295774647987E-2</v>
      </c>
      <c r="AU381" s="4">
        <f t="shared" si="137"/>
        <v>2.4617996604414216E-2</v>
      </c>
      <c r="AV381" s="4">
        <f t="shared" si="138"/>
        <v>2.480752780153983E-2</v>
      </c>
      <c r="AW381" s="4">
        <f t="shared" si="139"/>
        <v>2.2765598650927421E-2</v>
      </c>
      <c r="AX381" s="4">
        <f t="shared" si="140"/>
        <v>4.7049112670243476E-2</v>
      </c>
      <c r="AY381" s="4">
        <f t="shared" si="141"/>
        <v>1.4084507042253502E-2</v>
      </c>
      <c r="AZ381" s="4">
        <f t="shared" si="142"/>
        <v>3.985651654045963E-4</v>
      </c>
      <c r="BA381" s="4">
        <f t="shared" si="143"/>
        <v>7.2727272727273196E-3</v>
      </c>
      <c r="BB381" s="4">
        <f t="shared" si="144"/>
        <v>3.0401297122010451E-2</v>
      </c>
      <c r="BC381" s="4">
        <f t="shared" si="145"/>
        <v>8.7059754649783105E-3</v>
      </c>
      <c r="BD381" s="4">
        <f t="shared" si="146"/>
        <v>1.2071651090342694E-2</v>
      </c>
      <c r="BE381" s="4">
        <f t="shared" si="147"/>
        <v>2.1596606247589634E-2</v>
      </c>
      <c r="BF381" s="4">
        <f t="shared" si="148"/>
        <v>1.4514896867838134E-2</v>
      </c>
      <c r="BG381" s="4">
        <f t="shared" si="149"/>
        <v>3.7120359955005622E-2</v>
      </c>
      <c r="BH381" s="4">
        <f t="shared" si="150"/>
        <v>2.8756290438534116E-3</v>
      </c>
      <c r="BI381" s="4">
        <f t="shared" si="151"/>
        <v>1.1531531531531525E-2</v>
      </c>
      <c r="BJ381" s="4">
        <f t="shared" si="152"/>
        <v>6.9241982507288746E-3</v>
      </c>
      <c r="BK381" s="4">
        <f t="shared" si="153"/>
        <v>2.8498355864084779E-2</v>
      </c>
      <c r="BL381" s="4">
        <f t="shared" si="154"/>
        <v>4.0876997398736625E-3</v>
      </c>
      <c r="BM381" s="4">
        <f t="shared" si="159"/>
        <v>1.8412047014844144E-2</v>
      </c>
      <c r="BN381" s="9">
        <f t="shared" si="160"/>
        <v>13702.734092584727</v>
      </c>
      <c r="BO381" s="10">
        <f t="shared" si="161"/>
        <v>13079.659473527203</v>
      </c>
      <c r="BP381">
        <v>13825</v>
      </c>
      <c r="BQ381">
        <v>13830</v>
      </c>
      <c r="BR381">
        <v>13815</v>
      </c>
      <c r="BS381">
        <v>13830</v>
      </c>
      <c r="BT381">
        <v>32730</v>
      </c>
      <c r="BU381" s="13">
        <f t="shared" si="155"/>
        <v>13825</v>
      </c>
      <c r="BV381" s="13">
        <f t="shared" si="156"/>
        <v>452492250</v>
      </c>
      <c r="BW381" s="13">
        <f>SUM($BV$3:BV381)</f>
        <v>243951536060.00012</v>
      </c>
      <c r="BX381" s="13">
        <f>SUM($BT$3:BT381)</f>
        <v>17777375</v>
      </c>
      <c r="BY381" s="3">
        <f t="shared" si="157"/>
        <v>13722.584805687011</v>
      </c>
    </row>
    <row r="382" spans="1:77" x14ac:dyDescent="0.3">
      <c r="A382" s="3" t="s">
        <v>422</v>
      </c>
      <c r="B382" s="3">
        <v>11735</v>
      </c>
      <c r="C382" s="3">
        <v>11735</v>
      </c>
      <c r="D382" s="3">
        <v>11555</v>
      </c>
      <c r="E382" s="3">
        <v>11555</v>
      </c>
      <c r="F382" s="3">
        <v>11690</v>
      </c>
      <c r="G382" s="3">
        <v>11685</v>
      </c>
      <c r="H382" s="3">
        <v>11490</v>
      </c>
      <c r="I382" s="3">
        <v>11480</v>
      </c>
      <c r="J382" s="3">
        <v>11980</v>
      </c>
      <c r="K382" s="3">
        <v>11985</v>
      </c>
      <c r="L382" s="3">
        <v>12130</v>
      </c>
      <c r="M382" s="3">
        <v>12130</v>
      </c>
      <c r="N382" s="3">
        <v>12685</v>
      </c>
      <c r="O382" s="3">
        <v>12680</v>
      </c>
      <c r="P382" s="3">
        <v>12600</v>
      </c>
      <c r="Q382" s="3">
        <v>12585</v>
      </c>
      <c r="R382" s="3">
        <v>12550</v>
      </c>
      <c r="S382" s="3">
        <v>12550</v>
      </c>
      <c r="T382" s="3">
        <v>12290</v>
      </c>
      <c r="U382" s="3">
        <v>12290</v>
      </c>
      <c r="V382" s="3">
        <v>12705</v>
      </c>
      <c r="W382" s="3">
        <v>12700</v>
      </c>
      <c r="X382" s="3">
        <v>12745</v>
      </c>
      <c r="Y382" s="3">
        <v>12750</v>
      </c>
      <c r="Z382" s="3">
        <v>12685</v>
      </c>
      <c r="AA382" s="3">
        <v>12685</v>
      </c>
      <c r="AB382" s="3">
        <v>13245</v>
      </c>
      <c r="AC382" s="3">
        <v>13255</v>
      </c>
      <c r="AD382" s="3">
        <v>13280</v>
      </c>
      <c r="AE382" s="3">
        <v>13265</v>
      </c>
      <c r="AF382" s="3">
        <v>13830</v>
      </c>
      <c r="AG382" s="3">
        <v>13825</v>
      </c>
      <c r="AH382" s="3">
        <v>13945</v>
      </c>
      <c r="AI382" s="3">
        <v>13935</v>
      </c>
      <c r="AJ382" s="3">
        <v>13720</v>
      </c>
      <c r="AK382" s="3">
        <v>13700</v>
      </c>
      <c r="AL382" s="3">
        <v>13635</v>
      </c>
      <c r="AM382" s="3">
        <v>13625</v>
      </c>
      <c r="AN382" s="3">
        <v>13295</v>
      </c>
      <c r="AO382" s="3">
        <v>13300</v>
      </c>
      <c r="AP382" s="3">
        <v>13400</v>
      </c>
      <c r="AQ382" s="3">
        <v>13410</v>
      </c>
      <c r="AR382" s="4">
        <f t="shared" si="158"/>
        <v>1.777970511708582E-2</v>
      </c>
      <c r="AS382" s="4">
        <f t="shared" si="135"/>
        <v>4.3290043290045155E-4</v>
      </c>
      <c r="AT382" s="4">
        <f t="shared" si="136"/>
        <v>2.8609154929577496E-2</v>
      </c>
      <c r="AU382" s="4">
        <f t="shared" si="137"/>
        <v>2.5466893039049254E-2</v>
      </c>
      <c r="AV382" s="4">
        <f t="shared" si="138"/>
        <v>2.5235243798118034E-2</v>
      </c>
      <c r="AW382" s="4">
        <f t="shared" si="139"/>
        <v>2.2765598650927421E-2</v>
      </c>
      <c r="AX382" s="4">
        <f t="shared" si="140"/>
        <v>4.66364011555922E-2</v>
      </c>
      <c r="AY382" s="4">
        <f t="shared" si="141"/>
        <v>1.5258215962441368E-2</v>
      </c>
      <c r="AZ382" s="4">
        <f t="shared" si="142"/>
        <v>3.985651654045963E-4</v>
      </c>
      <c r="BA382" s="4">
        <f t="shared" si="143"/>
        <v>6.8686868686869129E-3</v>
      </c>
      <c r="BB382" s="4">
        <f t="shared" si="144"/>
        <v>2.9590595865423674E-2</v>
      </c>
      <c r="BC382" s="4">
        <f t="shared" si="145"/>
        <v>9.101701622477254E-3</v>
      </c>
      <c r="BD382" s="4">
        <f t="shared" si="146"/>
        <v>1.2071651090342694E-2</v>
      </c>
      <c r="BE382" s="4">
        <f t="shared" si="147"/>
        <v>2.2367913613575041E-2</v>
      </c>
      <c r="BF382" s="4">
        <f t="shared" si="148"/>
        <v>1.3368983957219305E-2</v>
      </c>
      <c r="BG382" s="4">
        <f t="shared" si="149"/>
        <v>3.6745406824147064E-2</v>
      </c>
      <c r="BH382" s="4">
        <f t="shared" si="150"/>
        <v>1.7972681524083267E-3</v>
      </c>
      <c r="BI382" s="4">
        <f t="shared" si="151"/>
        <v>1.2612612612612595E-2</v>
      </c>
      <c r="BJ382" s="4">
        <f t="shared" si="152"/>
        <v>6.9241982507288746E-3</v>
      </c>
      <c r="BK382" s="4">
        <f t="shared" si="153"/>
        <v>2.8132992327365769E-2</v>
      </c>
      <c r="BL382" s="4">
        <f t="shared" si="154"/>
        <v>3.3444816053511683E-3</v>
      </c>
      <c r="BM382" s="4">
        <f t="shared" si="159"/>
        <v>1.844089329655255E-2</v>
      </c>
      <c r="BN382" s="9">
        <f t="shared" si="160"/>
        <v>13703.122219305114</v>
      </c>
      <c r="BO382" s="10">
        <f t="shared" si="161"/>
        <v>13079.275096823438</v>
      </c>
      <c r="BP382">
        <v>13830</v>
      </c>
      <c r="BQ382">
        <v>13835</v>
      </c>
      <c r="BR382">
        <v>13825</v>
      </c>
      <c r="BS382">
        <v>13825</v>
      </c>
      <c r="BT382">
        <v>15786</v>
      </c>
      <c r="BU382" s="13">
        <f t="shared" si="155"/>
        <v>13828.333333333334</v>
      </c>
      <c r="BV382" s="13">
        <f t="shared" si="156"/>
        <v>218294070</v>
      </c>
      <c r="BW382" s="13">
        <f>SUM($BV$3:BV382)</f>
        <v>244169830130.00012</v>
      </c>
      <c r="BX382" s="13">
        <f>SUM($BT$3:BT382)</f>
        <v>17793161</v>
      </c>
      <c r="BY382" s="3">
        <f t="shared" si="157"/>
        <v>13722.678625231352</v>
      </c>
    </row>
    <row r="383" spans="1:77" x14ac:dyDescent="0.3">
      <c r="A383" s="3" t="s">
        <v>423</v>
      </c>
      <c r="B383" s="3">
        <v>11705</v>
      </c>
      <c r="C383" s="3">
        <v>11705</v>
      </c>
      <c r="D383" s="3">
        <v>11595</v>
      </c>
      <c r="E383" s="3">
        <v>11595</v>
      </c>
      <c r="F383" s="3">
        <v>11700</v>
      </c>
      <c r="G383" s="3">
        <v>11700</v>
      </c>
      <c r="H383" s="3">
        <v>11525</v>
      </c>
      <c r="I383" s="3">
        <v>11525</v>
      </c>
      <c r="J383" s="3">
        <v>12000</v>
      </c>
      <c r="K383" s="3">
        <v>12000</v>
      </c>
      <c r="L383" s="3">
        <v>12115</v>
      </c>
      <c r="M383" s="3">
        <v>12115</v>
      </c>
      <c r="N383" s="3">
        <v>12690</v>
      </c>
      <c r="O383" s="3">
        <v>12690</v>
      </c>
      <c r="P383" s="3">
        <v>12610</v>
      </c>
      <c r="Q383" s="3">
        <v>12610</v>
      </c>
      <c r="R383" s="3">
        <v>12625</v>
      </c>
      <c r="S383" s="3">
        <v>12625</v>
      </c>
      <c r="T383" s="3">
        <v>12290</v>
      </c>
      <c r="U383" s="3">
        <v>12290</v>
      </c>
      <c r="V383" s="3">
        <v>12725</v>
      </c>
      <c r="W383" s="3">
        <v>12725</v>
      </c>
      <c r="X383" s="3">
        <v>12750</v>
      </c>
      <c r="Y383" s="3">
        <v>12750</v>
      </c>
      <c r="Z383" s="3">
        <v>12690</v>
      </c>
      <c r="AA383" s="3">
        <v>12690</v>
      </c>
      <c r="AB383" s="3">
        <v>13240</v>
      </c>
      <c r="AC383" s="3">
        <v>13240</v>
      </c>
      <c r="AD383" s="3">
        <v>13270</v>
      </c>
      <c r="AE383" s="3">
        <v>13270</v>
      </c>
      <c r="AF383" s="3">
        <v>13800</v>
      </c>
      <c r="AG383" s="3">
        <v>13800</v>
      </c>
      <c r="AH383" s="3">
        <v>13970</v>
      </c>
      <c r="AI383" s="3">
        <v>13970</v>
      </c>
      <c r="AJ383" s="3">
        <v>13730</v>
      </c>
      <c r="AK383" s="3">
        <v>13730</v>
      </c>
      <c r="AL383" s="3">
        <v>13630</v>
      </c>
      <c r="AM383" s="3">
        <v>13630</v>
      </c>
      <c r="AN383" s="3">
        <v>13325</v>
      </c>
      <c r="AO383" s="3">
        <v>13325</v>
      </c>
      <c r="AP383" s="3">
        <v>13410</v>
      </c>
      <c r="AQ383" s="3">
        <v>13410</v>
      </c>
      <c r="AR383" s="4">
        <f t="shared" si="158"/>
        <v>1.5177797051170838E-2</v>
      </c>
      <c r="AS383" s="4">
        <f t="shared" si="135"/>
        <v>3.8961038961038419E-3</v>
      </c>
      <c r="AT383" s="4">
        <f t="shared" si="136"/>
        <v>2.9929577464788748E-2</v>
      </c>
      <c r="AU383" s="4">
        <f t="shared" si="137"/>
        <v>2.1646859083191861E-2</v>
      </c>
      <c r="AV383" s="4">
        <f t="shared" si="138"/>
        <v>2.6518391787852869E-2</v>
      </c>
      <c r="AW383" s="4">
        <f t="shared" si="139"/>
        <v>2.1500843170320305E-2</v>
      </c>
      <c r="AX383" s="4">
        <f t="shared" si="140"/>
        <v>4.7461824184894752E-2</v>
      </c>
      <c r="AY383" s="4">
        <f t="shared" si="141"/>
        <v>1.3302034428794962E-2</v>
      </c>
      <c r="AZ383" s="4">
        <f t="shared" si="142"/>
        <v>6.3770426464726526E-3</v>
      </c>
      <c r="BA383" s="4">
        <f t="shared" si="143"/>
        <v>6.8686868686869129E-3</v>
      </c>
      <c r="BB383" s="4">
        <f t="shared" si="144"/>
        <v>3.1617349006890949E-2</v>
      </c>
      <c r="BC383" s="4">
        <f t="shared" si="145"/>
        <v>9.101701622477254E-3</v>
      </c>
      <c r="BD383" s="4">
        <f t="shared" si="146"/>
        <v>1.1682242990654235E-2</v>
      </c>
      <c r="BE383" s="4">
        <f t="shared" si="147"/>
        <v>2.121095256459693E-2</v>
      </c>
      <c r="BF383" s="4">
        <f t="shared" si="148"/>
        <v>1.3750954927425507E-2</v>
      </c>
      <c r="BG383" s="4">
        <f t="shared" si="149"/>
        <v>3.4870641169853833E-2</v>
      </c>
      <c r="BH383" s="4">
        <f t="shared" si="150"/>
        <v>4.3134435657801173E-3</v>
      </c>
      <c r="BI383" s="4">
        <f t="shared" si="151"/>
        <v>1.0450450450450455E-2</v>
      </c>
      <c r="BJ383" s="4">
        <f t="shared" si="152"/>
        <v>6.5597667638483959E-3</v>
      </c>
      <c r="BK383" s="4">
        <f t="shared" si="153"/>
        <v>2.6306174643770497E-2</v>
      </c>
      <c r="BL383" s="4">
        <f t="shared" si="154"/>
        <v>3.3444816053511683E-3</v>
      </c>
      <c r="BM383" s="4">
        <f t="shared" si="159"/>
        <v>1.8918897474510841E-2</v>
      </c>
      <c r="BN383" s="9">
        <f t="shared" si="160"/>
        <v>13709.553765519544</v>
      </c>
      <c r="BO383" s="10">
        <f t="shared" si="161"/>
        <v>13072.905691152144</v>
      </c>
      <c r="BP383">
        <v>13800</v>
      </c>
      <c r="BQ383">
        <v>13800</v>
      </c>
      <c r="BR383">
        <v>13800</v>
      </c>
      <c r="BS383">
        <v>13800</v>
      </c>
      <c r="BT383">
        <v>272070</v>
      </c>
      <c r="BU383" s="13">
        <f t="shared" si="155"/>
        <v>13800</v>
      </c>
      <c r="BV383" s="13">
        <f t="shared" si="156"/>
        <v>3754566000</v>
      </c>
      <c r="BW383" s="13">
        <f>SUM($BV$3:BV383)</f>
        <v>247924396130.00012</v>
      </c>
      <c r="BX383" s="13">
        <f>SUM($BT$3:BT383)</f>
        <v>18065231</v>
      </c>
      <c r="BY383" s="3">
        <f t="shared" si="157"/>
        <v>13723.84311775477</v>
      </c>
    </row>
    <row r="384" spans="1:77" x14ac:dyDescent="0.3">
      <c r="BP384"/>
      <c r="BQ384"/>
      <c r="BR384"/>
      <c r="BS384"/>
      <c r="BT384"/>
    </row>
    <row r="385" spans="68:72" x14ac:dyDescent="0.3">
      <c r="BP385"/>
      <c r="BQ385"/>
      <c r="BR385"/>
      <c r="BS385"/>
      <c r="BT385"/>
    </row>
    <row r="386" spans="68:72" x14ac:dyDescent="0.3">
      <c r="BP386"/>
      <c r="BQ386"/>
      <c r="BR386"/>
      <c r="BS386"/>
      <c r="BT386"/>
    </row>
    <row r="387" spans="68:72" x14ac:dyDescent="0.3">
      <c r="BP387"/>
      <c r="BQ387"/>
      <c r="BR387"/>
      <c r="BS387"/>
      <c r="BT387"/>
    </row>
    <row r="388" spans="68:72" x14ac:dyDescent="0.3">
      <c r="BP388"/>
      <c r="BQ388"/>
      <c r="BR388"/>
      <c r="BS388"/>
      <c r="BT388"/>
    </row>
    <row r="389" spans="68:72" x14ac:dyDescent="0.3">
      <c r="BP389"/>
      <c r="BQ389"/>
      <c r="BR389"/>
      <c r="BS389"/>
      <c r="BT389"/>
    </row>
    <row r="390" spans="68:72" x14ac:dyDescent="0.3">
      <c r="BP390"/>
      <c r="BQ390"/>
      <c r="BR390"/>
      <c r="BS390"/>
      <c r="BT390"/>
    </row>
    <row r="391" spans="68:72" x14ac:dyDescent="0.3">
      <c r="BP391"/>
      <c r="BQ391"/>
      <c r="BR391"/>
      <c r="BS391"/>
      <c r="BT391"/>
    </row>
    <row r="392" spans="68:72" x14ac:dyDescent="0.3">
      <c r="BP392"/>
      <c r="BQ392"/>
      <c r="BR392"/>
      <c r="BS392"/>
      <c r="BT392"/>
    </row>
    <row r="393" spans="68:72" x14ac:dyDescent="0.3">
      <c r="BP393"/>
      <c r="BQ393"/>
      <c r="BR393"/>
      <c r="BS393"/>
      <c r="BT393"/>
    </row>
    <row r="394" spans="68:72" x14ac:dyDescent="0.3">
      <c r="BP394"/>
      <c r="BQ394"/>
      <c r="BR394"/>
      <c r="BS394"/>
      <c r="BT394"/>
    </row>
    <row r="395" spans="68:72" x14ac:dyDescent="0.3">
      <c r="BP395"/>
      <c r="BQ395"/>
      <c r="BR395"/>
      <c r="BS395"/>
      <c r="BT395"/>
    </row>
    <row r="396" spans="68:72" x14ac:dyDescent="0.3">
      <c r="BP396"/>
      <c r="BQ396"/>
      <c r="BR396"/>
      <c r="BS396"/>
      <c r="BT396"/>
    </row>
    <row r="397" spans="68:72" x14ac:dyDescent="0.3">
      <c r="BP397"/>
      <c r="BQ397"/>
      <c r="BR397"/>
      <c r="BS397"/>
      <c r="BT397"/>
    </row>
    <row r="398" spans="68:72" x14ac:dyDescent="0.3">
      <c r="BP398"/>
      <c r="BQ398"/>
      <c r="BR398"/>
      <c r="BS398"/>
      <c r="BT398"/>
    </row>
    <row r="399" spans="68:72" x14ac:dyDescent="0.3">
      <c r="BP399"/>
      <c r="BQ399"/>
      <c r="BR399"/>
      <c r="BS399"/>
      <c r="BT399"/>
    </row>
    <row r="400" spans="68:72" x14ac:dyDescent="0.3">
      <c r="BP400"/>
      <c r="BQ400"/>
      <c r="BR400"/>
      <c r="BS400"/>
      <c r="BT400"/>
    </row>
    <row r="401" spans="68:72" x14ac:dyDescent="0.3">
      <c r="BP401"/>
      <c r="BQ401"/>
      <c r="BR401"/>
      <c r="BS401"/>
      <c r="BT401"/>
    </row>
    <row r="402" spans="68:72" x14ac:dyDescent="0.3">
      <c r="BP402"/>
      <c r="BQ402"/>
      <c r="BR402"/>
      <c r="BS402"/>
      <c r="BT402"/>
    </row>
    <row r="403" spans="68:72" x14ac:dyDescent="0.3">
      <c r="BP403"/>
      <c r="BQ403"/>
      <c r="BR403"/>
      <c r="BS403"/>
      <c r="BT403"/>
    </row>
    <row r="404" spans="68:72" x14ac:dyDescent="0.3">
      <c r="BP404"/>
      <c r="BQ404"/>
      <c r="BR404"/>
      <c r="BS404"/>
      <c r="BT404"/>
    </row>
    <row r="405" spans="68:72" x14ac:dyDescent="0.3">
      <c r="BP405"/>
      <c r="BQ405"/>
      <c r="BR405"/>
      <c r="BS405"/>
      <c r="BT405"/>
    </row>
    <row r="406" spans="68:72" x14ac:dyDescent="0.3">
      <c r="BP406"/>
      <c r="BQ406"/>
      <c r="BR406"/>
      <c r="BS406"/>
      <c r="BT406"/>
    </row>
    <row r="407" spans="68:72" x14ac:dyDescent="0.3">
      <c r="BP407"/>
      <c r="BQ407"/>
      <c r="BR407"/>
      <c r="BS407"/>
      <c r="BT407"/>
    </row>
    <row r="408" spans="68:72" x14ac:dyDescent="0.3">
      <c r="BP408"/>
      <c r="BQ408"/>
      <c r="BR408"/>
      <c r="BS408"/>
      <c r="BT408"/>
    </row>
    <row r="409" spans="68:72" x14ac:dyDescent="0.3">
      <c r="BP409"/>
      <c r="BQ409"/>
      <c r="BR409"/>
      <c r="BS409"/>
      <c r="BT409"/>
    </row>
    <row r="410" spans="68:72" x14ac:dyDescent="0.3">
      <c r="BP410"/>
      <c r="BQ410"/>
      <c r="BR410"/>
      <c r="BS410"/>
      <c r="BT410"/>
    </row>
    <row r="411" spans="68:72" x14ac:dyDescent="0.3">
      <c r="BP411"/>
      <c r="BQ411"/>
      <c r="BR411"/>
      <c r="BS411"/>
      <c r="BT411"/>
    </row>
    <row r="412" spans="68:72" x14ac:dyDescent="0.3">
      <c r="BP412"/>
      <c r="BQ412"/>
      <c r="BR412"/>
      <c r="BS412"/>
      <c r="BT412"/>
    </row>
    <row r="413" spans="68:72" x14ac:dyDescent="0.3">
      <c r="BP413"/>
      <c r="BQ413"/>
      <c r="BR413"/>
      <c r="BS413"/>
      <c r="BT413"/>
    </row>
    <row r="414" spans="68:72" x14ac:dyDescent="0.3">
      <c r="BP414"/>
      <c r="BQ414"/>
      <c r="BR414"/>
      <c r="BS414"/>
      <c r="BT414"/>
    </row>
    <row r="415" spans="68:72" x14ac:dyDescent="0.3">
      <c r="BP415"/>
      <c r="BQ415"/>
      <c r="BR415"/>
      <c r="BS415"/>
      <c r="BT415"/>
    </row>
    <row r="416" spans="68:72" x14ac:dyDescent="0.3">
      <c r="BP416"/>
      <c r="BQ416"/>
      <c r="BR416"/>
      <c r="BS416"/>
      <c r="BT416"/>
    </row>
    <row r="417" spans="68:72" x14ac:dyDescent="0.3">
      <c r="BP417"/>
      <c r="BQ417"/>
      <c r="BR417"/>
      <c r="BS417"/>
      <c r="BT417"/>
    </row>
    <row r="418" spans="68:72" x14ac:dyDescent="0.3">
      <c r="BP418"/>
      <c r="BQ418"/>
      <c r="BR418"/>
      <c r="BS418"/>
      <c r="BT418"/>
    </row>
    <row r="419" spans="68:72" x14ac:dyDescent="0.3">
      <c r="BP419"/>
      <c r="BQ419"/>
      <c r="BR419"/>
      <c r="BS419"/>
      <c r="BT419"/>
    </row>
    <row r="420" spans="68:72" x14ac:dyDescent="0.3">
      <c r="BP420"/>
      <c r="BQ420"/>
      <c r="BR420"/>
      <c r="BS420"/>
      <c r="BT420"/>
    </row>
    <row r="421" spans="68:72" x14ac:dyDescent="0.3">
      <c r="BP421"/>
      <c r="BQ421"/>
      <c r="BR421"/>
      <c r="BS421"/>
      <c r="BT421"/>
    </row>
    <row r="422" spans="68:72" x14ac:dyDescent="0.3">
      <c r="BP422"/>
      <c r="BQ422"/>
      <c r="BR422"/>
      <c r="BS422"/>
      <c r="BT422"/>
    </row>
    <row r="423" spans="68:72" x14ac:dyDescent="0.3">
      <c r="BP423"/>
      <c r="BQ423"/>
      <c r="BR423"/>
      <c r="BS423"/>
      <c r="BT423"/>
    </row>
    <row r="424" spans="68:72" x14ac:dyDescent="0.3">
      <c r="BP424"/>
      <c r="BQ424"/>
      <c r="BR424"/>
      <c r="BS424"/>
      <c r="BT424"/>
    </row>
    <row r="425" spans="68:72" x14ac:dyDescent="0.3">
      <c r="BP425"/>
      <c r="BQ425"/>
      <c r="BR425"/>
      <c r="BS425"/>
      <c r="BT425"/>
    </row>
    <row r="426" spans="68:72" x14ac:dyDescent="0.3">
      <c r="BP426"/>
      <c r="BQ426"/>
      <c r="BR426"/>
      <c r="BS426"/>
      <c r="BT426"/>
    </row>
    <row r="427" spans="68:72" x14ac:dyDescent="0.3">
      <c r="BP427"/>
      <c r="BQ427"/>
      <c r="BR427"/>
      <c r="BS427"/>
      <c r="BT427"/>
    </row>
    <row r="428" spans="68:72" x14ac:dyDescent="0.3">
      <c r="BP428"/>
      <c r="BQ428"/>
      <c r="BR428"/>
      <c r="BS428"/>
      <c r="BT428"/>
    </row>
    <row r="429" spans="68:72" x14ac:dyDescent="0.3">
      <c r="BP429"/>
      <c r="BQ429"/>
      <c r="BR429"/>
      <c r="BS429"/>
      <c r="BT429"/>
    </row>
    <row r="430" spans="68:72" x14ac:dyDescent="0.3">
      <c r="BP430"/>
      <c r="BQ430"/>
      <c r="BR430"/>
      <c r="BS430"/>
      <c r="BT430"/>
    </row>
    <row r="431" spans="68:72" x14ac:dyDescent="0.3">
      <c r="BP431"/>
      <c r="BQ431"/>
      <c r="BR431"/>
      <c r="BS431"/>
      <c r="BT431"/>
    </row>
    <row r="432" spans="68:72" x14ac:dyDescent="0.3">
      <c r="BP432"/>
      <c r="BQ432"/>
      <c r="BR432"/>
      <c r="BS432"/>
      <c r="BT432"/>
    </row>
    <row r="433" spans="68:72" x14ac:dyDescent="0.3">
      <c r="BP433"/>
      <c r="BQ433"/>
      <c r="BR433"/>
      <c r="BS433"/>
      <c r="BT433"/>
    </row>
    <row r="434" spans="68:72" x14ac:dyDescent="0.3">
      <c r="BP434"/>
      <c r="BQ434"/>
      <c r="BR434"/>
      <c r="BS434"/>
      <c r="BT434"/>
    </row>
    <row r="435" spans="68:72" x14ac:dyDescent="0.3">
      <c r="BP435"/>
      <c r="BQ435"/>
      <c r="BR435"/>
      <c r="BS435"/>
      <c r="BT435"/>
    </row>
    <row r="436" spans="68:72" x14ac:dyDescent="0.3">
      <c r="BP436"/>
      <c r="BQ436"/>
      <c r="BR436"/>
      <c r="BS436"/>
      <c r="BT436"/>
    </row>
    <row r="437" spans="68:72" x14ac:dyDescent="0.3">
      <c r="BP437"/>
      <c r="BQ437"/>
      <c r="BR437"/>
      <c r="BS437"/>
      <c r="BT437"/>
    </row>
    <row r="438" spans="68:72" x14ac:dyDescent="0.3">
      <c r="BP438"/>
      <c r="BQ438"/>
      <c r="BR438"/>
      <c r="BS438"/>
      <c r="BT438"/>
    </row>
    <row r="439" spans="68:72" x14ac:dyDescent="0.3">
      <c r="BP439"/>
      <c r="BQ439"/>
      <c r="BR439"/>
      <c r="BS439"/>
      <c r="BT439"/>
    </row>
    <row r="440" spans="68:72" x14ac:dyDescent="0.3">
      <c r="BP440"/>
      <c r="BQ440"/>
      <c r="BR440"/>
      <c r="BS440"/>
      <c r="BT440"/>
    </row>
    <row r="441" spans="68:72" x14ac:dyDescent="0.3">
      <c r="BP441"/>
      <c r="BQ441"/>
      <c r="BR441"/>
      <c r="BS441"/>
      <c r="BT441"/>
    </row>
    <row r="442" spans="68:72" x14ac:dyDescent="0.3">
      <c r="BP442"/>
      <c r="BQ442"/>
      <c r="BR442"/>
      <c r="BS442"/>
      <c r="BT442"/>
    </row>
    <row r="443" spans="68:72" x14ac:dyDescent="0.3">
      <c r="BP443"/>
      <c r="BQ443"/>
      <c r="BR443"/>
      <c r="BS443"/>
      <c r="BT443"/>
    </row>
    <row r="444" spans="68:72" x14ac:dyDescent="0.3">
      <c r="BP444"/>
      <c r="BQ444"/>
      <c r="BR444"/>
      <c r="BS444"/>
      <c r="BT444"/>
    </row>
    <row r="445" spans="68:72" x14ac:dyDescent="0.3">
      <c r="BP445"/>
      <c r="BQ445"/>
      <c r="BR445"/>
      <c r="BS445"/>
      <c r="BT445"/>
    </row>
    <row r="446" spans="68:72" x14ac:dyDescent="0.3">
      <c r="BP446"/>
      <c r="BQ446"/>
      <c r="BR446"/>
      <c r="BS446"/>
      <c r="BT446"/>
    </row>
    <row r="447" spans="68:72" x14ac:dyDescent="0.3">
      <c r="BP447"/>
      <c r="BQ447"/>
      <c r="BR447"/>
      <c r="BS447"/>
      <c r="BT447"/>
    </row>
    <row r="448" spans="68:72" x14ac:dyDescent="0.3">
      <c r="BP448"/>
      <c r="BQ448"/>
      <c r="BR448"/>
      <c r="BS448"/>
      <c r="BT448"/>
    </row>
    <row r="449" spans="68:72" x14ac:dyDescent="0.3">
      <c r="BP449"/>
      <c r="BQ449"/>
      <c r="BR449"/>
      <c r="BS449"/>
      <c r="BT449"/>
    </row>
    <row r="450" spans="68:72" x14ac:dyDescent="0.3">
      <c r="BP450"/>
      <c r="BQ450"/>
      <c r="BR450"/>
      <c r="BS450"/>
      <c r="BT450"/>
    </row>
    <row r="451" spans="68:72" x14ac:dyDescent="0.3">
      <c r="BP451"/>
      <c r="BQ451"/>
      <c r="BR451"/>
      <c r="BS451"/>
      <c r="BT451"/>
    </row>
    <row r="452" spans="68:72" x14ac:dyDescent="0.3">
      <c r="BP452"/>
      <c r="BQ452"/>
      <c r="BR452"/>
      <c r="BS452"/>
      <c r="BT452"/>
    </row>
    <row r="453" spans="68:72" x14ac:dyDescent="0.3">
      <c r="BP453"/>
      <c r="BQ453"/>
      <c r="BR453"/>
      <c r="BS453"/>
      <c r="BT453"/>
    </row>
    <row r="454" spans="68:72" x14ac:dyDescent="0.3">
      <c r="BP454"/>
      <c r="BQ454"/>
      <c r="BR454"/>
      <c r="BS454"/>
      <c r="BT454"/>
    </row>
    <row r="455" spans="68:72" x14ac:dyDescent="0.3">
      <c r="BP455"/>
      <c r="BQ455"/>
      <c r="BR455"/>
      <c r="BS455"/>
      <c r="BT455"/>
    </row>
    <row r="456" spans="68:72" x14ac:dyDescent="0.3">
      <c r="BP456"/>
      <c r="BQ456"/>
      <c r="BR456"/>
      <c r="BS456"/>
      <c r="BT456"/>
    </row>
    <row r="457" spans="68:72" x14ac:dyDescent="0.3">
      <c r="BP457"/>
      <c r="BQ457"/>
      <c r="BR457"/>
      <c r="BS457"/>
      <c r="BT457"/>
    </row>
    <row r="458" spans="68:72" x14ac:dyDescent="0.3">
      <c r="BP458"/>
      <c r="BQ458"/>
      <c r="BR458"/>
      <c r="BS458"/>
      <c r="BT458"/>
    </row>
    <row r="459" spans="68:72" x14ac:dyDescent="0.3">
      <c r="BP459"/>
      <c r="BQ459"/>
      <c r="BR459"/>
      <c r="BS459"/>
      <c r="BT459"/>
    </row>
    <row r="460" spans="68:72" x14ac:dyDescent="0.3">
      <c r="BP460"/>
      <c r="BQ460"/>
      <c r="BR460"/>
      <c r="BS460"/>
      <c r="BT460"/>
    </row>
    <row r="461" spans="68:72" x14ac:dyDescent="0.3">
      <c r="BP461"/>
      <c r="BQ461"/>
      <c r="BR461"/>
      <c r="BS461"/>
      <c r="BT461"/>
    </row>
    <row r="462" spans="68:72" x14ac:dyDescent="0.3">
      <c r="BP462"/>
      <c r="BQ462"/>
      <c r="BR462"/>
      <c r="BS462"/>
      <c r="BT462"/>
    </row>
    <row r="463" spans="68:72" x14ac:dyDescent="0.3">
      <c r="BP463"/>
      <c r="BQ463"/>
      <c r="BR463"/>
      <c r="BS463"/>
      <c r="BT463"/>
    </row>
    <row r="464" spans="68:72" x14ac:dyDescent="0.3">
      <c r="BP464"/>
      <c r="BQ464"/>
      <c r="BR464"/>
      <c r="BS464"/>
      <c r="BT464"/>
    </row>
    <row r="465" spans="68:72" x14ac:dyDescent="0.3">
      <c r="BP465"/>
      <c r="BQ465"/>
      <c r="BR465"/>
      <c r="BS465"/>
      <c r="BT465"/>
    </row>
    <row r="466" spans="68:72" x14ac:dyDescent="0.3">
      <c r="BP466"/>
      <c r="BQ466"/>
      <c r="BR466"/>
      <c r="BS466"/>
      <c r="BT466"/>
    </row>
    <row r="467" spans="68:72" x14ac:dyDescent="0.3">
      <c r="BP467"/>
      <c r="BQ467"/>
      <c r="BR467"/>
      <c r="BS467"/>
      <c r="BT467"/>
    </row>
    <row r="468" spans="68:72" x14ac:dyDescent="0.3">
      <c r="BP468"/>
      <c r="BQ468"/>
      <c r="BR468"/>
      <c r="BS468"/>
      <c r="BT468"/>
    </row>
    <row r="469" spans="68:72" x14ac:dyDescent="0.3">
      <c r="BP469"/>
      <c r="BQ469"/>
      <c r="BR469"/>
      <c r="BS469"/>
      <c r="BT469"/>
    </row>
    <row r="470" spans="68:72" x14ac:dyDescent="0.3">
      <c r="BP470"/>
      <c r="BQ470"/>
      <c r="BR470"/>
      <c r="BS470"/>
      <c r="BT470"/>
    </row>
    <row r="471" spans="68:72" x14ac:dyDescent="0.3">
      <c r="BP471"/>
      <c r="BQ471"/>
      <c r="BR471"/>
      <c r="BS471"/>
      <c r="BT471"/>
    </row>
    <row r="472" spans="68:72" x14ac:dyDescent="0.3">
      <c r="BP472"/>
      <c r="BQ472"/>
      <c r="BR472"/>
      <c r="BS472"/>
      <c r="BT472"/>
    </row>
    <row r="473" spans="68:72" x14ac:dyDescent="0.3">
      <c r="BP473"/>
      <c r="BQ473"/>
      <c r="BR473"/>
      <c r="BS473"/>
      <c r="BT473"/>
    </row>
    <row r="474" spans="68:72" x14ac:dyDescent="0.3">
      <c r="BP474"/>
      <c r="BQ474"/>
      <c r="BR474"/>
      <c r="BS474"/>
      <c r="BT474"/>
    </row>
    <row r="475" spans="68:72" x14ac:dyDescent="0.3">
      <c r="BP475"/>
      <c r="BQ475"/>
      <c r="BR475"/>
      <c r="BS475"/>
      <c r="BT475"/>
    </row>
    <row r="476" spans="68:72" x14ac:dyDescent="0.3">
      <c r="BP476"/>
      <c r="BQ476"/>
      <c r="BR476"/>
      <c r="BS476"/>
      <c r="BT476"/>
    </row>
    <row r="477" spans="68:72" x14ac:dyDescent="0.3">
      <c r="BP477"/>
      <c r="BQ477"/>
      <c r="BR477"/>
      <c r="BS477"/>
      <c r="BT477"/>
    </row>
    <row r="478" spans="68:72" x14ac:dyDescent="0.3">
      <c r="BP478"/>
      <c r="BQ478"/>
      <c r="BR478"/>
      <c r="BS478"/>
      <c r="BT478"/>
    </row>
    <row r="479" spans="68:72" x14ac:dyDescent="0.3">
      <c r="BP479"/>
      <c r="BQ479"/>
      <c r="BR479"/>
      <c r="BS479"/>
      <c r="BT479"/>
    </row>
    <row r="480" spans="68:72" x14ac:dyDescent="0.3">
      <c r="BP480"/>
      <c r="BQ480"/>
      <c r="BR480"/>
      <c r="BS480"/>
      <c r="BT480"/>
    </row>
    <row r="481" spans="68:72" x14ac:dyDescent="0.3">
      <c r="BP481"/>
      <c r="BQ481"/>
      <c r="BR481"/>
      <c r="BS481"/>
      <c r="BT481"/>
    </row>
    <row r="482" spans="68:72" x14ac:dyDescent="0.3">
      <c r="BP482"/>
      <c r="BQ482"/>
      <c r="BR482"/>
      <c r="BS482"/>
      <c r="BT482"/>
    </row>
    <row r="483" spans="68:72" x14ac:dyDescent="0.3">
      <c r="BP483"/>
      <c r="BQ483"/>
      <c r="BR483"/>
      <c r="BS483"/>
      <c r="BT483"/>
    </row>
    <row r="484" spans="68:72" x14ac:dyDescent="0.3">
      <c r="BP484"/>
      <c r="BQ484"/>
      <c r="BR484"/>
      <c r="BS484"/>
      <c r="BT484"/>
    </row>
    <row r="485" spans="68:72" x14ac:dyDescent="0.3">
      <c r="BP485"/>
      <c r="BQ485"/>
      <c r="BR485"/>
      <c r="BS485"/>
      <c r="BT485"/>
    </row>
    <row r="486" spans="68:72" x14ac:dyDescent="0.3">
      <c r="BP486"/>
      <c r="BQ486"/>
      <c r="BR486"/>
      <c r="BS486"/>
      <c r="BT486"/>
    </row>
    <row r="487" spans="68:72" x14ac:dyDescent="0.3">
      <c r="BP487"/>
      <c r="BQ487"/>
      <c r="BR487"/>
      <c r="BS487"/>
      <c r="BT487"/>
    </row>
    <row r="488" spans="68:72" x14ac:dyDescent="0.3">
      <c r="BP488"/>
      <c r="BQ488"/>
      <c r="BR488"/>
      <c r="BS488"/>
      <c r="BT488"/>
    </row>
    <row r="489" spans="68:72" x14ac:dyDescent="0.3">
      <c r="BP489"/>
      <c r="BQ489"/>
      <c r="BR489"/>
      <c r="BS489"/>
      <c r="BT489"/>
    </row>
    <row r="490" spans="68:72" x14ac:dyDescent="0.3">
      <c r="BP490"/>
      <c r="BQ490"/>
      <c r="BR490"/>
      <c r="BS490"/>
      <c r="BT490"/>
    </row>
    <row r="491" spans="68:72" x14ac:dyDescent="0.3">
      <c r="BP491"/>
      <c r="BQ491"/>
      <c r="BR491"/>
      <c r="BS491"/>
      <c r="BT491"/>
    </row>
    <row r="492" spans="68:72" x14ac:dyDescent="0.3">
      <c r="BP492"/>
      <c r="BQ492"/>
      <c r="BR492"/>
      <c r="BS492"/>
      <c r="BT492"/>
    </row>
    <row r="493" spans="68:72" x14ac:dyDescent="0.3">
      <c r="BP493"/>
      <c r="BQ493"/>
      <c r="BR493"/>
      <c r="BS493"/>
      <c r="BT493"/>
    </row>
    <row r="494" spans="68:72" x14ac:dyDescent="0.3">
      <c r="BP494"/>
      <c r="BQ494"/>
      <c r="BR494"/>
      <c r="BS494"/>
      <c r="BT494"/>
    </row>
    <row r="495" spans="68:72" x14ac:dyDescent="0.3">
      <c r="BP495"/>
      <c r="BQ495"/>
      <c r="BR495"/>
      <c r="BS495"/>
      <c r="BT495"/>
    </row>
    <row r="496" spans="68:72" x14ac:dyDescent="0.3">
      <c r="BP496"/>
      <c r="BQ496"/>
      <c r="BR496"/>
      <c r="BS496"/>
      <c r="BT496"/>
    </row>
    <row r="497" spans="68:72" x14ac:dyDescent="0.3">
      <c r="BP497"/>
      <c r="BQ497"/>
      <c r="BR497"/>
      <c r="BS497"/>
      <c r="BT497"/>
    </row>
    <row r="498" spans="68:72" x14ac:dyDescent="0.3">
      <c r="BP498"/>
      <c r="BQ498"/>
      <c r="BR498"/>
      <c r="BS498"/>
      <c r="BT498"/>
    </row>
    <row r="499" spans="68:72" x14ac:dyDescent="0.3">
      <c r="BP499"/>
      <c r="BQ499"/>
      <c r="BR499"/>
      <c r="BS499"/>
      <c r="BT499"/>
    </row>
    <row r="500" spans="68:72" x14ac:dyDescent="0.3">
      <c r="BP500"/>
      <c r="BQ500"/>
      <c r="BR500"/>
      <c r="BS500"/>
      <c r="BT500"/>
    </row>
    <row r="501" spans="68:72" x14ac:dyDescent="0.3">
      <c r="BP501"/>
      <c r="BQ501"/>
      <c r="BR501"/>
      <c r="BS501"/>
      <c r="BT501"/>
    </row>
    <row r="502" spans="68:72" x14ac:dyDescent="0.3">
      <c r="BP502"/>
      <c r="BQ502"/>
      <c r="BR502"/>
      <c r="BS502"/>
      <c r="BT502"/>
    </row>
    <row r="503" spans="68:72" x14ac:dyDescent="0.3">
      <c r="BP503"/>
      <c r="BQ503"/>
      <c r="BR503"/>
      <c r="BS503"/>
      <c r="BT503"/>
    </row>
    <row r="504" spans="68:72" x14ac:dyDescent="0.3">
      <c r="BP504"/>
      <c r="BQ504"/>
      <c r="BR504"/>
      <c r="BS504"/>
      <c r="BT504"/>
    </row>
    <row r="505" spans="68:72" x14ac:dyDescent="0.3">
      <c r="BP505"/>
      <c r="BQ505"/>
      <c r="BR505"/>
      <c r="BS505"/>
      <c r="BT505"/>
    </row>
    <row r="506" spans="68:72" x14ac:dyDescent="0.3">
      <c r="BP506"/>
      <c r="BQ506"/>
      <c r="BR506"/>
      <c r="BS506"/>
      <c r="BT506"/>
    </row>
    <row r="507" spans="68:72" x14ac:dyDescent="0.3">
      <c r="BP507"/>
      <c r="BQ507"/>
      <c r="BR507"/>
      <c r="BS507"/>
      <c r="BT507"/>
    </row>
    <row r="508" spans="68:72" x14ac:dyDescent="0.3">
      <c r="BP508"/>
      <c r="BQ508"/>
      <c r="BR508"/>
      <c r="BS508"/>
      <c r="BT508"/>
    </row>
    <row r="509" spans="68:72" x14ac:dyDescent="0.3">
      <c r="BP509"/>
      <c r="BQ509"/>
      <c r="BR509"/>
      <c r="BS509"/>
      <c r="BT509"/>
    </row>
    <row r="510" spans="68:72" x14ac:dyDescent="0.3">
      <c r="BP510"/>
      <c r="BQ510"/>
      <c r="BR510"/>
      <c r="BS510"/>
      <c r="BT510"/>
    </row>
    <row r="511" spans="68:72" x14ac:dyDescent="0.3">
      <c r="BP511"/>
      <c r="BQ511"/>
      <c r="BR511"/>
      <c r="BS511"/>
      <c r="BT511"/>
    </row>
    <row r="512" spans="68:72" x14ac:dyDescent="0.3">
      <c r="BP512"/>
      <c r="BQ512"/>
      <c r="BR512"/>
      <c r="BS512"/>
      <c r="BT512"/>
    </row>
    <row r="513" spans="68:72" x14ac:dyDescent="0.3">
      <c r="BP513"/>
      <c r="BQ513"/>
      <c r="BR513"/>
      <c r="BS513"/>
      <c r="BT513"/>
    </row>
    <row r="514" spans="68:72" x14ac:dyDescent="0.3">
      <c r="BP514"/>
      <c r="BQ514"/>
      <c r="BR514"/>
      <c r="BS514"/>
      <c r="BT514"/>
    </row>
    <row r="515" spans="68:72" x14ac:dyDescent="0.3">
      <c r="BP515"/>
      <c r="BQ515"/>
      <c r="BR515"/>
      <c r="BS515"/>
      <c r="BT515"/>
    </row>
    <row r="516" spans="68:72" x14ac:dyDescent="0.3">
      <c r="BP516"/>
      <c r="BQ516"/>
      <c r="BR516"/>
      <c r="BS516"/>
      <c r="BT516"/>
    </row>
    <row r="517" spans="68:72" x14ac:dyDescent="0.3">
      <c r="BP517"/>
      <c r="BQ517"/>
      <c r="BR517"/>
      <c r="BS517"/>
      <c r="BT517"/>
    </row>
    <row r="518" spans="68:72" x14ac:dyDescent="0.3">
      <c r="BP518"/>
      <c r="BQ518"/>
      <c r="BR518"/>
      <c r="BS518"/>
      <c r="BT518"/>
    </row>
    <row r="519" spans="68:72" x14ac:dyDescent="0.3">
      <c r="BP519"/>
      <c r="BQ519"/>
      <c r="BR519"/>
      <c r="BS519"/>
      <c r="BT519"/>
    </row>
    <row r="520" spans="68:72" x14ac:dyDescent="0.3">
      <c r="BP520"/>
      <c r="BQ520"/>
      <c r="BR520"/>
      <c r="BS520"/>
      <c r="BT520"/>
    </row>
    <row r="521" spans="68:72" x14ac:dyDescent="0.3">
      <c r="BP521"/>
      <c r="BQ521"/>
      <c r="BR521"/>
      <c r="BS521"/>
      <c r="BT521"/>
    </row>
    <row r="522" spans="68:72" x14ac:dyDescent="0.3">
      <c r="BP522"/>
      <c r="BQ522"/>
      <c r="BR522"/>
      <c r="BS522"/>
      <c r="BT522"/>
    </row>
    <row r="523" spans="68:72" x14ac:dyDescent="0.3">
      <c r="BP523"/>
      <c r="BQ523"/>
      <c r="BR523"/>
      <c r="BS523"/>
      <c r="BT523"/>
    </row>
    <row r="524" spans="68:72" x14ac:dyDescent="0.3">
      <c r="BP524"/>
      <c r="BQ524"/>
      <c r="BR524"/>
      <c r="BS524"/>
      <c r="BT524"/>
    </row>
    <row r="525" spans="68:72" x14ac:dyDescent="0.3">
      <c r="BP525"/>
      <c r="BQ525"/>
      <c r="BR525"/>
      <c r="BS525"/>
      <c r="BT525"/>
    </row>
    <row r="526" spans="68:72" x14ac:dyDescent="0.3">
      <c r="BP526"/>
      <c r="BQ526"/>
      <c r="BR526"/>
      <c r="BS526"/>
      <c r="BT526"/>
    </row>
    <row r="527" spans="68:72" x14ac:dyDescent="0.3">
      <c r="BP527"/>
      <c r="BQ527"/>
      <c r="BR527"/>
      <c r="BS527"/>
      <c r="BT527"/>
    </row>
    <row r="528" spans="68:72" x14ac:dyDescent="0.3">
      <c r="BP528"/>
      <c r="BQ528"/>
      <c r="BR528"/>
      <c r="BS528"/>
      <c r="BT528"/>
    </row>
    <row r="529" spans="68:72" x14ac:dyDescent="0.3">
      <c r="BP529"/>
      <c r="BQ529"/>
      <c r="BR529"/>
      <c r="BS529"/>
      <c r="BT529"/>
    </row>
    <row r="530" spans="68:72" x14ac:dyDescent="0.3">
      <c r="BP530"/>
      <c r="BQ530"/>
      <c r="BR530"/>
      <c r="BS530"/>
      <c r="BT530"/>
    </row>
    <row r="531" spans="68:72" x14ac:dyDescent="0.3">
      <c r="BP531"/>
      <c r="BQ531"/>
      <c r="BR531"/>
      <c r="BS531"/>
      <c r="BT531"/>
    </row>
    <row r="532" spans="68:72" x14ac:dyDescent="0.3">
      <c r="BP532"/>
      <c r="BQ532"/>
      <c r="BR532"/>
      <c r="BS532"/>
      <c r="BT532"/>
    </row>
    <row r="533" spans="68:72" x14ac:dyDescent="0.3">
      <c r="BP533"/>
      <c r="BQ533"/>
      <c r="BR533"/>
      <c r="BS533"/>
      <c r="BT533"/>
    </row>
    <row r="534" spans="68:72" x14ac:dyDescent="0.3">
      <c r="BP534"/>
      <c r="BQ534"/>
      <c r="BR534"/>
      <c r="BS534"/>
      <c r="BT534"/>
    </row>
    <row r="535" spans="68:72" x14ac:dyDescent="0.3">
      <c r="BP535"/>
      <c r="BQ535"/>
      <c r="BR535"/>
      <c r="BS535"/>
      <c r="BT535"/>
    </row>
    <row r="536" spans="68:72" x14ac:dyDescent="0.3">
      <c r="BP536"/>
      <c r="BQ536"/>
      <c r="BR536"/>
      <c r="BS536"/>
      <c r="BT536"/>
    </row>
    <row r="537" spans="68:72" x14ac:dyDescent="0.3">
      <c r="BP537"/>
      <c r="BQ537"/>
      <c r="BR537"/>
      <c r="BS537"/>
      <c r="BT537"/>
    </row>
    <row r="538" spans="68:72" x14ac:dyDescent="0.3">
      <c r="BP538"/>
      <c r="BQ538"/>
      <c r="BR538"/>
      <c r="BS538"/>
      <c r="BT538"/>
    </row>
    <row r="539" spans="68:72" x14ac:dyDescent="0.3">
      <c r="BP539"/>
      <c r="BQ539"/>
      <c r="BR539"/>
      <c r="BS539"/>
      <c r="BT539"/>
    </row>
    <row r="540" spans="68:72" x14ac:dyDescent="0.3">
      <c r="BP540"/>
      <c r="BQ540"/>
      <c r="BR540"/>
      <c r="BS540"/>
      <c r="BT540"/>
    </row>
    <row r="541" spans="68:72" x14ac:dyDescent="0.3">
      <c r="BP541"/>
      <c r="BQ541"/>
      <c r="BR541"/>
      <c r="BS541"/>
      <c r="BT541"/>
    </row>
    <row r="542" spans="68:72" x14ac:dyDescent="0.3">
      <c r="BP542"/>
      <c r="BQ542"/>
      <c r="BR542"/>
      <c r="BS542"/>
      <c r="BT542"/>
    </row>
    <row r="543" spans="68:72" x14ac:dyDescent="0.3">
      <c r="BP543"/>
      <c r="BQ543"/>
      <c r="BR543"/>
      <c r="BS543"/>
      <c r="BT543"/>
    </row>
    <row r="544" spans="68:72" x14ac:dyDescent="0.3">
      <c r="BP544"/>
      <c r="BQ544"/>
      <c r="BR544"/>
      <c r="BS544"/>
      <c r="BT544"/>
    </row>
    <row r="545" spans="68:72" x14ac:dyDescent="0.3">
      <c r="BP545"/>
      <c r="BQ545"/>
      <c r="BR545"/>
      <c r="BS545"/>
      <c r="BT545"/>
    </row>
    <row r="546" spans="68:72" x14ac:dyDescent="0.3">
      <c r="BP546"/>
      <c r="BQ546"/>
      <c r="BR546"/>
      <c r="BS546"/>
      <c r="BT546"/>
    </row>
    <row r="547" spans="68:72" x14ac:dyDescent="0.3">
      <c r="BP547"/>
      <c r="BQ547"/>
      <c r="BR547"/>
      <c r="BS547"/>
      <c r="BT547"/>
    </row>
    <row r="548" spans="68:72" x14ac:dyDescent="0.3">
      <c r="BP548"/>
      <c r="BQ548"/>
      <c r="BR548"/>
      <c r="BS548"/>
      <c r="BT548"/>
    </row>
    <row r="549" spans="68:72" x14ac:dyDescent="0.3">
      <c r="BP549"/>
      <c r="BQ549"/>
      <c r="BR549"/>
      <c r="BS549"/>
      <c r="BT549"/>
    </row>
    <row r="550" spans="68:72" x14ac:dyDescent="0.3">
      <c r="BP550"/>
      <c r="BQ550"/>
      <c r="BR550"/>
      <c r="BS550"/>
      <c r="BT550"/>
    </row>
    <row r="551" spans="68:72" x14ac:dyDescent="0.3">
      <c r="BP551"/>
      <c r="BQ551"/>
      <c r="BR551"/>
      <c r="BS551"/>
      <c r="BT551"/>
    </row>
    <row r="552" spans="68:72" x14ac:dyDescent="0.3">
      <c r="BP552"/>
      <c r="BQ552"/>
      <c r="BR552"/>
      <c r="BS552"/>
      <c r="BT552"/>
    </row>
    <row r="553" spans="68:72" x14ac:dyDescent="0.3">
      <c r="BP553"/>
      <c r="BQ553"/>
      <c r="BR553"/>
      <c r="BS553"/>
      <c r="BT553"/>
    </row>
    <row r="554" spans="68:72" x14ac:dyDescent="0.3">
      <c r="BP554"/>
      <c r="BQ554"/>
      <c r="BR554"/>
      <c r="BS554"/>
      <c r="BT554"/>
    </row>
    <row r="555" spans="68:72" x14ac:dyDescent="0.3">
      <c r="BP555"/>
      <c r="BQ555"/>
      <c r="BR555"/>
      <c r="BS555"/>
      <c r="BT555"/>
    </row>
    <row r="556" spans="68:72" x14ac:dyDescent="0.3">
      <c r="BP556"/>
      <c r="BQ556"/>
      <c r="BR556"/>
      <c r="BS556"/>
      <c r="BT556"/>
    </row>
    <row r="557" spans="68:72" x14ac:dyDescent="0.3">
      <c r="BP557"/>
      <c r="BQ557"/>
      <c r="BR557"/>
      <c r="BS557"/>
      <c r="BT557"/>
    </row>
    <row r="558" spans="68:72" x14ac:dyDescent="0.3">
      <c r="BP558"/>
      <c r="BQ558"/>
      <c r="BR558"/>
      <c r="BS558"/>
      <c r="BT558"/>
    </row>
    <row r="559" spans="68:72" x14ac:dyDescent="0.3">
      <c r="BP559"/>
      <c r="BQ559"/>
      <c r="BR559"/>
      <c r="BS559"/>
      <c r="BT559"/>
    </row>
    <row r="560" spans="68:72" x14ac:dyDescent="0.3">
      <c r="BP560"/>
      <c r="BQ560"/>
      <c r="BR560"/>
      <c r="BS560"/>
      <c r="BT560"/>
    </row>
    <row r="561" spans="68:72" x14ac:dyDescent="0.3">
      <c r="BP561"/>
      <c r="BQ561"/>
      <c r="BR561"/>
      <c r="BS561"/>
      <c r="BT561"/>
    </row>
    <row r="562" spans="68:72" x14ac:dyDescent="0.3">
      <c r="BP562"/>
      <c r="BQ562"/>
      <c r="BR562"/>
      <c r="BS562"/>
      <c r="BT562"/>
    </row>
    <row r="563" spans="68:72" x14ac:dyDescent="0.3">
      <c r="BP563"/>
      <c r="BQ563"/>
      <c r="BR563"/>
      <c r="BS563"/>
      <c r="BT563"/>
    </row>
    <row r="564" spans="68:72" x14ac:dyDescent="0.3">
      <c r="BP564"/>
      <c r="BQ564"/>
      <c r="BR564"/>
      <c r="BS564"/>
      <c r="BT564"/>
    </row>
    <row r="565" spans="68:72" x14ac:dyDescent="0.3">
      <c r="BP565"/>
      <c r="BQ565"/>
      <c r="BR565"/>
      <c r="BS565"/>
      <c r="BT565"/>
    </row>
    <row r="566" spans="68:72" x14ac:dyDescent="0.3">
      <c r="BP566"/>
      <c r="BQ566"/>
      <c r="BR566"/>
      <c r="BS566"/>
      <c r="BT566"/>
    </row>
    <row r="567" spans="68:72" x14ac:dyDescent="0.3">
      <c r="BP567"/>
      <c r="BQ567"/>
      <c r="BR567"/>
      <c r="BS567"/>
      <c r="BT567"/>
    </row>
    <row r="568" spans="68:72" x14ac:dyDescent="0.3">
      <c r="BP568"/>
      <c r="BQ568"/>
      <c r="BR568"/>
      <c r="BS568"/>
      <c r="BT568"/>
    </row>
    <row r="569" spans="68:72" x14ac:dyDescent="0.3">
      <c r="BP569"/>
      <c r="BQ569"/>
      <c r="BR569"/>
      <c r="BS569"/>
      <c r="BT569"/>
    </row>
    <row r="570" spans="68:72" x14ac:dyDescent="0.3">
      <c r="BP570"/>
      <c r="BQ570"/>
      <c r="BR570"/>
      <c r="BS570"/>
      <c r="BT570"/>
    </row>
    <row r="571" spans="68:72" x14ac:dyDescent="0.3">
      <c r="BP571"/>
      <c r="BQ571"/>
      <c r="BR571"/>
      <c r="BS571"/>
      <c r="BT571"/>
    </row>
    <row r="572" spans="68:72" x14ac:dyDescent="0.3">
      <c r="BP572"/>
      <c r="BQ572"/>
      <c r="BR572"/>
      <c r="BS572"/>
      <c r="BT572"/>
    </row>
    <row r="573" spans="68:72" x14ac:dyDescent="0.3">
      <c r="BP573"/>
      <c r="BQ573"/>
      <c r="BR573"/>
      <c r="BS573"/>
      <c r="BT573"/>
    </row>
    <row r="574" spans="68:72" x14ac:dyDescent="0.3">
      <c r="BP574"/>
      <c r="BQ574"/>
      <c r="BR574"/>
      <c r="BS574"/>
      <c r="BT574"/>
    </row>
    <row r="575" spans="68:72" x14ac:dyDescent="0.3">
      <c r="BP575"/>
      <c r="BQ575"/>
      <c r="BR575"/>
      <c r="BS575"/>
      <c r="BT575"/>
    </row>
    <row r="576" spans="68:72" x14ac:dyDescent="0.3">
      <c r="BP576"/>
      <c r="BQ576"/>
      <c r="BR576"/>
      <c r="BS576"/>
      <c r="BT576"/>
    </row>
    <row r="577" spans="68:72" x14ac:dyDescent="0.3">
      <c r="BP577"/>
      <c r="BQ577"/>
      <c r="BR577"/>
      <c r="BS577"/>
      <c r="BT577"/>
    </row>
    <row r="578" spans="68:72" x14ac:dyDescent="0.3">
      <c r="BP578"/>
      <c r="BQ578"/>
      <c r="BR578"/>
      <c r="BS578"/>
      <c r="BT578"/>
    </row>
    <row r="579" spans="68:72" x14ac:dyDescent="0.3">
      <c r="BP579"/>
      <c r="BQ579"/>
      <c r="BR579"/>
      <c r="BS579"/>
      <c r="BT579"/>
    </row>
    <row r="580" spans="68:72" x14ac:dyDescent="0.3">
      <c r="BP580"/>
      <c r="BQ580"/>
      <c r="BR580"/>
      <c r="BS580"/>
      <c r="BT580"/>
    </row>
    <row r="581" spans="68:72" x14ac:dyDescent="0.3">
      <c r="BP581"/>
      <c r="BQ581"/>
      <c r="BR581"/>
      <c r="BS581"/>
      <c r="BT581"/>
    </row>
    <row r="582" spans="68:72" x14ac:dyDescent="0.3">
      <c r="BP582"/>
      <c r="BQ582"/>
      <c r="BR582"/>
      <c r="BS582"/>
      <c r="BT582"/>
    </row>
    <row r="583" spans="68:72" x14ac:dyDescent="0.3">
      <c r="BP583"/>
      <c r="BQ583"/>
      <c r="BR583"/>
      <c r="BS583"/>
      <c r="BT583"/>
    </row>
    <row r="584" spans="68:72" x14ac:dyDescent="0.3">
      <c r="BP584"/>
      <c r="BQ584"/>
      <c r="BR584"/>
      <c r="BS584"/>
      <c r="BT584"/>
    </row>
    <row r="585" spans="68:72" x14ac:dyDescent="0.3">
      <c r="BP585"/>
      <c r="BQ585"/>
      <c r="BR585"/>
      <c r="BS585"/>
      <c r="BT585"/>
    </row>
    <row r="586" spans="68:72" x14ac:dyDescent="0.3">
      <c r="BP586"/>
      <c r="BQ586"/>
      <c r="BR586"/>
      <c r="BS586"/>
      <c r="BT586"/>
    </row>
    <row r="587" spans="68:72" x14ac:dyDescent="0.3">
      <c r="BP587"/>
      <c r="BQ587"/>
      <c r="BR587"/>
      <c r="BS587"/>
      <c r="BT587"/>
    </row>
    <row r="588" spans="68:72" x14ac:dyDescent="0.3">
      <c r="BP588"/>
      <c r="BQ588"/>
      <c r="BR588"/>
      <c r="BS588"/>
      <c r="BT588"/>
    </row>
    <row r="589" spans="68:72" x14ac:dyDescent="0.3">
      <c r="BP589"/>
      <c r="BQ589"/>
      <c r="BR589"/>
      <c r="BS589"/>
      <c r="BT589"/>
    </row>
    <row r="590" spans="68:72" x14ac:dyDescent="0.3">
      <c r="BP590"/>
      <c r="BQ590"/>
      <c r="BR590"/>
      <c r="BS590"/>
      <c r="BT590"/>
    </row>
    <row r="591" spans="68:72" x14ac:dyDescent="0.3">
      <c r="BP591"/>
      <c r="BQ591"/>
      <c r="BR591"/>
      <c r="BS591"/>
      <c r="BT591"/>
    </row>
    <row r="592" spans="68:72" x14ac:dyDescent="0.3">
      <c r="BP592"/>
      <c r="BQ592"/>
      <c r="BR592"/>
      <c r="BS592"/>
      <c r="BT592"/>
    </row>
    <row r="593" spans="68:72" x14ac:dyDescent="0.3">
      <c r="BP593"/>
      <c r="BQ593"/>
      <c r="BR593"/>
      <c r="BS593"/>
      <c r="BT593"/>
    </row>
    <row r="594" spans="68:72" x14ac:dyDescent="0.3">
      <c r="BP594"/>
      <c r="BQ594"/>
      <c r="BR594"/>
      <c r="BS594"/>
      <c r="BT594"/>
    </row>
    <row r="595" spans="68:72" x14ac:dyDescent="0.3">
      <c r="BP595"/>
      <c r="BQ595"/>
      <c r="BR595"/>
      <c r="BS595"/>
      <c r="BT595"/>
    </row>
    <row r="596" spans="68:72" x14ac:dyDescent="0.3">
      <c r="BP596"/>
      <c r="BQ596"/>
      <c r="BR596"/>
      <c r="BS596"/>
      <c r="BT596"/>
    </row>
    <row r="597" spans="68:72" x14ac:dyDescent="0.3">
      <c r="BP597"/>
      <c r="BQ597"/>
      <c r="BR597"/>
      <c r="BS597"/>
      <c r="BT597"/>
    </row>
    <row r="598" spans="68:72" x14ac:dyDescent="0.3">
      <c r="BP598"/>
      <c r="BQ598"/>
      <c r="BR598"/>
      <c r="BS598"/>
      <c r="BT598"/>
    </row>
    <row r="599" spans="68:72" x14ac:dyDescent="0.3">
      <c r="BP599"/>
      <c r="BQ599"/>
      <c r="BR599"/>
      <c r="BS599"/>
      <c r="BT599"/>
    </row>
    <row r="600" spans="68:72" x14ac:dyDescent="0.3">
      <c r="BP600"/>
      <c r="BQ600"/>
      <c r="BR600"/>
      <c r="BS600"/>
      <c r="BT600"/>
    </row>
    <row r="601" spans="68:72" x14ac:dyDescent="0.3">
      <c r="BP601"/>
      <c r="BQ601"/>
      <c r="BR601"/>
      <c r="BS601"/>
      <c r="BT601"/>
    </row>
    <row r="602" spans="68:72" x14ac:dyDescent="0.3">
      <c r="BP602"/>
      <c r="BQ602"/>
      <c r="BR602"/>
      <c r="BS602"/>
      <c r="BT602"/>
    </row>
    <row r="603" spans="68:72" x14ac:dyDescent="0.3">
      <c r="BP603"/>
      <c r="BQ603"/>
      <c r="BR603"/>
      <c r="BS603"/>
      <c r="BT603"/>
    </row>
    <row r="604" spans="68:72" x14ac:dyDescent="0.3">
      <c r="BP604"/>
      <c r="BQ604"/>
      <c r="BR604"/>
      <c r="BS604"/>
      <c r="BT604"/>
    </row>
    <row r="605" spans="68:72" x14ac:dyDescent="0.3">
      <c r="BP605"/>
      <c r="BQ605"/>
      <c r="BR605"/>
      <c r="BS605"/>
      <c r="BT605"/>
    </row>
    <row r="606" spans="68:72" x14ac:dyDescent="0.3">
      <c r="BP606"/>
      <c r="BQ606"/>
      <c r="BR606"/>
      <c r="BS606"/>
      <c r="BT606"/>
    </row>
    <row r="607" spans="68:72" x14ac:dyDescent="0.3">
      <c r="BP607"/>
      <c r="BQ607"/>
      <c r="BR607"/>
      <c r="BS607"/>
      <c r="BT607"/>
    </row>
    <row r="608" spans="68:72" x14ac:dyDescent="0.3">
      <c r="BP608"/>
      <c r="BQ608"/>
      <c r="BR608"/>
      <c r="BS608"/>
      <c r="BT608"/>
    </row>
    <row r="609" spans="68:72" x14ac:dyDescent="0.3">
      <c r="BP609"/>
      <c r="BQ609"/>
      <c r="BR609"/>
      <c r="BS609"/>
      <c r="BT609"/>
    </row>
    <row r="610" spans="68:72" x14ac:dyDescent="0.3">
      <c r="BP610"/>
      <c r="BQ610"/>
      <c r="BR610"/>
      <c r="BS610"/>
      <c r="BT610"/>
    </row>
    <row r="611" spans="68:72" x14ac:dyDescent="0.3">
      <c r="BP611"/>
      <c r="BQ611"/>
      <c r="BR611"/>
      <c r="BS611"/>
      <c r="BT611"/>
    </row>
    <row r="612" spans="68:72" x14ac:dyDescent="0.3">
      <c r="BP612"/>
      <c r="BQ612"/>
      <c r="BR612"/>
      <c r="BS612"/>
      <c r="BT612"/>
    </row>
    <row r="613" spans="68:72" x14ac:dyDescent="0.3">
      <c r="BP613"/>
      <c r="BQ613"/>
      <c r="BR613"/>
      <c r="BS613"/>
      <c r="BT613"/>
    </row>
    <row r="614" spans="68:72" x14ac:dyDescent="0.3">
      <c r="BP614"/>
      <c r="BQ614"/>
      <c r="BR614"/>
      <c r="BS614"/>
      <c r="BT614"/>
    </row>
    <row r="615" spans="68:72" x14ac:dyDescent="0.3">
      <c r="BP615"/>
      <c r="BQ615"/>
      <c r="BR615"/>
      <c r="BS615"/>
      <c r="BT615"/>
    </row>
    <row r="616" spans="68:72" x14ac:dyDescent="0.3">
      <c r="BP616"/>
      <c r="BQ616"/>
      <c r="BR616"/>
      <c r="BS616"/>
      <c r="BT616"/>
    </row>
    <row r="617" spans="68:72" x14ac:dyDescent="0.3">
      <c r="BP617"/>
      <c r="BQ617"/>
      <c r="BR617"/>
      <c r="BS617"/>
      <c r="BT617"/>
    </row>
    <row r="618" spans="68:72" x14ac:dyDescent="0.3">
      <c r="BP618"/>
      <c r="BQ618"/>
      <c r="BR618"/>
      <c r="BS618"/>
      <c r="BT618"/>
    </row>
    <row r="619" spans="68:72" x14ac:dyDescent="0.3">
      <c r="BP619"/>
      <c r="BQ619"/>
      <c r="BR619"/>
      <c r="BS619"/>
      <c r="BT619"/>
    </row>
    <row r="620" spans="68:72" x14ac:dyDescent="0.3">
      <c r="BP620"/>
      <c r="BQ620"/>
      <c r="BR620"/>
      <c r="BS620"/>
      <c r="BT620"/>
    </row>
    <row r="621" spans="68:72" x14ac:dyDescent="0.3">
      <c r="BP621"/>
      <c r="BQ621"/>
      <c r="BR621"/>
      <c r="BS621"/>
      <c r="BT621"/>
    </row>
    <row r="622" spans="68:72" x14ac:dyDescent="0.3">
      <c r="BP622"/>
      <c r="BQ622"/>
      <c r="BR622"/>
      <c r="BS622"/>
      <c r="BT622"/>
    </row>
    <row r="623" spans="68:72" x14ac:dyDescent="0.3">
      <c r="BP623"/>
      <c r="BQ623"/>
      <c r="BR623"/>
      <c r="BS623"/>
      <c r="BT623"/>
    </row>
    <row r="624" spans="68:72" x14ac:dyDescent="0.3">
      <c r="BP624"/>
      <c r="BQ624"/>
      <c r="BR624"/>
      <c r="BS624"/>
      <c r="BT624"/>
    </row>
    <row r="625" spans="68:72" x14ac:dyDescent="0.3">
      <c r="BP625"/>
      <c r="BQ625"/>
      <c r="BR625"/>
      <c r="BS625"/>
      <c r="BT625"/>
    </row>
    <row r="626" spans="68:72" x14ac:dyDescent="0.3">
      <c r="BP626"/>
      <c r="BQ626"/>
      <c r="BR626"/>
      <c r="BS626"/>
      <c r="BT626"/>
    </row>
    <row r="627" spans="68:72" x14ac:dyDescent="0.3">
      <c r="BP627"/>
      <c r="BQ627"/>
      <c r="BR627"/>
      <c r="BS627"/>
      <c r="BT627"/>
    </row>
    <row r="628" spans="68:72" x14ac:dyDescent="0.3">
      <c r="BP628"/>
      <c r="BQ628"/>
      <c r="BR628"/>
      <c r="BS628"/>
      <c r="BT628"/>
    </row>
    <row r="629" spans="68:72" x14ac:dyDescent="0.3">
      <c r="BP629"/>
      <c r="BQ629"/>
      <c r="BR629"/>
      <c r="BS629"/>
      <c r="BT629"/>
    </row>
    <row r="630" spans="68:72" x14ac:dyDescent="0.3">
      <c r="BP630"/>
      <c r="BQ630"/>
      <c r="BR630"/>
      <c r="BS630"/>
      <c r="BT630"/>
    </row>
    <row r="631" spans="68:72" x14ac:dyDescent="0.3">
      <c r="BP631"/>
      <c r="BQ631"/>
      <c r="BR631"/>
      <c r="BS631"/>
      <c r="BT631"/>
    </row>
    <row r="632" spans="68:72" x14ac:dyDescent="0.3">
      <c r="BP632"/>
      <c r="BQ632"/>
      <c r="BR632"/>
      <c r="BS632"/>
      <c r="BT632"/>
    </row>
    <row r="633" spans="68:72" x14ac:dyDescent="0.3">
      <c r="BP633"/>
      <c r="BQ633"/>
      <c r="BR633"/>
      <c r="BS633"/>
      <c r="BT633"/>
    </row>
    <row r="634" spans="68:72" x14ac:dyDescent="0.3">
      <c r="BP634"/>
      <c r="BQ634"/>
      <c r="BR634"/>
      <c r="BS634"/>
      <c r="BT634"/>
    </row>
    <row r="635" spans="68:72" x14ac:dyDescent="0.3">
      <c r="BP635"/>
      <c r="BQ635"/>
      <c r="BR635"/>
      <c r="BS635"/>
      <c r="BT635"/>
    </row>
    <row r="636" spans="68:72" x14ac:dyDescent="0.3">
      <c r="BP636"/>
      <c r="BQ636"/>
      <c r="BR636"/>
      <c r="BS636"/>
      <c r="BT636"/>
    </row>
    <row r="637" spans="68:72" x14ac:dyDescent="0.3">
      <c r="BP637"/>
      <c r="BQ637"/>
      <c r="BR637"/>
      <c r="BS637"/>
      <c r="BT637"/>
    </row>
    <row r="638" spans="68:72" x14ac:dyDescent="0.3">
      <c r="BP638"/>
      <c r="BQ638"/>
      <c r="BR638"/>
      <c r="BS638"/>
      <c r="BT638"/>
    </row>
    <row r="639" spans="68:72" x14ac:dyDescent="0.3">
      <c r="BP639"/>
      <c r="BQ639"/>
      <c r="BR639"/>
      <c r="BS639"/>
      <c r="BT639"/>
    </row>
    <row r="640" spans="68:72" x14ac:dyDescent="0.3">
      <c r="BP640"/>
      <c r="BQ640"/>
      <c r="BR640"/>
      <c r="BS640"/>
      <c r="BT640"/>
    </row>
    <row r="641" spans="68:72" x14ac:dyDescent="0.3">
      <c r="BP641"/>
      <c r="BQ641"/>
      <c r="BR641"/>
      <c r="BS641"/>
      <c r="BT641"/>
    </row>
    <row r="642" spans="68:72" x14ac:dyDescent="0.3">
      <c r="BP642"/>
      <c r="BQ642"/>
      <c r="BR642"/>
      <c r="BS642"/>
      <c r="BT642"/>
    </row>
    <row r="643" spans="68:72" x14ac:dyDescent="0.3">
      <c r="BP643"/>
      <c r="BQ643"/>
      <c r="BR643"/>
      <c r="BS643"/>
      <c r="BT643"/>
    </row>
    <row r="644" spans="68:72" x14ac:dyDescent="0.3">
      <c r="BP644"/>
      <c r="BQ644"/>
      <c r="BR644"/>
      <c r="BS644"/>
      <c r="BT644"/>
    </row>
    <row r="645" spans="68:72" x14ac:dyDescent="0.3">
      <c r="BP645"/>
      <c r="BQ645"/>
      <c r="BR645"/>
      <c r="BS645"/>
      <c r="BT645"/>
    </row>
    <row r="646" spans="68:72" x14ac:dyDescent="0.3">
      <c r="BP646"/>
      <c r="BQ646"/>
      <c r="BR646"/>
      <c r="BS646"/>
      <c r="BT646"/>
    </row>
    <row r="647" spans="68:72" x14ac:dyDescent="0.3">
      <c r="BP647"/>
      <c r="BQ647"/>
      <c r="BR647"/>
      <c r="BS647"/>
      <c r="BT647"/>
    </row>
    <row r="648" spans="68:72" x14ac:dyDescent="0.3">
      <c r="BP648"/>
      <c r="BQ648"/>
      <c r="BR648"/>
      <c r="BS648"/>
      <c r="BT648"/>
    </row>
    <row r="649" spans="68:72" x14ac:dyDescent="0.3">
      <c r="BP649"/>
      <c r="BQ649"/>
      <c r="BR649"/>
      <c r="BS649"/>
      <c r="BT649"/>
    </row>
    <row r="650" spans="68:72" x14ac:dyDescent="0.3">
      <c r="BP650"/>
      <c r="BQ650"/>
      <c r="BR650"/>
      <c r="BS650"/>
      <c r="BT650"/>
    </row>
    <row r="651" spans="68:72" x14ac:dyDescent="0.3">
      <c r="BP651"/>
      <c r="BQ651"/>
      <c r="BR651"/>
      <c r="BS651"/>
      <c r="BT651"/>
    </row>
    <row r="652" spans="68:72" x14ac:dyDescent="0.3">
      <c r="BP652"/>
      <c r="BQ652"/>
      <c r="BR652"/>
      <c r="BS652"/>
      <c r="BT652"/>
    </row>
    <row r="653" spans="68:72" x14ac:dyDescent="0.3">
      <c r="BP653"/>
      <c r="BQ653"/>
      <c r="BR653"/>
      <c r="BS653"/>
      <c r="BT653"/>
    </row>
    <row r="654" spans="68:72" x14ac:dyDescent="0.3">
      <c r="BP654"/>
      <c r="BQ654"/>
      <c r="BR654"/>
      <c r="BS654"/>
      <c r="BT654"/>
    </row>
    <row r="655" spans="68:72" x14ac:dyDescent="0.3">
      <c r="BP655"/>
      <c r="BQ655"/>
      <c r="BR655"/>
      <c r="BS655"/>
      <c r="BT655"/>
    </row>
    <row r="656" spans="68:72" x14ac:dyDescent="0.3">
      <c r="BP656"/>
      <c r="BQ656"/>
      <c r="BR656"/>
      <c r="BS656"/>
      <c r="BT656"/>
    </row>
    <row r="657" spans="68:72" x14ac:dyDescent="0.3">
      <c r="BP657"/>
      <c r="BQ657"/>
      <c r="BR657"/>
      <c r="BS657"/>
      <c r="BT657"/>
    </row>
    <row r="658" spans="68:72" x14ac:dyDescent="0.3">
      <c r="BP658"/>
      <c r="BQ658"/>
      <c r="BR658"/>
      <c r="BS658"/>
      <c r="BT658"/>
    </row>
    <row r="659" spans="68:72" x14ac:dyDescent="0.3">
      <c r="BP659"/>
      <c r="BQ659"/>
      <c r="BR659"/>
      <c r="BS659"/>
      <c r="BT659"/>
    </row>
    <row r="660" spans="68:72" x14ac:dyDescent="0.3">
      <c r="BP660"/>
      <c r="BQ660"/>
      <c r="BR660"/>
      <c r="BS660"/>
      <c r="BT660"/>
    </row>
    <row r="661" spans="68:72" x14ac:dyDescent="0.3">
      <c r="BP661"/>
      <c r="BQ661"/>
      <c r="BR661"/>
      <c r="BS661"/>
      <c r="BT661"/>
    </row>
    <row r="662" spans="68:72" x14ac:dyDescent="0.3">
      <c r="BP662"/>
      <c r="BQ662"/>
      <c r="BR662"/>
      <c r="BS662"/>
      <c r="BT662"/>
    </row>
    <row r="663" spans="68:72" x14ac:dyDescent="0.3">
      <c r="BP663"/>
      <c r="BQ663"/>
      <c r="BR663"/>
      <c r="BS663"/>
      <c r="BT663"/>
    </row>
    <row r="664" spans="68:72" x14ac:dyDescent="0.3">
      <c r="BP664"/>
      <c r="BQ664"/>
      <c r="BR664"/>
      <c r="BS664"/>
      <c r="BT664"/>
    </row>
    <row r="665" spans="68:72" x14ac:dyDescent="0.3">
      <c r="BP665"/>
      <c r="BQ665"/>
      <c r="BR665"/>
      <c r="BS665"/>
      <c r="BT665"/>
    </row>
    <row r="666" spans="68:72" x14ac:dyDescent="0.3">
      <c r="BP666"/>
      <c r="BQ666"/>
      <c r="BR666"/>
      <c r="BS666"/>
      <c r="BT666"/>
    </row>
    <row r="667" spans="68:72" x14ac:dyDescent="0.3">
      <c r="BP667"/>
      <c r="BQ667"/>
      <c r="BR667"/>
      <c r="BS667"/>
      <c r="BT667"/>
    </row>
    <row r="668" spans="68:72" x14ac:dyDescent="0.3">
      <c r="BP668"/>
      <c r="BQ668"/>
      <c r="BR668"/>
      <c r="BS668"/>
      <c r="BT668"/>
    </row>
    <row r="669" spans="68:72" x14ac:dyDescent="0.3">
      <c r="BP669"/>
      <c r="BQ669"/>
      <c r="BR669"/>
      <c r="BS669"/>
      <c r="BT669"/>
    </row>
    <row r="670" spans="68:72" x14ac:dyDescent="0.3">
      <c r="BP670"/>
      <c r="BQ670"/>
      <c r="BR670"/>
      <c r="BS670"/>
      <c r="BT670"/>
    </row>
    <row r="671" spans="68:72" x14ac:dyDescent="0.3">
      <c r="BP671"/>
      <c r="BQ671"/>
      <c r="BR671"/>
      <c r="BS671"/>
      <c r="BT671"/>
    </row>
    <row r="672" spans="68:72" x14ac:dyDescent="0.3">
      <c r="BP672"/>
      <c r="BQ672"/>
      <c r="BR672"/>
      <c r="BS672"/>
      <c r="BT672"/>
    </row>
    <row r="673" spans="68:72" x14ac:dyDescent="0.3">
      <c r="BP673"/>
      <c r="BQ673"/>
      <c r="BR673"/>
      <c r="BS673"/>
      <c r="BT673"/>
    </row>
    <row r="674" spans="68:72" x14ac:dyDescent="0.3">
      <c r="BP674"/>
      <c r="BQ674"/>
      <c r="BR674"/>
      <c r="BS674"/>
      <c r="BT674"/>
    </row>
    <row r="675" spans="68:72" x14ac:dyDescent="0.3">
      <c r="BP675"/>
      <c r="BQ675"/>
      <c r="BR675"/>
      <c r="BS675"/>
      <c r="BT675"/>
    </row>
    <row r="676" spans="68:72" x14ac:dyDescent="0.3">
      <c r="BP676"/>
      <c r="BQ676"/>
      <c r="BR676"/>
      <c r="BS676"/>
      <c r="BT676"/>
    </row>
    <row r="677" spans="68:72" x14ac:dyDescent="0.3">
      <c r="BP677"/>
      <c r="BQ677"/>
      <c r="BR677"/>
      <c r="BS677"/>
      <c r="BT677"/>
    </row>
    <row r="678" spans="68:72" x14ac:dyDescent="0.3">
      <c r="BP678"/>
      <c r="BQ678"/>
      <c r="BR678"/>
      <c r="BS678"/>
      <c r="BT678"/>
    </row>
    <row r="679" spans="68:72" x14ac:dyDescent="0.3">
      <c r="BP679"/>
      <c r="BQ679"/>
      <c r="BR679"/>
      <c r="BS679"/>
      <c r="BT679"/>
    </row>
    <row r="680" spans="68:72" x14ac:dyDescent="0.3">
      <c r="BP680"/>
      <c r="BQ680"/>
      <c r="BR680"/>
      <c r="BS680"/>
      <c r="BT680"/>
    </row>
    <row r="681" spans="68:72" x14ac:dyDescent="0.3">
      <c r="BP681"/>
      <c r="BQ681"/>
      <c r="BR681"/>
      <c r="BS681"/>
      <c r="BT681"/>
    </row>
    <row r="682" spans="68:72" x14ac:dyDescent="0.3">
      <c r="BP682"/>
      <c r="BQ682"/>
      <c r="BR682"/>
      <c r="BS682"/>
      <c r="BT682"/>
    </row>
    <row r="683" spans="68:72" x14ac:dyDescent="0.3">
      <c r="BP683"/>
      <c r="BQ683"/>
      <c r="BR683"/>
      <c r="BS683"/>
      <c r="BT683"/>
    </row>
    <row r="684" spans="68:72" x14ac:dyDescent="0.3">
      <c r="BP684"/>
      <c r="BQ684"/>
      <c r="BR684"/>
      <c r="BS684"/>
      <c r="BT684"/>
    </row>
    <row r="685" spans="68:72" x14ac:dyDescent="0.3">
      <c r="BP685"/>
      <c r="BQ685"/>
      <c r="BR685"/>
      <c r="BS685"/>
      <c r="BT685"/>
    </row>
    <row r="686" spans="68:72" x14ac:dyDescent="0.3">
      <c r="BP686"/>
      <c r="BQ686"/>
      <c r="BR686"/>
      <c r="BS686"/>
      <c r="BT686"/>
    </row>
    <row r="687" spans="68:72" x14ac:dyDescent="0.3">
      <c r="BP687"/>
      <c r="BQ687"/>
      <c r="BR687"/>
      <c r="BS687"/>
      <c r="BT687"/>
    </row>
    <row r="688" spans="68:72" x14ac:dyDescent="0.3">
      <c r="BP688"/>
      <c r="BQ688"/>
      <c r="BR688"/>
      <c r="BS688"/>
      <c r="BT688"/>
    </row>
    <row r="689" spans="68:72" x14ac:dyDescent="0.3">
      <c r="BP689"/>
      <c r="BQ689"/>
      <c r="BR689"/>
      <c r="BS689"/>
      <c r="BT689"/>
    </row>
    <row r="690" spans="68:72" x14ac:dyDescent="0.3">
      <c r="BP690"/>
      <c r="BQ690"/>
      <c r="BR690"/>
      <c r="BS690"/>
      <c r="BT690"/>
    </row>
    <row r="691" spans="68:72" x14ac:dyDescent="0.3">
      <c r="BP691"/>
      <c r="BQ691"/>
      <c r="BR691"/>
      <c r="BS691"/>
      <c r="BT691"/>
    </row>
    <row r="692" spans="68:72" x14ac:dyDescent="0.3">
      <c r="BP692"/>
      <c r="BQ692"/>
      <c r="BR692"/>
      <c r="BS692"/>
      <c r="BT692"/>
    </row>
    <row r="693" spans="68:72" x14ac:dyDescent="0.3">
      <c r="BP693"/>
      <c r="BQ693"/>
      <c r="BR693"/>
      <c r="BS693"/>
      <c r="BT693"/>
    </row>
    <row r="694" spans="68:72" x14ac:dyDescent="0.3">
      <c r="BP694"/>
      <c r="BQ694"/>
      <c r="BR694"/>
      <c r="BS694"/>
      <c r="BT694"/>
    </row>
    <row r="695" spans="68:72" x14ac:dyDescent="0.3">
      <c r="BP695"/>
      <c r="BQ695"/>
      <c r="BR695"/>
      <c r="BS695"/>
      <c r="BT695"/>
    </row>
    <row r="696" spans="68:72" x14ac:dyDescent="0.3">
      <c r="BP696"/>
      <c r="BQ696"/>
      <c r="BR696"/>
      <c r="BS696"/>
      <c r="BT696"/>
    </row>
    <row r="697" spans="68:72" x14ac:dyDescent="0.3">
      <c r="BP697"/>
      <c r="BQ697"/>
      <c r="BR697"/>
      <c r="BS697"/>
      <c r="BT697"/>
    </row>
    <row r="698" spans="68:72" x14ac:dyDescent="0.3">
      <c r="BP698"/>
      <c r="BQ698"/>
      <c r="BR698"/>
      <c r="BS698"/>
      <c r="BT698"/>
    </row>
    <row r="699" spans="68:72" x14ac:dyDescent="0.3">
      <c r="BP699"/>
      <c r="BQ699"/>
      <c r="BR699"/>
      <c r="BS699"/>
      <c r="BT699"/>
    </row>
    <row r="700" spans="68:72" x14ac:dyDescent="0.3">
      <c r="BP700"/>
      <c r="BQ700"/>
      <c r="BR700"/>
      <c r="BS700"/>
      <c r="BT700"/>
    </row>
    <row r="701" spans="68:72" x14ac:dyDescent="0.3">
      <c r="BP701"/>
      <c r="BQ701"/>
      <c r="BR701"/>
      <c r="BS701"/>
      <c r="BT701"/>
    </row>
    <row r="702" spans="68:72" x14ac:dyDescent="0.3">
      <c r="BP702"/>
      <c r="BQ702"/>
      <c r="BR702"/>
      <c r="BS702"/>
      <c r="BT702"/>
    </row>
    <row r="703" spans="68:72" x14ac:dyDescent="0.3">
      <c r="BP703"/>
      <c r="BQ703"/>
      <c r="BR703"/>
      <c r="BS703"/>
      <c r="BT703"/>
    </row>
    <row r="704" spans="68:72" x14ac:dyDescent="0.3">
      <c r="BP704"/>
      <c r="BQ704"/>
      <c r="BR704"/>
      <c r="BS704"/>
      <c r="BT704"/>
    </row>
    <row r="705" spans="68:72" x14ac:dyDescent="0.3">
      <c r="BP705"/>
      <c r="BQ705"/>
      <c r="BR705"/>
      <c r="BS705"/>
      <c r="BT705"/>
    </row>
    <row r="706" spans="68:72" x14ac:dyDescent="0.3">
      <c r="BP706"/>
      <c r="BQ706"/>
      <c r="BR706"/>
      <c r="BS706"/>
      <c r="BT706"/>
    </row>
    <row r="707" spans="68:72" x14ac:dyDescent="0.3">
      <c r="BP707"/>
      <c r="BQ707"/>
      <c r="BR707"/>
      <c r="BS707"/>
      <c r="BT707"/>
    </row>
    <row r="708" spans="68:72" x14ac:dyDescent="0.3">
      <c r="BP708"/>
      <c r="BQ708"/>
      <c r="BR708"/>
      <c r="BS708"/>
      <c r="BT708"/>
    </row>
    <row r="709" spans="68:72" x14ac:dyDescent="0.3">
      <c r="BP709"/>
      <c r="BQ709"/>
      <c r="BR709"/>
      <c r="BS709"/>
      <c r="BT709"/>
    </row>
    <row r="710" spans="68:72" x14ac:dyDescent="0.3">
      <c r="BP710"/>
      <c r="BQ710"/>
      <c r="BR710"/>
      <c r="BS710"/>
      <c r="BT710"/>
    </row>
    <row r="711" spans="68:72" x14ac:dyDescent="0.3">
      <c r="BP711"/>
      <c r="BQ711"/>
      <c r="BR711"/>
      <c r="BS711"/>
      <c r="BT711"/>
    </row>
    <row r="712" spans="68:72" x14ac:dyDescent="0.3">
      <c r="BP712"/>
      <c r="BQ712"/>
      <c r="BR712"/>
      <c r="BS712"/>
      <c r="BT712"/>
    </row>
    <row r="713" spans="68:72" x14ac:dyDescent="0.3">
      <c r="BP713"/>
      <c r="BQ713"/>
      <c r="BR713"/>
      <c r="BS713"/>
      <c r="BT713"/>
    </row>
    <row r="714" spans="68:72" x14ac:dyDescent="0.3">
      <c r="BP714"/>
      <c r="BQ714"/>
      <c r="BR714"/>
      <c r="BS714"/>
      <c r="BT714"/>
    </row>
    <row r="715" spans="68:72" x14ac:dyDescent="0.3">
      <c r="BP715"/>
      <c r="BQ715"/>
      <c r="BR715"/>
      <c r="BS715"/>
      <c r="BT715"/>
    </row>
    <row r="716" spans="68:72" x14ac:dyDescent="0.3">
      <c r="BP716"/>
      <c r="BQ716"/>
      <c r="BR716"/>
      <c r="BS716"/>
      <c r="BT716"/>
    </row>
    <row r="717" spans="68:72" x14ac:dyDescent="0.3">
      <c r="BP717"/>
      <c r="BQ717"/>
      <c r="BR717"/>
      <c r="BS717"/>
      <c r="BT717"/>
    </row>
    <row r="718" spans="68:72" x14ac:dyDescent="0.3">
      <c r="BP718"/>
      <c r="BQ718"/>
      <c r="BR718"/>
      <c r="BS718"/>
      <c r="BT718"/>
    </row>
    <row r="719" spans="68:72" x14ac:dyDescent="0.3">
      <c r="BP719"/>
      <c r="BQ719"/>
      <c r="BR719"/>
      <c r="BS719"/>
      <c r="BT719"/>
    </row>
    <row r="720" spans="68:72" x14ac:dyDescent="0.3">
      <c r="BP720"/>
      <c r="BQ720"/>
      <c r="BR720"/>
      <c r="BS720"/>
      <c r="BT720"/>
    </row>
    <row r="721" spans="68:72" x14ac:dyDescent="0.3">
      <c r="BP721"/>
      <c r="BQ721"/>
      <c r="BR721"/>
      <c r="BS721"/>
      <c r="BT721"/>
    </row>
    <row r="722" spans="68:72" x14ac:dyDescent="0.3">
      <c r="BP722"/>
      <c r="BQ722"/>
      <c r="BR722"/>
      <c r="BS722"/>
      <c r="BT722"/>
    </row>
    <row r="723" spans="68:72" x14ac:dyDescent="0.3">
      <c r="BP723"/>
      <c r="BQ723"/>
      <c r="BR723"/>
      <c r="BS723"/>
      <c r="BT723"/>
    </row>
    <row r="724" spans="68:72" x14ac:dyDescent="0.3">
      <c r="BP724"/>
      <c r="BQ724"/>
      <c r="BR724"/>
      <c r="BS724"/>
      <c r="BT724"/>
    </row>
    <row r="725" spans="68:72" x14ac:dyDescent="0.3">
      <c r="BP725"/>
      <c r="BQ725"/>
      <c r="BR725"/>
      <c r="BS725"/>
      <c r="BT725"/>
    </row>
    <row r="726" spans="68:72" x14ac:dyDescent="0.3">
      <c r="BP726"/>
      <c r="BQ726"/>
      <c r="BR726"/>
      <c r="BS726"/>
      <c r="BT726"/>
    </row>
    <row r="727" spans="68:72" x14ac:dyDescent="0.3">
      <c r="BP727"/>
      <c r="BQ727"/>
      <c r="BR727"/>
      <c r="BS727"/>
      <c r="BT727"/>
    </row>
    <row r="728" spans="68:72" x14ac:dyDescent="0.3">
      <c r="BP728"/>
      <c r="BQ728"/>
      <c r="BR728"/>
      <c r="BS728"/>
      <c r="BT728"/>
    </row>
    <row r="729" spans="68:72" x14ac:dyDescent="0.3">
      <c r="BP729"/>
      <c r="BQ729"/>
      <c r="BR729"/>
      <c r="BS729"/>
      <c r="BT729"/>
    </row>
    <row r="730" spans="68:72" x14ac:dyDescent="0.3">
      <c r="BP730"/>
      <c r="BQ730"/>
      <c r="BR730"/>
      <c r="BS730"/>
      <c r="BT730"/>
    </row>
    <row r="731" spans="68:72" x14ac:dyDescent="0.3">
      <c r="BP731"/>
      <c r="BQ731"/>
      <c r="BR731"/>
      <c r="BS731"/>
      <c r="BT731"/>
    </row>
    <row r="732" spans="68:72" x14ac:dyDescent="0.3">
      <c r="BP732"/>
      <c r="BQ732"/>
      <c r="BR732"/>
      <c r="BS732"/>
      <c r="BT732"/>
    </row>
    <row r="733" spans="68:72" x14ac:dyDescent="0.3">
      <c r="BP733"/>
      <c r="BQ733"/>
      <c r="BR733"/>
      <c r="BS733"/>
      <c r="BT733"/>
    </row>
    <row r="734" spans="68:72" x14ac:dyDescent="0.3">
      <c r="BP734"/>
      <c r="BQ734"/>
      <c r="BR734"/>
      <c r="BS734"/>
      <c r="BT734"/>
    </row>
    <row r="735" spans="68:72" x14ac:dyDescent="0.3">
      <c r="BP735"/>
      <c r="BQ735"/>
      <c r="BR735"/>
      <c r="BS735"/>
      <c r="BT735"/>
    </row>
    <row r="736" spans="68:72" x14ac:dyDescent="0.3">
      <c r="BP736"/>
      <c r="BQ736"/>
      <c r="BR736"/>
      <c r="BS736"/>
      <c r="BT736"/>
    </row>
    <row r="737" spans="68:72" x14ac:dyDescent="0.3">
      <c r="BP737"/>
      <c r="BQ737"/>
      <c r="BR737"/>
      <c r="BS737"/>
      <c r="BT737"/>
    </row>
    <row r="738" spans="68:72" x14ac:dyDescent="0.3">
      <c r="BP738"/>
      <c r="BQ738"/>
      <c r="BR738"/>
      <c r="BS738"/>
      <c r="BT738"/>
    </row>
    <row r="739" spans="68:72" x14ac:dyDescent="0.3">
      <c r="BP739"/>
      <c r="BQ739"/>
      <c r="BR739"/>
      <c r="BS739"/>
      <c r="BT739"/>
    </row>
    <row r="740" spans="68:72" x14ac:dyDescent="0.3">
      <c r="BP740"/>
      <c r="BQ740"/>
      <c r="BR740"/>
      <c r="BS740"/>
      <c r="BT740"/>
    </row>
    <row r="741" spans="68:72" x14ac:dyDescent="0.3">
      <c r="BP741"/>
      <c r="BQ741"/>
      <c r="BR741"/>
      <c r="BS741"/>
      <c r="BT741"/>
    </row>
    <row r="742" spans="68:72" x14ac:dyDescent="0.3">
      <c r="BP742"/>
      <c r="BQ742"/>
      <c r="BR742"/>
      <c r="BS742"/>
      <c r="BT742"/>
    </row>
    <row r="743" spans="68:72" x14ac:dyDescent="0.3">
      <c r="BP743"/>
      <c r="BQ743"/>
      <c r="BR743"/>
      <c r="BS743"/>
      <c r="BT743"/>
    </row>
    <row r="744" spans="68:72" x14ac:dyDescent="0.3">
      <c r="BP744"/>
      <c r="BQ744"/>
      <c r="BR744"/>
      <c r="BS744"/>
      <c r="BT744"/>
    </row>
    <row r="745" spans="68:72" x14ac:dyDescent="0.3">
      <c r="BP745"/>
      <c r="BQ745"/>
      <c r="BR745"/>
      <c r="BS745"/>
      <c r="BT745"/>
    </row>
    <row r="746" spans="68:72" x14ac:dyDescent="0.3">
      <c r="BP746"/>
      <c r="BQ746"/>
      <c r="BR746"/>
      <c r="BS746"/>
      <c r="BT746"/>
    </row>
    <row r="747" spans="68:72" x14ac:dyDescent="0.3">
      <c r="BP747"/>
      <c r="BQ747"/>
      <c r="BR747"/>
      <c r="BS747"/>
      <c r="BT747"/>
    </row>
    <row r="748" spans="68:72" x14ac:dyDescent="0.3">
      <c r="BP748"/>
      <c r="BQ748"/>
      <c r="BR748"/>
      <c r="BS748"/>
      <c r="BT748"/>
    </row>
    <row r="749" spans="68:72" x14ac:dyDescent="0.3">
      <c r="BP749"/>
      <c r="BQ749"/>
      <c r="BR749"/>
      <c r="BS749"/>
      <c r="BT749"/>
    </row>
    <row r="750" spans="68:72" x14ac:dyDescent="0.3">
      <c r="BP750"/>
      <c r="BQ750"/>
      <c r="BR750"/>
      <c r="BS750"/>
      <c r="BT750"/>
    </row>
    <row r="751" spans="68:72" x14ac:dyDescent="0.3">
      <c r="BP751"/>
      <c r="BQ751"/>
      <c r="BR751"/>
      <c r="BS751"/>
      <c r="BT751"/>
    </row>
    <row r="752" spans="68:72" x14ac:dyDescent="0.3">
      <c r="BP752"/>
      <c r="BQ752"/>
      <c r="BR752"/>
      <c r="BS752"/>
      <c r="BT752"/>
    </row>
    <row r="753" spans="68:72" x14ac:dyDescent="0.3">
      <c r="BP753"/>
      <c r="BQ753"/>
      <c r="BR753"/>
      <c r="BS753"/>
      <c r="BT753"/>
    </row>
    <row r="754" spans="68:72" x14ac:dyDescent="0.3">
      <c r="BP754"/>
      <c r="BQ754"/>
      <c r="BR754"/>
      <c r="BS754"/>
      <c r="BT754"/>
    </row>
    <row r="755" spans="68:72" x14ac:dyDescent="0.3">
      <c r="BP755"/>
      <c r="BQ755"/>
      <c r="BR755"/>
      <c r="BS755"/>
      <c r="BT755"/>
    </row>
    <row r="756" spans="68:72" x14ac:dyDescent="0.3">
      <c r="BP756"/>
      <c r="BQ756"/>
      <c r="BR756"/>
      <c r="BS756"/>
      <c r="BT756"/>
    </row>
    <row r="757" spans="68:72" x14ac:dyDescent="0.3">
      <c r="BP757"/>
      <c r="BQ757"/>
      <c r="BR757"/>
      <c r="BS757"/>
      <c r="BT757"/>
    </row>
    <row r="758" spans="68:72" x14ac:dyDescent="0.3">
      <c r="BP758"/>
      <c r="BQ758"/>
      <c r="BR758"/>
      <c r="BS758"/>
      <c r="BT758"/>
    </row>
    <row r="759" spans="68:72" x14ac:dyDescent="0.3">
      <c r="BP759"/>
      <c r="BQ759"/>
      <c r="BR759"/>
      <c r="BS759"/>
      <c r="BT759"/>
    </row>
    <row r="760" spans="68:72" x14ac:dyDescent="0.3">
      <c r="BP760"/>
      <c r="BQ760"/>
      <c r="BR760"/>
      <c r="BS760"/>
      <c r="BT760"/>
    </row>
    <row r="761" spans="68:72" x14ac:dyDescent="0.3">
      <c r="BP761"/>
      <c r="BQ761"/>
      <c r="BR761"/>
      <c r="BS761"/>
      <c r="BT761"/>
    </row>
    <row r="762" spans="68:72" x14ac:dyDescent="0.3">
      <c r="BP762"/>
      <c r="BQ762"/>
      <c r="BR762"/>
      <c r="BS762"/>
      <c r="BT762"/>
    </row>
    <row r="763" spans="68:72" x14ac:dyDescent="0.3">
      <c r="BP763"/>
      <c r="BQ763"/>
      <c r="BR763"/>
      <c r="BS763"/>
      <c r="BT763"/>
    </row>
    <row r="764" spans="68:72" x14ac:dyDescent="0.3">
      <c r="BP764"/>
      <c r="BQ764"/>
      <c r="BR764"/>
      <c r="BS764"/>
      <c r="BT76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383"/>
  <sheetViews>
    <sheetView tabSelected="1" workbookViewId="0">
      <pane xSplit="1" ySplit="2" topLeftCell="BO3" activePane="bottomRight" state="frozen"/>
      <selection pane="topRight" activeCell="B1" sqref="B1"/>
      <selection pane="bottomLeft" activeCell="A2" sqref="A2"/>
      <selection pane="bottomRight" activeCell="BY19" sqref="BY19"/>
    </sheetView>
  </sheetViews>
  <sheetFormatPr defaultRowHeight="16.5" x14ac:dyDescent="0.3"/>
  <cols>
    <col min="1" max="1" width="8.25" style="3" bestFit="1" customWidth="1"/>
    <col min="2" max="2" width="16.75" style="3" bestFit="1" customWidth="1"/>
    <col min="3" max="3" width="16.625" style="3" bestFit="1" customWidth="1"/>
    <col min="4" max="4" width="16.75" style="3" bestFit="1" customWidth="1"/>
    <col min="5" max="5" width="16.625" style="3" bestFit="1" customWidth="1"/>
    <col min="6" max="6" width="16.75" style="3" bestFit="1" customWidth="1"/>
    <col min="7" max="7" width="16.625" style="3" bestFit="1" customWidth="1"/>
    <col min="8" max="8" width="16.75" style="3" bestFit="1" customWidth="1"/>
    <col min="9" max="9" width="16.625" style="3" bestFit="1" customWidth="1"/>
    <col min="10" max="10" width="16.75" style="3" bestFit="1" customWidth="1"/>
    <col min="11" max="11" width="16.625" style="3" bestFit="1" customWidth="1"/>
    <col min="12" max="12" width="16.75" style="3" bestFit="1" customWidth="1"/>
    <col min="13" max="13" width="16.625" style="3" bestFit="1" customWidth="1"/>
    <col min="14" max="14" width="16.75" style="3" bestFit="1" customWidth="1"/>
    <col min="15" max="15" width="16.625" style="3" bestFit="1" customWidth="1"/>
    <col min="16" max="16" width="16.75" style="3" bestFit="1" customWidth="1"/>
    <col min="17" max="17" width="16.625" style="3" bestFit="1" customWidth="1"/>
    <col min="18" max="18" width="16.75" style="3" bestFit="1" customWidth="1"/>
    <col min="19" max="19" width="16.625" style="3" bestFit="1" customWidth="1"/>
    <col min="20" max="20" width="16.75" style="3" bestFit="1" customWidth="1"/>
    <col min="21" max="21" width="16.625" style="3" bestFit="1" customWidth="1"/>
    <col min="22" max="22" width="16.75" style="3" bestFit="1" customWidth="1"/>
    <col min="23" max="23" width="16.625" style="3" bestFit="1" customWidth="1"/>
    <col min="24" max="24" width="16.75" style="3" bestFit="1" customWidth="1"/>
    <col min="25" max="25" width="16.625" style="3" bestFit="1" customWidth="1"/>
    <col min="26" max="26" width="16.75" style="3" bestFit="1" customWidth="1"/>
    <col min="27" max="27" width="16.625" style="3" bestFit="1" customWidth="1"/>
    <col min="28" max="28" width="16.75" style="3" bestFit="1" customWidth="1"/>
    <col min="29" max="29" width="16.625" style="3" bestFit="1" customWidth="1"/>
    <col min="30" max="30" width="16.75" style="3" bestFit="1" customWidth="1"/>
    <col min="31" max="31" width="16.625" style="3" bestFit="1" customWidth="1"/>
    <col min="32" max="32" width="16.75" style="3" bestFit="1" customWidth="1"/>
    <col min="33" max="33" width="16.625" style="3" bestFit="1" customWidth="1"/>
    <col min="34" max="34" width="16.75" style="3" bestFit="1" customWidth="1"/>
    <col min="35" max="35" width="16.625" style="3" bestFit="1" customWidth="1"/>
    <col min="36" max="36" width="16.75" style="3" bestFit="1" customWidth="1"/>
    <col min="37" max="37" width="16.625" style="3" bestFit="1" customWidth="1"/>
    <col min="38" max="38" width="16.75" style="3" bestFit="1" customWidth="1"/>
    <col min="39" max="39" width="16.625" style="3" bestFit="1" customWidth="1"/>
    <col min="40" max="40" width="16.75" style="3" bestFit="1" customWidth="1"/>
    <col min="41" max="41" width="16.625" style="3" bestFit="1" customWidth="1"/>
    <col min="42" max="42" width="16.75" style="3" bestFit="1" customWidth="1"/>
    <col min="43" max="43" width="16.625" style="3" bestFit="1" customWidth="1"/>
    <col min="44" max="54" width="16.75" style="3" bestFit="1" customWidth="1"/>
    <col min="55" max="64" width="16.75" style="3" customWidth="1"/>
    <col min="65" max="65" width="16.5" style="3" bestFit="1" customWidth="1"/>
    <col min="66" max="66" width="11.625" style="3" bestFit="1" customWidth="1"/>
    <col min="67" max="67" width="11.375" style="3" bestFit="1" customWidth="1"/>
    <col min="68" max="71" width="10.875" style="3" bestFit="1" customWidth="1"/>
    <col min="72" max="72" width="11.875" style="3" bestFit="1" customWidth="1"/>
    <col min="73" max="73" width="11.375" style="3" bestFit="1" customWidth="1"/>
    <col min="74" max="74" width="17.25" style="3" bestFit="1" customWidth="1"/>
    <col min="75" max="75" width="19.375" style="3" bestFit="1" customWidth="1"/>
    <col min="76" max="76" width="14.625" style="3" bestFit="1" customWidth="1"/>
    <col min="77" max="77" width="13.5" style="3" bestFit="1" customWidth="1"/>
    <col min="78" max="78" width="9" style="3"/>
    <col min="79" max="79" width="12.125" style="3" bestFit="1" customWidth="1"/>
    <col min="80" max="80" width="11.75" style="3" bestFit="1" customWidth="1"/>
    <col min="81" max="81" width="11.75" style="3" customWidth="1"/>
    <col min="82" max="82" width="10.125" style="3" bestFit="1" customWidth="1"/>
    <col min="83" max="83" width="10.75" style="3" bestFit="1" customWidth="1"/>
    <col min="84" max="84" width="11.375" style="3" bestFit="1" customWidth="1"/>
    <col min="85" max="16384" width="9" style="3"/>
  </cols>
  <sheetData>
    <row r="1" spans="1:84" x14ac:dyDescent="0.3">
      <c r="B1" s="3" t="s">
        <v>439</v>
      </c>
      <c r="AR1" s="3" t="s">
        <v>454</v>
      </c>
      <c r="BM1" s="5" t="s">
        <v>440</v>
      </c>
      <c r="BN1" s="6" t="s">
        <v>443</v>
      </c>
      <c r="BO1" s="6"/>
      <c r="BP1" s="6" t="s">
        <v>439</v>
      </c>
      <c r="BQ1" s="6"/>
      <c r="BR1" s="6"/>
      <c r="BS1" s="6"/>
      <c r="BT1" s="6"/>
      <c r="BU1" s="6" t="s">
        <v>464</v>
      </c>
      <c r="BZ1" s="6" t="s">
        <v>471</v>
      </c>
      <c r="CA1" s="6" t="s">
        <v>472</v>
      </c>
      <c r="CD1" s="6"/>
      <c r="CF1" s="6" t="s">
        <v>477</v>
      </c>
    </row>
    <row r="2" spans="1:84" s="2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448</v>
      </c>
      <c r="AS2" s="1" t="s">
        <v>449</v>
      </c>
      <c r="AT2" s="1" t="s">
        <v>450</v>
      </c>
      <c r="AU2" s="1" t="s">
        <v>451</v>
      </c>
      <c r="AV2" s="1" t="s">
        <v>452</v>
      </c>
      <c r="AW2" s="1" t="s">
        <v>453</v>
      </c>
      <c r="AX2" s="1" t="s">
        <v>424</v>
      </c>
      <c r="AY2" s="1" t="s">
        <v>425</v>
      </c>
      <c r="AZ2" s="1" t="s">
        <v>426</v>
      </c>
      <c r="BA2" s="1" t="s">
        <v>427</v>
      </c>
      <c r="BB2" s="1" t="s">
        <v>428</v>
      </c>
      <c r="BC2" s="1" t="s">
        <v>429</v>
      </c>
      <c r="BD2" s="1" t="s">
        <v>430</v>
      </c>
      <c r="BE2" s="1" t="s">
        <v>431</v>
      </c>
      <c r="BF2" s="1" t="s">
        <v>432</v>
      </c>
      <c r="BG2" s="1" t="s">
        <v>433</v>
      </c>
      <c r="BH2" s="1" t="s">
        <v>434</v>
      </c>
      <c r="BI2" s="1" t="s">
        <v>435</v>
      </c>
      <c r="BJ2" s="1" t="s">
        <v>436</v>
      </c>
      <c r="BK2" s="1" t="s">
        <v>437</v>
      </c>
      <c r="BL2" s="1" t="s">
        <v>438</v>
      </c>
      <c r="BM2" s="1" t="s">
        <v>438</v>
      </c>
      <c r="BN2" s="7" t="s">
        <v>442</v>
      </c>
      <c r="BO2" s="7" t="s">
        <v>445</v>
      </c>
      <c r="BP2" s="7" t="s">
        <v>456</v>
      </c>
      <c r="BQ2" s="7" t="s">
        <v>458</v>
      </c>
      <c r="BR2" s="7" t="s">
        <v>460</v>
      </c>
      <c r="BS2" s="7" t="s">
        <v>447</v>
      </c>
      <c r="BT2" s="7" t="s">
        <v>462</v>
      </c>
      <c r="BU2" s="7" t="s">
        <v>465</v>
      </c>
      <c r="BV2" s="7" t="s">
        <v>466</v>
      </c>
      <c r="BW2" s="7" t="s">
        <v>467</v>
      </c>
      <c r="BX2" s="7" t="s">
        <v>468</v>
      </c>
      <c r="BY2" s="7" t="s">
        <v>469</v>
      </c>
      <c r="BZ2" s="7" t="s">
        <v>470</v>
      </c>
      <c r="CA2" s="7" t="s">
        <v>473</v>
      </c>
      <c r="CB2" s="7" t="s">
        <v>474</v>
      </c>
      <c r="CC2" s="7" t="s">
        <v>475</v>
      </c>
      <c r="CD2" s="17">
        <v>15</v>
      </c>
      <c r="CE2" s="7" t="s">
        <v>476</v>
      </c>
      <c r="CF2" s="18">
        <v>100000000</v>
      </c>
    </row>
    <row r="3" spans="1:84" x14ac:dyDescent="0.3">
      <c r="A3" s="3" t="s">
        <v>43</v>
      </c>
      <c r="B3" s="3">
        <v>11530</v>
      </c>
      <c r="C3" s="3">
        <v>11545</v>
      </c>
      <c r="D3" s="3">
        <v>11550</v>
      </c>
      <c r="E3" s="3">
        <v>11505</v>
      </c>
      <c r="F3" s="3">
        <v>11360</v>
      </c>
      <c r="G3" s="3">
        <v>11360</v>
      </c>
      <c r="H3" s="3">
        <v>11780</v>
      </c>
      <c r="I3" s="3">
        <v>11765</v>
      </c>
      <c r="J3" s="3">
        <v>11690</v>
      </c>
      <c r="K3" s="3">
        <v>11695</v>
      </c>
      <c r="L3" s="3">
        <v>11860</v>
      </c>
      <c r="M3" s="3">
        <v>11900</v>
      </c>
      <c r="N3" s="3">
        <v>12115</v>
      </c>
      <c r="O3" s="3">
        <v>12150</v>
      </c>
      <c r="P3" s="3">
        <v>12780</v>
      </c>
      <c r="Q3" s="3">
        <v>12760</v>
      </c>
      <c r="R3" s="3">
        <v>12545</v>
      </c>
      <c r="S3" s="3">
        <v>12545</v>
      </c>
      <c r="T3" s="3">
        <v>12375</v>
      </c>
      <c r="U3" s="3">
        <v>12340</v>
      </c>
      <c r="V3" s="3">
        <v>12335</v>
      </c>
      <c r="W3" s="3">
        <v>12375</v>
      </c>
      <c r="X3" s="3">
        <v>12635</v>
      </c>
      <c r="Y3" s="3">
        <v>12605</v>
      </c>
      <c r="Z3" s="3">
        <v>12840</v>
      </c>
      <c r="AA3" s="3">
        <v>12795</v>
      </c>
      <c r="AB3" s="3">
        <v>12965</v>
      </c>
      <c r="AC3" s="3">
        <v>12970</v>
      </c>
      <c r="AD3" s="3">
        <v>13090</v>
      </c>
      <c r="AE3" s="3">
        <v>13080</v>
      </c>
      <c r="AF3" s="3">
        <v>13335</v>
      </c>
      <c r="AG3" s="3">
        <v>13320</v>
      </c>
      <c r="AH3" s="3">
        <v>13910</v>
      </c>
      <c r="AI3" s="3">
        <v>13900</v>
      </c>
      <c r="AJ3" s="3">
        <v>13875</v>
      </c>
      <c r="AK3" s="3">
        <v>13875</v>
      </c>
      <c r="AL3" s="3">
        <v>13720</v>
      </c>
      <c r="AM3" s="3">
        <v>13825</v>
      </c>
      <c r="AN3" s="3">
        <v>13685</v>
      </c>
      <c r="AO3" s="3">
        <v>13690</v>
      </c>
      <c r="AP3" s="3">
        <v>13455</v>
      </c>
      <c r="AQ3" s="3">
        <v>13470</v>
      </c>
      <c r="AR3" s="4">
        <f>ABS(C3/B$3-1)</f>
        <v>1.3009540329576019E-3</v>
      </c>
      <c r="AS3" s="4">
        <f t="shared" ref="AS3" si="0">ABS(E3/D$3-1)</f>
        <v>3.8961038961038419E-3</v>
      </c>
      <c r="AT3" s="4">
        <f t="shared" ref="AT3" si="1">ABS(G3/F$3-1)</f>
        <v>0</v>
      </c>
      <c r="AU3" s="4">
        <f t="shared" ref="AU3" si="2">ABS(I3/H$3-1)</f>
        <v>1.2733446519525016E-3</v>
      </c>
      <c r="AV3" s="4">
        <f t="shared" ref="AV3" si="3">ABS(K3/J$3-1)</f>
        <v>4.2771599657820403E-4</v>
      </c>
      <c r="AW3" s="4">
        <f t="shared" ref="AW3" si="4">ABS(M3/L$3-1)</f>
        <v>3.3726812816188279E-3</v>
      </c>
      <c r="AX3" s="4">
        <f t="shared" ref="AX3" si="5">ABS(O3/N$3-1)</f>
        <v>2.8889806025587106E-3</v>
      </c>
      <c r="AY3" s="4">
        <f t="shared" ref="AY3" si="6">ABS(Q3/P$3-1)</f>
        <v>1.5649452269170805E-3</v>
      </c>
      <c r="AZ3" s="4">
        <f t="shared" ref="AZ3" si="7">ABS(S3/R$3-1)</f>
        <v>0</v>
      </c>
      <c r="BA3" s="4">
        <f t="shared" ref="BA3" si="8">ABS(U3/T$3-1)</f>
        <v>2.8282828282828465E-3</v>
      </c>
      <c r="BB3" s="4">
        <f t="shared" ref="BB3" si="9">ABS(W3/V$3-1)</f>
        <v>3.2428050263477726E-3</v>
      </c>
      <c r="BC3" s="4">
        <f t="shared" ref="BC3" si="10">ABS(Y3/X$3-1)</f>
        <v>2.3743569449941049E-3</v>
      </c>
      <c r="BD3" s="4">
        <f t="shared" ref="BD3" si="11">ABS(AA3/Z$3-1)</f>
        <v>3.5046728971962482E-3</v>
      </c>
      <c r="BE3" s="4">
        <f t="shared" ref="BE3" si="12">ABS(AC3/AB$3-1)</f>
        <v>3.8565368299270375E-4</v>
      </c>
      <c r="BF3" s="4">
        <f t="shared" ref="BF3" si="13">ABS(AE3/AD$3-1)</f>
        <v>7.6394194041251584E-4</v>
      </c>
      <c r="BG3" s="4">
        <f t="shared" ref="BG3" si="14">ABS(AG3/AF$3-1)</f>
        <v>1.1248593925758943E-3</v>
      </c>
      <c r="BH3" s="4">
        <f t="shared" ref="BH3" si="15">ABS(AI3/AH$3-1)</f>
        <v>7.1890726096335289E-4</v>
      </c>
      <c r="BI3" s="4">
        <f t="shared" ref="BI3" si="16">ABS(AK3/AJ$3-1)</f>
        <v>0</v>
      </c>
      <c r="BJ3" s="4">
        <f t="shared" ref="BJ3" si="17">ABS(AM3/AL$3-1)</f>
        <v>7.6530612244898322E-3</v>
      </c>
      <c r="BK3" s="4">
        <f t="shared" ref="BK3" si="18">ABS(AO3/AN$3-1)</f>
        <v>3.6536353671912103E-4</v>
      </c>
      <c r="BL3" s="4">
        <f t="shared" ref="BL3" si="19">ABS(AQ3/AP$3-1)</f>
        <v>1.1148272017837968E-3</v>
      </c>
      <c r="BM3" s="4">
        <f>AVERAGE(AX3:BK3)</f>
        <v>1.9582736117464417E-3</v>
      </c>
      <c r="BN3" s="14">
        <f>MAX($AP$3,$AO$383)*(1+BM3)</f>
        <v>13481.348571446049</v>
      </c>
      <c r="BO3" s="15">
        <f>MIN($AP$3,$AO$383)*(1-BM3)</f>
        <v>13298.906004123477</v>
      </c>
      <c r="BP3" s="16">
        <v>13455</v>
      </c>
      <c r="BQ3" s="16">
        <v>13475</v>
      </c>
      <c r="BR3" s="16">
        <v>13455</v>
      </c>
      <c r="BS3" s="16">
        <v>13470</v>
      </c>
      <c r="BT3" s="16">
        <v>540824</v>
      </c>
      <c r="BU3" s="15">
        <f>SUM(BQ3:BS3)/3</f>
        <v>13466.666666666666</v>
      </c>
      <c r="BV3" s="15">
        <f>BU3*BT3</f>
        <v>7283096533.333333</v>
      </c>
      <c r="BW3" s="15">
        <f>SUM($BV$3:BV3)</f>
        <v>7283096533.333333</v>
      </c>
      <c r="BX3" s="15">
        <f>SUM($BT$3:BT3)</f>
        <v>540824</v>
      </c>
      <c r="BY3" s="15">
        <f>BW3/BX3</f>
        <v>13466.666666666666</v>
      </c>
      <c r="BZ3" s="3">
        <v>1</v>
      </c>
      <c r="CA3" s="3">
        <f>IF(AND(BS3&gt;BN3,BS3&gt;BY3), 1, 0)</f>
        <v>0</v>
      </c>
      <c r="CB3" s="3">
        <f>IF(AND(BS3&lt;BO3, BS3&lt;BY3), -1, 0)</f>
        <v>0</v>
      </c>
      <c r="CC3" s="3">
        <f>SUM(CA3:CB3)</f>
        <v>0</v>
      </c>
      <c r="CD3" s="3" t="str">
        <f>IF(MOD(BZ3,$CD$2)=0,CC3,"")</f>
        <v/>
      </c>
      <c r="CE3" s="3">
        <f>IF(OR(CD3=1, AND(CE2=1, CD3&lt;&gt;0)), 1, 0)</f>
        <v>0</v>
      </c>
    </row>
    <row r="4" spans="1:84" x14ac:dyDescent="0.3">
      <c r="A4" s="3" t="s">
        <v>44</v>
      </c>
      <c r="B4" s="3">
        <v>11550</v>
      </c>
      <c r="C4" s="3">
        <v>11550</v>
      </c>
      <c r="D4" s="3">
        <v>11500</v>
      </c>
      <c r="E4" s="3">
        <v>11560</v>
      </c>
      <c r="F4" s="3">
        <v>11365</v>
      </c>
      <c r="G4" s="3">
        <v>11335</v>
      </c>
      <c r="H4" s="3">
        <v>11770</v>
      </c>
      <c r="I4" s="3">
        <v>11760</v>
      </c>
      <c r="J4" s="3">
        <v>11700</v>
      </c>
      <c r="K4" s="3">
        <v>11695</v>
      </c>
      <c r="L4" s="3">
        <v>11900</v>
      </c>
      <c r="M4" s="3">
        <v>11895</v>
      </c>
      <c r="N4" s="3">
        <v>12150</v>
      </c>
      <c r="O4" s="3">
        <v>12220</v>
      </c>
      <c r="P4" s="3">
        <v>12760</v>
      </c>
      <c r="Q4" s="3">
        <v>12710</v>
      </c>
      <c r="R4" s="3">
        <v>12545</v>
      </c>
      <c r="S4" s="3">
        <v>12630</v>
      </c>
      <c r="T4" s="3">
        <v>12340</v>
      </c>
      <c r="U4" s="3">
        <v>12310</v>
      </c>
      <c r="V4" s="3">
        <v>12370</v>
      </c>
      <c r="W4" s="3">
        <v>12370</v>
      </c>
      <c r="X4" s="3">
        <v>12600</v>
      </c>
      <c r="Y4" s="3">
        <v>12560</v>
      </c>
      <c r="Z4" s="3">
        <v>12790</v>
      </c>
      <c r="AA4" s="3">
        <v>12795</v>
      </c>
      <c r="AB4" s="3">
        <v>12975</v>
      </c>
      <c r="AC4" s="3">
        <v>12965</v>
      </c>
      <c r="AD4" s="3">
        <v>13075</v>
      </c>
      <c r="AE4" s="3">
        <v>13115</v>
      </c>
      <c r="AF4" s="3">
        <v>13320</v>
      </c>
      <c r="AG4" s="3">
        <v>13325</v>
      </c>
      <c r="AH4" s="3">
        <v>13900</v>
      </c>
      <c r="AI4" s="3">
        <v>13895</v>
      </c>
      <c r="AJ4" s="3">
        <v>13875</v>
      </c>
      <c r="AK4" s="3">
        <v>13980</v>
      </c>
      <c r="AL4" s="3">
        <v>13825</v>
      </c>
      <c r="AM4" s="3">
        <v>13765</v>
      </c>
      <c r="AN4" s="3">
        <v>13690</v>
      </c>
      <c r="AO4" s="3">
        <v>13620</v>
      </c>
      <c r="AP4" s="3">
        <v>13470</v>
      </c>
      <c r="AQ4" s="3">
        <v>13510</v>
      </c>
      <c r="AR4" s="4">
        <f>ABS(C4/B$3-1)</f>
        <v>1.7346053772766545E-3</v>
      </c>
      <c r="AS4" s="4">
        <f t="shared" ref="AS4:AS67" si="20">ABS(E4/D$3-1)</f>
        <v>8.658008658009031E-4</v>
      </c>
      <c r="AT4" s="4">
        <f t="shared" ref="AT4:AT67" si="21">ABS(G4/F$3-1)</f>
        <v>2.2007042253521236E-3</v>
      </c>
      <c r="AU4" s="4">
        <f t="shared" ref="AU4:AU67" si="22">ABS(I4/H$3-1)</f>
        <v>1.6977928692699651E-3</v>
      </c>
      <c r="AV4" s="4">
        <f t="shared" ref="AV4:AV67" si="23">ABS(K4/J$3-1)</f>
        <v>4.2771599657820403E-4</v>
      </c>
      <c r="AW4" s="4">
        <f t="shared" ref="AW4:AW67" si="24">ABS(M4/L$3-1)</f>
        <v>2.9510961214165299E-3</v>
      </c>
      <c r="AX4" s="4">
        <f t="shared" ref="AX4:AX67" si="25">ABS(O4/N$3-1)</f>
        <v>8.6669418076763538E-3</v>
      </c>
      <c r="AY4" s="4">
        <f t="shared" ref="AY4:AY67" si="26">ABS(Q4/P$3-1)</f>
        <v>5.4773082942096707E-3</v>
      </c>
      <c r="AZ4" s="4">
        <f t="shared" ref="AZ4:AZ67" si="27">ABS(S4/R$3-1)</f>
        <v>6.7756078118772489E-3</v>
      </c>
      <c r="BA4" s="4">
        <f t="shared" ref="BA4:BA67" si="28">ABS(U4/T$3-1)</f>
        <v>5.2525252525252863E-3</v>
      </c>
      <c r="BB4" s="4">
        <f t="shared" ref="BB4:BB67" si="29">ABS(W4/V$3-1)</f>
        <v>2.8374543980542732E-3</v>
      </c>
      <c r="BC4" s="4">
        <f t="shared" ref="BC4:BC67" si="30">ABS(Y4/X$3-1)</f>
        <v>5.9358923624851512E-3</v>
      </c>
      <c r="BD4" s="4">
        <f t="shared" ref="BD4:BD67" si="31">ABS(AA4/Z$3-1)</f>
        <v>3.5046728971962482E-3</v>
      </c>
      <c r="BE4" s="4">
        <f t="shared" ref="BE4:BE67" si="32">ABS(AC4/AB$3-1)</f>
        <v>0</v>
      </c>
      <c r="BF4" s="4">
        <f t="shared" ref="BF4:BF67" si="33">ABS(AE4/AD$3-1)</f>
        <v>1.9098548510312341E-3</v>
      </c>
      <c r="BG4" s="4">
        <f t="shared" ref="BG4:BG67" si="34">ABS(AG4/AF$3-1)</f>
        <v>7.4990626171733687E-4</v>
      </c>
      <c r="BH4" s="4">
        <f t="shared" ref="BH4:BH67" si="35">ABS(AI4/AH$3-1)</f>
        <v>1.0783608914449738E-3</v>
      </c>
      <c r="BI4" s="4">
        <f t="shared" ref="BI4:BI67" si="36">ABS(AK4/AJ$3-1)</f>
        <v>7.5675675675674903E-3</v>
      </c>
      <c r="BJ4" s="4">
        <f t="shared" ref="BJ4:BJ67" si="37">ABS(AM4/AL$3-1)</f>
        <v>3.2798833819243089E-3</v>
      </c>
      <c r="BK4" s="4">
        <f t="shared" ref="BK4:BK67" si="38">ABS(AO4/AN$3-1)</f>
        <v>4.7497259773474632E-3</v>
      </c>
      <c r="BL4" s="4">
        <f t="shared" ref="BL4:BL67" si="39">ABS(AQ4/AP$3-1)</f>
        <v>4.0876997398735515E-3</v>
      </c>
      <c r="BM4" s="4">
        <f>AVERAGE(AX4:BK4)</f>
        <v>4.1275501253612169E-3</v>
      </c>
      <c r="BN4" s="14">
        <f>MAX($AP$3,$AO$383)*(1+BM4)</f>
        <v>13510.536186936735</v>
      </c>
      <c r="BO4" s="15">
        <f>MIN($AP$3,$AO$383)*(1-BM4)</f>
        <v>13270.000394579562</v>
      </c>
      <c r="BP4" s="16">
        <v>13470</v>
      </c>
      <c r="BQ4" s="16">
        <v>13540</v>
      </c>
      <c r="BR4" s="16">
        <v>13465</v>
      </c>
      <c r="BS4" s="16">
        <v>13510</v>
      </c>
      <c r="BT4" s="16">
        <v>740052</v>
      </c>
      <c r="BU4" s="15">
        <f t="shared" ref="BU4:BU67" si="40">SUM(BQ4:BS4)/3</f>
        <v>13505</v>
      </c>
      <c r="BV4" s="15">
        <f t="shared" ref="BV4:BV67" si="41">BU4*BT4</f>
        <v>9994402260</v>
      </c>
      <c r="BW4" s="15">
        <f>SUM($BV$3:BV4)</f>
        <v>17277498793.333332</v>
      </c>
      <c r="BX4" s="15">
        <f>SUM($BT$3:BT4)</f>
        <v>1280876</v>
      </c>
      <c r="BY4" s="15">
        <f t="shared" ref="BY4:BY67" si="42">BW4/BX4</f>
        <v>13488.814524851221</v>
      </c>
      <c r="BZ4" s="3">
        <v>2</v>
      </c>
      <c r="CA4" s="3">
        <f t="shared" ref="CA4:CA67" si="43">IF(AND(BS4&gt;BN4,BS4&gt;BY4), 1, 0)</f>
        <v>0</v>
      </c>
      <c r="CB4" s="3">
        <f t="shared" ref="CB4:CB67" si="44">IF(AND(BS4&lt;BO4, BS4&lt;BY4), -1, 0)</f>
        <v>0</v>
      </c>
      <c r="CC4" s="3">
        <f t="shared" ref="CC4:CC67" si="45">SUM(CA4:CB4)</f>
        <v>0</v>
      </c>
      <c r="CD4" s="3" t="str">
        <f t="shared" ref="CD4:CD67" si="46">IF(MOD(BZ4,$CD$2)=0,CC4,"")</f>
        <v/>
      </c>
      <c r="CE4" s="3">
        <f t="shared" ref="CE4:CE67" si="47">IF(OR(CD4=1, AND(CE3=1, CD4&lt;&gt;0)), 1, 0)</f>
        <v>0</v>
      </c>
    </row>
    <row r="5" spans="1:84" x14ac:dyDescent="0.3">
      <c r="A5" s="3" t="s">
        <v>45</v>
      </c>
      <c r="B5" s="3">
        <v>11550</v>
      </c>
      <c r="C5" s="3">
        <v>11545</v>
      </c>
      <c r="D5" s="3">
        <v>11555</v>
      </c>
      <c r="E5" s="3">
        <v>11555</v>
      </c>
      <c r="F5" s="3">
        <v>11335</v>
      </c>
      <c r="G5" s="3">
        <v>11390</v>
      </c>
      <c r="H5" s="3">
        <v>11755</v>
      </c>
      <c r="I5" s="3">
        <v>11735</v>
      </c>
      <c r="J5" s="3">
        <v>11690</v>
      </c>
      <c r="K5" s="3">
        <v>11675</v>
      </c>
      <c r="L5" s="3">
        <v>11890</v>
      </c>
      <c r="M5" s="3">
        <v>11955</v>
      </c>
      <c r="N5" s="3">
        <v>12215</v>
      </c>
      <c r="O5" s="3">
        <v>12235</v>
      </c>
      <c r="P5" s="3">
        <v>12710</v>
      </c>
      <c r="Q5" s="3">
        <v>12725</v>
      </c>
      <c r="R5" s="3">
        <v>12630</v>
      </c>
      <c r="S5" s="3">
        <v>12720</v>
      </c>
      <c r="T5" s="3">
        <v>12310</v>
      </c>
      <c r="U5" s="3">
        <v>12340</v>
      </c>
      <c r="V5" s="3">
        <v>12370</v>
      </c>
      <c r="W5" s="3">
        <v>12415</v>
      </c>
      <c r="X5" s="3">
        <v>12555</v>
      </c>
      <c r="Y5" s="3">
        <v>12570</v>
      </c>
      <c r="Z5" s="3">
        <v>12795</v>
      </c>
      <c r="AA5" s="3">
        <v>12795</v>
      </c>
      <c r="AB5" s="3">
        <v>12965</v>
      </c>
      <c r="AC5" s="3">
        <v>12945</v>
      </c>
      <c r="AD5" s="3">
        <v>13110</v>
      </c>
      <c r="AE5" s="3">
        <v>13120</v>
      </c>
      <c r="AF5" s="3">
        <v>13325</v>
      </c>
      <c r="AG5" s="3">
        <v>13355</v>
      </c>
      <c r="AH5" s="3">
        <v>13900</v>
      </c>
      <c r="AI5" s="3">
        <v>13845</v>
      </c>
      <c r="AJ5" s="3">
        <v>13975</v>
      </c>
      <c r="AK5" s="3">
        <v>14050</v>
      </c>
      <c r="AL5" s="3">
        <v>13765</v>
      </c>
      <c r="AM5" s="3">
        <v>13745</v>
      </c>
      <c r="AN5" s="3">
        <v>13625</v>
      </c>
      <c r="AO5" s="3">
        <v>13530</v>
      </c>
      <c r="AP5" s="3">
        <v>13510</v>
      </c>
      <c r="AQ5" s="3">
        <v>13445</v>
      </c>
      <c r="AR5" s="4">
        <f t="shared" ref="AR5:AR68" si="48">ABS(C5/B$3-1)</f>
        <v>1.3009540329576019E-3</v>
      </c>
      <c r="AS5" s="4">
        <f t="shared" si="20"/>
        <v>4.3290043290045155E-4</v>
      </c>
      <c r="AT5" s="4">
        <f t="shared" si="21"/>
        <v>2.6408450704225039E-3</v>
      </c>
      <c r="AU5" s="4">
        <f t="shared" si="22"/>
        <v>3.8200339558573937E-3</v>
      </c>
      <c r="AV5" s="4">
        <f t="shared" si="23"/>
        <v>1.2831479897348341E-3</v>
      </c>
      <c r="AW5" s="4">
        <f t="shared" si="24"/>
        <v>8.0101180438447717E-3</v>
      </c>
      <c r="AX5" s="4">
        <f t="shared" si="25"/>
        <v>9.9050763516301821E-3</v>
      </c>
      <c r="AY5" s="4">
        <f t="shared" si="26"/>
        <v>4.3035993740219158E-3</v>
      </c>
      <c r="AZ5" s="4">
        <f t="shared" si="27"/>
        <v>1.3949780789159094E-2</v>
      </c>
      <c r="BA5" s="4">
        <f t="shared" si="28"/>
        <v>2.8282828282828465E-3</v>
      </c>
      <c r="BB5" s="4">
        <f t="shared" si="29"/>
        <v>6.4856100526955451E-3</v>
      </c>
      <c r="BC5" s="4">
        <f t="shared" si="30"/>
        <v>5.1444400474871532E-3</v>
      </c>
      <c r="BD5" s="4">
        <f t="shared" si="31"/>
        <v>3.5046728971962482E-3</v>
      </c>
      <c r="BE5" s="4">
        <f t="shared" si="32"/>
        <v>1.542614731970704E-3</v>
      </c>
      <c r="BF5" s="4">
        <f t="shared" si="33"/>
        <v>2.2918258212376585E-3</v>
      </c>
      <c r="BG5" s="4">
        <f t="shared" si="34"/>
        <v>1.4998125234346737E-3</v>
      </c>
      <c r="BH5" s="4">
        <f t="shared" si="35"/>
        <v>4.6728971962616273E-3</v>
      </c>
      <c r="BI5" s="4">
        <f t="shared" si="36"/>
        <v>1.2612612612612706E-2</v>
      </c>
      <c r="BJ5" s="4">
        <f t="shared" si="37"/>
        <v>1.8221574344023939E-3</v>
      </c>
      <c r="BK5" s="4">
        <f t="shared" si="38"/>
        <v>1.1326269638290087E-2</v>
      </c>
      <c r="BL5" s="4">
        <f t="shared" si="39"/>
        <v>7.4321813452249419E-4</v>
      </c>
      <c r="BM5" s="4">
        <f t="shared" ref="BM5:BM68" si="49">AVERAGE(AX5:BK5)</f>
        <v>5.8492608784773458E-3</v>
      </c>
      <c r="BN5" s="14">
        <f t="shared" ref="BN5:BN68" si="50">MAX($AP$3,$AO$383)*(1+BM5)</f>
        <v>13533.701805119912</v>
      </c>
      <c r="BO5" s="15">
        <f t="shared" ref="BO5:BO68" si="51">MIN($AP$3,$AO$383)*(1-BM5)</f>
        <v>13247.058598794289</v>
      </c>
      <c r="BP5" s="16">
        <v>13510</v>
      </c>
      <c r="BQ5" s="16">
        <v>13515</v>
      </c>
      <c r="BR5" s="16">
        <v>13420</v>
      </c>
      <c r="BS5" s="16">
        <v>13445</v>
      </c>
      <c r="BT5" s="16">
        <v>368328</v>
      </c>
      <c r="BU5" s="15">
        <f t="shared" si="40"/>
        <v>13460</v>
      </c>
      <c r="BV5" s="15">
        <f t="shared" si="41"/>
        <v>4957694880</v>
      </c>
      <c r="BW5" s="15">
        <f>SUM($BV$3:BV5)</f>
        <v>22235193673.333332</v>
      </c>
      <c r="BX5" s="15">
        <f>SUM($BT$3:BT5)</f>
        <v>1649204</v>
      </c>
      <c r="BY5" s="15">
        <f t="shared" si="42"/>
        <v>13482.379180097387</v>
      </c>
      <c r="BZ5" s="3">
        <v>3</v>
      </c>
      <c r="CA5" s="3">
        <f t="shared" si="43"/>
        <v>0</v>
      </c>
      <c r="CB5" s="3">
        <f t="shared" si="44"/>
        <v>0</v>
      </c>
      <c r="CC5" s="3">
        <f t="shared" si="45"/>
        <v>0</v>
      </c>
      <c r="CD5" s="3" t="str">
        <f t="shared" si="46"/>
        <v/>
      </c>
      <c r="CE5" s="3">
        <f t="shared" si="47"/>
        <v>0</v>
      </c>
    </row>
    <row r="6" spans="1:84" x14ac:dyDescent="0.3">
      <c r="A6" s="3" t="s">
        <v>46</v>
      </c>
      <c r="B6" s="3">
        <v>11545</v>
      </c>
      <c r="C6" s="3">
        <v>11630</v>
      </c>
      <c r="D6" s="3">
        <v>11560</v>
      </c>
      <c r="E6" s="3">
        <v>11550</v>
      </c>
      <c r="F6" s="3">
        <v>11385</v>
      </c>
      <c r="G6" s="3">
        <v>11400</v>
      </c>
      <c r="H6" s="3">
        <v>11735</v>
      </c>
      <c r="I6" s="3">
        <v>11760</v>
      </c>
      <c r="J6" s="3">
        <v>11675</v>
      </c>
      <c r="K6" s="3">
        <v>11675</v>
      </c>
      <c r="L6" s="3">
        <v>11955</v>
      </c>
      <c r="M6" s="3">
        <v>11945</v>
      </c>
      <c r="N6" s="3">
        <v>12235</v>
      </c>
      <c r="O6" s="3">
        <v>12230</v>
      </c>
      <c r="P6" s="3">
        <v>12720</v>
      </c>
      <c r="Q6" s="3">
        <v>12715</v>
      </c>
      <c r="R6" s="3">
        <v>12720</v>
      </c>
      <c r="S6" s="3">
        <v>12680</v>
      </c>
      <c r="T6" s="3">
        <v>12345</v>
      </c>
      <c r="U6" s="3">
        <v>12365</v>
      </c>
      <c r="V6" s="3">
        <v>12410</v>
      </c>
      <c r="W6" s="3">
        <v>12400</v>
      </c>
      <c r="X6" s="3">
        <v>12570</v>
      </c>
      <c r="Y6" s="3">
        <v>12625</v>
      </c>
      <c r="Z6" s="3">
        <v>12800</v>
      </c>
      <c r="AA6" s="3">
        <v>12800</v>
      </c>
      <c r="AB6" s="3">
        <v>12950</v>
      </c>
      <c r="AC6" s="3">
        <v>12970</v>
      </c>
      <c r="AD6" s="3">
        <v>13125</v>
      </c>
      <c r="AE6" s="3">
        <v>13190</v>
      </c>
      <c r="AF6" s="3">
        <v>13350</v>
      </c>
      <c r="AG6" s="3">
        <v>13365</v>
      </c>
      <c r="AH6" s="3">
        <v>13840</v>
      </c>
      <c r="AI6" s="3">
        <v>13890</v>
      </c>
      <c r="AJ6" s="3">
        <v>14060</v>
      </c>
      <c r="AK6" s="3">
        <v>14045</v>
      </c>
      <c r="AL6" s="3">
        <v>13745</v>
      </c>
      <c r="AM6" s="3">
        <v>13700</v>
      </c>
      <c r="AN6" s="3">
        <v>13530</v>
      </c>
      <c r="AO6" s="3">
        <v>13505</v>
      </c>
      <c r="AP6" s="3">
        <v>13445</v>
      </c>
      <c r="AQ6" s="3">
        <v>13390</v>
      </c>
      <c r="AR6" s="4">
        <f t="shared" si="48"/>
        <v>8.6730268863832727E-3</v>
      </c>
      <c r="AS6" s="4">
        <f t="shared" si="20"/>
        <v>0</v>
      </c>
      <c r="AT6" s="4">
        <f t="shared" si="21"/>
        <v>3.5211267605634866E-3</v>
      </c>
      <c r="AU6" s="4">
        <f t="shared" si="22"/>
        <v>1.6977928692699651E-3</v>
      </c>
      <c r="AV6" s="4">
        <f t="shared" si="23"/>
        <v>1.2831479897348341E-3</v>
      </c>
      <c r="AW6" s="4">
        <f t="shared" si="24"/>
        <v>7.1669477234401757E-3</v>
      </c>
      <c r="AX6" s="4">
        <f t="shared" si="25"/>
        <v>9.492364836978906E-3</v>
      </c>
      <c r="AY6" s="4">
        <f t="shared" si="26"/>
        <v>5.0860719874804561E-3</v>
      </c>
      <c r="AZ6" s="4">
        <f t="shared" si="27"/>
        <v>1.0761259465922768E-2</v>
      </c>
      <c r="BA6" s="4">
        <f t="shared" si="28"/>
        <v>8.0808080808081328E-4</v>
      </c>
      <c r="BB6" s="4">
        <f t="shared" si="29"/>
        <v>5.2695581678152692E-3</v>
      </c>
      <c r="BC6" s="4">
        <f t="shared" si="30"/>
        <v>7.9145231499799795E-4</v>
      </c>
      <c r="BD6" s="4">
        <f t="shared" si="31"/>
        <v>3.1152647975077885E-3</v>
      </c>
      <c r="BE6" s="4">
        <f t="shared" si="32"/>
        <v>3.8565368299270375E-4</v>
      </c>
      <c r="BF6" s="4">
        <f t="shared" si="33"/>
        <v>7.6394194041253805E-3</v>
      </c>
      <c r="BG6" s="4">
        <f t="shared" si="34"/>
        <v>2.2497187851517886E-3</v>
      </c>
      <c r="BH6" s="4">
        <f t="shared" si="35"/>
        <v>1.4378145219267058E-3</v>
      </c>
      <c r="BI6" s="4">
        <f t="shared" si="36"/>
        <v>1.2252252252252349E-2</v>
      </c>
      <c r="BJ6" s="4">
        <f t="shared" si="37"/>
        <v>1.4577259475219151E-3</v>
      </c>
      <c r="BK6" s="4">
        <f t="shared" si="38"/>
        <v>1.3153087321885248E-2</v>
      </c>
      <c r="BL6" s="4">
        <f t="shared" si="39"/>
        <v>4.8309178743961567E-3</v>
      </c>
      <c r="BM6" s="4">
        <f t="shared" si="49"/>
        <v>5.2785517353314349E-3</v>
      </c>
      <c r="BN6" s="14">
        <f t="shared" si="50"/>
        <v>13526.022913598887</v>
      </c>
      <c r="BO6" s="15">
        <f t="shared" si="51"/>
        <v>13254.663298126708</v>
      </c>
      <c r="BP6" s="16">
        <v>13445</v>
      </c>
      <c r="BQ6" s="16">
        <v>13455</v>
      </c>
      <c r="BR6" s="16">
        <v>13365</v>
      </c>
      <c r="BS6" s="16">
        <v>13390</v>
      </c>
      <c r="BT6" s="16">
        <v>256270</v>
      </c>
      <c r="BU6" s="15">
        <f t="shared" si="40"/>
        <v>13403.333333333334</v>
      </c>
      <c r="BV6" s="15">
        <f t="shared" si="41"/>
        <v>3434872233.3333335</v>
      </c>
      <c r="BW6" s="15">
        <f>SUM($BV$3:BV6)</f>
        <v>25670065906.666664</v>
      </c>
      <c r="BX6" s="15">
        <f>SUM($BT$3:BT6)</f>
        <v>1905474</v>
      </c>
      <c r="BY6" s="15">
        <f t="shared" si="42"/>
        <v>13471.748187939937</v>
      </c>
      <c r="BZ6" s="3">
        <v>4</v>
      </c>
      <c r="CA6" s="3">
        <f t="shared" si="43"/>
        <v>0</v>
      </c>
      <c r="CB6" s="3">
        <f t="shared" si="44"/>
        <v>0</v>
      </c>
      <c r="CC6" s="3">
        <f t="shared" si="45"/>
        <v>0</v>
      </c>
      <c r="CD6" s="3" t="str">
        <f t="shared" si="46"/>
        <v/>
      </c>
      <c r="CE6" s="3">
        <f t="shared" si="47"/>
        <v>0</v>
      </c>
    </row>
    <row r="7" spans="1:84" x14ac:dyDescent="0.3">
      <c r="A7" s="3" t="s">
        <v>47</v>
      </c>
      <c r="B7" s="3">
        <v>11630</v>
      </c>
      <c r="C7" s="3">
        <v>11685</v>
      </c>
      <c r="D7" s="3">
        <v>11555</v>
      </c>
      <c r="E7" s="3">
        <v>11575</v>
      </c>
      <c r="F7" s="3">
        <v>11405</v>
      </c>
      <c r="G7" s="3">
        <v>11395</v>
      </c>
      <c r="H7" s="3">
        <v>11760</v>
      </c>
      <c r="I7" s="3">
        <v>11735</v>
      </c>
      <c r="J7" s="3">
        <v>11675</v>
      </c>
      <c r="K7" s="3">
        <v>11685</v>
      </c>
      <c r="L7" s="3">
        <v>11950</v>
      </c>
      <c r="M7" s="3">
        <v>11965</v>
      </c>
      <c r="N7" s="3">
        <v>12235</v>
      </c>
      <c r="O7" s="3">
        <v>12205</v>
      </c>
      <c r="P7" s="3">
        <v>12715</v>
      </c>
      <c r="Q7" s="3">
        <v>12725</v>
      </c>
      <c r="R7" s="3">
        <v>12680</v>
      </c>
      <c r="S7" s="3">
        <v>12695</v>
      </c>
      <c r="T7" s="3">
        <v>12365</v>
      </c>
      <c r="U7" s="3">
        <v>12365</v>
      </c>
      <c r="V7" s="3">
        <v>12395</v>
      </c>
      <c r="W7" s="3">
        <v>12400</v>
      </c>
      <c r="X7" s="3">
        <v>12620</v>
      </c>
      <c r="Y7" s="3">
        <v>12600</v>
      </c>
      <c r="Z7" s="3">
        <v>12795</v>
      </c>
      <c r="AA7" s="3">
        <v>12775</v>
      </c>
      <c r="AB7" s="3">
        <v>12970</v>
      </c>
      <c r="AC7" s="3">
        <v>13070</v>
      </c>
      <c r="AD7" s="3">
        <v>13185</v>
      </c>
      <c r="AE7" s="3">
        <v>13165</v>
      </c>
      <c r="AF7" s="3">
        <v>13360</v>
      </c>
      <c r="AG7" s="3">
        <v>13465</v>
      </c>
      <c r="AH7" s="3">
        <v>13890</v>
      </c>
      <c r="AI7" s="3">
        <v>13895</v>
      </c>
      <c r="AJ7" s="3">
        <v>14045</v>
      </c>
      <c r="AK7" s="3">
        <v>13995</v>
      </c>
      <c r="AL7" s="3">
        <v>13700</v>
      </c>
      <c r="AM7" s="3">
        <v>13650</v>
      </c>
      <c r="AN7" s="3">
        <v>13500</v>
      </c>
      <c r="AO7" s="3">
        <v>13525</v>
      </c>
      <c r="AP7" s="3">
        <v>13390</v>
      </c>
      <c r="AQ7" s="3">
        <v>13395</v>
      </c>
      <c r="AR7" s="4">
        <f t="shared" si="48"/>
        <v>1.3443191673894184E-2</v>
      </c>
      <c r="AS7" s="4">
        <f t="shared" si="20"/>
        <v>2.1645021645022577E-3</v>
      </c>
      <c r="AT7" s="4">
        <f t="shared" si="21"/>
        <v>3.0809859154929953E-3</v>
      </c>
      <c r="AU7" s="4">
        <f t="shared" si="22"/>
        <v>3.8200339558573937E-3</v>
      </c>
      <c r="AV7" s="4">
        <f t="shared" si="23"/>
        <v>4.2771599657831505E-4</v>
      </c>
      <c r="AW7" s="4">
        <f t="shared" si="24"/>
        <v>8.8532883642495896E-3</v>
      </c>
      <c r="AX7" s="4">
        <f t="shared" si="25"/>
        <v>7.4288072637227476E-3</v>
      </c>
      <c r="AY7" s="4">
        <f t="shared" si="26"/>
        <v>4.3035993740219158E-3</v>
      </c>
      <c r="AZ7" s="4">
        <f t="shared" si="27"/>
        <v>1.1956954962136335E-2</v>
      </c>
      <c r="BA7" s="4">
        <f t="shared" si="28"/>
        <v>8.0808080808081328E-4</v>
      </c>
      <c r="BB7" s="4">
        <f t="shared" si="29"/>
        <v>5.2695581678152692E-3</v>
      </c>
      <c r="BC7" s="4">
        <f t="shared" si="30"/>
        <v>2.7700831024930483E-3</v>
      </c>
      <c r="BD7" s="4">
        <f t="shared" si="31"/>
        <v>5.062305295950198E-3</v>
      </c>
      <c r="BE7" s="4">
        <f t="shared" si="32"/>
        <v>8.0987273428461126E-3</v>
      </c>
      <c r="BF7" s="4">
        <f t="shared" si="33"/>
        <v>5.7295645530939243E-3</v>
      </c>
      <c r="BG7" s="4">
        <f t="shared" si="34"/>
        <v>9.7487814023247132E-3</v>
      </c>
      <c r="BH7" s="4">
        <f t="shared" si="35"/>
        <v>1.0783608914449738E-3</v>
      </c>
      <c r="BI7" s="4">
        <f t="shared" si="36"/>
        <v>8.6486486486485603E-3</v>
      </c>
      <c r="BJ7" s="4">
        <f t="shared" si="37"/>
        <v>5.1020408163264808E-3</v>
      </c>
      <c r="BK7" s="4">
        <f t="shared" si="38"/>
        <v>1.1691633175009097E-2</v>
      </c>
      <c r="BL7" s="4">
        <f t="shared" si="39"/>
        <v>4.4593088071348541E-3</v>
      </c>
      <c r="BM7" s="4">
        <f t="shared" si="49"/>
        <v>6.2640818431367274E-3</v>
      </c>
      <c r="BN7" s="14">
        <f t="shared" si="50"/>
        <v>13539.283221199405</v>
      </c>
      <c r="BO7" s="15">
        <f t="shared" si="51"/>
        <v>13241.531109440202</v>
      </c>
      <c r="BP7" s="16">
        <v>13390</v>
      </c>
      <c r="BQ7" s="16">
        <v>13395</v>
      </c>
      <c r="BR7" s="16">
        <v>13365</v>
      </c>
      <c r="BS7" s="16">
        <v>13395</v>
      </c>
      <c r="BT7" s="16">
        <v>120189</v>
      </c>
      <c r="BU7" s="15">
        <f t="shared" si="40"/>
        <v>13385</v>
      </c>
      <c r="BV7" s="15">
        <f t="shared" si="41"/>
        <v>1608729765</v>
      </c>
      <c r="BW7" s="15">
        <f>SUM($BV$3:BV7)</f>
        <v>27278795671.666664</v>
      </c>
      <c r="BX7" s="15">
        <f>SUM($BT$3:BT7)</f>
        <v>2025663</v>
      </c>
      <c r="BY7" s="15">
        <f t="shared" si="42"/>
        <v>13466.601143263546</v>
      </c>
      <c r="BZ7" s="3">
        <v>5</v>
      </c>
      <c r="CA7" s="3">
        <f t="shared" si="43"/>
        <v>0</v>
      </c>
      <c r="CB7" s="3">
        <f t="shared" si="44"/>
        <v>0</v>
      </c>
      <c r="CC7" s="3">
        <f t="shared" si="45"/>
        <v>0</v>
      </c>
      <c r="CD7" s="3" t="str">
        <f t="shared" si="46"/>
        <v/>
      </c>
      <c r="CE7" s="3">
        <f t="shared" si="47"/>
        <v>0</v>
      </c>
    </row>
    <row r="8" spans="1:84" x14ac:dyDescent="0.3">
      <c r="A8" s="3" t="s">
        <v>48</v>
      </c>
      <c r="B8" s="3">
        <v>11685</v>
      </c>
      <c r="C8" s="3">
        <v>11670</v>
      </c>
      <c r="D8" s="3">
        <v>11575</v>
      </c>
      <c r="E8" s="3">
        <v>11545</v>
      </c>
      <c r="F8" s="3">
        <v>11395</v>
      </c>
      <c r="G8" s="3">
        <v>11455</v>
      </c>
      <c r="H8" s="3">
        <v>11735</v>
      </c>
      <c r="I8" s="3">
        <v>11730</v>
      </c>
      <c r="J8" s="3">
        <v>11685</v>
      </c>
      <c r="K8" s="3">
        <v>11690</v>
      </c>
      <c r="L8" s="3">
        <v>11960</v>
      </c>
      <c r="M8" s="3">
        <v>11990</v>
      </c>
      <c r="N8" s="3">
        <v>12205</v>
      </c>
      <c r="O8" s="3">
        <v>12210</v>
      </c>
      <c r="P8" s="3">
        <v>12725</v>
      </c>
      <c r="Q8" s="3">
        <v>12725</v>
      </c>
      <c r="R8" s="3">
        <v>12695</v>
      </c>
      <c r="S8" s="3">
        <v>12705</v>
      </c>
      <c r="T8" s="3">
        <v>12365</v>
      </c>
      <c r="U8" s="3">
        <v>12335</v>
      </c>
      <c r="V8" s="3">
        <v>12400</v>
      </c>
      <c r="W8" s="3">
        <v>12390</v>
      </c>
      <c r="X8" s="3">
        <v>12615</v>
      </c>
      <c r="Y8" s="3">
        <v>12595</v>
      </c>
      <c r="Z8" s="3">
        <v>12775</v>
      </c>
      <c r="AA8" s="3">
        <v>12770</v>
      </c>
      <c r="AB8" s="3">
        <v>13075</v>
      </c>
      <c r="AC8" s="3">
        <v>13155</v>
      </c>
      <c r="AD8" s="3">
        <v>13165</v>
      </c>
      <c r="AE8" s="3">
        <v>13160</v>
      </c>
      <c r="AF8" s="3">
        <v>13455</v>
      </c>
      <c r="AG8" s="3">
        <v>13515</v>
      </c>
      <c r="AH8" s="3">
        <v>13895</v>
      </c>
      <c r="AI8" s="3">
        <v>13835</v>
      </c>
      <c r="AJ8" s="3">
        <v>13995</v>
      </c>
      <c r="AK8" s="3">
        <v>14025</v>
      </c>
      <c r="AL8" s="3">
        <v>13655</v>
      </c>
      <c r="AM8" s="3">
        <v>13640</v>
      </c>
      <c r="AN8" s="3">
        <v>13525</v>
      </c>
      <c r="AO8" s="3">
        <v>13510</v>
      </c>
      <c r="AP8" s="3">
        <v>13390</v>
      </c>
      <c r="AQ8" s="3">
        <v>13430</v>
      </c>
      <c r="AR8" s="4">
        <f t="shared" si="48"/>
        <v>1.2142237640936582E-2</v>
      </c>
      <c r="AS8" s="4">
        <f t="shared" si="20"/>
        <v>4.3290043290045155E-4</v>
      </c>
      <c r="AT8" s="4">
        <f t="shared" si="21"/>
        <v>8.3626760563380031E-3</v>
      </c>
      <c r="AU8" s="4">
        <f t="shared" si="22"/>
        <v>4.2444821731748572E-3</v>
      </c>
      <c r="AV8" s="4">
        <f t="shared" si="23"/>
        <v>0</v>
      </c>
      <c r="AW8" s="4">
        <f t="shared" si="24"/>
        <v>1.0961214165261302E-2</v>
      </c>
      <c r="AX8" s="4">
        <f t="shared" si="25"/>
        <v>7.8415187783740237E-3</v>
      </c>
      <c r="AY8" s="4">
        <f t="shared" si="26"/>
        <v>4.3035993740219158E-3</v>
      </c>
      <c r="AZ8" s="4">
        <f t="shared" si="27"/>
        <v>1.2754085292945305E-2</v>
      </c>
      <c r="BA8" s="4">
        <f t="shared" si="28"/>
        <v>3.2323232323232531E-3</v>
      </c>
      <c r="BB8" s="4">
        <f t="shared" si="29"/>
        <v>4.4588569112282705E-3</v>
      </c>
      <c r="BC8" s="4">
        <f t="shared" si="30"/>
        <v>3.1658092599921028E-3</v>
      </c>
      <c r="BD8" s="4">
        <f t="shared" si="31"/>
        <v>5.4517133956386576E-3</v>
      </c>
      <c r="BE8" s="4">
        <f t="shared" si="32"/>
        <v>1.4654839953721632E-2</v>
      </c>
      <c r="BF8" s="4">
        <f t="shared" si="33"/>
        <v>5.3475935828877219E-3</v>
      </c>
      <c r="BG8" s="4">
        <f t="shared" si="34"/>
        <v>1.3498312710911176E-2</v>
      </c>
      <c r="BH8" s="4">
        <f t="shared" si="35"/>
        <v>5.3918044572249801E-3</v>
      </c>
      <c r="BI8" s="4">
        <f t="shared" si="36"/>
        <v>1.08108108108107E-2</v>
      </c>
      <c r="BJ8" s="4">
        <f t="shared" si="37"/>
        <v>5.8309037900874383E-3</v>
      </c>
      <c r="BK8" s="4">
        <f t="shared" si="38"/>
        <v>1.2787723785166238E-2</v>
      </c>
      <c r="BL8" s="4">
        <f t="shared" si="39"/>
        <v>1.85804533630618E-3</v>
      </c>
      <c r="BM8" s="4">
        <f t="shared" si="49"/>
        <v>7.8235639525238154E-3</v>
      </c>
      <c r="BN8" s="14">
        <f t="shared" si="50"/>
        <v>13560.266052981209</v>
      </c>
      <c r="BO8" s="15">
        <f t="shared" si="51"/>
        <v>13220.75101033262</v>
      </c>
      <c r="BP8" s="16">
        <v>13390</v>
      </c>
      <c r="BQ8" s="16">
        <v>13455</v>
      </c>
      <c r="BR8" s="16">
        <v>13380</v>
      </c>
      <c r="BS8" s="16">
        <v>13430</v>
      </c>
      <c r="BT8" s="16">
        <v>244365</v>
      </c>
      <c r="BU8" s="15">
        <f t="shared" si="40"/>
        <v>13421.666666666666</v>
      </c>
      <c r="BV8" s="15">
        <f t="shared" si="41"/>
        <v>3279785575</v>
      </c>
      <c r="BW8" s="15">
        <f>SUM($BV$3:BV8)</f>
        <v>30558581246.666664</v>
      </c>
      <c r="BX8" s="15">
        <f>SUM($BT$3:BT8)</f>
        <v>2270028</v>
      </c>
      <c r="BY8" s="15">
        <f t="shared" si="42"/>
        <v>13461.764016420355</v>
      </c>
      <c r="BZ8" s="3">
        <v>6</v>
      </c>
      <c r="CA8" s="3">
        <f t="shared" si="43"/>
        <v>0</v>
      </c>
      <c r="CB8" s="3">
        <f t="shared" si="44"/>
        <v>0</v>
      </c>
      <c r="CC8" s="3">
        <f t="shared" si="45"/>
        <v>0</v>
      </c>
      <c r="CD8" s="3" t="str">
        <f t="shared" si="46"/>
        <v/>
      </c>
      <c r="CE8" s="3">
        <f t="shared" si="47"/>
        <v>0</v>
      </c>
    </row>
    <row r="9" spans="1:84" x14ac:dyDescent="0.3">
      <c r="A9" s="3" t="s">
        <v>49</v>
      </c>
      <c r="B9" s="3">
        <v>11680</v>
      </c>
      <c r="C9" s="3">
        <v>11660</v>
      </c>
      <c r="D9" s="3">
        <v>11545</v>
      </c>
      <c r="E9" s="3">
        <v>11540</v>
      </c>
      <c r="F9" s="3">
        <v>11450</v>
      </c>
      <c r="G9" s="3">
        <v>11500</v>
      </c>
      <c r="H9" s="3">
        <v>11735</v>
      </c>
      <c r="I9" s="3">
        <v>11750</v>
      </c>
      <c r="J9" s="3">
        <v>11690</v>
      </c>
      <c r="K9" s="3">
        <v>11685</v>
      </c>
      <c r="L9" s="3">
        <v>11985</v>
      </c>
      <c r="M9" s="3">
        <v>12025</v>
      </c>
      <c r="N9" s="3">
        <v>12215</v>
      </c>
      <c r="O9" s="3">
        <v>12205</v>
      </c>
      <c r="P9" s="3">
        <v>12725</v>
      </c>
      <c r="Q9" s="3">
        <v>12700</v>
      </c>
      <c r="R9" s="3">
        <v>12705</v>
      </c>
      <c r="S9" s="3">
        <v>12720</v>
      </c>
      <c r="T9" s="3">
        <v>12335</v>
      </c>
      <c r="U9" s="3">
        <v>12345</v>
      </c>
      <c r="V9" s="3">
        <v>12395</v>
      </c>
      <c r="W9" s="3">
        <v>12455</v>
      </c>
      <c r="X9" s="3">
        <v>12590</v>
      </c>
      <c r="Y9" s="3">
        <v>12550</v>
      </c>
      <c r="Z9" s="3">
        <v>12770</v>
      </c>
      <c r="AA9" s="3">
        <v>12790</v>
      </c>
      <c r="AB9" s="3">
        <v>13155</v>
      </c>
      <c r="AC9" s="3">
        <v>13175</v>
      </c>
      <c r="AD9" s="3">
        <v>13160</v>
      </c>
      <c r="AE9" s="3">
        <v>13185</v>
      </c>
      <c r="AF9" s="3">
        <v>13515</v>
      </c>
      <c r="AG9" s="3">
        <v>13490</v>
      </c>
      <c r="AH9" s="3">
        <v>13835</v>
      </c>
      <c r="AI9" s="3">
        <v>13850</v>
      </c>
      <c r="AJ9" s="3">
        <v>14030</v>
      </c>
      <c r="AK9" s="3">
        <v>14060</v>
      </c>
      <c r="AL9" s="3">
        <v>13640</v>
      </c>
      <c r="AM9" s="3">
        <v>13690</v>
      </c>
      <c r="AN9" s="3">
        <v>13505</v>
      </c>
      <c r="AO9" s="3">
        <v>13520</v>
      </c>
      <c r="AP9" s="3">
        <v>13430</v>
      </c>
      <c r="AQ9" s="3">
        <v>13445</v>
      </c>
      <c r="AR9" s="4">
        <f t="shared" si="48"/>
        <v>1.1274934952298254E-2</v>
      </c>
      <c r="AS9" s="4">
        <f t="shared" si="20"/>
        <v>8.658008658009031E-4</v>
      </c>
      <c r="AT9" s="4">
        <f t="shared" si="21"/>
        <v>1.2323943661971759E-2</v>
      </c>
      <c r="AU9" s="4">
        <f t="shared" si="22"/>
        <v>2.5466893039048921E-3</v>
      </c>
      <c r="AV9" s="4">
        <f t="shared" si="23"/>
        <v>4.2771599657831505E-4</v>
      </c>
      <c r="AW9" s="4">
        <f t="shared" si="24"/>
        <v>1.3912310286677831E-2</v>
      </c>
      <c r="AX9" s="4">
        <f t="shared" si="25"/>
        <v>7.4288072637227476E-3</v>
      </c>
      <c r="AY9" s="4">
        <f t="shared" si="26"/>
        <v>6.2597809076682109E-3</v>
      </c>
      <c r="AZ9" s="4">
        <f t="shared" si="27"/>
        <v>1.3949780789159094E-2</v>
      </c>
      <c r="BA9" s="4">
        <f t="shared" si="28"/>
        <v>2.4242424242424399E-3</v>
      </c>
      <c r="BB9" s="4">
        <f t="shared" si="29"/>
        <v>9.7284150790433177E-3</v>
      </c>
      <c r="BC9" s="4">
        <f t="shared" si="30"/>
        <v>6.7273446774831491E-3</v>
      </c>
      <c r="BD9" s="4">
        <f t="shared" si="31"/>
        <v>3.8940809968847079E-3</v>
      </c>
      <c r="BE9" s="4">
        <f t="shared" si="32"/>
        <v>1.6197454685692225E-2</v>
      </c>
      <c r="BF9" s="4">
        <f t="shared" si="33"/>
        <v>7.257448433918956E-3</v>
      </c>
      <c r="BG9" s="4">
        <f t="shared" si="34"/>
        <v>1.1623547056617944E-2</v>
      </c>
      <c r="BH9" s="4">
        <f t="shared" si="35"/>
        <v>4.3134435657800063E-3</v>
      </c>
      <c r="BI9" s="4">
        <f t="shared" si="36"/>
        <v>1.3333333333333419E-2</v>
      </c>
      <c r="BJ9" s="4">
        <f t="shared" si="37"/>
        <v>2.1865889212827616E-3</v>
      </c>
      <c r="BK9" s="4">
        <f t="shared" si="38"/>
        <v>1.2056996711728218E-2</v>
      </c>
      <c r="BL9" s="4">
        <f t="shared" si="39"/>
        <v>7.4321813452249419E-4</v>
      </c>
      <c r="BM9" s="4">
        <f t="shared" si="49"/>
        <v>8.3843760604683706E-3</v>
      </c>
      <c r="BN9" s="14">
        <f t="shared" si="50"/>
        <v>13567.8117798936</v>
      </c>
      <c r="BO9" s="15">
        <f t="shared" si="51"/>
        <v>13213.278188994258</v>
      </c>
      <c r="BP9" s="16">
        <v>13430</v>
      </c>
      <c r="BQ9" s="16">
        <v>13450</v>
      </c>
      <c r="BR9" s="16">
        <v>13415</v>
      </c>
      <c r="BS9" s="16">
        <v>13445</v>
      </c>
      <c r="BT9" s="16">
        <v>132070</v>
      </c>
      <c r="BU9" s="15">
        <f t="shared" si="40"/>
        <v>13436.666666666666</v>
      </c>
      <c r="BV9" s="15">
        <f t="shared" si="41"/>
        <v>1774580566.6666665</v>
      </c>
      <c r="BW9" s="15">
        <f>SUM($BV$3:BV9)</f>
        <v>32333161813.333332</v>
      </c>
      <c r="BX9" s="15">
        <f>SUM($BT$3:BT9)</f>
        <v>2402098</v>
      </c>
      <c r="BY9" s="15">
        <f t="shared" si="42"/>
        <v>13460.384136422965</v>
      </c>
      <c r="BZ9" s="3">
        <v>7</v>
      </c>
      <c r="CA9" s="3">
        <f t="shared" si="43"/>
        <v>0</v>
      </c>
      <c r="CB9" s="3">
        <f t="shared" si="44"/>
        <v>0</v>
      </c>
      <c r="CC9" s="3">
        <f t="shared" si="45"/>
        <v>0</v>
      </c>
      <c r="CD9" s="3" t="str">
        <f t="shared" si="46"/>
        <v/>
      </c>
      <c r="CE9" s="3">
        <f t="shared" si="47"/>
        <v>0</v>
      </c>
    </row>
    <row r="10" spans="1:84" x14ac:dyDescent="0.3">
      <c r="A10" s="3" t="s">
        <v>50</v>
      </c>
      <c r="B10" s="3">
        <v>11655</v>
      </c>
      <c r="C10" s="3">
        <v>11670</v>
      </c>
      <c r="D10" s="3">
        <v>11540</v>
      </c>
      <c r="E10" s="3">
        <v>11545</v>
      </c>
      <c r="F10" s="3">
        <v>11500</v>
      </c>
      <c r="G10" s="3">
        <v>11485</v>
      </c>
      <c r="H10" s="3">
        <v>11745</v>
      </c>
      <c r="I10" s="3">
        <v>11725</v>
      </c>
      <c r="J10" s="3">
        <v>11690</v>
      </c>
      <c r="K10" s="3">
        <v>11695</v>
      </c>
      <c r="L10" s="3">
        <v>12025</v>
      </c>
      <c r="M10" s="3">
        <v>12025</v>
      </c>
      <c r="N10" s="3">
        <v>12200</v>
      </c>
      <c r="O10" s="3">
        <v>12190</v>
      </c>
      <c r="P10" s="3">
        <v>12705</v>
      </c>
      <c r="Q10" s="3">
        <v>12685</v>
      </c>
      <c r="R10" s="3">
        <v>12720</v>
      </c>
      <c r="S10" s="3">
        <v>12715</v>
      </c>
      <c r="T10" s="3">
        <v>12345</v>
      </c>
      <c r="U10" s="3">
        <v>12370</v>
      </c>
      <c r="V10" s="3">
        <v>12460</v>
      </c>
      <c r="W10" s="3">
        <v>12490</v>
      </c>
      <c r="X10" s="3">
        <v>12550</v>
      </c>
      <c r="Y10" s="3">
        <v>12595</v>
      </c>
      <c r="Z10" s="3">
        <v>12790</v>
      </c>
      <c r="AA10" s="3">
        <v>12785</v>
      </c>
      <c r="AB10" s="3">
        <v>13180</v>
      </c>
      <c r="AC10" s="3">
        <v>13155</v>
      </c>
      <c r="AD10" s="3">
        <v>13185</v>
      </c>
      <c r="AE10" s="3">
        <v>13150</v>
      </c>
      <c r="AF10" s="3">
        <v>13490</v>
      </c>
      <c r="AG10" s="3">
        <v>13535</v>
      </c>
      <c r="AH10" s="3">
        <v>13845</v>
      </c>
      <c r="AI10" s="3">
        <v>13855</v>
      </c>
      <c r="AJ10" s="3">
        <v>14055</v>
      </c>
      <c r="AK10" s="3">
        <v>14030</v>
      </c>
      <c r="AL10" s="3">
        <v>13685</v>
      </c>
      <c r="AM10" s="3">
        <v>13650</v>
      </c>
      <c r="AN10" s="3">
        <v>13520</v>
      </c>
      <c r="AO10" s="3">
        <v>13475</v>
      </c>
      <c r="AP10" s="3">
        <v>13445</v>
      </c>
      <c r="AQ10" s="3">
        <v>13420</v>
      </c>
      <c r="AR10" s="4">
        <f t="shared" si="48"/>
        <v>1.2142237640936582E-2</v>
      </c>
      <c r="AS10" s="4">
        <f t="shared" si="20"/>
        <v>4.3290043290045155E-4</v>
      </c>
      <c r="AT10" s="4">
        <f t="shared" si="21"/>
        <v>1.1003521126760507E-2</v>
      </c>
      <c r="AU10" s="4">
        <f t="shared" si="22"/>
        <v>4.6689303904923207E-3</v>
      </c>
      <c r="AV10" s="4">
        <f t="shared" si="23"/>
        <v>4.2771599657820403E-4</v>
      </c>
      <c r="AW10" s="4">
        <f t="shared" si="24"/>
        <v>1.3912310286677831E-2</v>
      </c>
      <c r="AX10" s="4">
        <f t="shared" si="25"/>
        <v>6.1906727197689193E-3</v>
      </c>
      <c r="AY10" s="4">
        <f t="shared" si="26"/>
        <v>7.4334898278560768E-3</v>
      </c>
      <c r="AZ10" s="4">
        <f t="shared" si="27"/>
        <v>1.3551215623754498E-2</v>
      </c>
      <c r="BA10" s="4">
        <f t="shared" si="28"/>
        <v>4.0404040404040664E-4</v>
      </c>
      <c r="BB10" s="4">
        <f t="shared" si="29"/>
        <v>1.2565869477097591E-2</v>
      </c>
      <c r="BC10" s="4">
        <f t="shared" si="30"/>
        <v>3.1658092599921028E-3</v>
      </c>
      <c r="BD10" s="4">
        <f t="shared" si="31"/>
        <v>4.2834890965731676E-3</v>
      </c>
      <c r="BE10" s="4">
        <f t="shared" si="32"/>
        <v>1.4654839953721632E-2</v>
      </c>
      <c r="BF10" s="4">
        <f t="shared" si="33"/>
        <v>4.583651642475095E-3</v>
      </c>
      <c r="BG10" s="4">
        <f t="shared" si="34"/>
        <v>1.4998125234345627E-2</v>
      </c>
      <c r="BH10" s="4">
        <f t="shared" si="35"/>
        <v>3.9539899352983854E-3</v>
      </c>
      <c r="BI10" s="4">
        <f t="shared" si="36"/>
        <v>1.1171171171171279E-2</v>
      </c>
      <c r="BJ10" s="4">
        <f t="shared" si="37"/>
        <v>5.1020408163264808E-3</v>
      </c>
      <c r="BK10" s="4">
        <f t="shared" si="38"/>
        <v>1.5345268542199531E-2</v>
      </c>
      <c r="BL10" s="4">
        <f t="shared" si="39"/>
        <v>2.6012634708286742E-3</v>
      </c>
      <c r="BM10" s="4">
        <f t="shared" si="49"/>
        <v>8.3859766931872002E-3</v>
      </c>
      <c r="BN10" s="14">
        <f t="shared" si="50"/>
        <v>13567.833316406835</v>
      </c>
      <c r="BO10" s="15">
        <f t="shared" si="51"/>
        <v>13213.25686056328</v>
      </c>
      <c r="BP10" s="16">
        <v>13445</v>
      </c>
      <c r="BQ10" s="16">
        <v>13445</v>
      </c>
      <c r="BR10" s="16">
        <v>13415</v>
      </c>
      <c r="BS10" s="16">
        <v>13420</v>
      </c>
      <c r="BT10" s="16">
        <v>90576</v>
      </c>
      <c r="BU10" s="15">
        <f t="shared" si="40"/>
        <v>13426.666666666666</v>
      </c>
      <c r="BV10" s="15">
        <f t="shared" si="41"/>
        <v>1216133760</v>
      </c>
      <c r="BW10" s="15">
        <f>SUM($BV$3:BV10)</f>
        <v>33549295573.333332</v>
      </c>
      <c r="BX10" s="15">
        <f>SUM($BT$3:BT10)</f>
        <v>2492674</v>
      </c>
      <c r="BY10" s="15">
        <f t="shared" si="42"/>
        <v>13459.158948716653</v>
      </c>
      <c r="BZ10" s="3">
        <v>8</v>
      </c>
      <c r="CA10" s="3">
        <f t="shared" si="43"/>
        <v>0</v>
      </c>
      <c r="CB10" s="3">
        <f t="shared" si="44"/>
        <v>0</v>
      </c>
      <c r="CC10" s="3">
        <f t="shared" si="45"/>
        <v>0</v>
      </c>
      <c r="CD10" s="3" t="str">
        <f t="shared" si="46"/>
        <v/>
      </c>
      <c r="CE10" s="3">
        <f t="shared" si="47"/>
        <v>0</v>
      </c>
    </row>
    <row r="11" spans="1:84" x14ac:dyDescent="0.3">
      <c r="A11" s="3" t="s">
        <v>51</v>
      </c>
      <c r="B11" s="3">
        <v>11670</v>
      </c>
      <c r="C11" s="3">
        <v>11695</v>
      </c>
      <c r="D11" s="3">
        <v>11550</v>
      </c>
      <c r="E11" s="3">
        <v>11550</v>
      </c>
      <c r="F11" s="3">
        <v>11490</v>
      </c>
      <c r="G11" s="3">
        <v>11495</v>
      </c>
      <c r="H11" s="3">
        <v>11725</v>
      </c>
      <c r="I11" s="3">
        <v>11735</v>
      </c>
      <c r="J11" s="3">
        <v>11695</v>
      </c>
      <c r="K11" s="3">
        <v>11700</v>
      </c>
      <c r="L11" s="3">
        <v>12030</v>
      </c>
      <c r="M11" s="3">
        <v>12085</v>
      </c>
      <c r="N11" s="3">
        <v>12190</v>
      </c>
      <c r="O11" s="3">
        <v>12185</v>
      </c>
      <c r="P11" s="3">
        <v>12685</v>
      </c>
      <c r="Q11" s="3">
        <v>12650</v>
      </c>
      <c r="R11" s="3">
        <v>12715</v>
      </c>
      <c r="S11" s="3">
        <v>12715</v>
      </c>
      <c r="T11" s="3">
        <v>12370</v>
      </c>
      <c r="U11" s="3">
        <v>12345</v>
      </c>
      <c r="V11" s="3">
        <v>12485</v>
      </c>
      <c r="W11" s="3">
        <v>12545</v>
      </c>
      <c r="X11" s="3">
        <v>12595</v>
      </c>
      <c r="Y11" s="3">
        <v>12615</v>
      </c>
      <c r="Z11" s="3">
        <v>12785</v>
      </c>
      <c r="AA11" s="3">
        <v>12805</v>
      </c>
      <c r="AB11" s="3">
        <v>13160</v>
      </c>
      <c r="AC11" s="3">
        <v>13190</v>
      </c>
      <c r="AD11" s="3">
        <v>13150</v>
      </c>
      <c r="AE11" s="3">
        <v>13155</v>
      </c>
      <c r="AF11" s="3">
        <v>13535</v>
      </c>
      <c r="AG11" s="3">
        <v>13570</v>
      </c>
      <c r="AH11" s="3">
        <v>13850</v>
      </c>
      <c r="AI11" s="3">
        <v>13870</v>
      </c>
      <c r="AJ11" s="3">
        <v>14020</v>
      </c>
      <c r="AK11" s="3">
        <v>14065</v>
      </c>
      <c r="AL11" s="3">
        <v>13650</v>
      </c>
      <c r="AM11" s="3">
        <v>13735</v>
      </c>
      <c r="AN11" s="3">
        <v>13480</v>
      </c>
      <c r="AO11" s="3">
        <v>13445</v>
      </c>
      <c r="AP11" s="3">
        <v>13420</v>
      </c>
      <c r="AQ11" s="3">
        <v>13450</v>
      </c>
      <c r="AR11" s="4">
        <f t="shared" si="48"/>
        <v>1.4310494362532511E-2</v>
      </c>
      <c r="AS11" s="4">
        <f t="shared" si="20"/>
        <v>0</v>
      </c>
      <c r="AT11" s="4">
        <f t="shared" si="21"/>
        <v>1.188380281690149E-2</v>
      </c>
      <c r="AU11" s="4">
        <f t="shared" si="22"/>
        <v>3.8200339558573937E-3</v>
      </c>
      <c r="AV11" s="4">
        <f t="shared" si="23"/>
        <v>8.554319931566301E-4</v>
      </c>
      <c r="AW11" s="4">
        <f t="shared" si="24"/>
        <v>1.8971332209106295E-2</v>
      </c>
      <c r="AX11" s="4">
        <f t="shared" si="25"/>
        <v>5.7779612051176432E-3</v>
      </c>
      <c r="AY11" s="4">
        <f t="shared" si="26"/>
        <v>1.0172143974960912E-2</v>
      </c>
      <c r="AZ11" s="4">
        <f t="shared" si="27"/>
        <v>1.3551215623754498E-2</v>
      </c>
      <c r="BA11" s="4">
        <f t="shared" si="28"/>
        <v>2.4242424242424399E-3</v>
      </c>
      <c r="BB11" s="4">
        <f t="shared" si="29"/>
        <v>1.7024726388325861E-2</v>
      </c>
      <c r="BC11" s="4">
        <f t="shared" si="30"/>
        <v>1.5829046299959959E-3</v>
      </c>
      <c r="BD11" s="4">
        <f t="shared" si="31"/>
        <v>2.7258566978193288E-3</v>
      </c>
      <c r="BE11" s="4">
        <f t="shared" si="32"/>
        <v>1.7354415734670336E-2</v>
      </c>
      <c r="BF11" s="4">
        <f t="shared" si="33"/>
        <v>4.9656226126815195E-3</v>
      </c>
      <c r="BG11" s="4">
        <f t="shared" si="34"/>
        <v>1.7622797150356195E-2</v>
      </c>
      <c r="BH11" s="4">
        <f t="shared" si="35"/>
        <v>2.8756290438533005E-3</v>
      </c>
      <c r="BI11" s="4">
        <f t="shared" si="36"/>
        <v>1.3693693693693776E-2</v>
      </c>
      <c r="BJ11" s="4">
        <f t="shared" si="37"/>
        <v>1.0932944606414363E-3</v>
      </c>
      <c r="BK11" s="4">
        <f t="shared" si="38"/>
        <v>1.7537449762513702E-2</v>
      </c>
      <c r="BL11" s="4">
        <f t="shared" si="39"/>
        <v>3.7160906726119158E-4</v>
      </c>
      <c r="BM11" s="4">
        <f t="shared" si="49"/>
        <v>9.1715681001876392E-3</v>
      </c>
      <c r="BN11" s="14">
        <f t="shared" si="50"/>
        <v>13578.403448788024</v>
      </c>
      <c r="BO11" s="15">
        <f t="shared" si="51"/>
        <v>13202.788855065</v>
      </c>
      <c r="BP11" s="16">
        <v>13420</v>
      </c>
      <c r="BQ11" s="16">
        <v>13475</v>
      </c>
      <c r="BR11" s="16">
        <v>13420</v>
      </c>
      <c r="BS11" s="16">
        <v>13450</v>
      </c>
      <c r="BT11" s="16">
        <v>145010</v>
      </c>
      <c r="BU11" s="15">
        <f t="shared" si="40"/>
        <v>13448.333333333334</v>
      </c>
      <c r="BV11" s="15">
        <f t="shared" si="41"/>
        <v>1950142816.6666667</v>
      </c>
      <c r="BW11" s="15">
        <f>SUM($BV$3:BV11)</f>
        <v>35499438390</v>
      </c>
      <c r="BX11" s="15">
        <f>SUM($BT$3:BT11)</f>
        <v>2637684</v>
      </c>
      <c r="BY11" s="15">
        <f t="shared" si="42"/>
        <v>13458.563796876351</v>
      </c>
      <c r="BZ11" s="3">
        <v>9</v>
      </c>
      <c r="CA11" s="3">
        <f t="shared" si="43"/>
        <v>0</v>
      </c>
      <c r="CB11" s="3">
        <f t="shared" si="44"/>
        <v>0</v>
      </c>
      <c r="CC11" s="3">
        <f t="shared" si="45"/>
        <v>0</v>
      </c>
      <c r="CD11" s="3" t="str">
        <f t="shared" si="46"/>
        <v/>
      </c>
      <c r="CE11" s="3">
        <f t="shared" si="47"/>
        <v>0</v>
      </c>
    </row>
    <row r="12" spans="1:84" x14ac:dyDescent="0.3">
      <c r="A12" s="3" t="s">
        <v>52</v>
      </c>
      <c r="B12" s="3">
        <v>11700</v>
      </c>
      <c r="C12" s="3">
        <v>11745</v>
      </c>
      <c r="D12" s="3">
        <v>11555</v>
      </c>
      <c r="E12" s="3">
        <v>11565</v>
      </c>
      <c r="F12" s="3">
        <v>11495</v>
      </c>
      <c r="G12" s="3">
        <v>11465</v>
      </c>
      <c r="H12" s="3">
        <v>11735</v>
      </c>
      <c r="I12" s="3">
        <v>11725</v>
      </c>
      <c r="J12" s="3">
        <v>11705</v>
      </c>
      <c r="K12" s="3">
        <v>11705</v>
      </c>
      <c r="L12" s="3">
        <v>12085</v>
      </c>
      <c r="M12" s="3">
        <v>12095</v>
      </c>
      <c r="N12" s="3">
        <v>12185</v>
      </c>
      <c r="O12" s="3">
        <v>12200</v>
      </c>
      <c r="P12" s="3">
        <v>12650</v>
      </c>
      <c r="Q12" s="3">
        <v>12685</v>
      </c>
      <c r="R12" s="3">
        <v>12720</v>
      </c>
      <c r="S12" s="3">
        <v>12705</v>
      </c>
      <c r="T12" s="3">
        <v>12355</v>
      </c>
      <c r="U12" s="3">
        <v>12360</v>
      </c>
      <c r="V12" s="3">
        <v>12545</v>
      </c>
      <c r="W12" s="3">
        <v>12545</v>
      </c>
      <c r="X12" s="3">
        <v>12620</v>
      </c>
      <c r="Y12" s="3">
        <v>12670</v>
      </c>
      <c r="Z12" s="3">
        <v>12805</v>
      </c>
      <c r="AA12" s="3">
        <v>12800</v>
      </c>
      <c r="AB12" s="3">
        <v>13195</v>
      </c>
      <c r="AC12" s="3">
        <v>13190</v>
      </c>
      <c r="AD12" s="3">
        <v>13155</v>
      </c>
      <c r="AE12" s="3">
        <v>13145</v>
      </c>
      <c r="AF12" s="3">
        <v>13570</v>
      </c>
      <c r="AG12" s="3">
        <v>13515</v>
      </c>
      <c r="AH12" s="3">
        <v>13870</v>
      </c>
      <c r="AI12" s="3">
        <v>13870</v>
      </c>
      <c r="AJ12" s="3">
        <v>14065</v>
      </c>
      <c r="AK12" s="3">
        <v>14075</v>
      </c>
      <c r="AL12" s="3">
        <v>13735</v>
      </c>
      <c r="AM12" s="3">
        <v>13695</v>
      </c>
      <c r="AN12" s="3">
        <v>13445</v>
      </c>
      <c r="AO12" s="3">
        <v>13425</v>
      </c>
      <c r="AP12" s="3">
        <v>13445</v>
      </c>
      <c r="AQ12" s="3">
        <v>13420</v>
      </c>
      <c r="AR12" s="4">
        <f t="shared" si="48"/>
        <v>1.8647007805724147E-2</v>
      </c>
      <c r="AS12" s="4">
        <f t="shared" si="20"/>
        <v>1.2987012987013546E-3</v>
      </c>
      <c r="AT12" s="4">
        <f t="shared" si="21"/>
        <v>9.2429577464787638E-3</v>
      </c>
      <c r="AU12" s="4">
        <f t="shared" si="22"/>
        <v>4.6689303904923207E-3</v>
      </c>
      <c r="AV12" s="4">
        <f t="shared" si="23"/>
        <v>1.2831479897348341E-3</v>
      </c>
      <c r="AW12" s="4">
        <f t="shared" si="24"/>
        <v>1.9814502529510891E-2</v>
      </c>
      <c r="AX12" s="4">
        <f t="shared" si="25"/>
        <v>7.0160957490714715E-3</v>
      </c>
      <c r="AY12" s="4">
        <f t="shared" si="26"/>
        <v>7.4334898278560768E-3</v>
      </c>
      <c r="AZ12" s="4">
        <f t="shared" si="27"/>
        <v>1.2754085292945305E-2</v>
      </c>
      <c r="BA12" s="4">
        <f t="shared" si="28"/>
        <v>1.2121212121212199E-3</v>
      </c>
      <c r="BB12" s="4">
        <f t="shared" si="29"/>
        <v>1.7024726388325861E-2</v>
      </c>
      <c r="BC12" s="4">
        <f t="shared" si="30"/>
        <v>2.7700831024930483E-3</v>
      </c>
      <c r="BD12" s="4">
        <f t="shared" si="31"/>
        <v>3.1152647975077885E-3</v>
      </c>
      <c r="BE12" s="4">
        <f t="shared" si="32"/>
        <v>1.7354415734670336E-2</v>
      </c>
      <c r="BF12" s="4">
        <f t="shared" si="33"/>
        <v>4.2016806722688926E-3</v>
      </c>
      <c r="BG12" s="4">
        <f t="shared" si="34"/>
        <v>1.3498312710911176E-2</v>
      </c>
      <c r="BH12" s="4">
        <f t="shared" si="35"/>
        <v>2.8756290438533005E-3</v>
      </c>
      <c r="BI12" s="4">
        <f t="shared" si="36"/>
        <v>1.4414414414414489E-2</v>
      </c>
      <c r="BJ12" s="4">
        <f t="shared" si="37"/>
        <v>1.8221574344022828E-3</v>
      </c>
      <c r="BK12" s="4">
        <f t="shared" si="38"/>
        <v>1.8998903909389853E-2</v>
      </c>
      <c r="BL12" s="4">
        <f t="shared" si="39"/>
        <v>2.6012634708286742E-3</v>
      </c>
      <c r="BM12" s="4">
        <f t="shared" si="49"/>
        <v>8.8922414493022208E-3</v>
      </c>
      <c r="BN12" s="14">
        <f t="shared" si="50"/>
        <v>13574.645108700361</v>
      </c>
      <c r="BO12" s="15">
        <f t="shared" si="51"/>
        <v>13206.510882688048</v>
      </c>
      <c r="BP12" s="16">
        <v>13445</v>
      </c>
      <c r="BQ12" s="16">
        <v>13450</v>
      </c>
      <c r="BR12" s="16">
        <v>13415</v>
      </c>
      <c r="BS12" s="16">
        <v>13420</v>
      </c>
      <c r="BT12" s="16">
        <v>78345</v>
      </c>
      <c r="BU12" s="15">
        <f t="shared" si="40"/>
        <v>13428.333333333334</v>
      </c>
      <c r="BV12" s="15">
        <f t="shared" si="41"/>
        <v>1052042775</v>
      </c>
      <c r="BW12" s="15">
        <f>SUM($BV$3:BV12)</f>
        <v>36551481165</v>
      </c>
      <c r="BX12" s="15">
        <f>SUM($BT$3:BT12)</f>
        <v>2716029</v>
      </c>
      <c r="BY12" s="15">
        <f t="shared" si="42"/>
        <v>13457.691786427906</v>
      </c>
      <c r="BZ12" s="3">
        <v>10</v>
      </c>
      <c r="CA12" s="3">
        <f t="shared" si="43"/>
        <v>0</v>
      </c>
      <c r="CB12" s="3">
        <f t="shared" si="44"/>
        <v>0</v>
      </c>
      <c r="CC12" s="3">
        <f t="shared" si="45"/>
        <v>0</v>
      </c>
      <c r="CD12" s="3" t="str">
        <f t="shared" si="46"/>
        <v/>
      </c>
      <c r="CE12" s="3">
        <f t="shared" si="47"/>
        <v>0</v>
      </c>
    </row>
    <row r="13" spans="1:84" x14ac:dyDescent="0.3">
      <c r="A13" s="3" t="s">
        <v>53</v>
      </c>
      <c r="B13" s="3">
        <v>11740</v>
      </c>
      <c r="C13" s="3">
        <v>11775</v>
      </c>
      <c r="D13" s="3">
        <v>11565</v>
      </c>
      <c r="E13" s="3">
        <v>11580</v>
      </c>
      <c r="F13" s="3">
        <v>11465</v>
      </c>
      <c r="G13" s="3">
        <v>11480</v>
      </c>
      <c r="H13" s="3">
        <v>11730</v>
      </c>
      <c r="I13" s="3">
        <v>11700</v>
      </c>
      <c r="J13" s="3">
        <v>11705</v>
      </c>
      <c r="K13" s="3">
        <v>11695</v>
      </c>
      <c r="L13" s="3">
        <v>12095</v>
      </c>
      <c r="M13" s="3">
        <v>12090</v>
      </c>
      <c r="N13" s="3">
        <v>12195</v>
      </c>
      <c r="O13" s="3">
        <v>12240</v>
      </c>
      <c r="P13" s="3">
        <v>12685</v>
      </c>
      <c r="Q13" s="3">
        <v>12690</v>
      </c>
      <c r="R13" s="3">
        <v>12700</v>
      </c>
      <c r="S13" s="3">
        <v>12715</v>
      </c>
      <c r="T13" s="3">
        <v>12355</v>
      </c>
      <c r="U13" s="3">
        <v>12330</v>
      </c>
      <c r="V13" s="3">
        <v>12545</v>
      </c>
      <c r="W13" s="3">
        <v>12545</v>
      </c>
      <c r="X13" s="3">
        <v>12670</v>
      </c>
      <c r="Y13" s="3">
        <v>12700</v>
      </c>
      <c r="Z13" s="3">
        <v>12795</v>
      </c>
      <c r="AA13" s="3">
        <v>12785</v>
      </c>
      <c r="AB13" s="3">
        <v>13185</v>
      </c>
      <c r="AC13" s="3">
        <v>13225</v>
      </c>
      <c r="AD13" s="3">
        <v>13140</v>
      </c>
      <c r="AE13" s="3">
        <v>13110</v>
      </c>
      <c r="AF13" s="3">
        <v>13515</v>
      </c>
      <c r="AG13" s="3">
        <v>13545</v>
      </c>
      <c r="AH13" s="3">
        <v>13880</v>
      </c>
      <c r="AI13" s="3">
        <v>13895</v>
      </c>
      <c r="AJ13" s="3">
        <v>14080</v>
      </c>
      <c r="AK13" s="3">
        <v>14060</v>
      </c>
      <c r="AL13" s="3">
        <v>13700</v>
      </c>
      <c r="AM13" s="3">
        <v>13690</v>
      </c>
      <c r="AN13" s="3">
        <v>13420</v>
      </c>
      <c r="AO13" s="3">
        <v>13390</v>
      </c>
      <c r="AP13" s="3">
        <v>13420</v>
      </c>
      <c r="AQ13" s="3">
        <v>13405</v>
      </c>
      <c r="AR13" s="4">
        <f t="shared" si="48"/>
        <v>2.1248915871639129E-2</v>
      </c>
      <c r="AS13" s="4">
        <f t="shared" si="20"/>
        <v>2.5974025974024872E-3</v>
      </c>
      <c r="AT13" s="4">
        <f t="shared" si="21"/>
        <v>1.0563380281690238E-2</v>
      </c>
      <c r="AU13" s="4">
        <f t="shared" si="22"/>
        <v>6.7911714770797493E-3</v>
      </c>
      <c r="AV13" s="4">
        <f t="shared" si="23"/>
        <v>4.2771599657820403E-4</v>
      </c>
      <c r="AW13" s="4">
        <f t="shared" si="24"/>
        <v>1.9392917369308593E-2</v>
      </c>
      <c r="AX13" s="4">
        <f t="shared" si="25"/>
        <v>1.0317787866281458E-2</v>
      </c>
      <c r="AY13" s="4">
        <f t="shared" si="26"/>
        <v>7.0422535211267512E-3</v>
      </c>
      <c r="AZ13" s="4">
        <f t="shared" si="27"/>
        <v>1.3551215623754498E-2</v>
      </c>
      <c r="BA13" s="4">
        <f t="shared" si="28"/>
        <v>3.6363636363636598E-3</v>
      </c>
      <c r="BB13" s="4">
        <f t="shared" si="29"/>
        <v>1.7024726388325861E-2</v>
      </c>
      <c r="BC13" s="4">
        <f t="shared" si="30"/>
        <v>5.1444400474871532E-3</v>
      </c>
      <c r="BD13" s="4">
        <f t="shared" si="31"/>
        <v>4.2834890965731676E-3</v>
      </c>
      <c r="BE13" s="4">
        <f t="shared" si="32"/>
        <v>2.0053991515619041E-2</v>
      </c>
      <c r="BF13" s="4">
        <f t="shared" si="33"/>
        <v>1.5278838808250317E-3</v>
      </c>
      <c r="BG13" s="4">
        <f t="shared" si="34"/>
        <v>1.5748031496062964E-2</v>
      </c>
      <c r="BH13" s="4">
        <f t="shared" si="35"/>
        <v>1.0783608914449738E-3</v>
      </c>
      <c r="BI13" s="4">
        <f t="shared" si="36"/>
        <v>1.3333333333333419E-2</v>
      </c>
      <c r="BJ13" s="4">
        <f t="shared" si="37"/>
        <v>2.1865889212827616E-3</v>
      </c>
      <c r="BK13" s="4">
        <f t="shared" si="38"/>
        <v>2.1556448666423145E-2</v>
      </c>
      <c r="BL13" s="4">
        <f t="shared" si="39"/>
        <v>3.7160906726123599E-3</v>
      </c>
      <c r="BM13" s="4">
        <f t="shared" si="49"/>
        <v>9.7489224917788487E-3</v>
      </c>
      <c r="BN13" s="14">
        <f t="shared" si="50"/>
        <v>13586.171752126884</v>
      </c>
      <c r="BO13" s="15">
        <f t="shared" si="51"/>
        <v>13195.095607797048</v>
      </c>
      <c r="BP13" s="16">
        <v>13420</v>
      </c>
      <c r="BQ13" s="16">
        <v>13425</v>
      </c>
      <c r="BR13" s="16">
        <v>13405</v>
      </c>
      <c r="BS13" s="16">
        <v>13405</v>
      </c>
      <c r="BT13" s="16">
        <v>104646</v>
      </c>
      <c r="BU13" s="15">
        <f t="shared" si="40"/>
        <v>13411.666666666666</v>
      </c>
      <c r="BV13" s="15">
        <f t="shared" si="41"/>
        <v>1403477270</v>
      </c>
      <c r="BW13" s="15">
        <f>SUM($BV$3:BV13)</f>
        <v>37954958435</v>
      </c>
      <c r="BX13" s="15">
        <f>SUM($BT$3:BT13)</f>
        <v>2820675</v>
      </c>
      <c r="BY13" s="15">
        <f t="shared" si="42"/>
        <v>13455.984271495297</v>
      </c>
      <c r="BZ13" s="3">
        <v>11</v>
      </c>
      <c r="CA13" s="3">
        <f t="shared" si="43"/>
        <v>0</v>
      </c>
      <c r="CB13" s="3">
        <f t="shared" si="44"/>
        <v>0</v>
      </c>
      <c r="CC13" s="3">
        <f t="shared" si="45"/>
        <v>0</v>
      </c>
      <c r="CD13" s="3" t="str">
        <f t="shared" si="46"/>
        <v/>
      </c>
      <c r="CE13" s="3">
        <f t="shared" si="47"/>
        <v>0</v>
      </c>
    </row>
    <row r="14" spans="1:84" x14ac:dyDescent="0.3">
      <c r="A14" s="3" t="s">
        <v>54</v>
      </c>
      <c r="B14" s="3">
        <v>11770</v>
      </c>
      <c r="C14" s="3">
        <v>11785</v>
      </c>
      <c r="D14" s="3">
        <v>11585</v>
      </c>
      <c r="E14" s="3">
        <v>11565</v>
      </c>
      <c r="F14" s="3">
        <v>11480</v>
      </c>
      <c r="G14" s="3">
        <v>11465</v>
      </c>
      <c r="H14" s="3">
        <v>11700</v>
      </c>
      <c r="I14" s="3">
        <v>11685</v>
      </c>
      <c r="J14" s="3">
        <v>11695</v>
      </c>
      <c r="K14" s="3">
        <v>11695</v>
      </c>
      <c r="L14" s="3">
        <v>12095</v>
      </c>
      <c r="M14" s="3">
        <v>12060</v>
      </c>
      <c r="N14" s="3">
        <v>12245</v>
      </c>
      <c r="O14" s="3">
        <v>12230</v>
      </c>
      <c r="P14" s="3">
        <v>12695</v>
      </c>
      <c r="Q14" s="3">
        <v>12680</v>
      </c>
      <c r="R14" s="3">
        <v>12720</v>
      </c>
      <c r="S14" s="3">
        <v>12705</v>
      </c>
      <c r="T14" s="3">
        <v>12325</v>
      </c>
      <c r="U14" s="3">
        <v>12320</v>
      </c>
      <c r="V14" s="3">
        <v>12550</v>
      </c>
      <c r="W14" s="3">
        <v>12575</v>
      </c>
      <c r="X14" s="3">
        <v>12700</v>
      </c>
      <c r="Y14" s="3">
        <v>12665</v>
      </c>
      <c r="Z14" s="3">
        <v>12785</v>
      </c>
      <c r="AA14" s="3">
        <v>12760</v>
      </c>
      <c r="AB14" s="3">
        <v>13230</v>
      </c>
      <c r="AC14" s="3">
        <v>13250</v>
      </c>
      <c r="AD14" s="3">
        <v>13110</v>
      </c>
      <c r="AE14" s="3">
        <v>13140</v>
      </c>
      <c r="AF14" s="3">
        <v>13545</v>
      </c>
      <c r="AG14" s="3">
        <v>13630</v>
      </c>
      <c r="AH14" s="3">
        <v>13890</v>
      </c>
      <c r="AI14" s="3">
        <v>13930</v>
      </c>
      <c r="AJ14" s="3">
        <v>14070</v>
      </c>
      <c r="AK14" s="3">
        <v>14025</v>
      </c>
      <c r="AL14" s="3">
        <v>13690</v>
      </c>
      <c r="AM14" s="3">
        <v>13655</v>
      </c>
      <c r="AN14" s="3">
        <v>13400</v>
      </c>
      <c r="AO14" s="3">
        <v>13390</v>
      </c>
      <c r="AP14" s="3">
        <v>13400</v>
      </c>
      <c r="AQ14" s="3">
        <v>13420</v>
      </c>
      <c r="AR14" s="4">
        <f t="shared" si="48"/>
        <v>2.2116218560277456E-2</v>
      </c>
      <c r="AS14" s="4">
        <f t="shared" si="20"/>
        <v>1.2987012987013546E-3</v>
      </c>
      <c r="AT14" s="4">
        <f t="shared" si="21"/>
        <v>9.2429577464787638E-3</v>
      </c>
      <c r="AU14" s="4">
        <f t="shared" si="22"/>
        <v>8.0645161290322509E-3</v>
      </c>
      <c r="AV14" s="4">
        <f t="shared" si="23"/>
        <v>4.2771599657820403E-4</v>
      </c>
      <c r="AW14" s="4">
        <f t="shared" si="24"/>
        <v>1.6863406408094361E-2</v>
      </c>
      <c r="AX14" s="4">
        <f t="shared" si="25"/>
        <v>9.492364836978906E-3</v>
      </c>
      <c r="AY14" s="4">
        <f t="shared" si="26"/>
        <v>7.8247261345852914E-3</v>
      </c>
      <c r="AZ14" s="4">
        <f t="shared" si="27"/>
        <v>1.2754085292945305E-2</v>
      </c>
      <c r="BA14" s="4">
        <f t="shared" si="28"/>
        <v>4.4444444444444731E-3</v>
      </c>
      <c r="BB14" s="4">
        <f t="shared" si="29"/>
        <v>1.9456830158086635E-2</v>
      </c>
      <c r="BC14" s="4">
        <f t="shared" si="30"/>
        <v>2.3743569449941049E-3</v>
      </c>
      <c r="BD14" s="4">
        <f t="shared" si="31"/>
        <v>6.230529595015577E-3</v>
      </c>
      <c r="BE14" s="4">
        <f t="shared" si="32"/>
        <v>2.1982259930582337E-2</v>
      </c>
      <c r="BF14" s="4">
        <f t="shared" si="33"/>
        <v>3.8197097020626902E-3</v>
      </c>
      <c r="BG14" s="4">
        <f t="shared" si="34"/>
        <v>2.2122234720659995E-2</v>
      </c>
      <c r="BH14" s="4">
        <f t="shared" si="35"/>
        <v>1.4378145219267058E-3</v>
      </c>
      <c r="BI14" s="4">
        <f t="shared" si="36"/>
        <v>1.08108108108107E-2</v>
      </c>
      <c r="BJ14" s="4">
        <f t="shared" si="37"/>
        <v>4.737609329446113E-3</v>
      </c>
      <c r="BK14" s="4">
        <f t="shared" si="38"/>
        <v>2.1556448666423145E-2</v>
      </c>
      <c r="BL14" s="4">
        <f t="shared" si="39"/>
        <v>2.6012634708286742E-3</v>
      </c>
      <c r="BM14" s="4">
        <f t="shared" si="49"/>
        <v>1.0646016077782998E-2</v>
      </c>
      <c r="BN14" s="14">
        <f t="shared" si="50"/>
        <v>13598.242146326571</v>
      </c>
      <c r="BO14" s="15">
        <f t="shared" si="51"/>
        <v>13183.141835763541</v>
      </c>
      <c r="BP14" s="16">
        <v>13400</v>
      </c>
      <c r="BQ14" s="16">
        <v>13420</v>
      </c>
      <c r="BR14" s="16">
        <v>13395</v>
      </c>
      <c r="BS14" s="16">
        <v>13420</v>
      </c>
      <c r="BT14" s="16">
        <v>51489</v>
      </c>
      <c r="BU14" s="15">
        <f t="shared" si="40"/>
        <v>13411.666666666666</v>
      </c>
      <c r="BV14" s="15">
        <f t="shared" si="41"/>
        <v>690553305</v>
      </c>
      <c r="BW14" s="15">
        <f>SUM($BV$3:BV14)</f>
        <v>38645511740</v>
      </c>
      <c r="BX14" s="15">
        <f>SUM($BT$3:BT14)</f>
        <v>2872164</v>
      </c>
      <c r="BY14" s="15">
        <f t="shared" si="42"/>
        <v>13455.189794176098</v>
      </c>
      <c r="BZ14" s="3">
        <v>12</v>
      </c>
      <c r="CA14" s="3">
        <f t="shared" si="43"/>
        <v>0</v>
      </c>
      <c r="CB14" s="3">
        <f t="shared" si="44"/>
        <v>0</v>
      </c>
      <c r="CC14" s="3">
        <f t="shared" si="45"/>
        <v>0</v>
      </c>
      <c r="CD14" s="3" t="str">
        <f t="shared" si="46"/>
        <v/>
      </c>
      <c r="CE14" s="3">
        <f t="shared" si="47"/>
        <v>0</v>
      </c>
    </row>
    <row r="15" spans="1:84" x14ac:dyDescent="0.3">
      <c r="A15" s="3" t="s">
        <v>55</v>
      </c>
      <c r="B15" s="3">
        <v>11785</v>
      </c>
      <c r="C15" s="3">
        <v>11750</v>
      </c>
      <c r="D15" s="3">
        <v>11565</v>
      </c>
      <c r="E15" s="3">
        <v>11570</v>
      </c>
      <c r="F15" s="3">
        <v>11470</v>
      </c>
      <c r="G15" s="3">
        <v>11465</v>
      </c>
      <c r="H15" s="3">
        <v>11685</v>
      </c>
      <c r="I15" s="3">
        <v>11700</v>
      </c>
      <c r="J15" s="3">
        <v>11695</v>
      </c>
      <c r="K15" s="3">
        <v>11690</v>
      </c>
      <c r="L15" s="3">
        <v>12065</v>
      </c>
      <c r="M15" s="3">
        <v>12080</v>
      </c>
      <c r="N15" s="3">
        <v>12230</v>
      </c>
      <c r="O15" s="3">
        <v>12250</v>
      </c>
      <c r="P15" s="3">
        <v>12685</v>
      </c>
      <c r="Q15" s="3">
        <v>12700</v>
      </c>
      <c r="R15" s="3">
        <v>12700</v>
      </c>
      <c r="S15" s="3">
        <v>12705</v>
      </c>
      <c r="T15" s="3">
        <v>12320</v>
      </c>
      <c r="U15" s="3">
        <v>12310</v>
      </c>
      <c r="V15" s="3">
        <v>12570</v>
      </c>
      <c r="W15" s="3">
        <v>12555</v>
      </c>
      <c r="X15" s="3">
        <v>12670</v>
      </c>
      <c r="Y15" s="3">
        <v>12660</v>
      </c>
      <c r="Z15" s="3">
        <v>12760</v>
      </c>
      <c r="AA15" s="3">
        <v>12760</v>
      </c>
      <c r="AB15" s="3">
        <v>13250</v>
      </c>
      <c r="AC15" s="3">
        <v>13245</v>
      </c>
      <c r="AD15" s="3">
        <v>13140</v>
      </c>
      <c r="AE15" s="3">
        <v>13145</v>
      </c>
      <c r="AF15" s="3">
        <v>13630</v>
      </c>
      <c r="AG15" s="3">
        <v>13640</v>
      </c>
      <c r="AH15" s="3">
        <v>13930</v>
      </c>
      <c r="AI15" s="3">
        <v>13930</v>
      </c>
      <c r="AJ15" s="3">
        <v>14025</v>
      </c>
      <c r="AK15" s="3">
        <v>14000</v>
      </c>
      <c r="AL15" s="3">
        <v>13645</v>
      </c>
      <c r="AM15" s="3">
        <v>13630</v>
      </c>
      <c r="AN15" s="3">
        <v>13380</v>
      </c>
      <c r="AO15" s="3">
        <v>13385</v>
      </c>
      <c r="AP15" s="3">
        <v>13420</v>
      </c>
      <c r="AQ15" s="3">
        <v>13385</v>
      </c>
      <c r="AR15" s="4">
        <f t="shared" si="48"/>
        <v>1.9080659150043422E-2</v>
      </c>
      <c r="AS15" s="4">
        <f t="shared" si="20"/>
        <v>1.7316017316018062E-3</v>
      </c>
      <c r="AT15" s="4">
        <f t="shared" si="21"/>
        <v>9.2429577464787638E-3</v>
      </c>
      <c r="AU15" s="4">
        <f t="shared" si="22"/>
        <v>6.7911714770797493E-3</v>
      </c>
      <c r="AV15" s="4">
        <f t="shared" si="23"/>
        <v>0</v>
      </c>
      <c r="AW15" s="4">
        <f t="shared" si="24"/>
        <v>1.8549747048903775E-2</v>
      </c>
      <c r="AX15" s="4">
        <f t="shared" si="25"/>
        <v>1.114321089558401E-2</v>
      </c>
      <c r="AY15" s="4">
        <f t="shared" si="26"/>
        <v>6.2597809076682109E-3</v>
      </c>
      <c r="AZ15" s="4">
        <f t="shared" si="27"/>
        <v>1.2754085292945305E-2</v>
      </c>
      <c r="BA15" s="4">
        <f t="shared" si="28"/>
        <v>5.2525252525252863E-3</v>
      </c>
      <c r="BB15" s="4">
        <f t="shared" si="29"/>
        <v>1.783542764491286E-2</v>
      </c>
      <c r="BC15" s="4">
        <f t="shared" si="30"/>
        <v>1.9786307874951614E-3</v>
      </c>
      <c r="BD15" s="4">
        <f t="shared" si="31"/>
        <v>6.230529595015577E-3</v>
      </c>
      <c r="BE15" s="4">
        <f t="shared" si="32"/>
        <v>2.1596606247589634E-2</v>
      </c>
      <c r="BF15" s="4">
        <f t="shared" si="33"/>
        <v>4.2016806722688926E-3</v>
      </c>
      <c r="BG15" s="4">
        <f t="shared" si="34"/>
        <v>2.2872140982377109E-2</v>
      </c>
      <c r="BH15" s="4">
        <f t="shared" si="35"/>
        <v>1.4378145219267058E-3</v>
      </c>
      <c r="BI15" s="4">
        <f t="shared" si="36"/>
        <v>9.009009009008917E-3</v>
      </c>
      <c r="BJ15" s="4">
        <f t="shared" si="37"/>
        <v>6.5597667638483959E-3</v>
      </c>
      <c r="BK15" s="4">
        <f t="shared" si="38"/>
        <v>2.1921812203142155E-2</v>
      </c>
      <c r="BL15" s="4">
        <f t="shared" si="39"/>
        <v>5.2025269416573483E-3</v>
      </c>
      <c r="BM15" s="4">
        <f t="shared" si="49"/>
        <v>1.0646644341164873E-2</v>
      </c>
      <c r="BN15" s="14">
        <f t="shared" si="50"/>
        <v>13598.250599610372</v>
      </c>
      <c r="BO15" s="15">
        <f t="shared" si="51"/>
        <v>13183.133464153978</v>
      </c>
      <c r="BP15" s="16">
        <v>13420</v>
      </c>
      <c r="BQ15" s="16">
        <v>13420</v>
      </c>
      <c r="BR15" s="16">
        <v>13380</v>
      </c>
      <c r="BS15" s="16">
        <v>13385</v>
      </c>
      <c r="BT15" s="16">
        <v>55074</v>
      </c>
      <c r="BU15" s="15">
        <f t="shared" si="40"/>
        <v>13395</v>
      </c>
      <c r="BV15" s="15">
        <f t="shared" si="41"/>
        <v>737716230</v>
      </c>
      <c r="BW15" s="15">
        <f>SUM($BV$3:BV15)</f>
        <v>39383227970</v>
      </c>
      <c r="BX15" s="15">
        <f>SUM($BT$3:BT15)</f>
        <v>2927238</v>
      </c>
      <c r="BY15" s="15">
        <f t="shared" si="42"/>
        <v>13454.057363972455</v>
      </c>
      <c r="BZ15" s="3">
        <v>13</v>
      </c>
      <c r="CA15" s="3">
        <f t="shared" si="43"/>
        <v>0</v>
      </c>
      <c r="CB15" s="3">
        <f t="shared" si="44"/>
        <v>0</v>
      </c>
      <c r="CC15" s="3">
        <f t="shared" si="45"/>
        <v>0</v>
      </c>
      <c r="CD15" s="3" t="str">
        <f t="shared" si="46"/>
        <v/>
      </c>
      <c r="CE15" s="3">
        <f t="shared" si="47"/>
        <v>0</v>
      </c>
    </row>
    <row r="16" spans="1:84" x14ac:dyDescent="0.3">
      <c r="A16" s="3" t="s">
        <v>56</v>
      </c>
      <c r="B16" s="3">
        <v>11740</v>
      </c>
      <c r="C16" s="3">
        <v>11770</v>
      </c>
      <c r="D16" s="3">
        <v>11570</v>
      </c>
      <c r="E16" s="3">
        <v>11550</v>
      </c>
      <c r="F16" s="3">
        <v>11460</v>
      </c>
      <c r="G16" s="3">
        <v>11455</v>
      </c>
      <c r="H16" s="3">
        <v>11700</v>
      </c>
      <c r="I16" s="3">
        <v>11690</v>
      </c>
      <c r="J16" s="3">
        <v>11690</v>
      </c>
      <c r="K16" s="3">
        <v>11695</v>
      </c>
      <c r="L16" s="3">
        <v>12085</v>
      </c>
      <c r="M16" s="3">
        <v>12065</v>
      </c>
      <c r="N16" s="3">
        <v>12250</v>
      </c>
      <c r="O16" s="3">
        <v>12265</v>
      </c>
      <c r="P16" s="3">
        <v>12700</v>
      </c>
      <c r="Q16" s="3">
        <v>12695</v>
      </c>
      <c r="R16" s="3">
        <v>12705</v>
      </c>
      <c r="S16" s="3">
        <v>12685</v>
      </c>
      <c r="T16" s="3">
        <v>12315</v>
      </c>
      <c r="U16" s="3">
        <v>12325</v>
      </c>
      <c r="V16" s="3">
        <v>12560</v>
      </c>
      <c r="W16" s="3">
        <v>12580</v>
      </c>
      <c r="X16" s="3">
        <v>12660</v>
      </c>
      <c r="Y16" s="3">
        <v>12605</v>
      </c>
      <c r="Z16" s="3">
        <v>12755</v>
      </c>
      <c r="AA16" s="3">
        <v>12760</v>
      </c>
      <c r="AB16" s="3">
        <v>13250</v>
      </c>
      <c r="AC16" s="3">
        <v>13255</v>
      </c>
      <c r="AD16" s="3">
        <v>13145</v>
      </c>
      <c r="AE16" s="3">
        <v>13150</v>
      </c>
      <c r="AF16" s="3">
        <v>13640</v>
      </c>
      <c r="AG16" s="3">
        <v>13670</v>
      </c>
      <c r="AH16" s="3">
        <v>13935</v>
      </c>
      <c r="AI16" s="3">
        <v>13940</v>
      </c>
      <c r="AJ16" s="3">
        <v>13995</v>
      </c>
      <c r="AK16" s="3">
        <v>14010</v>
      </c>
      <c r="AL16" s="3">
        <v>13630</v>
      </c>
      <c r="AM16" s="3">
        <v>13605</v>
      </c>
      <c r="AN16" s="3">
        <v>13390</v>
      </c>
      <c r="AO16" s="3">
        <v>13440</v>
      </c>
      <c r="AP16" s="3">
        <v>13385</v>
      </c>
      <c r="AQ16" s="3">
        <v>13390</v>
      </c>
      <c r="AR16" s="4">
        <f t="shared" si="48"/>
        <v>2.0815264527320076E-2</v>
      </c>
      <c r="AS16" s="4">
        <f t="shared" si="20"/>
        <v>0</v>
      </c>
      <c r="AT16" s="4">
        <f t="shared" si="21"/>
        <v>8.3626760563380031E-3</v>
      </c>
      <c r="AU16" s="4">
        <f t="shared" si="22"/>
        <v>7.6400679117147874E-3</v>
      </c>
      <c r="AV16" s="4">
        <f t="shared" si="23"/>
        <v>4.2771599657820403E-4</v>
      </c>
      <c r="AW16" s="4">
        <f t="shared" si="24"/>
        <v>1.7284991568296881E-2</v>
      </c>
      <c r="AX16" s="4">
        <f t="shared" si="25"/>
        <v>1.2381345439537839E-2</v>
      </c>
      <c r="AY16" s="4">
        <f t="shared" si="26"/>
        <v>6.6510172143975366E-3</v>
      </c>
      <c r="AZ16" s="4">
        <f t="shared" si="27"/>
        <v>1.1159824631327142E-2</v>
      </c>
      <c r="BA16" s="4">
        <f t="shared" si="28"/>
        <v>4.0404040404040664E-3</v>
      </c>
      <c r="BB16" s="4">
        <f t="shared" si="29"/>
        <v>1.9862180786380135E-2</v>
      </c>
      <c r="BC16" s="4">
        <f t="shared" si="30"/>
        <v>2.3743569449941049E-3</v>
      </c>
      <c r="BD16" s="4">
        <f t="shared" si="31"/>
        <v>6.230529595015577E-3</v>
      </c>
      <c r="BE16" s="4">
        <f t="shared" si="32"/>
        <v>2.2367913613575041E-2</v>
      </c>
      <c r="BF16" s="4">
        <f t="shared" si="33"/>
        <v>4.583651642475095E-3</v>
      </c>
      <c r="BG16" s="4">
        <f t="shared" si="34"/>
        <v>2.512185976752912E-2</v>
      </c>
      <c r="BH16" s="4">
        <f t="shared" si="35"/>
        <v>2.1567217828899476E-3</v>
      </c>
      <c r="BI16" s="4">
        <f t="shared" si="36"/>
        <v>9.7297297297296303E-3</v>
      </c>
      <c r="BJ16" s="4">
        <f t="shared" si="37"/>
        <v>8.3819241982506787E-3</v>
      </c>
      <c r="BK16" s="4">
        <f t="shared" si="38"/>
        <v>1.7902813299232712E-2</v>
      </c>
      <c r="BL16" s="4">
        <f t="shared" si="39"/>
        <v>4.8309178743961567E-3</v>
      </c>
      <c r="BM16" s="4">
        <f t="shared" si="49"/>
        <v>1.0924590906124187E-2</v>
      </c>
      <c r="BN16" s="14">
        <f t="shared" si="50"/>
        <v>13601.990370641901</v>
      </c>
      <c r="BO16" s="15">
        <f t="shared" si="51"/>
        <v>13179.429826175896</v>
      </c>
      <c r="BP16" s="16">
        <v>13385</v>
      </c>
      <c r="BQ16" s="16">
        <v>13390</v>
      </c>
      <c r="BR16" s="16">
        <v>13375</v>
      </c>
      <c r="BS16" s="16">
        <v>13390</v>
      </c>
      <c r="BT16" s="16">
        <v>30815</v>
      </c>
      <c r="BU16" s="15">
        <f t="shared" si="40"/>
        <v>13385</v>
      </c>
      <c r="BV16" s="15">
        <f t="shared" si="41"/>
        <v>412458775</v>
      </c>
      <c r="BW16" s="15">
        <f>SUM($BV$3:BV16)</f>
        <v>39795686745</v>
      </c>
      <c r="BX16" s="15">
        <f>SUM($BT$3:BT16)</f>
        <v>2958053</v>
      </c>
      <c r="BY16" s="15">
        <f t="shared" si="42"/>
        <v>13453.337970955896</v>
      </c>
      <c r="BZ16" s="3">
        <v>14</v>
      </c>
      <c r="CA16" s="3">
        <f t="shared" si="43"/>
        <v>0</v>
      </c>
      <c r="CB16" s="3">
        <f t="shared" si="44"/>
        <v>0</v>
      </c>
      <c r="CC16" s="3">
        <f t="shared" si="45"/>
        <v>0</v>
      </c>
      <c r="CD16" s="3" t="str">
        <f t="shared" si="46"/>
        <v/>
      </c>
      <c r="CE16" s="3">
        <f t="shared" si="47"/>
        <v>0</v>
      </c>
    </row>
    <row r="17" spans="1:83" x14ac:dyDescent="0.3">
      <c r="A17" s="3" t="s">
        <v>57</v>
      </c>
      <c r="B17" s="3">
        <v>11765</v>
      </c>
      <c r="C17" s="3">
        <v>11745</v>
      </c>
      <c r="D17" s="3">
        <v>11550</v>
      </c>
      <c r="E17" s="3">
        <v>11555</v>
      </c>
      <c r="F17" s="3">
        <v>11455</v>
      </c>
      <c r="G17" s="3">
        <v>11485</v>
      </c>
      <c r="H17" s="3">
        <v>11690</v>
      </c>
      <c r="I17" s="3">
        <v>11695</v>
      </c>
      <c r="J17" s="3">
        <v>11700</v>
      </c>
      <c r="K17" s="3">
        <v>11695</v>
      </c>
      <c r="L17" s="3">
        <v>12065</v>
      </c>
      <c r="M17" s="3">
        <v>12050</v>
      </c>
      <c r="N17" s="3">
        <v>12260</v>
      </c>
      <c r="O17" s="3">
        <v>12265</v>
      </c>
      <c r="P17" s="3">
        <v>12695</v>
      </c>
      <c r="Q17" s="3">
        <v>12675</v>
      </c>
      <c r="R17" s="3">
        <v>12685</v>
      </c>
      <c r="S17" s="3">
        <v>12695</v>
      </c>
      <c r="T17" s="3">
        <v>12320</v>
      </c>
      <c r="U17" s="3">
        <v>12315</v>
      </c>
      <c r="V17" s="3">
        <v>12585</v>
      </c>
      <c r="W17" s="3">
        <v>12570</v>
      </c>
      <c r="X17" s="3">
        <v>12610</v>
      </c>
      <c r="Y17" s="3">
        <v>12595</v>
      </c>
      <c r="Z17" s="3">
        <v>12760</v>
      </c>
      <c r="AA17" s="3">
        <v>12750</v>
      </c>
      <c r="AB17" s="3">
        <v>13255</v>
      </c>
      <c r="AC17" s="3">
        <v>13295</v>
      </c>
      <c r="AD17" s="3">
        <v>13145</v>
      </c>
      <c r="AE17" s="3">
        <v>13140</v>
      </c>
      <c r="AF17" s="3">
        <v>13670</v>
      </c>
      <c r="AG17" s="3">
        <v>13660</v>
      </c>
      <c r="AH17" s="3">
        <v>13940</v>
      </c>
      <c r="AI17" s="3">
        <v>13935</v>
      </c>
      <c r="AJ17" s="3">
        <v>14005</v>
      </c>
      <c r="AK17" s="3">
        <v>13990</v>
      </c>
      <c r="AL17" s="3">
        <v>13600</v>
      </c>
      <c r="AM17" s="3">
        <v>13590</v>
      </c>
      <c r="AN17" s="3">
        <v>13440</v>
      </c>
      <c r="AO17" s="3">
        <v>13445</v>
      </c>
      <c r="AP17" s="3">
        <v>13385</v>
      </c>
      <c r="AQ17" s="3">
        <v>13355</v>
      </c>
      <c r="AR17" s="4">
        <f t="shared" si="48"/>
        <v>1.8647007805724147E-2</v>
      </c>
      <c r="AS17" s="4">
        <f t="shared" si="20"/>
        <v>4.3290043290045155E-4</v>
      </c>
      <c r="AT17" s="4">
        <f t="shared" si="21"/>
        <v>1.1003521126760507E-2</v>
      </c>
      <c r="AU17" s="4">
        <f t="shared" si="22"/>
        <v>7.2156196943973239E-3</v>
      </c>
      <c r="AV17" s="4">
        <f t="shared" si="23"/>
        <v>4.2771599657820403E-4</v>
      </c>
      <c r="AW17" s="4">
        <f t="shared" si="24"/>
        <v>1.6020236087689765E-2</v>
      </c>
      <c r="AX17" s="4">
        <f t="shared" si="25"/>
        <v>1.2381345439537839E-2</v>
      </c>
      <c r="AY17" s="4">
        <f t="shared" si="26"/>
        <v>8.215962441314506E-3</v>
      </c>
      <c r="AZ17" s="4">
        <f t="shared" si="27"/>
        <v>1.1956954962136335E-2</v>
      </c>
      <c r="BA17" s="4">
        <f t="shared" si="28"/>
        <v>4.8484848484848797E-3</v>
      </c>
      <c r="BB17" s="4">
        <f t="shared" si="29"/>
        <v>1.9051479529793358E-2</v>
      </c>
      <c r="BC17" s="4">
        <f t="shared" si="30"/>
        <v>3.1658092599921028E-3</v>
      </c>
      <c r="BD17" s="4">
        <f t="shared" si="31"/>
        <v>7.0093457943924964E-3</v>
      </c>
      <c r="BE17" s="4">
        <f t="shared" si="32"/>
        <v>2.5453143077516449E-2</v>
      </c>
      <c r="BF17" s="4">
        <f t="shared" si="33"/>
        <v>3.8197097020626902E-3</v>
      </c>
      <c r="BG17" s="4">
        <f t="shared" si="34"/>
        <v>2.4371953505811783E-2</v>
      </c>
      <c r="BH17" s="4">
        <f t="shared" si="35"/>
        <v>1.7972681524083267E-3</v>
      </c>
      <c r="BI17" s="4">
        <f t="shared" si="36"/>
        <v>8.2882882882882036E-3</v>
      </c>
      <c r="BJ17" s="4">
        <f t="shared" si="37"/>
        <v>9.475218658892115E-3</v>
      </c>
      <c r="BK17" s="4">
        <f t="shared" si="38"/>
        <v>1.7537449762513702E-2</v>
      </c>
      <c r="BL17" s="4">
        <f t="shared" si="39"/>
        <v>7.4321813452248309E-3</v>
      </c>
      <c r="BM17" s="4">
        <f t="shared" si="49"/>
        <v>1.1240886673081771E-2</v>
      </c>
      <c r="BN17" s="14">
        <f t="shared" si="50"/>
        <v>13606.246130186315</v>
      </c>
      <c r="BO17" s="15">
        <f t="shared" si="51"/>
        <v>13175.215185081186</v>
      </c>
      <c r="BP17" s="16">
        <v>13385</v>
      </c>
      <c r="BQ17" s="16">
        <v>13390</v>
      </c>
      <c r="BR17" s="16">
        <v>13350</v>
      </c>
      <c r="BS17" s="16">
        <v>13355</v>
      </c>
      <c r="BT17" s="16">
        <v>123637</v>
      </c>
      <c r="BU17" s="15">
        <f t="shared" si="40"/>
        <v>13365</v>
      </c>
      <c r="BV17" s="15">
        <f t="shared" si="41"/>
        <v>1652408505</v>
      </c>
      <c r="BW17" s="15">
        <f>SUM($BV$3:BV17)</f>
        <v>41448095250</v>
      </c>
      <c r="BX17" s="15">
        <f>SUM($BT$3:BT17)</f>
        <v>3081690</v>
      </c>
      <c r="BY17" s="15">
        <f t="shared" si="42"/>
        <v>13449.793863107581</v>
      </c>
      <c r="BZ17" s="3">
        <v>15</v>
      </c>
      <c r="CA17" s="3">
        <f t="shared" si="43"/>
        <v>0</v>
      </c>
      <c r="CB17" s="3">
        <f t="shared" si="44"/>
        <v>0</v>
      </c>
      <c r="CC17" s="3">
        <f t="shared" si="45"/>
        <v>0</v>
      </c>
      <c r="CD17" s="3">
        <f t="shared" si="46"/>
        <v>0</v>
      </c>
      <c r="CE17" s="3">
        <f t="shared" si="47"/>
        <v>0</v>
      </c>
    </row>
    <row r="18" spans="1:83" x14ac:dyDescent="0.3">
      <c r="A18" s="3" t="s">
        <v>58</v>
      </c>
      <c r="B18" s="3">
        <v>11750</v>
      </c>
      <c r="C18" s="3">
        <v>11750</v>
      </c>
      <c r="D18" s="3">
        <v>11550</v>
      </c>
      <c r="E18" s="3">
        <v>11570</v>
      </c>
      <c r="F18" s="3">
        <v>11480</v>
      </c>
      <c r="G18" s="3">
        <v>11500</v>
      </c>
      <c r="H18" s="3">
        <v>11690</v>
      </c>
      <c r="I18" s="3">
        <v>11655</v>
      </c>
      <c r="J18" s="3">
        <v>11690</v>
      </c>
      <c r="K18" s="3">
        <v>11700</v>
      </c>
      <c r="L18" s="3">
        <v>12050</v>
      </c>
      <c r="M18" s="3">
        <v>12020</v>
      </c>
      <c r="N18" s="3">
        <v>12270</v>
      </c>
      <c r="O18" s="3">
        <v>12270</v>
      </c>
      <c r="P18" s="3">
        <v>12680</v>
      </c>
      <c r="Q18" s="3">
        <v>12700</v>
      </c>
      <c r="R18" s="3">
        <v>12690</v>
      </c>
      <c r="S18" s="3">
        <v>12680</v>
      </c>
      <c r="T18" s="3">
        <v>12310</v>
      </c>
      <c r="U18" s="3">
        <v>12285</v>
      </c>
      <c r="V18" s="3">
        <v>12570</v>
      </c>
      <c r="W18" s="3">
        <v>12595</v>
      </c>
      <c r="X18" s="3">
        <v>12595</v>
      </c>
      <c r="Y18" s="3">
        <v>12580</v>
      </c>
      <c r="Z18" s="3">
        <v>12750</v>
      </c>
      <c r="AA18" s="3">
        <v>12765</v>
      </c>
      <c r="AB18" s="3">
        <v>13295</v>
      </c>
      <c r="AC18" s="3">
        <v>13265</v>
      </c>
      <c r="AD18" s="3">
        <v>13140</v>
      </c>
      <c r="AE18" s="3">
        <v>13165</v>
      </c>
      <c r="AF18" s="3">
        <v>13655</v>
      </c>
      <c r="AG18" s="3">
        <v>13675</v>
      </c>
      <c r="AH18" s="3">
        <v>13935</v>
      </c>
      <c r="AI18" s="3">
        <v>13930</v>
      </c>
      <c r="AJ18" s="3">
        <v>13990</v>
      </c>
      <c r="AK18" s="3">
        <v>13950</v>
      </c>
      <c r="AL18" s="3">
        <v>13590</v>
      </c>
      <c r="AM18" s="3">
        <v>13595</v>
      </c>
      <c r="AN18" s="3">
        <v>13445</v>
      </c>
      <c r="AO18" s="3">
        <v>13455</v>
      </c>
      <c r="AP18" s="3">
        <v>13355</v>
      </c>
      <c r="AQ18" s="3">
        <v>13410</v>
      </c>
      <c r="AR18" s="4">
        <f t="shared" si="48"/>
        <v>1.9080659150043422E-2</v>
      </c>
      <c r="AS18" s="4">
        <f t="shared" si="20"/>
        <v>1.7316017316018062E-3</v>
      </c>
      <c r="AT18" s="4">
        <f t="shared" si="21"/>
        <v>1.2323943661971759E-2</v>
      </c>
      <c r="AU18" s="4">
        <f t="shared" si="22"/>
        <v>1.0611205432937143E-2</v>
      </c>
      <c r="AV18" s="4">
        <f t="shared" si="23"/>
        <v>8.554319931566301E-4</v>
      </c>
      <c r="AW18" s="4">
        <f t="shared" si="24"/>
        <v>1.3490725126475533E-2</v>
      </c>
      <c r="AX18" s="4">
        <f t="shared" si="25"/>
        <v>1.2794056954189115E-2</v>
      </c>
      <c r="AY18" s="4">
        <f t="shared" si="26"/>
        <v>6.2597809076682109E-3</v>
      </c>
      <c r="AZ18" s="4">
        <f t="shared" si="27"/>
        <v>1.0761259465922768E-2</v>
      </c>
      <c r="BA18" s="4">
        <f t="shared" si="28"/>
        <v>7.2727272727273196E-3</v>
      </c>
      <c r="BB18" s="4">
        <f t="shared" si="29"/>
        <v>2.1078232671260633E-2</v>
      </c>
      <c r="BC18" s="4">
        <f t="shared" si="30"/>
        <v>4.3529877324891553E-3</v>
      </c>
      <c r="BD18" s="4">
        <f t="shared" si="31"/>
        <v>5.8411214953271173E-3</v>
      </c>
      <c r="BE18" s="4">
        <f t="shared" si="32"/>
        <v>2.3139220979560449E-2</v>
      </c>
      <c r="BF18" s="4">
        <f t="shared" si="33"/>
        <v>5.7295645530939243E-3</v>
      </c>
      <c r="BG18" s="4">
        <f t="shared" si="34"/>
        <v>2.5496812898387677E-2</v>
      </c>
      <c r="BH18" s="4">
        <f t="shared" si="35"/>
        <v>1.4378145219267058E-3</v>
      </c>
      <c r="BI18" s="4">
        <f t="shared" si="36"/>
        <v>5.4054054054053502E-3</v>
      </c>
      <c r="BJ18" s="4">
        <f t="shared" si="37"/>
        <v>9.1107871720116362E-3</v>
      </c>
      <c r="BK18" s="4">
        <f t="shared" si="38"/>
        <v>1.6806722689075682E-2</v>
      </c>
      <c r="BL18" s="4">
        <f t="shared" si="39"/>
        <v>3.3444816053511683E-3</v>
      </c>
      <c r="BM18" s="4">
        <f t="shared" si="49"/>
        <v>1.1106178194217553E-2</v>
      </c>
      <c r="BN18" s="14">
        <f t="shared" si="50"/>
        <v>13604.433627603195</v>
      </c>
      <c r="BO18" s="15">
        <f t="shared" si="51"/>
        <v>13177.010175562051</v>
      </c>
      <c r="BP18" s="16">
        <v>13355</v>
      </c>
      <c r="BQ18" s="16">
        <v>13415</v>
      </c>
      <c r="BR18" s="16">
        <v>13340</v>
      </c>
      <c r="BS18" s="16">
        <v>13410</v>
      </c>
      <c r="BT18" s="16">
        <v>154903</v>
      </c>
      <c r="BU18" s="15">
        <f t="shared" si="40"/>
        <v>13388.333333333334</v>
      </c>
      <c r="BV18" s="15">
        <f t="shared" si="41"/>
        <v>2073892998.3333335</v>
      </c>
      <c r="BW18" s="15">
        <f>SUM($BV$3:BV18)</f>
        <v>43521988248.333336</v>
      </c>
      <c r="BX18" s="15">
        <f>SUM($BT$3:BT18)</f>
        <v>3236593</v>
      </c>
      <c r="BY18" s="15">
        <f t="shared" si="42"/>
        <v>13446.852368627546</v>
      </c>
      <c r="BZ18" s="3">
        <v>16</v>
      </c>
      <c r="CA18" s="3">
        <f t="shared" si="43"/>
        <v>0</v>
      </c>
      <c r="CB18" s="3">
        <f t="shared" si="44"/>
        <v>0</v>
      </c>
      <c r="CC18" s="3">
        <f t="shared" si="45"/>
        <v>0</v>
      </c>
      <c r="CD18" s="3" t="str">
        <f t="shared" si="46"/>
        <v/>
      </c>
      <c r="CE18" s="3">
        <f t="shared" si="47"/>
        <v>0</v>
      </c>
    </row>
    <row r="19" spans="1:83" x14ac:dyDescent="0.3">
      <c r="A19" s="3" t="s">
        <v>59</v>
      </c>
      <c r="B19" s="3">
        <v>11755</v>
      </c>
      <c r="C19" s="3">
        <v>11740</v>
      </c>
      <c r="D19" s="3">
        <v>11565</v>
      </c>
      <c r="E19" s="3">
        <v>11555</v>
      </c>
      <c r="F19" s="3">
        <v>11505</v>
      </c>
      <c r="G19" s="3">
        <v>11545</v>
      </c>
      <c r="H19" s="3">
        <v>11650</v>
      </c>
      <c r="I19" s="3">
        <v>11680</v>
      </c>
      <c r="J19" s="3">
        <v>11700</v>
      </c>
      <c r="K19" s="3">
        <v>11730</v>
      </c>
      <c r="L19" s="3">
        <v>12020</v>
      </c>
      <c r="M19" s="3">
        <v>12010</v>
      </c>
      <c r="N19" s="3">
        <v>12275</v>
      </c>
      <c r="O19" s="3">
        <v>12290</v>
      </c>
      <c r="P19" s="3">
        <v>12695</v>
      </c>
      <c r="Q19" s="3">
        <v>12725</v>
      </c>
      <c r="R19" s="3">
        <v>12675</v>
      </c>
      <c r="S19" s="3">
        <v>12685</v>
      </c>
      <c r="T19" s="3">
        <v>12290</v>
      </c>
      <c r="U19" s="3">
        <v>12295</v>
      </c>
      <c r="V19" s="3">
        <v>12595</v>
      </c>
      <c r="W19" s="3">
        <v>12600</v>
      </c>
      <c r="X19" s="3">
        <v>12580</v>
      </c>
      <c r="Y19" s="3">
        <v>12620</v>
      </c>
      <c r="Z19" s="3">
        <v>12765</v>
      </c>
      <c r="AA19" s="3">
        <v>12740</v>
      </c>
      <c r="AB19" s="3">
        <v>13270</v>
      </c>
      <c r="AC19" s="3">
        <v>13275</v>
      </c>
      <c r="AD19" s="3">
        <v>13165</v>
      </c>
      <c r="AE19" s="3">
        <v>13150</v>
      </c>
      <c r="AF19" s="3">
        <v>13675</v>
      </c>
      <c r="AG19" s="3">
        <v>13705</v>
      </c>
      <c r="AH19" s="3">
        <v>13930</v>
      </c>
      <c r="AI19" s="3">
        <v>13915</v>
      </c>
      <c r="AJ19" s="3">
        <v>13950</v>
      </c>
      <c r="AK19" s="3">
        <v>13950</v>
      </c>
      <c r="AL19" s="3">
        <v>13600</v>
      </c>
      <c r="AM19" s="3">
        <v>13615</v>
      </c>
      <c r="AN19" s="3">
        <v>13450</v>
      </c>
      <c r="AO19" s="3">
        <v>13440</v>
      </c>
      <c r="AP19" s="3">
        <v>13410</v>
      </c>
      <c r="AQ19" s="3">
        <v>13415</v>
      </c>
      <c r="AR19" s="4">
        <f t="shared" si="48"/>
        <v>1.8213356461405095E-2</v>
      </c>
      <c r="AS19" s="4">
        <f t="shared" si="20"/>
        <v>4.3290043290045155E-4</v>
      </c>
      <c r="AT19" s="4">
        <f t="shared" si="21"/>
        <v>1.6285211267605737E-2</v>
      </c>
      <c r="AU19" s="4">
        <f t="shared" si="22"/>
        <v>8.4889643463497144E-3</v>
      </c>
      <c r="AV19" s="4">
        <f t="shared" si="23"/>
        <v>3.4217279726260763E-3</v>
      </c>
      <c r="AW19" s="4">
        <f t="shared" si="24"/>
        <v>1.2647554806070715E-2</v>
      </c>
      <c r="AX19" s="4">
        <f t="shared" si="25"/>
        <v>1.4444903012793997E-2</v>
      </c>
      <c r="AY19" s="4">
        <f t="shared" si="26"/>
        <v>4.3035993740219158E-3</v>
      </c>
      <c r="AZ19" s="4">
        <f t="shared" si="27"/>
        <v>1.1159824631327142E-2</v>
      </c>
      <c r="BA19" s="4">
        <f t="shared" si="28"/>
        <v>6.4646464646465063E-3</v>
      </c>
      <c r="BB19" s="4">
        <f t="shared" si="29"/>
        <v>2.1483583299554132E-2</v>
      </c>
      <c r="BC19" s="4">
        <f t="shared" si="30"/>
        <v>1.1871784724970524E-3</v>
      </c>
      <c r="BD19" s="4">
        <f t="shared" si="31"/>
        <v>7.7881619937694158E-3</v>
      </c>
      <c r="BE19" s="4">
        <f t="shared" si="32"/>
        <v>2.3910528345545634E-2</v>
      </c>
      <c r="BF19" s="4">
        <f t="shared" si="33"/>
        <v>4.583651642475095E-3</v>
      </c>
      <c r="BG19" s="4">
        <f t="shared" si="34"/>
        <v>2.7746531683539466E-2</v>
      </c>
      <c r="BH19" s="4">
        <f t="shared" si="35"/>
        <v>3.5945363048162093E-4</v>
      </c>
      <c r="BI19" s="4">
        <f t="shared" si="36"/>
        <v>5.4054054054053502E-3</v>
      </c>
      <c r="BJ19" s="4">
        <f t="shared" si="37"/>
        <v>7.6530612244898322E-3</v>
      </c>
      <c r="BK19" s="4">
        <f t="shared" si="38"/>
        <v>1.7902813299232712E-2</v>
      </c>
      <c r="BL19" s="4">
        <f t="shared" si="39"/>
        <v>2.9728725380899768E-3</v>
      </c>
      <c r="BM19" s="4">
        <f t="shared" si="49"/>
        <v>1.1028095891412848E-2</v>
      </c>
      <c r="BN19" s="14">
        <f t="shared" si="50"/>
        <v>13603.38303021896</v>
      </c>
      <c r="BO19" s="15">
        <f t="shared" si="51"/>
        <v>13178.050622246923</v>
      </c>
      <c r="BP19" s="16">
        <v>13410</v>
      </c>
      <c r="BQ19" s="16">
        <v>13420</v>
      </c>
      <c r="BR19" s="16">
        <v>13405</v>
      </c>
      <c r="BS19" s="16">
        <v>13415</v>
      </c>
      <c r="BT19" s="16">
        <v>77933</v>
      </c>
      <c r="BU19" s="15">
        <f t="shared" si="40"/>
        <v>13413.333333333334</v>
      </c>
      <c r="BV19" s="15">
        <f t="shared" si="41"/>
        <v>1045341306.6666667</v>
      </c>
      <c r="BW19" s="15">
        <f>SUM($BV$3:BV19)</f>
        <v>44567329555</v>
      </c>
      <c r="BX19" s="15">
        <f>SUM($BT$3:BT19)</f>
        <v>3314526</v>
      </c>
      <c r="BY19" s="15">
        <f t="shared" si="42"/>
        <v>13446.064250212548</v>
      </c>
      <c r="BZ19" s="3">
        <v>17</v>
      </c>
      <c r="CA19" s="3">
        <f t="shared" si="43"/>
        <v>0</v>
      </c>
      <c r="CB19" s="3">
        <f t="shared" si="44"/>
        <v>0</v>
      </c>
      <c r="CC19" s="3">
        <f t="shared" si="45"/>
        <v>0</v>
      </c>
      <c r="CD19" s="3" t="str">
        <f t="shared" si="46"/>
        <v/>
      </c>
      <c r="CE19" s="3">
        <f t="shared" si="47"/>
        <v>0</v>
      </c>
    </row>
    <row r="20" spans="1:83" x14ac:dyDescent="0.3">
      <c r="A20" s="3" t="s">
        <v>60</v>
      </c>
      <c r="B20" s="3">
        <v>11745</v>
      </c>
      <c r="C20" s="3">
        <v>11745</v>
      </c>
      <c r="D20" s="3">
        <v>11565</v>
      </c>
      <c r="E20" s="3">
        <v>11545</v>
      </c>
      <c r="F20" s="3">
        <v>11550</v>
      </c>
      <c r="G20" s="3">
        <v>11565</v>
      </c>
      <c r="H20" s="3">
        <v>11685</v>
      </c>
      <c r="I20" s="3">
        <v>11685</v>
      </c>
      <c r="J20" s="3">
        <v>11725</v>
      </c>
      <c r="K20" s="3">
        <v>11740</v>
      </c>
      <c r="L20" s="3">
        <v>12010</v>
      </c>
      <c r="M20" s="3">
        <v>11980</v>
      </c>
      <c r="N20" s="3">
        <v>12295</v>
      </c>
      <c r="O20" s="3">
        <v>12320</v>
      </c>
      <c r="P20" s="3">
        <v>12720</v>
      </c>
      <c r="Q20" s="3">
        <v>12740</v>
      </c>
      <c r="R20" s="3">
        <v>12685</v>
      </c>
      <c r="S20" s="3">
        <v>12665</v>
      </c>
      <c r="T20" s="3">
        <v>12295</v>
      </c>
      <c r="U20" s="3">
        <v>12270</v>
      </c>
      <c r="V20" s="3">
        <v>12600</v>
      </c>
      <c r="W20" s="3">
        <v>12595</v>
      </c>
      <c r="X20" s="3">
        <v>12625</v>
      </c>
      <c r="Y20" s="3">
        <v>12630</v>
      </c>
      <c r="Z20" s="3">
        <v>12740</v>
      </c>
      <c r="AA20" s="3">
        <v>12735</v>
      </c>
      <c r="AB20" s="3">
        <v>13280</v>
      </c>
      <c r="AC20" s="3">
        <v>13260</v>
      </c>
      <c r="AD20" s="3">
        <v>13150</v>
      </c>
      <c r="AE20" s="3">
        <v>13175</v>
      </c>
      <c r="AF20" s="3">
        <v>13705</v>
      </c>
      <c r="AG20" s="3">
        <v>13635</v>
      </c>
      <c r="AH20" s="3">
        <v>13915</v>
      </c>
      <c r="AI20" s="3">
        <v>13920</v>
      </c>
      <c r="AJ20" s="3">
        <v>13955</v>
      </c>
      <c r="AK20" s="3">
        <v>13930</v>
      </c>
      <c r="AL20" s="3">
        <v>13615</v>
      </c>
      <c r="AM20" s="3">
        <v>13595</v>
      </c>
      <c r="AN20" s="3">
        <v>13435</v>
      </c>
      <c r="AO20" s="3">
        <v>13425</v>
      </c>
      <c r="AP20" s="3">
        <v>13420</v>
      </c>
      <c r="AQ20" s="3">
        <v>13445</v>
      </c>
      <c r="AR20" s="4">
        <f t="shared" si="48"/>
        <v>1.8647007805724147E-2</v>
      </c>
      <c r="AS20" s="4">
        <f t="shared" si="20"/>
        <v>4.3290043290045155E-4</v>
      </c>
      <c r="AT20" s="4">
        <f t="shared" si="21"/>
        <v>1.8045774647887258E-2</v>
      </c>
      <c r="AU20" s="4">
        <f t="shared" si="22"/>
        <v>8.0645161290322509E-3</v>
      </c>
      <c r="AV20" s="4">
        <f t="shared" si="23"/>
        <v>4.2771599657827064E-3</v>
      </c>
      <c r="AW20" s="4">
        <f t="shared" si="24"/>
        <v>1.0118043844856706E-2</v>
      </c>
      <c r="AX20" s="4">
        <f t="shared" si="25"/>
        <v>1.6921172100701654E-2</v>
      </c>
      <c r="AY20" s="4">
        <f t="shared" si="26"/>
        <v>3.129890453834161E-3</v>
      </c>
      <c r="AZ20" s="4">
        <f t="shared" si="27"/>
        <v>9.5655639697089789E-3</v>
      </c>
      <c r="BA20" s="4">
        <f t="shared" si="28"/>
        <v>8.4848484848485395E-3</v>
      </c>
      <c r="BB20" s="4">
        <f t="shared" si="29"/>
        <v>2.1078232671260633E-2</v>
      </c>
      <c r="BC20" s="4">
        <f t="shared" si="30"/>
        <v>3.9572615749905449E-4</v>
      </c>
      <c r="BD20" s="4">
        <f t="shared" si="31"/>
        <v>8.1775700934579865E-3</v>
      </c>
      <c r="BE20" s="4">
        <f t="shared" si="32"/>
        <v>2.2753567296567745E-2</v>
      </c>
      <c r="BF20" s="4">
        <f t="shared" si="33"/>
        <v>6.4935064935065512E-3</v>
      </c>
      <c r="BG20" s="4">
        <f t="shared" si="34"/>
        <v>2.2497187851518552E-2</v>
      </c>
      <c r="BH20" s="4">
        <f t="shared" si="35"/>
        <v>7.1890726096324187E-4</v>
      </c>
      <c r="BI20" s="4">
        <f t="shared" si="36"/>
        <v>3.9639639639639235E-3</v>
      </c>
      <c r="BJ20" s="4">
        <f t="shared" si="37"/>
        <v>9.1107871720116362E-3</v>
      </c>
      <c r="BK20" s="4">
        <f t="shared" si="38"/>
        <v>1.8998903909389853E-2</v>
      </c>
      <c r="BL20" s="4">
        <f t="shared" si="39"/>
        <v>7.4321813452249419E-4</v>
      </c>
      <c r="BM20" s="4">
        <f t="shared" si="49"/>
        <v>1.0877844848516607E-2</v>
      </c>
      <c r="BN20" s="14">
        <f t="shared" si="50"/>
        <v>13601.361402436789</v>
      </c>
      <c r="BO20" s="15">
        <f t="shared" si="51"/>
        <v>13180.052717393515</v>
      </c>
      <c r="BP20" s="16">
        <v>13420</v>
      </c>
      <c r="BQ20" s="16">
        <v>13450</v>
      </c>
      <c r="BR20" s="16">
        <v>13415</v>
      </c>
      <c r="BS20" s="16">
        <v>13445</v>
      </c>
      <c r="BT20" s="16">
        <v>220846</v>
      </c>
      <c r="BU20" s="15">
        <f t="shared" si="40"/>
        <v>13436.666666666666</v>
      </c>
      <c r="BV20" s="15">
        <f t="shared" si="41"/>
        <v>2967434086.6666665</v>
      </c>
      <c r="BW20" s="15">
        <f>SUM($BV$3:BV20)</f>
        <v>47534763641.666664</v>
      </c>
      <c r="BX20" s="15">
        <f>SUM($BT$3:BT20)</f>
        <v>3535372</v>
      </c>
      <c r="BY20" s="15">
        <f t="shared" si="42"/>
        <v>13445.477206264763</v>
      </c>
      <c r="BZ20" s="3">
        <v>18</v>
      </c>
      <c r="CA20" s="3">
        <f t="shared" si="43"/>
        <v>0</v>
      </c>
      <c r="CB20" s="3">
        <f t="shared" si="44"/>
        <v>0</v>
      </c>
      <c r="CC20" s="3">
        <f t="shared" si="45"/>
        <v>0</v>
      </c>
      <c r="CD20" s="3" t="str">
        <f t="shared" si="46"/>
        <v/>
      </c>
      <c r="CE20" s="3">
        <f t="shared" si="47"/>
        <v>0</v>
      </c>
    </row>
    <row r="21" spans="1:83" x14ac:dyDescent="0.3">
      <c r="A21" s="3" t="s">
        <v>61</v>
      </c>
      <c r="B21" s="3">
        <v>11745</v>
      </c>
      <c r="C21" s="3">
        <v>11760</v>
      </c>
      <c r="D21" s="3">
        <v>11545</v>
      </c>
      <c r="E21" s="3">
        <v>11540</v>
      </c>
      <c r="F21" s="3">
        <v>11570</v>
      </c>
      <c r="G21" s="3">
        <v>11540</v>
      </c>
      <c r="H21" s="3">
        <v>11695</v>
      </c>
      <c r="I21" s="3">
        <v>11710</v>
      </c>
      <c r="J21" s="3">
        <v>11745</v>
      </c>
      <c r="K21" s="3">
        <v>11735</v>
      </c>
      <c r="L21" s="3">
        <v>11980</v>
      </c>
      <c r="M21" s="3">
        <v>11925</v>
      </c>
      <c r="N21" s="3">
        <v>12325</v>
      </c>
      <c r="O21" s="3">
        <v>12320</v>
      </c>
      <c r="P21" s="3">
        <v>12745</v>
      </c>
      <c r="Q21" s="3">
        <v>12720</v>
      </c>
      <c r="R21" s="3">
        <v>12665</v>
      </c>
      <c r="S21" s="3">
        <v>12670</v>
      </c>
      <c r="T21" s="3">
        <v>12265</v>
      </c>
      <c r="U21" s="3">
        <v>12265</v>
      </c>
      <c r="V21" s="3">
        <v>12595</v>
      </c>
      <c r="W21" s="3">
        <v>12580</v>
      </c>
      <c r="X21" s="3">
        <v>12630</v>
      </c>
      <c r="Y21" s="3">
        <v>12615</v>
      </c>
      <c r="Z21" s="3">
        <v>12735</v>
      </c>
      <c r="AA21" s="3">
        <v>12735</v>
      </c>
      <c r="AB21" s="3">
        <v>13260</v>
      </c>
      <c r="AC21" s="3">
        <v>13265</v>
      </c>
      <c r="AD21" s="3">
        <v>13175</v>
      </c>
      <c r="AE21" s="3">
        <v>13175</v>
      </c>
      <c r="AF21" s="3">
        <v>13635</v>
      </c>
      <c r="AG21" s="3">
        <v>13655</v>
      </c>
      <c r="AH21" s="3">
        <v>13920</v>
      </c>
      <c r="AI21" s="3">
        <v>13950</v>
      </c>
      <c r="AJ21" s="3">
        <v>13930</v>
      </c>
      <c r="AK21" s="3">
        <v>13940</v>
      </c>
      <c r="AL21" s="3">
        <v>13595</v>
      </c>
      <c r="AM21" s="3">
        <v>13615</v>
      </c>
      <c r="AN21" s="3">
        <v>13425</v>
      </c>
      <c r="AO21" s="3">
        <v>13450</v>
      </c>
      <c r="AP21" s="3">
        <v>13440</v>
      </c>
      <c r="AQ21" s="3">
        <v>13445</v>
      </c>
      <c r="AR21" s="4">
        <f t="shared" si="48"/>
        <v>1.9947961838681749E-2</v>
      </c>
      <c r="AS21" s="4">
        <f t="shared" si="20"/>
        <v>8.658008658009031E-4</v>
      </c>
      <c r="AT21" s="4">
        <f t="shared" si="21"/>
        <v>1.5845070422535246E-2</v>
      </c>
      <c r="AU21" s="4">
        <f t="shared" si="22"/>
        <v>5.9422750424448223E-3</v>
      </c>
      <c r="AV21" s="4">
        <f t="shared" si="23"/>
        <v>3.8494439692045024E-3</v>
      </c>
      <c r="AW21" s="4">
        <f t="shared" si="24"/>
        <v>5.4806070826307618E-3</v>
      </c>
      <c r="AX21" s="4">
        <f t="shared" si="25"/>
        <v>1.6921172100701654E-2</v>
      </c>
      <c r="AY21" s="4">
        <f t="shared" si="26"/>
        <v>4.6948356807511304E-3</v>
      </c>
      <c r="AZ21" s="4">
        <f t="shared" si="27"/>
        <v>9.9641291351135752E-3</v>
      </c>
      <c r="BA21" s="4">
        <f t="shared" si="28"/>
        <v>8.8888888888888351E-3</v>
      </c>
      <c r="BB21" s="4">
        <f t="shared" si="29"/>
        <v>1.9862180786380135E-2</v>
      </c>
      <c r="BC21" s="4">
        <f t="shared" si="30"/>
        <v>1.5829046299959959E-3</v>
      </c>
      <c r="BD21" s="4">
        <f t="shared" si="31"/>
        <v>8.1775700934579865E-3</v>
      </c>
      <c r="BE21" s="4">
        <f t="shared" si="32"/>
        <v>2.3139220979560449E-2</v>
      </c>
      <c r="BF21" s="4">
        <f t="shared" si="33"/>
        <v>6.4935064935065512E-3</v>
      </c>
      <c r="BG21" s="4">
        <f t="shared" si="34"/>
        <v>2.3997000374953226E-2</v>
      </c>
      <c r="BH21" s="4">
        <f t="shared" si="35"/>
        <v>2.8756290438534116E-3</v>
      </c>
      <c r="BI21" s="4">
        <f t="shared" si="36"/>
        <v>4.6846846846846368E-3</v>
      </c>
      <c r="BJ21" s="4">
        <f t="shared" si="37"/>
        <v>7.6530612244898322E-3</v>
      </c>
      <c r="BK21" s="4">
        <f t="shared" si="38"/>
        <v>1.7172086225794692E-2</v>
      </c>
      <c r="BL21" s="4">
        <f t="shared" si="39"/>
        <v>7.4321813452249419E-4</v>
      </c>
      <c r="BM21" s="4">
        <f t="shared" si="49"/>
        <v>1.1150490738723722E-2</v>
      </c>
      <c r="BN21" s="14">
        <f t="shared" si="50"/>
        <v>13605.029852889527</v>
      </c>
      <c r="BO21" s="15">
        <f t="shared" si="51"/>
        <v>13176.419710906506</v>
      </c>
      <c r="BP21" s="16">
        <v>13440</v>
      </c>
      <c r="BQ21" s="16">
        <v>13465</v>
      </c>
      <c r="BR21" s="16">
        <v>13430</v>
      </c>
      <c r="BS21" s="16">
        <v>13445</v>
      </c>
      <c r="BT21" s="16">
        <v>263716</v>
      </c>
      <c r="BU21" s="15">
        <f t="shared" si="40"/>
        <v>13446.666666666666</v>
      </c>
      <c r="BV21" s="15">
        <f t="shared" si="41"/>
        <v>3546101146.6666665</v>
      </c>
      <c r="BW21" s="15">
        <f>SUM($BV$3:BV21)</f>
        <v>51080864788.333328</v>
      </c>
      <c r="BX21" s="15">
        <f>SUM($BT$3:BT21)</f>
        <v>3799088</v>
      </c>
      <c r="BY21" s="15">
        <f t="shared" si="42"/>
        <v>13445.559773380697</v>
      </c>
      <c r="BZ21" s="3">
        <v>19</v>
      </c>
      <c r="CA21" s="3">
        <f t="shared" si="43"/>
        <v>0</v>
      </c>
      <c r="CB21" s="3">
        <f t="shared" si="44"/>
        <v>0</v>
      </c>
      <c r="CC21" s="3">
        <f t="shared" si="45"/>
        <v>0</v>
      </c>
      <c r="CD21" s="3" t="str">
        <f t="shared" si="46"/>
        <v/>
      </c>
      <c r="CE21" s="3">
        <f t="shared" si="47"/>
        <v>0</v>
      </c>
    </row>
    <row r="22" spans="1:83" x14ac:dyDescent="0.3">
      <c r="A22" s="3" t="s">
        <v>62</v>
      </c>
      <c r="B22" s="3">
        <v>11760</v>
      </c>
      <c r="C22" s="3">
        <v>11755</v>
      </c>
      <c r="D22" s="3">
        <v>11540</v>
      </c>
      <c r="E22" s="3">
        <v>11535</v>
      </c>
      <c r="F22" s="3">
        <v>11540</v>
      </c>
      <c r="G22" s="3">
        <v>11540</v>
      </c>
      <c r="H22" s="3">
        <v>11710</v>
      </c>
      <c r="I22" s="3">
        <v>11700</v>
      </c>
      <c r="J22" s="3">
        <v>11735</v>
      </c>
      <c r="K22" s="3">
        <v>11725</v>
      </c>
      <c r="L22" s="3">
        <v>11930</v>
      </c>
      <c r="M22" s="3">
        <v>11990</v>
      </c>
      <c r="N22" s="3">
        <v>12315</v>
      </c>
      <c r="O22" s="3">
        <v>12315</v>
      </c>
      <c r="P22" s="3">
        <v>12720</v>
      </c>
      <c r="Q22" s="3">
        <v>12720</v>
      </c>
      <c r="R22" s="3">
        <v>12670</v>
      </c>
      <c r="S22" s="3">
        <v>12650</v>
      </c>
      <c r="T22" s="3">
        <v>12265</v>
      </c>
      <c r="U22" s="3">
        <v>12250</v>
      </c>
      <c r="V22" s="3">
        <v>12580</v>
      </c>
      <c r="W22" s="3">
        <v>12575</v>
      </c>
      <c r="X22" s="3">
        <v>12620</v>
      </c>
      <c r="Y22" s="3">
        <v>12580</v>
      </c>
      <c r="Z22" s="3">
        <v>12735</v>
      </c>
      <c r="AA22" s="3">
        <v>12710</v>
      </c>
      <c r="AB22" s="3">
        <v>13270</v>
      </c>
      <c r="AC22" s="3">
        <v>13270</v>
      </c>
      <c r="AD22" s="3">
        <v>13175</v>
      </c>
      <c r="AE22" s="3">
        <v>13160</v>
      </c>
      <c r="AF22" s="3">
        <v>13655</v>
      </c>
      <c r="AG22" s="3">
        <v>13650</v>
      </c>
      <c r="AH22" s="3">
        <v>13950</v>
      </c>
      <c r="AI22" s="3">
        <v>13960</v>
      </c>
      <c r="AJ22" s="3">
        <v>13940</v>
      </c>
      <c r="AK22" s="3">
        <v>13955</v>
      </c>
      <c r="AL22" s="3">
        <v>13620</v>
      </c>
      <c r="AM22" s="3">
        <v>13630</v>
      </c>
      <c r="AN22" s="3">
        <v>13450</v>
      </c>
      <c r="AO22" s="3">
        <v>13465</v>
      </c>
      <c r="AP22" s="3">
        <v>13450</v>
      </c>
      <c r="AQ22" s="3">
        <v>13445</v>
      </c>
      <c r="AR22" s="4">
        <f t="shared" si="48"/>
        <v>1.9514310494362475E-2</v>
      </c>
      <c r="AS22" s="4">
        <f t="shared" si="20"/>
        <v>1.2987012987012436E-3</v>
      </c>
      <c r="AT22" s="4">
        <f t="shared" si="21"/>
        <v>1.5845070422535246E-2</v>
      </c>
      <c r="AU22" s="4">
        <f t="shared" si="22"/>
        <v>6.7911714770797493E-3</v>
      </c>
      <c r="AV22" s="4">
        <f t="shared" si="23"/>
        <v>2.9940119760478723E-3</v>
      </c>
      <c r="AW22" s="4">
        <f t="shared" si="24"/>
        <v>1.0961214165261302E-2</v>
      </c>
      <c r="AX22" s="4">
        <f t="shared" si="25"/>
        <v>1.6508460586050377E-2</v>
      </c>
      <c r="AY22" s="4">
        <f t="shared" si="26"/>
        <v>4.6948356807511304E-3</v>
      </c>
      <c r="AZ22" s="4">
        <f t="shared" si="27"/>
        <v>8.3698684734954121E-3</v>
      </c>
      <c r="BA22" s="4">
        <f t="shared" si="28"/>
        <v>1.0101010101010055E-2</v>
      </c>
      <c r="BB22" s="4">
        <f t="shared" si="29"/>
        <v>1.9456830158086635E-2</v>
      </c>
      <c r="BC22" s="4">
        <f t="shared" si="30"/>
        <v>4.3529877324891553E-3</v>
      </c>
      <c r="BD22" s="4">
        <f t="shared" si="31"/>
        <v>1.0124610591900285E-2</v>
      </c>
      <c r="BE22" s="4">
        <f t="shared" si="32"/>
        <v>2.352487466255293E-2</v>
      </c>
      <c r="BF22" s="4">
        <f t="shared" si="33"/>
        <v>5.3475935828877219E-3</v>
      </c>
      <c r="BG22" s="4">
        <f t="shared" si="34"/>
        <v>2.3622047244094446E-2</v>
      </c>
      <c r="BH22" s="4">
        <f t="shared" si="35"/>
        <v>3.5945363048166534E-3</v>
      </c>
      <c r="BI22" s="4">
        <f t="shared" si="36"/>
        <v>5.7657657657657069E-3</v>
      </c>
      <c r="BJ22" s="4">
        <f t="shared" si="37"/>
        <v>6.5597667638483959E-3</v>
      </c>
      <c r="BK22" s="4">
        <f t="shared" si="38"/>
        <v>1.6075995615637551E-2</v>
      </c>
      <c r="BL22" s="4">
        <f t="shared" si="39"/>
        <v>7.4321813452249419E-4</v>
      </c>
      <c r="BM22" s="4">
        <f t="shared" si="49"/>
        <v>1.1292798804527604E-2</v>
      </c>
      <c r="BN22" s="14">
        <f t="shared" si="50"/>
        <v>13606.944607914917</v>
      </c>
      <c r="BO22" s="15">
        <f t="shared" si="51"/>
        <v>13174.52345592967</v>
      </c>
      <c r="BP22" s="16">
        <v>13450</v>
      </c>
      <c r="BQ22" s="16">
        <v>13480</v>
      </c>
      <c r="BR22" s="16">
        <v>13445</v>
      </c>
      <c r="BS22" s="16">
        <v>13445</v>
      </c>
      <c r="BT22" s="16">
        <v>125462</v>
      </c>
      <c r="BU22" s="15">
        <f t="shared" si="40"/>
        <v>13456.666666666666</v>
      </c>
      <c r="BV22" s="15">
        <f t="shared" si="41"/>
        <v>1688300313.3333333</v>
      </c>
      <c r="BW22" s="15">
        <f>SUM($BV$3:BV22)</f>
        <v>52769165101.666664</v>
      </c>
      <c r="BX22" s="15">
        <f>SUM($BT$3:BT22)</f>
        <v>3924550</v>
      </c>
      <c r="BY22" s="15">
        <f t="shared" si="42"/>
        <v>13445.914844164723</v>
      </c>
      <c r="BZ22" s="3">
        <v>20</v>
      </c>
      <c r="CA22" s="3">
        <f t="shared" si="43"/>
        <v>0</v>
      </c>
      <c r="CB22" s="3">
        <f t="shared" si="44"/>
        <v>0</v>
      </c>
      <c r="CC22" s="3">
        <f t="shared" si="45"/>
        <v>0</v>
      </c>
      <c r="CD22" s="3" t="str">
        <f t="shared" si="46"/>
        <v/>
      </c>
      <c r="CE22" s="3">
        <f t="shared" si="47"/>
        <v>0</v>
      </c>
    </row>
    <row r="23" spans="1:83" x14ac:dyDescent="0.3">
      <c r="A23" s="3" t="s">
        <v>63</v>
      </c>
      <c r="B23" s="3">
        <v>11755</v>
      </c>
      <c r="C23" s="3">
        <v>11775</v>
      </c>
      <c r="D23" s="3">
        <v>11530</v>
      </c>
      <c r="E23" s="3">
        <v>11515</v>
      </c>
      <c r="F23" s="3">
        <v>11540</v>
      </c>
      <c r="G23" s="3">
        <v>11580</v>
      </c>
      <c r="H23" s="3">
        <v>11700</v>
      </c>
      <c r="I23" s="3">
        <v>11660</v>
      </c>
      <c r="J23" s="3">
        <v>11730</v>
      </c>
      <c r="K23" s="3">
        <v>11715</v>
      </c>
      <c r="L23" s="3">
        <v>11995</v>
      </c>
      <c r="M23" s="3">
        <v>11975</v>
      </c>
      <c r="N23" s="3">
        <v>12320</v>
      </c>
      <c r="O23" s="3">
        <v>12295</v>
      </c>
      <c r="P23" s="3">
        <v>12720</v>
      </c>
      <c r="Q23" s="3">
        <v>12730</v>
      </c>
      <c r="R23" s="3">
        <v>12645</v>
      </c>
      <c r="S23" s="3">
        <v>12675</v>
      </c>
      <c r="T23" s="3">
        <v>12250</v>
      </c>
      <c r="U23" s="3">
        <v>12210</v>
      </c>
      <c r="V23" s="3">
        <v>12575</v>
      </c>
      <c r="W23" s="3">
        <v>12590</v>
      </c>
      <c r="X23" s="3">
        <v>12585</v>
      </c>
      <c r="Y23" s="3">
        <v>12555</v>
      </c>
      <c r="Z23" s="3">
        <v>12710</v>
      </c>
      <c r="AA23" s="3">
        <v>12670</v>
      </c>
      <c r="AB23" s="3">
        <v>13270</v>
      </c>
      <c r="AC23" s="3">
        <v>13260</v>
      </c>
      <c r="AD23" s="3">
        <v>13160</v>
      </c>
      <c r="AE23" s="3">
        <v>13175</v>
      </c>
      <c r="AF23" s="3">
        <v>13650</v>
      </c>
      <c r="AG23" s="3">
        <v>13710</v>
      </c>
      <c r="AH23" s="3">
        <v>13960</v>
      </c>
      <c r="AI23" s="3">
        <v>14035</v>
      </c>
      <c r="AJ23" s="3">
        <v>13955</v>
      </c>
      <c r="AK23" s="3">
        <v>13975</v>
      </c>
      <c r="AL23" s="3">
        <v>13635</v>
      </c>
      <c r="AM23" s="3">
        <v>13640</v>
      </c>
      <c r="AN23" s="3">
        <v>13470</v>
      </c>
      <c r="AO23" s="3">
        <v>13475</v>
      </c>
      <c r="AP23" s="3">
        <v>13440</v>
      </c>
      <c r="AQ23" s="3">
        <v>13425</v>
      </c>
      <c r="AR23" s="4">
        <f t="shared" si="48"/>
        <v>2.1248915871639129E-2</v>
      </c>
      <c r="AS23" s="4">
        <f t="shared" si="20"/>
        <v>3.0303030303030498E-3</v>
      </c>
      <c r="AT23" s="4">
        <f t="shared" si="21"/>
        <v>1.936619718309851E-2</v>
      </c>
      <c r="AU23" s="4">
        <f t="shared" si="22"/>
        <v>1.018675721561968E-2</v>
      </c>
      <c r="AV23" s="4">
        <f t="shared" si="23"/>
        <v>2.1385799828914642E-3</v>
      </c>
      <c r="AW23" s="4">
        <f t="shared" si="24"/>
        <v>9.6964586846544076E-3</v>
      </c>
      <c r="AX23" s="4">
        <f t="shared" si="25"/>
        <v>1.4857614527445273E-2</v>
      </c>
      <c r="AY23" s="4">
        <f t="shared" si="26"/>
        <v>3.9123630672925902E-3</v>
      </c>
      <c r="AZ23" s="4">
        <f t="shared" si="27"/>
        <v>1.0362694300518172E-2</v>
      </c>
      <c r="BA23" s="4">
        <f t="shared" si="28"/>
        <v>1.3333333333333308E-2</v>
      </c>
      <c r="BB23" s="4">
        <f t="shared" si="29"/>
        <v>2.0672882042967133E-2</v>
      </c>
      <c r="BC23" s="4">
        <f t="shared" si="30"/>
        <v>6.3316185199842057E-3</v>
      </c>
      <c r="BD23" s="4">
        <f t="shared" si="31"/>
        <v>1.3239875389408073E-2</v>
      </c>
      <c r="BE23" s="4">
        <f t="shared" si="32"/>
        <v>2.2753567296567745E-2</v>
      </c>
      <c r="BF23" s="4">
        <f t="shared" si="33"/>
        <v>6.4935064935065512E-3</v>
      </c>
      <c r="BG23" s="4">
        <f t="shared" si="34"/>
        <v>2.8121484814398245E-2</v>
      </c>
      <c r="BH23" s="4">
        <f t="shared" si="35"/>
        <v>8.9863407620416336E-3</v>
      </c>
      <c r="BI23" s="4">
        <f t="shared" si="36"/>
        <v>7.2072072072071336E-3</v>
      </c>
      <c r="BJ23" s="4">
        <f t="shared" si="37"/>
        <v>5.8309037900874383E-3</v>
      </c>
      <c r="BK23" s="4">
        <f t="shared" si="38"/>
        <v>1.5345268542199531E-2</v>
      </c>
      <c r="BL23" s="4">
        <f t="shared" si="39"/>
        <v>2.2296544035674826E-3</v>
      </c>
      <c r="BM23" s="4">
        <f t="shared" si="49"/>
        <v>1.2674904291925502E-2</v>
      </c>
      <c r="BN23" s="14">
        <f t="shared" si="50"/>
        <v>13625.540837247856</v>
      </c>
      <c r="BO23" s="15">
        <f t="shared" si="51"/>
        <v>13156.106900310093</v>
      </c>
      <c r="BP23" s="16">
        <v>13440</v>
      </c>
      <c r="BQ23" s="16">
        <v>13465</v>
      </c>
      <c r="BR23" s="16">
        <v>13425</v>
      </c>
      <c r="BS23" s="16">
        <v>13425</v>
      </c>
      <c r="BT23" s="16">
        <v>109618</v>
      </c>
      <c r="BU23" s="15">
        <f t="shared" si="40"/>
        <v>13438.333333333334</v>
      </c>
      <c r="BV23" s="15">
        <f t="shared" si="41"/>
        <v>1473083223.3333335</v>
      </c>
      <c r="BW23" s="15">
        <f>SUM($BV$3:BV23)</f>
        <v>54242248325</v>
      </c>
      <c r="BX23" s="15">
        <f>SUM($BT$3:BT23)</f>
        <v>4034168</v>
      </c>
      <c r="BY23" s="15">
        <f t="shared" si="42"/>
        <v>13445.708836369729</v>
      </c>
      <c r="BZ23" s="3">
        <v>21</v>
      </c>
      <c r="CA23" s="3">
        <f t="shared" si="43"/>
        <v>0</v>
      </c>
      <c r="CB23" s="3">
        <f t="shared" si="44"/>
        <v>0</v>
      </c>
      <c r="CC23" s="3">
        <f t="shared" si="45"/>
        <v>0</v>
      </c>
      <c r="CD23" s="3" t="str">
        <f t="shared" si="46"/>
        <v/>
      </c>
      <c r="CE23" s="3">
        <f t="shared" si="47"/>
        <v>0</v>
      </c>
    </row>
    <row r="24" spans="1:83" x14ac:dyDescent="0.3">
      <c r="A24" s="3" t="s">
        <v>64</v>
      </c>
      <c r="B24" s="3">
        <v>11775</v>
      </c>
      <c r="C24" s="3">
        <v>11780</v>
      </c>
      <c r="D24" s="3">
        <v>11515</v>
      </c>
      <c r="E24" s="3">
        <v>11525</v>
      </c>
      <c r="F24" s="3">
        <v>11580</v>
      </c>
      <c r="G24" s="3">
        <v>11580</v>
      </c>
      <c r="H24" s="3">
        <v>11660</v>
      </c>
      <c r="I24" s="3">
        <v>11675</v>
      </c>
      <c r="J24" s="3">
        <v>11710</v>
      </c>
      <c r="K24" s="3">
        <v>11725</v>
      </c>
      <c r="L24" s="3">
        <v>11975</v>
      </c>
      <c r="M24" s="3">
        <v>11965</v>
      </c>
      <c r="N24" s="3">
        <v>12300</v>
      </c>
      <c r="O24" s="3">
        <v>12310</v>
      </c>
      <c r="P24" s="3">
        <v>12735</v>
      </c>
      <c r="Q24" s="3">
        <v>12745</v>
      </c>
      <c r="R24" s="3">
        <v>12675</v>
      </c>
      <c r="S24" s="3">
        <v>12655</v>
      </c>
      <c r="T24" s="3">
        <v>12205</v>
      </c>
      <c r="U24" s="3">
        <v>12200</v>
      </c>
      <c r="V24" s="3">
        <v>12590</v>
      </c>
      <c r="W24" s="3">
        <v>12600</v>
      </c>
      <c r="X24" s="3">
        <v>12560</v>
      </c>
      <c r="Y24" s="3">
        <v>12550</v>
      </c>
      <c r="Z24" s="3">
        <v>12665</v>
      </c>
      <c r="AA24" s="3">
        <v>12705</v>
      </c>
      <c r="AB24" s="3">
        <v>13265</v>
      </c>
      <c r="AC24" s="3">
        <v>13270</v>
      </c>
      <c r="AD24" s="3">
        <v>13175</v>
      </c>
      <c r="AE24" s="3">
        <v>13220</v>
      </c>
      <c r="AF24" s="3">
        <v>13715</v>
      </c>
      <c r="AG24" s="3">
        <v>13735</v>
      </c>
      <c r="AH24" s="3">
        <v>14040</v>
      </c>
      <c r="AI24" s="3">
        <v>14030</v>
      </c>
      <c r="AJ24" s="3">
        <v>13980</v>
      </c>
      <c r="AK24" s="3">
        <v>13935</v>
      </c>
      <c r="AL24" s="3">
        <v>13635</v>
      </c>
      <c r="AM24" s="3">
        <v>13670</v>
      </c>
      <c r="AN24" s="3">
        <v>13470</v>
      </c>
      <c r="AO24" s="3">
        <v>13465</v>
      </c>
      <c r="AP24" s="3">
        <v>13425</v>
      </c>
      <c r="AQ24" s="3">
        <v>13470</v>
      </c>
      <c r="AR24" s="4">
        <f t="shared" si="48"/>
        <v>2.1682567215958404E-2</v>
      </c>
      <c r="AS24" s="4">
        <f t="shared" si="20"/>
        <v>2.1645021645021467E-3</v>
      </c>
      <c r="AT24" s="4">
        <f t="shared" si="21"/>
        <v>1.936619718309851E-2</v>
      </c>
      <c r="AU24" s="4">
        <f t="shared" si="22"/>
        <v>8.9134125636671779E-3</v>
      </c>
      <c r="AV24" s="4">
        <f t="shared" si="23"/>
        <v>2.9940119760478723E-3</v>
      </c>
      <c r="AW24" s="4">
        <f t="shared" si="24"/>
        <v>8.8532883642495896E-3</v>
      </c>
      <c r="AX24" s="4">
        <f t="shared" si="25"/>
        <v>1.6095749071399101E-2</v>
      </c>
      <c r="AY24" s="4">
        <f t="shared" si="26"/>
        <v>2.7386541471048353E-3</v>
      </c>
      <c r="AZ24" s="4">
        <f t="shared" si="27"/>
        <v>8.7684336389000084E-3</v>
      </c>
      <c r="BA24" s="4">
        <f t="shared" si="28"/>
        <v>1.4141414141414121E-2</v>
      </c>
      <c r="BB24" s="4">
        <f t="shared" si="29"/>
        <v>2.1483583299554132E-2</v>
      </c>
      <c r="BC24" s="4">
        <f t="shared" si="30"/>
        <v>6.7273446774831491E-3</v>
      </c>
      <c r="BD24" s="4">
        <f t="shared" si="31"/>
        <v>1.0514018691588745E-2</v>
      </c>
      <c r="BE24" s="4">
        <f t="shared" si="32"/>
        <v>2.352487466255293E-2</v>
      </c>
      <c r="BF24" s="4">
        <f t="shared" si="33"/>
        <v>9.931245225362817E-3</v>
      </c>
      <c r="BG24" s="4">
        <f t="shared" si="34"/>
        <v>2.9996250468691477E-2</v>
      </c>
      <c r="BH24" s="4">
        <f t="shared" si="35"/>
        <v>8.6268871315600126E-3</v>
      </c>
      <c r="BI24" s="4">
        <f t="shared" si="36"/>
        <v>4.3243243243242802E-3</v>
      </c>
      <c r="BJ24" s="4">
        <f t="shared" si="37"/>
        <v>3.6443148688046767E-3</v>
      </c>
      <c r="BK24" s="4">
        <f t="shared" si="38"/>
        <v>1.6075995615637551E-2</v>
      </c>
      <c r="BL24" s="4">
        <f t="shared" si="39"/>
        <v>1.1148272017837968E-3</v>
      </c>
      <c r="BM24" s="4">
        <f t="shared" si="49"/>
        <v>1.2613792140312703E-2</v>
      </c>
      <c r="BN24" s="14">
        <f t="shared" si="50"/>
        <v>13624.718573247907</v>
      </c>
      <c r="BO24" s="15">
        <f t="shared" si="51"/>
        <v>13156.921219730333</v>
      </c>
      <c r="BP24" s="16">
        <v>13425</v>
      </c>
      <c r="BQ24" s="16">
        <v>13470</v>
      </c>
      <c r="BR24" s="16">
        <v>13405</v>
      </c>
      <c r="BS24" s="16">
        <v>13470</v>
      </c>
      <c r="BT24" s="16">
        <v>207220</v>
      </c>
      <c r="BU24" s="15">
        <f t="shared" si="40"/>
        <v>13448.333333333334</v>
      </c>
      <c r="BV24" s="15">
        <f t="shared" si="41"/>
        <v>2786763633.3333335</v>
      </c>
      <c r="BW24" s="15">
        <f>SUM($BV$3:BV24)</f>
        <v>57029011958.333336</v>
      </c>
      <c r="BX24" s="15">
        <f>SUM($BT$3:BT24)</f>
        <v>4241388</v>
      </c>
      <c r="BY24" s="15">
        <f t="shared" si="42"/>
        <v>13445.837060493719</v>
      </c>
      <c r="BZ24" s="3">
        <v>22</v>
      </c>
      <c r="CA24" s="3">
        <f t="shared" si="43"/>
        <v>0</v>
      </c>
      <c r="CB24" s="3">
        <f t="shared" si="44"/>
        <v>0</v>
      </c>
      <c r="CC24" s="3">
        <f t="shared" si="45"/>
        <v>0</v>
      </c>
      <c r="CD24" s="3" t="str">
        <f t="shared" si="46"/>
        <v/>
      </c>
      <c r="CE24" s="3">
        <f t="shared" si="47"/>
        <v>0</v>
      </c>
    </row>
    <row r="25" spans="1:83" x14ac:dyDescent="0.3">
      <c r="A25" s="3" t="s">
        <v>65</v>
      </c>
      <c r="B25" s="3">
        <v>11785</v>
      </c>
      <c r="C25" s="3">
        <v>11795</v>
      </c>
      <c r="D25" s="3">
        <v>11525</v>
      </c>
      <c r="E25" s="3">
        <v>11520</v>
      </c>
      <c r="F25" s="3">
        <v>11580</v>
      </c>
      <c r="G25" s="3">
        <v>11560</v>
      </c>
      <c r="H25" s="3">
        <v>11670</v>
      </c>
      <c r="I25" s="3">
        <v>11665</v>
      </c>
      <c r="J25" s="3">
        <v>11720</v>
      </c>
      <c r="K25" s="3">
        <v>11720</v>
      </c>
      <c r="L25" s="3">
        <v>11960</v>
      </c>
      <c r="M25" s="3">
        <v>11910</v>
      </c>
      <c r="N25" s="3">
        <v>12310</v>
      </c>
      <c r="O25" s="3">
        <v>12345</v>
      </c>
      <c r="P25" s="3">
        <v>12745</v>
      </c>
      <c r="Q25" s="3">
        <v>12740</v>
      </c>
      <c r="R25" s="3">
        <v>12655</v>
      </c>
      <c r="S25" s="3">
        <v>12670</v>
      </c>
      <c r="T25" s="3">
        <v>12200</v>
      </c>
      <c r="U25" s="3">
        <v>12190</v>
      </c>
      <c r="V25" s="3">
        <v>12605</v>
      </c>
      <c r="W25" s="3">
        <v>12625</v>
      </c>
      <c r="X25" s="3">
        <v>12545</v>
      </c>
      <c r="Y25" s="3">
        <v>12490</v>
      </c>
      <c r="Z25" s="3">
        <v>12700</v>
      </c>
      <c r="AA25" s="3">
        <v>12725</v>
      </c>
      <c r="AB25" s="3">
        <v>13265</v>
      </c>
      <c r="AC25" s="3">
        <v>13270</v>
      </c>
      <c r="AD25" s="3">
        <v>13220</v>
      </c>
      <c r="AE25" s="3">
        <v>13275</v>
      </c>
      <c r="AF25" s="3">
        <v>13730</v>
      </c>
      <c r="AG25" s="3">
        <v>13725</v>
      </c>
      <c r="AH25" s="3">
        <v>14030</v>
      </c>
      <c r="AI25" s="3">
        <v>14060</v>
      </c>
      <c r="AJ25" s="3">
        <v>13935</v>
      </c>
      <c r="AK25" s="3">
        <v>13975</v>
      </c>
      <c r="AL25" s="3">
        <v>13670</v>
      </c>
      <c r="AM25" s="3">
        <v>13710</v>
      </c>
      <c r="AN25" s="3">
        <v>13465</v>
      </c>
      <c r="AO25" s="3">
        <v>13440</v>
      </c>
      <c r="AP25" s="3">
        <v>13465</v>
      </c>
      <c r="AQ25" s="3">
        <v>13445</v>
      </c>
      <c r="AR25" s="4">
        <f t="shared" si="48"/>
        <v>2.2983521248915784E-2</v>
      </c>
      <c r="AS25" s="4">
        <f t="shared" si="20"/>
        <v>2.5974025974025983E-3</v>
      </c>
      <c r="AT25" s="4">
        <f t="shared" si="21"/>
        <v>1.7605633802816989E-2</v>
      </c>
      <c r="AU25" s="4">
        <f t="shared" si="22"/>
        <v>9.762308998302216E-3</v>
      </c>
      <c r="AV25" s="4">
        <f t="shared" si="23"/>
        <v>2.5662959794696683E-3</v>
      </c>
      <c r="AW25" s="4">
        <f t="shared" si="24"/>
        <v>4.2158516020236458E-3</v>
      </c>
      <c r="AX25" s="4">
        <f t="shared" si="25"/>
        <v>1.8984729673957812E-2</v>
      </c>
      <c r="AY25" s="4">
        <f t="shared" si="26"/>
        <v>3.129890453834161E-3</v>
      </c>
      <c r="AZ25" s="4">
        <f t="shared" si="27"/>
        <v>9.9641291351135752E-3</v>
      </c>
      <c r="BA25" s="4">
        <f t="shared" si="28"/>
        <v>1.4949494949494935E-2</v>
      </c>
      <c r="BB25" s="4">
        <f t="shared" si="29"/>
        <v>2.3510336441021407E-2</v>
      </c>
      <c r="BC25" s="4">
        <f t="shared" si="30"/>
        <v>1.1476058567471359E-2</v>
      </c>
      <c r="BD25" s="4">
        <f t="shared" si="31"/>
        <v>8.9563862928349058E-3</v>
      </c>
      <c r="BE25" s="4">
        <f t="shared" si="32"/>
        <v>2.352487466255293E-2</v>
      </c>
      <c r="BF25" s="4">
        <f t="shared" si="33"/>
        <v>1.413292589763171E-2</v>
      </c>
      <c r="BG25" s="4">
        <f t="shared" si="34"/>
        <v>2.924634420697414E-2</v>
      </c>
      <c r="BH25" s="4">
        <f t="shared" si="35"/>
        <v>1.078360891444996E-2</v>
      </c>
      <c r="BI25" s="4">
        <f t="shared" si="36"/>
        <v>7.2072072072071336E-3</v>
      </c>
      <c r="BJ25" s="4">
        <f t="shared" si="37"/>
        <v>7.2886297376095754E-4</v>
      </c>
      <c r="BK25" s="4">
        <f t="shared" si="38"/>
        <v>1.7902813299232712E-2</v>
      </c>
      <c r="BL25" s="4">
        <f t="shared" si="39"/>
        <v>7.4321813452249419E-4</v>
      </c>
      <c r="BM25" s="4">
        <f t="shared" si="49"/>
        <v>1.3892690191109835E-2</v>
      </c>
      <c r="BN25" s="14">
        <f t="shared" si="50"/>
        <v>13641.926146521382</v>
      </c>
      <c r="BO25" s="15">
        <f t="shared" si="51"/>
        <v>13139.879903203462</v>
      </c>
      <c r="BP25" s="16">
        <v>13465</v>
      </c>
      <c r="BQ25" s="16">
        <v>13465</v>
      </c>
      <c r="BR25" s="16">
        <v>13435</v>
      </c>
      <c r="BS25" s="16">
        <v>13445</v>
      </c>
      <c r="BT25" s="16">
        <v>45613</v>
      </c>
      <c r="BU25" s="15">
        <f t="shared" si="40"/>
        <v>13448.333333333334</v>
      </c>
      <c r="BV25" s="15">
        <f t="shared" si="41"/>
        <v>613418828.33333337</v>
      </c>
      <c r="BW25" s="15">
        <f>SUM($BV$3:BV25)</f>
        <v>57642430786.666672</v>
      </c>
      <c r="BX25" s="15">
        <f>SUM($BT$3:BT25)</f>
        <v>4287001</v>
      </c>
      <c r="BY25" s="15">
        <f t="shared" si="42"/>
        <v>13445.863620434582</v>
      </c>
      <c r="BZ25" s="3">
        <v>23</v>
      </c>
      <c r="CA25" s="3">
        <f t="shared" si="43"/>
        <v>0</v>
      </c>
      <c r="CB25" s="3">
        <f t="shared" si="44"/>
        <v>0</v>
      </c>
      <c r="CC25" s="3">
        <f t="shared" si="45"/>
        <v>0</v>
      </c>
      <c r="CD25" s="3" t="str">
        <f t="shared" si="46"/>
        <v/>
      </c>
      <c r="CE25" s="3">
        <f t="shared" si="47"/>
        <v>0</v>
      </c>
    </row>
    <row r="26" spans="1:83" x14ac:dyDescent="0.3">
      <c r="A26" s="3" t="s">
        <v>66</v>
      </c>
      <c r="B26" s="3">
        <v>11795</v>
      </c>
      <c r="C26" s="3">
        <v>11790</v>
      </c>
      <c r="D26" s="3">
        <v>11520</v>
      </c>
      <c r="E26" s="3">
        <v>11515</v>
      </c>
      <c r="F26" s="3">
        <v>11555</v>
      </c>
      <c r="G26" s="3">
        <v>11555</v>
      </c>
      <c r="H26" s="3">
        <v>11665</v>
      </c>
      <c r="I26" s="3">
        <v>11615</v>
      </c>
      <c r="J26" s="3">
        <v>11720</v>
      </c>
      <c r="K26" s="3">
        <v>11685</v>
      </c>
      <c r="L26" s="3">
        <v>11905</v>
      </c>
      <c r="M26" s="3">
        <v>11920</v>
      </c>
      <c r="N26" s="3">
        <v>12345</v>
      </c>
      <c r="O26" s="3">
        <v>12340</v>
      </c>
      <c r="P26" s="3">
        <v>12740</v>
      </c>
      <c r="Q26" s="3">
        <v>12715</v>
      </c>
      <c r="R26" s="3">
        <v>12665</v>
      </c>
      <c r="S26" s="3">
        <v>12655</v>
      </c>
      <c r="T26" s="3">
        <v>12190</v>
      </c>
      <c r="U26" s="3">
        <v>12220</v>
      </c>
      <c r="V26" s="3">
        <v>12620</v>
      </c>
      <c r="W26" s="3">
        <v>12610</v>
      </c>
      <c r="X26" s="3">
        <v>12495</v>
      </c>
      <c r="Y26" s="3">
        <v>12490</v>
      </c>
      <c r="Z26" s="3">
        <v>12720</v>
      </c>
      <c r="AA26" s="3">
        <v>12720</v>
      </c>
      <c r="AB26" s="3">
        <v>13270</v>
      </c>
      <c r="AC26" s="3">
        <v>13280</v>
      </c>
      <c r="AD26" s="3">
        <v>13275</v>
      </c>
      <c r="AE26" s="3">
        <v>13255</v>
      </c>
      <c r="AF26" s="3">
        <v>13725</v>
      </c>
      <c r="AG26" s="3">
        <v>13680</v>
      </c>
      <c r="AH26" s="3">
        <v>14060</v>
      </c>
      <c r="AI26" s="3">
        <v>14080</v>
      </c>
      <c r="AJ26" s="3">
        <v>13980</v>
      </c>
      <c r="AK26" s="3">
        <v>13960</v>
      </c>
      <c r="AL26" s="3">
        <v>13710</v>
      </c>
      <c r="AM26" s="3">
        <v>13695</v>
      </c>
      <c r="AN26" s="3">
        <v>13445</v>
      </c>
      <c r="AO26" s="3">
        <v>13470</v>
      </c>
      <c r="AP26" s="3">
        <v>13445</v>
      </c>
      <c r="AQ26" s="3">
        <v>13480</v>
      </c>
      <c r="AR26" s="4">
        <f t="shared" si="48"/>
        <v>2.2549869904596731E-2</v>
      </c>
      <c r="AS26" s="4">
        <f t="shared" si="20"/>
        <v>3.0303030303030498E-3</v>
      </c>
      <c r="AT26" s="4">
        <f t="shared" si="21"/>
        <v>1.7165492957746498E-2</v>
      </c>
      <c r="AU26" s="4">
        <f t="shared" si="22"/>
        <v>1.4006791171477073E-2</v>
      </c>
      <c r="AV26" s="4">
        <f t="shared" si="23"/>
        <v>4.2771599657831505E-4</v>
      </c>
      <c r="AW26" s="4">
        <f t="shared" si="24"/>
        <v>5.0590219224282418E-3</v>
      </c>
      <c r="AX26" s="4">
        <f t="shared" si="25"/>
        <v>1.8572018159306536E-2</v>
      </c>
      <c r="AY26" s="4">
        <f t="shared" si="26"/>
        <v>5.0860719874804561E-3</v>
      </c>
      <c r="AZ26" s="4">
        <f t="shared" si="27"/>
        <v>8.7684336389000084E-3</v>
      </c>
      <c r="BA26" s="4">
        <f t="shared" si="28"/>
        <v>1.2525252525252495E-2</v>
      </c>
      <c r="BB26" s="4">
        <f t="shared" si="29"/>
        <v>2.2294284556141131E-2</v>
      </c>
      <c r="BC26" s="4">
        <f t="shared" si="30"/>
        <v>1.1476058567471359E-2</v>
      </c>
      <c r="BD26" s="4">
        <f t="shared" si="31"/>
        <v>9.3457943925233655E-3</v>
      </c>
      <c r="BE26" s="4">
        <f t="shared" si="32"/>
        <v>2.4296182028538338E-2</v>
      </c>
      <c r="BF26" s="4">
        <f t="shared" si="33"/>
        <v>1.2605042016806678E-2</v>
      </c>
      <c r="BG26" s="4">
        <f t="shared" si="34"/>
        <v>2.5871766029246235E-2</v>
      </c>
      <c r="BH26" s="4">
        <f t="shared" si="35"/>
        <v>1.2221423436376666E-2</v>
      </c>
      <c r="BI26" s="4">
        <f t="shared" si="36"/>
        <v>6.1261261261260636E-3</v>
      </c>
      <c r="BJ26" s="4">
        <f t="shared" si="37"/>
        <v>1.8221574344022828E-3</v>
      </c>
      <c r="BK26" s="4">
        <f t="shared" si="38"/>
        <v>1.5710632078918541E-2</v>
      </c>
      <c r="BL26" s="4">
        <f t="shared" si="39"/>
        <v>1.85804533630618E-3</v>
      </c>
      <c r="BM26" s="4">
        <f t="shared" si="49"/>
        <v>1.3337231641249296E-2</v>
      </c>
      <c r="BN26" s="14">
        <f t="shared" si="50"/>
        <v>13634.452451733008</v>
      </c>
      <c r="BO26" s="15">
        <f t="shared" si="51"/>
        <v>13147.281388380352</v>
      </c>
      <c r="BP26" s="16">
        <v>13445</v>
      </c>
      <c r="BQ26" s="16">
        <v>13480</v>
      </c>
      <c r="BR26" s="16">
        <v>13445</v>
      </c>
      <c r="BS26" s="16">
        <v>13480</v>
      </c>
      <c r="BT26" s="16">
        <v>96160</v>
      </c>
      <c r="BU26" s="15">
        <f t="shared" si="40"/>
        <v>13468.333333333334</v>
      </c>
      <c r="BV26" s="15">
        <f t="shared" si="41"/>
        <v>1295114933.3333335</v>
      </c>
      <c r="BW26" s="15">
        <f>SUM($BV$3:BV26)</f>
        <v>58937545720.000008</v>
      </c>
      <c r="BX26" s="15">
        <f>SUM($BT$3:BT26)</f>
        <v>4383161</v>
      </c>
      <c r="BY26" s="15">
        <f t="shared" si="42"/>
        <v>13446.356572345851</v>
      </c>
      <c r="BZ26" s="3">
        <v>24</v>
      </c>
      <c r="CA26" s="3">
        <f t="shared" si="43"/>
        <v>0</v>
      </c>
      <c r="CB26" s="3">
        <f t="shared" si="44"/>
        <v>0</v>
      </c>
      <c r="CC26" s="3">
        <f t="shared" si="45"/>
        <v>0</v>
      </c>
      <c r="CD26" s="3" t="str">
        <f t="shared" si="46"/>
        <v/>
      </c>
      <c r="CE26" s="3">
        <f t="shared" si="47"/>
        <v>0</v>
      </c>
    </row>
    <row r="27" spans="1:83" x14ac:dyDescent="0.3">
      <c r="A27" s="3" t="s">
        <v>67</v>
      </c>
      <c r="B27" s="3">
        <v>11795</v>
      </c>
      <c r="C27" s="3">
        <v>11780</v>
      </c>
      <c r="D27" s="3">
        <v>11515</v>
      </c>
      <c r="E27" s="3">
        <v>11525</v>
      </c>
      <c r="F27" s="3">
        <v>11555</v>
      </c>
      <c r="G27" s="3">
        <v>11570</v>
      </c>
      <c r="H27" s="3">
        <v>11615</v>
      </c>
      <c r="I27" s="3">
        <v>11605</v>
      </c>
      <c r="J27" s="3">
        <v>11685</v>
      </c>
      <c r="K27" s="3">
        <v>11695</v>
      </c>
      <c r="L27" s="3">
        <v>11920</v>
      </c>
      <c r="M27" s="3">
        <v>11915</v>
      </c>
      <c r="N27" s="3">
        <v>12340</v>
      </c>
      <c r="O27" s="3">
        <v>12335</v>
      </c>
      <c r="P27" s="3">
        <v>12715</v>
      </c>
      <c r="Q27" s="3">
        <v>12680</v>
      </c>
      <c r="R27" s="3">
        <v>12655</v>
      </c>
      <c r="S27" s="3">
        <v>12670</v>
      </c>
      <c r="T27" s="3">
        <v>12220</v>
      </c>
      <c r="U27" s="3">
        <v>12225</v>
      </c>
      <c r="V27" s="3">
        <v>12615</v>
      </c>
      <c r="W27" s="3">
        <v>12635</v>
      </c>
      <c r="X27" s="3">
        <v>12485</v>
      </c>
      <c r="Y27" s="3">
        <v>12495</v>
      </c>
      <c r="Z27" s="3">
        <v>12725</v>
      </c>
      <c r="AA27" s="3">
        <v>12730</v>
      </c>
      <c r="AB27" s="3">
        <v>13280</v>
      </c>
      <c r="AC27" s="3">
        <v>13285</v>
      </c>
      <c r="AD27" s="3">
        <v>13260</v>
      </c>
      <c r="AE27" s="3">
        <v>13265</v>
      </c>
      <c r="AF27" s="3">
        <v>13680</v>
      </c>
      <c r="AG27" s="3">
        <v>13715</v>
      </c>
      <c r="AH27" s="3">
        <v>14080</v>
      </c>
      <c r="AI27" s="3">
        <v>14115</v>
      </c>
      <c r="AJ27" s="3">
        <v>13955</v>
      </c>
      <c r="AK27" s="3">
        <v>13955</v>
      </c>
      <c r="AL27" s="3">
        <v>13695</v>
      </c>
      <c r="AM27" s="3">
        <v>13690</v>
      </c>
      <c r="AN27" s="3">
        <v>13470</v>
      </c>
      <c r="AO27" s="3">
        <v>13465</v>
      </c>
      <c r="AP27" s="3">
        <v>13480</v>
      </c>
      <c r="AQ27" s="3">
        <v>13445</v>
      </c>
      <c r="AR27" s="4">
        <f t="shared" si="48"/>
        <v>2.1682567215958404E-2</v>
      </c>
      <c r="AS27" s="4">
        <f t="shared" si="20"/>
        <v>2.1645021645021467E-3</v>
      </c>
      <c r="AT27" s="4">
        <f t="shared" si="21"/>
        <v>1.848591549295775E-2</v>
      </c>
      <c r="AU27" s="4">
        <f t="shared" si="22"/>
        <v>1.4855687606112E-2</v>
      </c>
      <c r="AV27" s="4">
        <f t="shared" si="23"/>
        <v>4.2771599657820403E-4</v>
      </c>
      <c r="AW27" s="4">
        <f t="shared" si="24"/>
        <v>4.6374367622259438E-3</v>
      </c>
      <c r="AX27" s="4">
        <f t="shared" si="25"/>
        <v>1.8159306644655482E-2</v>
      </c>
      <c r="AY27" s="4">
        <f t="shared" si="26"/>
        <v>7.8247261345852914E-3</v>
      </c>
      <c r="AZ27" s="4">
        <f t="shared" si="27"/>
        <v>9.9641291351135752E-3</v>
      </c>
      <c r="BA27" s="4">
        <f t="shared" si="28"/>
        <v>1.2121212121212088E-2</v>
      </c>
      <c r="BB27" s="4">
        <f t="shared" si="29"/>
        <v>2.4321037697608405E-2</v>
      </c>
      <c r="BC27" s="4">
        <f t="shared" si="30"/>
        <v>1.1080332409972304E-2</v>
      </c>
      <c r="BD27" s="4">
        <f t="shared" si="31"/>
        <v>8.5669781931464462E-3</v>
      </c>
      <c r="BE27" s="4">
        <f t="shared" si="32"/>
        <v>2.4681835711531042E-2</v>
      </c>
      <c r="BF27" s="4">
        <f t="shared" si="33"/>
        <v>1.3368983957219305E-2</v>
      </c>
      <c r="BG27" s="4">
        <f t="shared" si="34"/>
        <v>2.8496437945256803E-2</v>
      </c>
      <c r="BH27" s="4">
        <f t="shared" si="35"/>
        <v>1.4737598849748457E-2</v>
      </c>
      <c r="BI27" s="4">
        <f t="shared" si="36"/>
        <v>5.7657657657657069E-3</v>
      </c>
      <c r="BJ27" s="4">
        <f t="shared" si="37"/>
        <v>2.1865889212827616E-3</v>
      </c>
      <c r="BK27" s="4">
        <f t="shared" si="38"/>
        <v>1.6075995615637551E-2</v>
      </c>
      <c r="BL27" s="4">
        <f t="shared" si="39"/>
        <v>7.4321813452249419E-4</v>
      </c>
      <c r="BM27" s="4">
        <f t="shared" si="49"/>
        <v>1.4096494935909658E-2</v>
      </c>
      <c r="BN27" s="14">
        <f t="shared" si="50"/>
        <v>13644.668339362664</v>
      </c>
      <c r="BO27" s="15">
        <f t="shared" si="51"/>
        <v>13137.164204979003</v>
      </c>
      <c r="BP27" s="16">
        <v>13480</v>
      </c>
      <c r="BQ27" s="16">
        <v>13480</v>
      </c>
      <c r="BR27" s="16">
        <v>13440</v>
      </c>
      <c r="BS27" s="16">
        <v>13445</v>
      </c>
      <c r="BT27" s="16">
        <v>60625</v>
      </c>
      <c r="BU27" s="15">
        <f t="shared" si="40"/>
        <v>13455</v>
      </c>
      <c r="BV27" s="15">
        <f t="shared" si="41"/>
        <v>815709375</v>
      </c>
      <c r="BW27" s="15">
        <f>SUM($BV$3:BV27)</f>
        <v>59753255095.000008</v>
      </c>
      <c r="BX27" s="15">
        <f>SUM($BT$3:BT27)</f>
        <v>4443786</v>
      </c>
      <c r="BY27" s="15">
        <f t="shared" si="42"/>
        <v>13446.474491570927</v>
      </c>
      <c r="BZ27" s="3">
        <v>25</v>
      </c>
      <c r="CA27" s="3">
        <f t="shared" si="43"/>
        <v>0</v>
      </c>
      <c r="CB27" s="3">
        <f t="shared" si="44"/>
        <v>0</v>
      </c>
      <c r="CC27" s="3">
        <f t="shared" si="45"/>
        <v>0</v>
      </c>
      <c r="CD27" s="3" t="str">
        <f t="shared" si="46"/>
        <v/>
      </c>
      <c r="CE27" s="3">
        <f t="shared" si="47"/>
        <v>0</v>
      </c>
    </row>
    <row r="28" spans="1:83" x14ac:dyDescent="0.3">
      <c r="A28" s="3" t="s">
        <v>68</v>
      </c>
      <c r="B28" s="3">
        <v>11785</v>
      </c>
      <c r="C28" s="3">
        <v>11795</v>
      </c>
      <c r="D28" s="3">
        <v>11520</v>
      </c>
      <c r="E28" s="3">
        <v>11530</v>
      </c>
      <c r="F28" s="3">
        <v>11570</v>
      </c>
      <c r="G28" s="3">
        <v>11555</v>
      </c>
      <c r="H28" s="3">
        <v>11605</v>
      </c>
      <c r="I28" s="3">
        <v>11615</v>
      </c>
      <c r="J28" s="3">
        <v>11695</v>
      </c>
      <c r="K28" s="3">
        <v>11690</v>
      </c>
      <c r="L28" s="3">
        <v>11915</v>
      </c>
      <c r="M28" s="3">
        <v>11935</v>
      </c>
      <c r="N28" s="3">
        <v>12340</v>
      </c>
      <c r="O28" s="3">
        <v>12350</v>
      </c>
      <c r="P28" s="3">
        <v>12685</v>
      </c>
      <c r="Q28" s="3">
        <v>12715</v>
      </c>
      <c r="R28" s="3">
        <v>12670</v>
      </c>
      <c r="S28" s="3">
        <v>12640</v>
      </c>
      <c r="T28" s="3">
        <v>12220</v>
      </c>
      <c r="U28" s="3">
        <v>12205</v>
      </c>
      <c r="V28" s="3">
        <v>12635</v>
      </c>
      <c r="W28" s="3">
        <v>12645</v>
      </c>
      <c r="X28" s="3">
        <v>12495</v>
      </c>
      <c r="Y28" s="3">
        <v>12505</v>
      </c>
      <c r="Z28" s="3">
        <v>12725</v>
      </c>
      <c r="AA28" s="3">
        <v>12735</v>
      </c>
      <c r="AB28" s="3">
        <v>13285</v>
      </c>
      <c r="AC28" s="3">
        <v>13300</v>
      </c>
      <c r="AD28" s="3">
        <v>13265</v>
      </c>
      <c r="AE28" s="3">
        <v>13250</v>
      </c>
      <c r="AF28" s="3">
        <v>13720</v>
      </c>
      <c r="AG28" s="3">
        <v>13750</v>
      </c>
      <c r="AH28" s="3">
        <v>14120</v>
      </c>
      <c r="AI28" s="3">
        <v>14150</v>
      </c>
      <c r="AJ28" s="3">
        <v>13945</v>
      </c>
      <c r="AK28" s="3">
        <v>13910</v>
      </c>
      <c r="AL28" s="3">
        <v>13695</v>
      </c>
      <c r="AM28" s="3">
        <v>13665</v>
      </c>
      <c r="AN28" s="3">
        <v>13470</v>
      </c>
      <c r="AO28" s="3">
        <v>13440</v>
      </c>
      <c r="AP28" s="3">
        <v>13450</v>
      </c>
      <c r="AQ28" s="3">
        <v>13465</v>
      </c>
      <c r="AR28" s="4">
        <f t="shared" si="48"/>
        <v>2.2983521248915784E-2</v>
      </c>
      <c r="AS28" s="4">
        <f t="shared" si="20"/>
        <v>1.7316017316016952E-3</v>
      </c>
      <c r="AT28" s="4">
        <f t="shared" si="21"/>
        <v>1.7165492957746498E-2</v>
      </c>
      <c r="AU28" s="4">
        <f t="shared" si="22"/>
        <v>1.4006791171477073E-2</v>
      </c>
      <c r="AV28" s="4">
        <f t="shared" si="23"/>
        <v>0</v>
      </c>
      <c r="AW28" s="4">
        <f t="shared" si="24"/>
        <v>6.3237774030353577E-3</v>
      </c>
      <c r="AX28" s="4">
        <f t="shared" si="25"/>
        <v>1.9397441188609088E-2</v>
      </c>
      <c r="AY28" s="4">
        <f t="shared" si="26"/>
        <v>5.0860719874804561E-3</v>
      </c>
      <c r="AZ28" s="4">
        <f t="shared" si="27"/>
        <v>7.5727381426862195E-3</v>
      </c>
      <c r="BA28" s="4">
        <f t="shared" si="28"/>
        <v>1.3737373737373715E-2</v>
      </c>
      <c r="BB28" s="4">
        <f t="shared" si="29"/>
        <v>2.5131738954195404E-2</v>
      </c>
      <c r="BC28" s="4">
        <f t="shared" si="30"/>
        <v>1.0288880094974306E-2</v>
      </c>
      <c r="BD28" s="4">
        <f t="shared" si="31"/>
        <v>8.1775700934579865E-3</v>
      </c>
      <c r="BE28" s="4">
        <f t="shared" si="32"/>
        <v>2.5838796760509153E-2</v>
      </c>
      <c r="BF28" s="4">
        <f t="shared" si="33"/>
        <v>1.2223071046600475E-2</v>
      </c>
      <c r="BG28" s="4">
        <f t="shared" si="34"/>
        <v>3.1121109861267371E-2</v>
      </c>
      <c r="BH28" s="4">
        <f t="shared" si="35"/>
        <v>1.7253774263120025E-2</v>
      </c>
      <c r="BI28" s="4">
        <f t="shared" si="36"/>
        <v>2.5225225225224968E-3</v>
      </c>
      <c r="BJ28" s="4">
        <f t="shared" si="37"/>
        <v>4.0087463556851555E-3</v>
      </c>
      <c r="BK28" s="4">
        <f t="shared" si="38"/>
        <v>1.7902813299232712E-2</v>
      </c>
      <c r="BL28" s="4">
        <f t="shared" si="39"/>
        <v>7.4321813452238317E-4</v>
      </c>
      <c r="BM28" s="4">
        <f t="shared" si="49"/>
        <v>1.4304474879122469E-2</v>
      </c>
      <c r="BN28" s="14">
        <f t="shared" si="50"/>
        <v>13647.466709498594</v>
      </c>
      <c r="BO28" s="15">
        <f t="shared" si="51"/>
        <v>13134.392872235694</v>
      </c>
      <c r="BP28" s="16">
        <v>13450</v>
      </c>
      <c r="BQ28" s="16">
        <v>13465</v>
      </c>
      <c r="BR28" s="16">
        <v>13445</v>
      </c>
      <c r="BS28" s="16">
        <v>13465</v>
      </c>
      <c r="BT28" s="16">
        <v>31079</v>
      </c>
      <c r="BU28" s="15">
        <f t="shared" si="40"/>
        <v>13458.333333333334</v>
      </c>
      <c r="BV28" s="15">
        <f t="shared" si="41"/>
        <v>418271541.66666669</v>
      </c>
      <c r="BW28" s="15">
        <f>SUM($BV$3:BV28)</f>
        <v>60171526636.666672</v>
      </c>
      <c r="BX28" s="15">
        <f>SUM($BT$3:BT28)</f>
        <v>4474865</v>
      </c>
      <c r="BY28" s="15">
        <f t="shared" si="42"/>
        <v>13446.556854042898</v>
      </c>
      <c r="BZ28" s="3">
        <v>26</v>
      </c>
      <c r="CA28" s="3">
        <f t="shared" si="43"/>
        <v>0</v>
      </c>
      <c r="CB28" s="3">
        <f t="shared" si="44"/>
        <v>0</v>
      </c>
      <c r="CC28" s="3">
        <f t="shared" si="45"/>
        <v>0</v>
      </c>
      <c r="CD28" s="3" t="str">
        <f t="shared" si="46"/>
        <v/>
      </c>
      <c r="CE28" s="3">
        <f t="shared" si="47"/>
        <v>0</v>
      </c>
    </row>
    <row r="29" spans="1:83" x14ac:dyDescent="0.3">
      <c r="A29" s="3" t="s">
        <v>69</v>
      </c>
      <c r="B29" s="3">
        <v>11795</v>
      </c>
      <c r="C29" s="3">
        <v>11780</v>
      </c>
      <c r="D29" s="3">
        <v>11530</v>
      </c>
      <c r="E29" s="3">
        <v>11510</v>
      </c>
      <c r="F29" s="3">
        <v>11555</v>
      </c>
      <c r="G29" s="3">
        <v>11580</v>
      </c>
      <c r="H29" s="3">
        <v>11610</v>
      </c>
      <c r="I29" s="3">
        <v>11615</v>
      </c>
      <c r="J29" s="3">
        <v>11690</v>
      </c>
      <c r="K29" s="3">
        <v>11705</v>
      </c>
      <c r="L29" s="3">
        <v>11940</v>
      </c>
      <c r="M29" s="3">
        <v>11950</v>
      </c>
      <c r="N29" s="3">
        <v>12350</v>
      </c>
      <c r="O29" s="3">
        <v>12355</v>
      </c>
      <c r="P29" s="3">
        <v>12720</v>
      </c>
      <c r="Q29" s="3">
        <v>12735</v>
      </c>
      <c r="R29" s="3">
        <v>12640</v>
      </c>
      <c r="S29" s="3">
        <v>12650</v>
      </c>
      <c r="T29" s="3">
        <v>12205</v>
      </c>
      <c r="U29" s="3">
        <v>12230</v>
      </c>
      <c r="V29" s="3">
        <v>12645</v>
      </c>
      <c r="W29" s="3">
        <v>12655</v>
      </c>
      <c r="X29" s="3">
        <v>12505</v>
      </c>
      <c r="Y29" s="3">
        <v>12515</v>
      </c>
      <c r="Z29" s="3">
        <v>12730</v>
      </c>
      <c r="AA29" s="3">
        <v>12815</v>
      </c>
      <c r="AB29" s="3">
        <v>13295</v>
      </c>
      <c r="AC29" s="3">
        <v>13285</v>
      </c>
      <c r="AD29" s="3">
        <v>13250</v>
      </c>
      <c r="AE29" s="3">
        <v>13265</v>
      </c>
      <c r="AF29" s="3">
        <v>13745</v>
      </c>
      <c r="AG29" s="3">
        <v>13740</v>
      </c>
      <c r="AH29" s="3">
        <v>14150</v>
      </c>
      <c r="AI29" s="3">
        <v>14140</v>
      </c>
      <c r="AJ29" s="3">
        <v>13910</v>
      </c>
      <c r="AK29" s="3">
        <v>13885</v>
      </c>
      <c r="AL29" s="3">
        <v>13670</v>
      </c>
      <c r="AM29" s="3">
        <v>13660</v>
      </c>
      <c r="AN29" s="3">
        <v>13440</v>
      </c>
      <c r="AO29" s="3">
        <v>13405</v>
      </c>
      <c r="AP29" s="3">
        <v>13465</v>
      </c>
      <c r="AQ29" s="3">
        <v>13430</v>
      </c>
      <c r="AR29" s="4">
        <f t="shared" si="48"/>
        <v>2.1682567215958404E-2</v>
      </c>
      <c r="AS29" s="4">
        <f t="shared" si="20"/>
        <v>3.4632034632035014E-3</v>
      </c>
      <c r="AT29" s="4">
        <f t="shared" si="21"/>
        <v>1.936619718309851E-2</v>
      </c>
      <c r="AU29" s="4">
        <f t="shared" si="22"/>
        <v>1.4006791171477073E-2</v>
      </c>
      <c r="AV29" s="4">
        <f t="shared" si="23"/>
        <v>1.2831479897348341E-3</v>
      </c>
      <c r="AW29" s="4">
        <f t="shared" si="24"/>
        <v>7.5885328836424737E-3</v>
      </c>
      <c r="AX29" s="4">
        <f t="shared" si="25"/>
        <v>1.9810152703260364E-2</v>
      </c>
      <c r="AY29" s="4">
        <f t="shared" si="26"/>
        <v>3.5211267605633756E-3</v>
      </c>
      <c r="AZ29" s="4">
        <f t="shared" si="27"/>
        <v>8.3698684734954121E-3</v>
      </c>
      <c r="BA29" s="4">
        <f t="shared" si="28"/>
        <v>1.1717171717171682E-2</v>
      </c>
      <c r="BB29" s="4">
        <f t="shared" si="29"/>
        <v>2.5942440210782403E-2</v>
      </c>
      <c r="BC29" s="4">
        <f t="shared" si="30"/>
        <v>9.4974277799763085E-3</v>
      </c>
      <c r="BD29" s="4">
        <f t="shared" si="31"/>
        <v>1.9470404984424095E-3</v>
      </c>
      <c r="BE29" s="4">
        <f t="shared" si="32"/>
        <v>2.4681835711531042E-2</v>
      </c>
      <c r="BF29" s="4">
        <f t="shared" si="33"/>
        <v>1.3368983957219305E-2</v>
      </c>
      <c r="BG29" s="4">
        <f t="shared" si="34"/>
        <v>3.0371203599550034E-2</v>
      </c>
      <c r="BH29" s="4">
        <f t="shared" si="35"/>
        <v>1.6534867002156783E-2</v>
      </c>
      <c r="BI29" s="4">
        <f t="shared" si="36"/>
        <v>7.2072072072071336E-4</v>
      </c>
      <c r="BJ29" s="4">
        <f t="shared" si="37"/>
        <v>4.3731778425656342E-3</v>
      </c>
      <c r="BK29" s="4">
        <f t="shared" si="38"/>
        <v>2.0460358056266004E-2</v>
      </c>
      <c r="BL29" s="4">
        <f t="shared" si="39"/>
        <v>1.85804533630618E-3</v>
      </c>
      <c r="BM29" s="4">
        <f t="shared" si="49"/>
        <v>1.3665455359550105E-2</v>
      </c>
      <c r="BN29" s="14">
        <f t="shared" si="50"/>
        <v>13638.868701862746</v>
      </c>
      <c r="BO29" s="15">
        <f t="shared" si="51"/>
        <v>13142.907807333995</v>
      </c>
      <c r="BP29" s="16">
        <v>13465</v>
      </c>
      <c r="BQ29" s="16">
        <v>13465</v>
      </c>
      <c r="BR29" s="16">
        <v>13425</v>
      </c>
      <c r="BS29" s="16">
        <v>13430</v>
      </c>
      <c r="BT29" s="16">
        <v>33268</v>
      </c>
      <c r="BU29" s="15">
        <f t="shared" si="40"/>
        <v>13440</v>
      </c>
      <c r="BV29" s="15">
        <f t="shared" si="41"/>
        <v>447121920</v>
      </c>
      <c r="BW29" s="15">
        <f>SUM($BV$3:BV29)</f>
        <v>60618648556.666672</v>
      </c>
      <c r="BX29" s="15">
        <f>SUM($BT$3:BT29)</f>
        <v>4508133</v>
      </c>
      <c r="BY29" s="15">
        <f t="shared" si="42"/>
        <v>13446.50846740029</v>
      </c>
      <c r="BZ29" s="3">
        <v>27</v>
      </c>
      <c r="CA29" s="3">
        <f t="shared" si="43"/>
        <v>0</v>
      </c>
      <c r="CB29" s="3">
        <f t="shared" si="44"/>
        <v>0</v>
      </c>
      <c r="CC29" s="3">
        <f t="shared" si="45"/>
        <v>0</v>
      </c>
      <c r="CD29" s="3" t="str">
        <f t="shared" si="46"/>
        <v/>
      </c>
      <c r="CE29" s="3">
        <f t="shared" si="47"/>
        <v>0</v>
      </c>
    </row>
    <row r="30" spans="1:83" x14ac:dyDescent="0.3">
      <c r="A30" s="3" t="s">
        <v>70</v>
      </c>
      <c r="B30" s="3">
        <v>11780</v>
      </c>
      <c r="C30" s="3">
        <v>11760</v>
      </c>
      <c r="D30" s="3">
        <v>11515</v>
      </c>
      <c r="E30" s="3">
        <v>11515</v>
      </c>
      <c r="F30" s="3">
        <v>11570</v>
      </c>
      <c r="G30" s="3">
        <v>11625</v>
      </c>
      <c r="H30" s="3">
        <v>11615</v>
      </c>
      <c r="I30" s="3">
        <v>11590</v>
      </c>
      <c r="J30" s="3">
        <v>11700</v>
      </c>
      <c r="K30" s="3">
        <v>11670</v>
      </c>
      <c r="L30" s="3">
        <v>11955</v>
      </c>
      <c r="M30" s="3">
        <v>11980</v>
      </c>
      <c r="N30" s="3">
        <v>12350</v>
      </c>
      <c r="O30" s="3">
        <v>12360</v>
      </c>
      <c r="P30" s="3">
        <v>12735</v>
      </c>
      <c r="Q30" s="3">
        <v>12720</v>
      </c>
      <c r="R30" s="3">
        <v>12650</v>
      </c>
      <c r="S30" s="3">
        <v>12655</v>
      </c>
      <c r="T30" s="3">
        <v>12230</v>
      </c>
      <c r="U30" s="3">
        <v>12215</v>
      </c>
      <c r="V30" s="3">
        <v>12655</v>
      </c>
      <c r="W30" s="3">
        <v>12660</v>
      </c>
      <c r="X30" s="3">
        <v>12510</v>
      </c>
      <c r="Y30" s="3">
        <v>12510</v>
      </c>
      <c r="Z30" s="3">
        <v>12820</v>
      </c>
      <c r="AA30" s="3">
        <v>12775</v>
      </c>
      <c r="AB30" s="3">
        <v>13285</v>
      </c>
      <c r="AC30" s="3">
        <v>13285</v>
      </c>
      <c r="AD30" s="3">
        <v>13265</v>
      </c>
      <c r="AE30" s="3">
        <v>13260</v>
      </c>
      <c r="AF30" s="3">
        <v>13745</v>
      </c>
      <c r="AG30" s="3">
        <v>13715</v>
      </c>
      <c r="AH30" s="3">
        <v>14145</v>
      </c>
      <c r="AI30" s="3">
        <v>14155</v>
      </c>
      <c r="AJ30" s="3">
        <v>13880</v>
      </c>
      <c r="AK30" s="3">
        <v>13940</v>
      </c>
      <c r="AL30" s="3">
        <v>13660</v>
      </c>
      <c r="AM30" s="3">
        <v>13680</v>
      </c>
      <c r="AN30" s="3">
        <v>13400</v>
      </c>
      <c r="AO30" s="3">
        <v>13425</v>
      </c>
      <c r="AP30" s="3">
        <v>13430</v>
      </c>
      <c r="AQ30" s="3">
        <v>13435</v>
      </c>
      <c r="AR30" s="4">
        <f t="shared" si="48"/>
        <v>1.9947961838681749E-2</v>
      </c>
      <c r="AS30" s="4">
        <f t="shared" si="20"/>
        <v>3.0303030303030498E-3</v>
      </c>
      <c r="AT30" s="4">
        <f t="shared" si="21"/>
        <v>2.3327464788732488E-2</v>
      </c>
      <c r="AU30" s="4">
        <f t="shared" si="22"/>
        <v>1.6129032258064502E-2</v>
      </c>
      <c r="AV30" s="4">
        <f t="shared" si="23"/>
        <v>1.7108639863130382E-3</v>
      </c>
      <c r="AW30" s="4">
        <f t="shared" si="24"/>
        <v>1.0118043844856706E-2</v>
      </c>
      <c r="AX30" s="4">
        <f t="shared" si="25"/>
        <v>2.022286421791164E-2</v>
      </c>
      <c r="AY30" s="4">
        <f t="shared" si="26"/>
        <v>4.6948356807511304E-3</v>
      </c>
      <c r="AZ30" s="4">
        <f t="shared" si="27"/>
        <v>8.7684336389000084E-3</v>
      </c>
      <c r="BA30" s="4">
        <f t="shared" si="28"/>
        <v>1.2929292929292902E-2</v>
      </c>
      <c r="BB30" s="4">
        <f t="shared" si="29"/>
        <v>2.6347790839075902E-2</v>
      </c>
      <c r="BC30" s="4">
        <f t="shared" si="30"/>
        <v>9.893153937475252E-3</v>
      </c>
      <c r="BD30" s="4">
        <f t="shared" si="31"/>
        <v>5.062305295950198E-3</v>
      </c>
      <c r="BE30" s="4">
        <f t="shared" si="32"/>
        <v>2.4681835711531042E-2</v>
      </c>
      <c r="BF30" s="4">
        <f t="shared" si="33"/>
        <v>1.298701298701288E-2</v>
      </c>
      <c r="BG30" s="4">
        <f t="shared" si="34"/>
        <v>2.8496437945256803E-2</v>
      </c>
      <c r="BH30" s="4">
        <f t="shared" si="35"/>
        <v>1.7613227893601646E-2</v>
      </c>
      <c r="BI30" s="4">
        <f t="shared" si="36"/>
        <v>4.6846846846846368E-3</v>
      </c>
      <c r="BJ30" s="4">
        <f t="shared" si="37"/>
        <v>2.9154518950437192E-3</v>
      </c>
      <c r="BK30" s="4">
        <f t="shared" si="38"/>
        <v>1.8998903909389853E-2</v>
      </c>
      <c r="BL30" s="4">
        <f t="shared" si="39"/>
        <v>1.4864362690449884E-3</v>
      </c>
      <c r="BM30" s="4">
        <f t="shared" si="49"/>
        <v>1.416401654041983E-2</v>
      </c>
      <c r="BN30" s="14">
        <f t="shared" si="50"/>
        <v>13645.576842551349</v>
      </c>
      <c r="BO30" s="15">
        <f t="shared" si="51"/>
        <v>13136.264479598905</v>
      </c>
      <c r="BP30" s="16">
        <v>13430</v>
      </c>
      <c r="BQ30" s="16">
        <v>13440</v>
      </c>
      <c r="BR30" s="16">
        <v>13425</v>
      </c>
      <c r="BS30" s="16">
        <v>13435</v>
      </c>
      <c r="BT30" s="16">
        <v>37610</v>
      </c>
      <c r="BU30" s="15">
        <f t="shared" si="40"/>
        <v>13433.333333333334</v>
      </c>
      <c r="BV30" s="15">
        <f t="shared" si="41"/>
        <v>505227666.66666669</v>
      </c>
      <c r="BW30" s="15">
        <f>SUM($BV$3:BV30)</f>
        <v>61123876223.333336</v>
      </c>
      <c r="BX30" s="15">
        <f>SUM($BT$3:BT30)</f>
        <v>4545743</v>
      </c>
      <c r="BY30" s="15">
        <f t="shared" si="42"/>
        <v>13446.399460623563</v>
      </c>
      <c r="BZ30" s="3">
        <v>28</v>
      </c>
      <c r="CA30" s="3">
        <f t="shared" si="43"/>
        <v>0</v>
      </c>
      <c r="CB30" s="3">
        <f t="shared" si="44"/>
        <v>0</v>
      </c>
      <c r="CC30" s="3">
        <f t="shared" si="45"/>
        <v>0</v>
      </c>
      <c r="CD30" s="3" t="str">
        <f t="shared" si="46"/>
        <v/>
      </c>
      <c r="CE30" s="3">
        <f t="shared" si="47"/>
        <v>0</v>
      </c>
    </row>
    <row r="31" spans="1:83" x14ac:dyDescent="0.3">
      <c r="A31" s="3" t="s">
        <v>71</v>
      </c>
      <c r="B31" s="3">
        <v>11755</v>
      </c>
      <c r="C31" s="3">
        <v>11740</v>
      </c>
      <c r="D31" s="3">
        <v>11515</v>
      </c>
      <c r="E31" s="3">
        <v>11490</v>
      </c>
      <c r="F31" s="3">
        <v>11625</v>
      </c>
      <c r="G31" s="3">
        <v>11635</v>
      </c>
      <c r="H31" s="3">
        <v>11595</v>
      </c>
      <c r="I31" s="3">
        <v>11605</v>
      </c>
      <c r="J31" s="3">
        <v>11670</v>
      </c>
      <c r="K31" s="3">
        <v>11665</v>
      </c>
      <c r="L31" s="3">
        <v>11980</v>
      </c>
      <c r="M31" s="3">
        <v>11980</v>
      </c>
      <c r="N31" s="3">
        <v>12360</v>
      </c>
      <c r="O31" s="3">
        <v>12345</v>
      </c>
      <c r="P31" s="3">
        <v>12730</v>
      </c>
      <c r="Q31" s="3">
        <v>12700</v>
      </c>
      <c r="R31" s="3">
        <v>12650</v>
      </c>
      <c r="S31" s="3">
        <v>12645</v>
      </c>
      <c r="T31" s="3">
        <v>12210</v>
      </c>
      <c r="U31" s="3">
        <v>12195</v>
      </c>
      <c r="V31" s="3">
        <v>12655</v>
      </c>
      <c r="W31" s="3">
        <v>12660</v>
      </c>
      <c r="X31" s="3">
        <v>12510</v>
      </c>
      <c r="Y31" s="3">
        <v>12495</v>
      </c>
      <c r="Z31" s="3">
        <v>12775</v>
      </c>
      <c r="AA31" s="3">
        <v>12795</v>
      </c>
      <c r="AB31" s="3">
        <v>13285</v>
      </c>
      <c r="AC31" s="3">
        <v>13275</v>
      </c>
      <c r="AD31" s="3">
        <v>13260</v>
      </c>
      <c r="AE31" s="3">
        <v>13245</v>
      </c>
      <c r="AF31" s="3">
        <v>13715</v>
      </c>
      <c r="AG31" s="3">
        <v>13740</v>
      </c>
      <c r="AH31" s="3">
        <v>14150</v>
      </c>
      <c r="AI31" s="3">
        <v>14175</v>
      </c>
      <c r="AJ31" s="3">
        <v>13940</v>
      </c>
      <c r="AK31" s="3">
        <v>13930</v>
      </c>
      <c r="AL31" s="3">
        <v>13680</v>
      </c>
      <c r="AM31" s="3">
        <v>13695</v>
      </c>
      <c r="AN31" s="3">
        <v>13425</v>
      </c>
      <c r="AO31" s="3">
        <v>13395</v>
      </c>
      <c r="AP31" s="3">
        <v>13435</v>
      </c>
      <c r="AQ31" s="3">
        <v>13420</v>
      </c>
      <c r="AR31" s="4">
        <f t="shared" si="48"/>
        <v>1.8213356461405095E-2</v>
      </c>
      <c r="AS31" s="4">
        <f t="shared" si="20"/>
        <v>5.1948051948051965E-3</v>
      </c>
      <c r="AT31" s="4">
        <f t="shared" si="21"/>
        <v>2.4207746478873249E-2</v>
      </c>
      <c r="AU31" s="4">
        <f t="shared" si="22"/>
        <v>1.4855687606112E-2</v>
      </c>
      <c r="AV31" s="4">
        <f t="shared" si="23"/>
        <v>2.1385799828913532E-3</v>
      </c>
      <c r="AW31" s="4">
        <f t="shared" si="24"/>
        <v>1.0118043844856706E-2</v>
      </c>
      <c r="AX31" s="4">
        <f t="shared" si="25"/>
        <v>1.8984729673957812E-2</v>
      </c>
      <c r="AY31" s="4">
        <f t="shared" si="26"/>
        <v>6.2597809076682109E-3</v>
      </c>
      <c r="AZ31" s="4">
        <f t="shared" si="27"/>
        <v>7.9713033080908158E-3</v>
      </c>
      <c r="BA31" s="4">
        <f t="shared" si="28"/>
        <v>1.4545454545454528E-2</v>
      </c>
      <c r="BB31" s="4">
        <f t="shared" si="29"/>
        <v>2.6347790839075902E-2</v>
      </c>
      <c r="BC31" s="4">
        <f t="shared" si="30"/>
        <v>1.1080332409972304E-2</v>
      </c>
      <c r="BD31" s="4">
        <f t="shared" si="31"/>
        <v>3.5046728971962482E-3</v>
      </c>
      <c r="BE31" s="4">
        <f t="shared" si="32"/>
        <v>2.3910528345545634E-2</v>
      </c>
      <c r="BF31" s="4">
        <f t="shared" si="33"/>
        <v>1.1841100076394273E-2</v>
      </c>
      <c r="BG31" s="4">
        <f t="shared" si="34"/>
        <v>3.0371203599550034E-2</v>
      </c>
      <c r="BH31" s="4">
        <f t="shared" si="35"/>
        <v>1.9051042415528352E-2</v>
      </c>
      <c r="BI31" s="4">
        <f t="shared" si="36"/>
        <v>3.9639639639639235E-3</v>
      </c>
      <c r="BJ31" s="4">
        <f t="shared" si="37"/>
        <v>1.8221574344022828E-3</v>
      </c>
      <c r="BK31" s="4">
        <f t="shared" si="38"/>
        <v>2.1191085129704024E-2</v>
      </c>
      <c r="BL31" s="4">
        <f t="shared" si="39"/>
        <v>2.6012634708286742E-3</v>
      </c>
      <c r="BM31" s="4">
        <f t="shared" si="49"/>
        <v>1.434608182475031E-2</v>
      </c>
      <c r="BN31" s="14">
        <f t="shared" si="50"/>
        <v>13648.026530952015</v>
      </c>
      <c r="BO31" s="15">
        <f t="shared" si="51"/>
        <v>13133.838459685203</v>
      </c>
      <c r="BP31" s="16">
        <v>13435</v>
      </c>
      <c r="BQ31" s="16">
        <v>13450</v>
      </c>
      <c r="BR31" s="16">
        <v>13420</v>
      </c>
      <c r="BS31" s="16">
        <v>13420</v>
      </c>
      <c r="BT31" s="16">
        <v>55091</v>
      </c>
      <c r="BU31" s="15">
        <f t="shared" si="40"/>
        <v>13430</v>
      </c>
      <c r="BV31" s="15">
        <f t="shared" si="41"/>
        <v>739872130</v>
      </c>
      <c r="BW31" s="15">
        <f>SUM($BV$3:BV31)</f>
        <v>61863748353.333336</v>
      </c>
      <c r="BX31" s="15">
        <f>SUM($BT$3:BT31)</f>
        <v>4600834</v>
      </c>
      <c r="BY31" s="15">
        <f t="shared" si="42"/>
        <v>13446.203091294608</v>
      </c>
      <c r="BZ31" s="3">
        <v>29</v>
      </c>
      <c r="CA31" s="3">
        <f t="shared" si="43"/>
        <v>0</v>
      </c>
      <c r="CB31" s="3">
        <f t="shared" si="44"/>
        <v>0</v>
      </c>
      <c r="CC31" s="3">
        <f t="shared" si="45"/>
        <v>0</v>
      </c>
      <c r="CD31" s="3" t="str">
        <f t="shared" si="46"/>
        <v/>
      </c>
      <c r="CE31" s="3">
        <f t="shared" si="47"/>
        <v>0</v>
      </c>
    </row>
    <row r="32" spans="1:83" x14ac:dyDescent="0.3">
      <c r="A32" s="3" t="s">
        <v>72</v>
      </c>
      <c r="B32" s="3">
        <v>11735</v>
      </c>
      <c r="C32" s="3">
        <v>11740</v>
      </c>
      <c r="D32" s="3">
        <v>11490</v>
      </c>
      <c r="E32" s="3">
        <v>11495</v>
      </c>
      <c r="F32" s="3">
        <v>11635</v>
      </c>
      <c r="G32" s="3">
        <v>11670</v>
      </c>
      <c r="H32" s="3">
        <v>11605</v>
      </c>
      <c r="I32" s="3">
        <v>11595</v>
      </c>
      <c r="J32" s="3">
        <v>11665</v>
      </c>
      <c r="K32" s="3">
        <v>11645</v>
      </c>
      <c r="L32" s="3">
        <v>11980</v>
      </c>
      <c r="M32" s="3">
        <v>11990</v>
      </c>
      <c r="N32" s="3">
        <v>12345</v>
      </c>
      <c r="O32" s="3">
        <v>12350</v>
      </c>
      <c r="P32" s="3">
        <v>12700</v>
      </c>
      <c r="Q32" s="3">
        <v>12695</v>
      </c>
      <c r="R32" s="3">
        <v>12640</v>
      </c>
      <c r="S32" s="3">
        <v>12655</v>
      </c>
      <c r="T32" s="3">
        <v>12190</v>
      </c>
      <c r="U32" s="3">
        <v>12205</v>
      </c>
      <c r="V32" s="3">
        <v>12660</v>
      </c>
      <c r="W32" s="3">
        <v>12635</v>
      </c>
      <c r="X32" s="3">
        <v>12495</v>
      </c>
      <c r="Y32" s="3">
        <v>12520</v>
      </c>
      <c r="Z32" s="3">
        <v>12795</v>
      </c>
      <c r="AA32" s="3">
        <v>12780</v>
      </c>
      <c r="AB32" s="3">
        <v>13275</v>
      </c>
      <c r="AC32" s="3">
        <v>13290</v>
      </c>
      <c r="AD32" s="3">
        <v>13250</v>
      </c>
      <c r="AE32" s="3">
        <v>13250</v>
      </c>
      <c r="AF32" s="3">
        <v>13740</v>
      </c>
      <c r="AG32" s="3">
        <v>13720</v>
      </c>
      <c r="AH32" s="3">
        <v>14170</v>
      </c>
      <c r="AI32" s="3">
        <v>14175</v>
      </c>
      <c r="AJ32" s="3">
        <v>13925</v>
      </c>
      <c r="AK32" s="3">
        <v>13900</v>
      </c>
      <c r="AL32" s="3">
        <v>13695</v>
      </c>
      <c r="AM32" s="3">
        <v>13685</v>
      </c>
      <c r="AN32" s="3">
        <v>13400</v>
      </c>
      <c r="AO32" s="3">
        <v>13425</v>
      </c>
      <c r="AP32" s="3">
        <v>13420</v>
      </c>
      <c r="AQ32" s="3">
        <v>13415</v>
      </c>
      <c r="AR32" s="4">
        <f t="shared" si="48"/>
        <v>1.8213356461405095E-2</v>
      </c>
      <c r="AS32" s="4">
        <f t="shared" si="20"/>
        <v>4.761904761904745E-3</v>
      </c>
      <c r="AT32" s="4">
        <f t="shared" si="21"/>
        <v>2.7288732394366244E-2</v>
      </c>
      <c r="AU32" s="4">
        <f t="shared" si="22"/>
        <v>1.5704584040747038E-2</v>
      </c>
      <c r="AV32" s="4">
        <f t="shared" si="23"/>
        <v>3.8494439692045024E-3</v>
      </c>
      <c r="AW32" s="4">
        <f t="shared" si="24"/>
        <v>1.0961214165261302E-2</v>
      </c>
      <c r="AX32" s="4">
        <f t="shared" si="25"/>
        <v>1.9397441188609088E-2</v>
      </c>
      <c r="AY32" s="4">
        <f t="shared" si="26"/>
        <v>6.6510172143975366E-3</v>
      </c>
      <c r="AZ32" s="4">
        <f t="shared" si="27"/>
        <v>8.7684336389000084E-3</v>
      </c>
      <c r="BA32" s="4">
        <f t="shared" si="28"/>
        <v>1.3737373737373715E-2</v>
      </c>
      <c r="BB32" s="4">
        <f t="shared" si="29"/>
        <v>2.4321037697608405E-2</v>
      </c>
      <c r="BC32" s="4">
        <f t="shared" si="30"/>
        <v>9.101701622477254E-3</v>
      </c>
      <c r="BD32" s="4">
        <f t="shared" si="31"/>
        <v>4.6728971962616273E-3</v>
      </c>
      <c r="BE32" s="4">
        <f t="shared" si="32"/>
        <v>2.5067489394523745E-2</v>
      </c>
      <c r="BF32" s="4">
        <f t="shared" si="33"/>
        <v>1.2223071046600475E-2</v>
      </c>
      <c r="BG32" s="4">
        <f t="shared" si="34"/>
        <v>2.8871391076115582E-2</v>
      </c>
      <c r="BH32" s="4">
        <f t="shared" si="35"/>
        <v>1.9051042415528352E-2</v>
      </c>
      <c r="BI32" s="4">
        <f t="shared" si="36"/>
        <v>1.8018018018017834E-3</v>
      </c>
      <c r="BJ32" s="4">
        <f t="shared" si="37"/>
        <v>2.5510204081632404E-3</v>
      </c>
      <c r="BK32" s="4">
        <f t="shared" si="38"/>
        <v>1.8998903909389853E-2</v>
      </c>
      <c r="BL32" s="4">
        <f t="shared" si="39"/>
        <v>2.9728725380899768E-3</v>
      </c>
      <c r="BM32" s="4">
        <f t="shared" si="49"/>
        <v>1.3943901596267905E-2</v>
      </c>
      <c r="BN32" s="14">
        <f t="shared" si="50"/>
        <v>13642.615195977785</v>
      </c>
      <c r="BO32" s="15">
        <f t="shared" si="51"/>
        <v>13139.19751122973</v>
      </c>
      <c r="BP32" s="16">
        <v>13420</v>
      </c>
      <c r="BQ32" s="16">
        <v>13435</v>
      </c>
      <c r="BR32" s="16">
        <v>13410</v>
      </c>
      <c r="BS32" s="16">
        <v>13415</v>
      </c>
      <c r="BT32" s="16">
        <v>56000</v>
      </c>
      <c r="BU32" s="15">
        <f t="shared" si="40"/>
        <v>13420</v>
      </c>
      <c r="BV32" s="15">
        <f t="shared" si="41"/>
        <v>751520000</v>
      </c>
      <c r="BW32" s="15">
        <f>SUM($BV$3:BV32)</f>
        <v>62615268353.333336</v>
      </c>
      <c r="BX32" s="15">
        <f>SUM($BT$3:BT32)</f>
        <v>4656834</v>
      </c>
      <c r="BY32" s="15">
        <f t="shared" si="42"/>
        <v>13445.887990281237</v>
      </c>
      <c r="BZ32" s="3">
        <v>30</v>
      </c>
      <c r="CA32" s="3">
        <f t="shared" si="43"/>
        <v>0</v>
      </c>
      <c r="CB32" s="3">
        <f t="shared" si="44"/>
        <v>0</v>
      </c>
      <c r="CC32" s="3">
        <f t="shared" si="45"/>
        <v>0</v>
      </c>
      <c r="CD32" s="3">
        <f t="shared" si="46"/>
        <v>0</v>
      </c>
      <c r="CE32" s="3">
        <f t="shared" si="47"/>
        <v>0</v>
      </c>
    </row>
    <row r="33" spans="1:83" x14ac:dyDescent="0.3">
      <c r="A33" s="3" t="s">
        <v>73</v>
      </c>
      <c r="B33" s="3">
        <v>11740</v>
      </c>
      <c r="C33" s="3">
        <v>11740</v>
      </c>
      <c r="D33" s="3">
        <v>11495</v>
      </c>
      <c r="E33" s="3">
        <v>11470</v>
      </c>
      <c r="F33" s="3">
        <v>11670</v>
      </c>
      <c r="G33" s="3">
        <v>11635</v>
      </c>
      <c r="H33" s="3">
        <v>11595</v>
      </c>
      <c r="I33" s="3">
        <v>11585</v>
      </c>
      <c r="J33" s="3">
        <v>11645</v>
      </c>
      <c r="K33" s="3">
        <v>11660</v>
      </c>
      <c r="L33" s="3">
        <v>11990</v>
      </c>
      <c r="M33" s="3">
        <v>12025</v>
      </c>
      <c r="N33" s="3">
        <v>12355</v>
      </c>
      <c r="O33" s="3">
        <v>12350</v>
      </c>
      <c r="P33" s="3">
        <v>12695</v>
      </c>
      <c r="Q33" s="3">
        <v>12715</v>
      </c>
      <c r="R33" s="3">
        <v>12660</v>
      </c>
      <c r="S33" s="3">
        <v>12680</v>
      </c>
      <c r="T33" s="3">
        <v>12205</v>
      </c>
      <c r="U33" s="3">
        <v>12195</v>
      </c>
      <c r="V33" s="3">
        <v>12635</v>
      </c>
      <c r="W33" s="3">
        <v>12655</v>
      </c>
      <c r="X33" s="3">
        <v>12520</v>
      </c>
      <c r="Y33" s="3">
        <v>12505</v>
      </c>
      <c r="Z33" s="3">
        <v>12785</v>
      </c>
      <c r="AA33" s="3">
        <v>12820</v>
      </c>
      <c r="AB33" s="3">
        <v>13285</v>
      </c>
      <c r="AC33" s="3">
        <v>13305</v>
      </c>
      <c r="AD33" s="3">
        <v>13250</v>
      </c>
      <c r="AE33" s="3">
        <v>13250</v>
      </c>
      <c r="AF33" s="3">
        <v>13725</v>
      </c>
      <c r="AG33" s="3">
        <v>13775</v>
      </c>
      <c r="AH33" s="3">
        <v>14180</v>
      </c>
      <c r="AI33" s="3">
        <v>14180</v>
      </c>
      <c r="AJ33" s="3">
        <v>13900</v>
      </c>
      <c r="AK33" s="3">
        <v>13875</v>
      </c>
      <c r="AL33" s="3">
        <v>13685</v>
      </c>
      <c r="AM33" s="3">
        <v>13690</v>
      </c>
      <c r="AN33" s="3">
        <v>13420</v>
      </c>
      <c r="AO33" s="3">
        <v>13385</v>
      </c>
      <c r="AP33" s="3">
        <v>13415</v>
      </c>
      <c r="AQ33" s="3">
        <v>13415</v>
      </c>
      <c r="AR33" s="4">
        <f t="shared" si="48"/>
        <v>1.8213356461405095E-2</v>
      </c>
      <c r="AS33" s="4">
        <f t="shared" si="20"/>
        <v>6.9264069264068917E-3</v>
      </c>
      <c r="AT33" s="4">
        <f t="shared" si="21"/>
        <v>2.4207746478873249E-2</v>
      </c>
      <c r="AU33" s="4">
        <f t="shared" si="22"/>
        <v>1.6553480475381965E-2</v>
      </c>
      <c r="AV33" s="4">
        <f t="shared" si="23"/>
        <v>2.5662959794696683E-3</v>
      </c>
      <c r="AW33" s="4">
        <f t="shared" si="24"/>
        <v>1.3912310286677831E-2</v>
      </c>
      <c r="AX33" s="4">
        <f t="shared" si="25"/>
        <v>1.9397441188609088E-2</v>
      </c>
      <c r="AY33" s="4">
        <f t="shared" si="26"/>
        <v>5.0860719874804561E-3</v>
      </c>
      <c r="AZ33" s="4">
        <f t="shared" si="27"/>
        <v>1.0761259465922768E-2</v>
      </c>
      <c r="BA33" s="4">
        <f t="shared" si="28"/>
        <v>1.4545454545454528E-2</v>
      </c>
      <c r="BB33" s="4">
        <f t="shared" si="29"/>
        <v>2.5942440210782403E-2</v>
      </c>
      <c r="BC33" s="4">
        <f t="shared" si="30"/>
        <v>1.0288880094974306E-2</v>
      </c>
      <c r="BD33" s="4">
        <f t="shared" si="31"/>
        <v>1.5576323987538387E-3</v>
      </c>
      <c r="BE33" s="4">
        <f t="shared" si="32"/>
        <v>2.6224450443501635E-2</v>
      </c>
      <c r="BF33" s="4">
        <f t="shared" si="33"/>
        <v>1.2223071046600475E-2</v>
      </c>
      <c r="BG33" s="4">
        <f t="shared" si="34"/>
        <v>3.2995875515560602E-2</v>
      </c>
      <c r="BH33" s="4">
        <f t="shared" si="35"/>
        <v>1.9410496046009973E-2</v>
      </c>
      <c r="BI33" s="4">
        <f t="shared" si="36"/>
        <v>0</v>
      </c>
      <c r="BJ33" s="4">
        <f t="shared" si="37"/>
        <v>2.1865889212827616E-3</v>
      </c>
      <c r="BK33" s="4">
        <f t="shared" si="38"/>
        <v>2.1921812203142155E-2</v>
      </c>
      <c r="BL33" s="4">
        <f t="shared" si="39"/>
        <v>2.9728725380899768E-3</v>
      </c>
      <c r="BM33" s="4">
        <f t="shared" si="49"/>
        <v>1.4467248147719642E-2</v>
      </c>
      <c r="BN33" s="14">
        <f t="shared" si="50"/>
        <v>13649.656823827569</v>
      </c>
      <c r="BO33" s="15">
        <f t="shared" si="51"/>
        <v>13132.223918431637</v>
      </c>
      <c r="BP33" s="16">
        <v>13415</v>
      </c>
      <c r="BQ33" s="16">
        <v>13445</v>
      </c>
      <c r="BR33" s="16">
        <v>13410</v>
      </c>
      <c r="BS33" s="16">
        <v>13415</v>
      </c>
      <c r="BT33" s="16">
        <v>37694</v>
      </c>
      <c r="BU33" s="15">
        <f t="shared" si="40"/>
        <v>13423.333333333334</v>
      </c>
      <c r="BV33" s="15">
        <f t="shared" si="41"/>
        <v>505979126.66666669</v>
      </c>
      <c r="BW33" s="15">
        <f>SUM($BV$3:BV33)</f>
        <v>63121247480</v>
      </c>
      <c r="BX33" s="15">
        <f>SUM($BT$3:BT33)</f>
        <v>4694528</v>
      </c>
      <c r="BY33" s="15">
        <f t="shared" si="42"/>
        <v>13445.706891086815</v>
      </c>
      <c r="BZ33" s="3">
        <v>31</v>
      </c>
      <c r="CA33" s="3">
        <f t="shared" si="43"/>
        <v>0</v>
      </c>
      <c r="CB33" s="3">
        <f t="shared" si="44"/>
        <v>0</v>
      </c>
      <c r="CC33" s="3">
        <f t="shared" si="45"/>
        <v>0</v>
      </c>
      <c r="CD33" s="3" t="str">
        <f t="shared" si="46"/>
        <v/>
      </c>
      <c r="CE33" s="3">
        <f t="shared" si="47"/>
        <v>0</v>
      </c>
    </row>
    <row r="34" spans="1:83" x14ac:dyDescent="0.3">
      <c r="A34" s="3" t="s">
        <v>74</v>
      </c>
      <c r="B34" s="3">
        <v>11745</v>
      </c>
      <c r="C34" s="3">
        <v>11730</v>
      </c>
      <c r="D34" s="3">
        <v>11465</v>
      </c>
      <c r="E34" s="3">
        <v>11490</v>
      </c>
      <c r="F34" s="3">
        <v>11635</v>
      </c>
      <c r="G34" s="3">
        <v>11635</v>
      </c>
      <c r="H34" s="3">
        <v>11585</v>
      </c>
      <c r="I34" s="3">
        <v>11615</v>
      </c>
      <c r="J34" s="3">
        <v>11660</v>
      </c>
      <c r="K34" s="3">
        <v>11660</v>
      </c>
      <c r="L34" s="3">
        <v>12020</v>
      </c>
      <c r="M34" s="3">
        <v>11980</v>
      </c>
      <c r="N34" s="3">
        <v>12350</v>
      </c>
      <c r="O34" s="3">
        <v>12370</v>
      </c>
      <c r="P34" s="3">
        <v>12715</v>
      </c>
      <c r="Q34" s="3">
        <v>12710</v>
      </c>
      <c r="R34" s="3">
        <v>12680</v>
      </c>
      <c r="S34" s="3">
        <v>12700</v>
      </c>
      <c r="T34" s="3">
        <v>12195</v>
      </c>
      <c r="U34" s="3">
        <v>12220</v>
      </c>
      <c r="V34" s="3">
        <v>12655</v>
      </c>
      <c r="W34" s="3">
        <v>12675</v>
      </c>
      <c r="X34" s="3">
        <v>12505</v>
      </c>
      <c r="Y34" s="3">
        <v>12490</v>
      </c>
      <c r="Z34" s="3">
        <v>12820</v>
      </c>
      <c r="AA34" s="3">
        <v>12780</v>
      </c>
      <c r="AB34" s="3">
        <v>13310</v>
      </c>
      <c r="AC34" s="3">
        <v>13280</v>
      </c>
      <c r="AD34" s="3">
        <v>13255</v>
      </c>
      <c r="AE34" s="3">
        <v>13240</v>
      </c>
      <c r="AF34" s="3">
        <v>13775</v>
      </c>
      <c r="AG34" s="3">
        <v>13805</v>
      </c>
      <c r="AH34" s="3">
        <v>14180</v>
      </c>
      <c r="AI34" s="3">
        <v>14195</v>
      </c>
      <c r="AJ34" s="3">
        <v>13875</v>
      </c>
      <c r="AK34" s="3">
        <v>13885</v>
      </c>
      <c r="AL34" s="3">
        <v>13690</v>
      </c>
      <c r="AM34" s="3">
        <v>13715</v>
      </c>
      <c r="AN34" s="3">
        <v>13390</v>
      </c>
      <c r="AO34" s="3">
        <v>13410</v>
      </c>
      <c r="AP34" s="3">
        <v>13415</v>
      </c>
      <c r="AQ34" s="3">
        <v>13400</v>
      </c>
      <c r="AR34" s="4">
        <f t="shared" si="48"/>
        <v>1.7346053772766767E-2</v>
      </c>
      <c r="AS34" s="4">
        <f t="shared" si="20"/>
        <v>5.1948051948051965E-3</v>
      </c>
      <c r="AT34" s="4">
        <f t="shared" si="21"/>
        <v>2.4207746478873249E-2</v>
      </c>
      <c r="AU34" s="4">
        <f t="shared" si="22"/>
        <v>1.4006791171477073E-2</v>
      </c>
      <c r="AV34" s="4">
        <f t="shared" si="23"/>
        <v>2.5662959794696683E-3</v>
      </c>
      <c r="AW34" s="4">
        <f t="shared" si="24"/>
        <v>1.0118043844856706E-2</v>
      </c>
      <c r="AX34" s="4">
        <f t="shared" si="25"/>
        <v>2.1048287247214192E-2</v>
      </c>
      <c r="AY34" s="4">
        <f t="shared" si="26"/>
        <v>5.4773082942096707E-3</v>
      </c>
      <c r="AZ34" s="4">
        <f t="shared" si="27"/>
        <v>1.2355520127540931E-2</v>
      </c>
      <c r="BA34" s="4">
        <f t="shared" si="28"/>
        <v>1.2525252525252495E-2</v>
      </c>
      <c r="BB34" s="4">
        <f t="shared" si="29"/>
        <v>2.7563842723956178E-2</v>
      </c>
      <c r="BC34" s="4">
        <f t="shared" si="30"/>
        <v>1.1476058567471359E-2</v>
      </c>
      <c r="BD34" s="4">
        <f t="shared" si="31"/>
        <v>4.6728971962616273E-3</v>
      </c>
      <c r="BE34" s="4">
        <f t="shared" si="32"/>
        <v>2.4296182028538338E-2</v>
      </c>
      <c r="BF34" s="4">
        <f t="shared" si="33"/>
        <v>1.1459129106187849E-2</v>
      </c>
      <c r="BG34" s="4">
        <f t="shared" si="34"/>
        <v>3.5245594300712391E-2</v>
      </c>
      <c r="BH34" s="4">
        <f t="shared" si="35"/>
        <v>2.0488856937455058E-2</v>
      </c>
      <c r="BI34" s="4">
        <f t="shared" si="36"/>
        <v>7.2072072072071336E-4</v>
      </c>
      <c r="BJ34" s="4">
        <f t="shared" si="37"/>
        <v>3.6443148688047877E-4</v>
      </c>
      <c r="BK34" s="4">
        <f t="shared" si="38"/>
        <v>2.0094994519546994E-2</v>
      </c>
      <c r="BL34" s="4">
        <f t="shared" si="39"/>
        <v>4.0876997398736625E-3</v>
      </c>
      <c r="BM34" s="4">
        <f t="shared" si="49"/>
        <v>1.4842076841567733E-2</v>
      </c>
      <c r="BN34" s="14">
        <f t="shared" si="50"/>
        <v>13654.700143903296</v>
      </c>
      <c r="BO34" s="15">
        <f t="shared" si="51"/>
        <v>13127.22932608611</v>
      </c>
      <c r="BP34" s="16">
        <v>13415</v>
      </c>
      <c r="BQ34" s="16">
        <v>13415</v>
      </c>
      <c r="BR34" s="16">
        <v>13390</v>
      </c>
      <c r="BS34" s="16">
        <v>13400</v>
      </c>
      <c r="BT34" s="16">
        <v>59884</v>
      </c>
      <c r="BU34" s="15">
        <f t="shared" si="40"/>
        <v>13401.666666666666</v>
      </c>
      <c r="BV34" s="15">
        <f t="shared" si="41"/>
        <v>802545406.66666663</v>
      </c>
      <c r="BW34" s="15">
        <f>SUM($BV$3:BV34)</f>
        <v>63923792886.666664</v>
      </c>
      <c r="BX34" s="15">
        <f>SUM($BT$3:BT34)</f>
        <v>4754412</v>
      </c>
      <c r="BY34" s="15">
        <f t="shared" si="42"/>
        <v>13445.152184258886</v>
      </c>
      <c r="BZ34" s="3">
        <v>32</v>
      </c>
      <c r="CA34" s="3">
        <f t="shared" si="43"/>
        <v>0</v>
      </c>
      <c r="CB34" s="3">
        <f t="shared" si="44"/>
        <v>0</v>
      </c>
      <c r="CC34" s="3">
        <f t="shared" si="45"/>
        <v>0</v>
      </c>
      <c r="CD34" s="3" t="str">
        <f t="shared" si="46"/>
        <v/>
      </c>
      <c r="CE34" s="3">
        <f t="shared" si="47"/>
        <v>0</v>
      </c>
    </row>
    <row r="35" spans="1:83" x14ac:dyDescent="0.3">
      <c r="A35" s="3" t="s">
        <v>75</v>
      </c>
      <c r="B35" s="3">
        <v>11735</v>
      </c>
      <c r="C35" s="3">
        <v>11740</v>
      </c>
      <c r="D35" s="3">
        <v>11490</v>
      </c>
      <c r="E35" s="3">
        <v>11495</v>
      </c>
      <c r="F35" s="3">
        <v>11635</v>
      </c>
      <c r="G35" s="3">
        <v>11630</v>
      </c>
      <c r="H35" s="3">
        <v>11610</v>
      </c>
      <c r="I35" s="3">
        <v>11595</v>
      </c>
      <c r="J35" s="3">
        <v>11660</v>
      </c>
      <c r="K35" s="3">
        <v>11660</v>
      </c>
      <c r="L35" s="3">
        <v>11980</v>
      </c>
      <c r="M35" s="3">
        <v>11950</v>
      </c>
      <c r="N35" s="3">
        <v>12375</v>
      </c>
      <c r="O35" s="3">
        <v>12350</v>
      </c>
      <c r="P35" s="3">
        <v>12710</v>
      </c>
      <c r="Q35" s="3">
        <v>12710</v>
      </c>
      <c r="R35" s="3">
        <v>12695</v>
      </c>
      <c r="S35" s="3">
        <v>12680</v>
      </c>
      <c r="T35" s="3">
        <v>12220</v>
      </c>
      <c r="U35" s="3">
        <v>12205</v>
      </c>
      <c r="V35" s="3">
        <v>12675</v>
      </c>
      <c r="W35" s="3">
        <v>12680</v>
      </c>
      <c r="X35" s="3">
        <v>12485</v>
      </c>
      <c r="Y35" s="3">
        <v>12495</v>
      </c>
      <c r="Z35" s="3">
        <v>12780</v>
      </c>
      <c r="AA35" s="3">
        <v>12765</v>
      </c>
      <c r="AB35" s="3">
        <v>13280</v>
      </c>
      <c r="AC35" s="3">
        <v>13290</v>
      </c>
      <c r="AD35" s="3">
        <v>13235</v>
      </c>
      <c r="AE35" s="3">
        <v>13270</v>
      </c>
      <c r="AF35" s="3">
        <v>13805</v>
      </c>
      <c r="AG35" s="3">
        <v>13825</v>
      </c>
      <c r="AH35" s="3">
        <v>14195</v>
      </c>
      <c r="AI35" s="3">
        <v>14175</v>
      </c>
      <c r="AJ35" s="3">
        <v>13875</v>
      </c>
      <c r="AK35" s="3">
        <v>13860</v>
      </c>
      <c r="AL35" s="3">
        <v>13715</v>
      </c>
      <c r="AM35" s="3">
        <v>13700</v>
      </c>
      <c r="AN35" s="3">
        <v>13415</v>
      </c>
      <c r="AO35" s="3">
        <v>13405</v>
      </c>
      <c r="AP35" s="3">
        <v>13400</v>
      </c>
      <c r="AQ35" s="3">
        <v>13410</v>
      </c>
      <c r="AR35" s="4">
        <f t="shared" si="48"/>
        <v>1.8213356461405095E-2</v>
      </c>
      <c r="AS35" s="4">
        <f t="shared" si="20"/>
        <v>4.761904761904745E-3</v>
      </c>
      <c r="AT35" s="4">
        <f t="shared" si="21"/>
        <v>2.3767605633802757E-2</v>
      </c>
      <c r="AU35" s="4">
        <f t="shared" si="22"/>
        <v>1.5704584040747038E-2</v>
      </c>
      <c r="AV35" s="4">
        <f t="shared" si="23"/>
        <v>2.5662959794696683E-3</v>
      </c>
      <c r="AW35" s="4">
        <f t="shared" si="24"/>
        <v>7.5885328836424737E-3</v>
      </c>
      <c r="AX35" s="4">
        <f t="shared" si="25"/>
        <v>1.9397441188609088E-2</v>
      </c>
      <c r="AY35" s="4">
        <f t="shared" si="26"/>
        <v>5.4773082942096707E-3</v>
      </c>
      <c r="AZ35" s="4">
        <f t="shared" si="27"/>
        <v>1.0761259465922768E-2</v>
      </c>
      <c r="BA35" s="4">
        <f t="shared" si="28"/>
        <v>1.3737373737373715E-2</v>
      </c>
      <c r="BB35" s="4">
        <f t="shared" si="29"/>
        <v>2.7969193352249677E-2</v>
      </c>
      <c r="BC35" s="4">
        <f t="shared" si="30"/>
        <v>1.1080332409972304E-2</v>
      </c>
      <c r="BD35" s="4">
        <f t="shared" si="31"/>
        <v>5.8411214953271173E-3</v>
      </c>
      <c r="BE35" s="4">
        <f t="shared" si="32"/>
        <v>2.5067489394523745E-2</v>
      </c>
      <c r="BF35" s="4">
        <f t="shared" si="33"/>
        <v>1.3750954927425507E-2</v>
      </c>
      <c r="BG35" s="4">
        <f t="shared" si="34"/>
        <v>3.6745406824147064E-2</v>
      </c>
      <c r="BH35" s="4">
        <f t="shared" si="35"/>
        <v>1.9051042415528352E-2</v>
      </c>
      <c r="BI35" s="4">
        <f t="shared" si="36"/>
        <v>1.08108108108107E-3</v>
      </c>
      <c r="BJ35" s="4">
        <f t="shared" si="37"/>
        <v>1.4577259475219151E-3</v>
      </c>
      <c r="BK35" s="4">
        <f t="shared" si="38"/>
        <v>2.0460358056266004E-2</v>
      </c>
      <c r="BL35" s="4">
        <f t="shared" si="39"/>
        <v>3.3444816053511683E-3</v>
      </c>
      <c r="BM35" s="4">
        <f t="shared" si="49"/>
        <v>1.5134149185011285E-2</v>
      </c>
      <c r="BN35" s="14">
        <f t="shared" si="50"/>
        <v>13658.629977284327</v>
      </c>
      <c r="BO35" s="15">
        <f t="shared" si="51"/>
        <v>13123.337462109725</v>
      </c>
      <c r="BP35" s="16">
        <v>13400</v>
      </c>
      <c r="BQ35" s="16">
        <v>13430</v>
      </c>
      <c r="BR35" s="16">
        <v>13400</v>
      </c>
      <c r="BS35" s="16">
        <v>13410</v>
      </c>
      <c r="BT35" s="16">
        <v>63722</v>
      </c>
      <c r="BU35" s="15">
        <f t="shared" si="40"/>
        <v>13413.333333333334</v>
      </c>
      <c r="BV35" s="15">
        <f t="shared" si="41"/>
        <v>854724426.66666675</v>
      </c>
      <c r="BW35" s="15">
        <f>SUM($BV$3:BV35)</f>
        <v>64778517313.333328</v>
      </c>
      <c r="BX35" s="15">
        <f>SUM($BT$3:BT35)</f>
        <v>4818134</v>
      </c>
      <c r="BY35" s="15">
        <f t="shared" si="42"/>
        <v>13444.731365572923</v>
      </c>
      <c r="BZ35" s="3">
        <v>33</v>
      </c>
      <c r="CA35" s="3">
        <f t="shared" si="43"/>
        <v>0</v>
      </c>
      <c r="CB35" s="3">
        <f t="shared" si="44"/>
        <v>0</v>
      </c>
      <c r="CC35" s="3">
        <f t="shared" si="45"/>
        <v>0</v>
      </c>
      <c r="CD35" s="3" t="str">
        <f t="shared" si="46"/>
        <v/>
      </c>
      <c r="CE35" s="3">
        <f t="shared" si="47"/>
        <v>0</v>
      </c>
    </row>
    <row r="36" spans="1:83" x14ac:dyDescent="0.3">
      <c r="A36" s="3" t="s">
        <v>76</v>
      </c>
      <c r="B36" s="3">
        <v>11740</v>
      </c>
      <c r="C36" s="3">
        <v>11745</v>
      </c>
      <c r="D36" s="3">
        <v>11490</v>
      </c>
      <c r="E36" s="3">
        <v>11485</v>
      </c>
      <c r="F36" s="3">
        <v>11625</v>
      </c>
      <c r="G36" s="3">
        <v>11650</v>
      </c>
      <c r="H36" s="3">
        <v>11595</v>
      </c>
      <c r="I36" s="3">
        <v>11605</v>
      </c>
      <c r="J36" s="3">
        <v>11665</v>
      </c>
      <c r="K36" s="3">
        <v>11675</v>
      </c>
      <c r="L36" s="3">
        <v>11945</v>
      </c>
      <c r="M36" s="3">
        <v>11945</v>
      </c>
      <c r="N36" s="3">
        <v>12350</v>
      </c>
      <c r="O36" s="3">
        <v>12365</v>
      </c>
      <c r="P36" s="3">
        <v>12715</v>
      </c>
      <c r="Q36" s="3">
        <v>12710</v>
      </c>
      <c r="R36" s="3">
        <v>12680</v>
      </c>
      <c r="S36" s="3">
        <v>12675</v>
      </c>
      <c r="T36" s="3">
        <v>12210</v>
      </c>
      <c r="U36" s="3">
        <v>12195</v>
      </c>
      <c r="V36" s="3">
        <v>12680</v>
      </c>
      <c r="W36" s="3">
        <v>12695</v>
      </c>
      <c r="X36" s="3">
        <v>12495</v>
      </c>
      <c r="Y36" s="3">
        <v>12525</v>
      </c>
      <c r="Z36" s="3">
        <v>12765</v>
      </c>
      <c r="AA36" s="3">
        <v>12805</v>
      </c>
      <c r="AB36" s="3">
        <v>13290</v>
      </c>
      <c r="AC36" s="3">
        <v>13290</v>
      </c>
      <c r="AD36" s="3">
        <v>13270</v>
      </c>
      <c r="AE36" s="3">
        <v>13265</v>
      </c>
      <c r="AF36" s="3">
        <v>13830</v>
      </c>
      <c r="AG36" s="3">
        <v>13830</v>
      </c>
      <c r="AH36" s="3">
        <v>14180</v>
      </c>
      <c r="AI36" s="3">
        <v>14190</v>
      </c>
      <c r="AJ36" s="3">
        <v>13855</v>
      </c>
      <c r="AK36" s="3">
        <v>13840</v>
      </c>
      <c r="AL36" s="3">
        <v>13700</v>
      </c>
      <c r="AM36" s="3">
        <v>13715</v>
      </c>
      <c r="AN36" s="3">
        <v>13405</v>
      </c>
      <c r="AO36" s="3">
        <v>13425</v>
      </c>
      <c r="AP36" s="3">
        <v>13410</v>
      </c>
      <c r="AQ36" s="3">
        <v>13410</v>
      </c>
      <c r="AR36" s="4">
        <f t="shared" si="48"/>
        <v>1.8647007805724147E-2</v>
      </c>
      <c r="AS36" s="4">
        <f t="shared" si="20"/>
        <v>5.6277056277056481E-3</v>
      </c>
      <c r="AT36" s="4">
        <f t="shared" si="21"/>
        <v>2.5528169014084501E-2</v>
      </c>
      <c r="AU36" s="4">
        <f t="shared" si="22"/>
        <v>1.4855687606112E-2</v>
      </c>
      <c r="AV36" s="4">
        <f t="shared" si="23"/>
        <v>1.2831479897348341E-3</v>
      </c>
      <c r="AW36" s="4">
        <f t="shared" si="24"/>
        <v>7.1669477234401757E-3</v>
      </c>
      <c r="AX36" s="4">
        <f t="shared" si="25"/>
        <v>2.0635575732562916E-2</v>
      </c>
      <c r="AY36" s="4">
        <f t="shared" si="26"/>
        <v>5.4773082942096707E-3</v>
      </c>
      <c r="AZ36" s="4">
        <f t="shared" si="27"/>
        <v>1.0362694300518172E-2</v>
      </c>
      <c r="BA36" s="4">
        <f t="shared" si="28"/>
        <v>1.4545454545454528E-2</v>
      </c>
      <c r="BB36" s="4">
        <f t="shared" si="29"/>
        <v>2.9185245237130175E-2</v>
      </c>
      <c r="BC36" s="4">
        <f t="shared" si="30"/>
        <v>8.7059754649781995E-3</v>
      </c>
      <c r="BD36" s="4">
        <f t="shared" si="31"/>
        <v>2.7258566978193288E-3</v>
      </c>
      <c r="BE36" s="4">
        <f t="shared" si="32"/>
        <v>2.5067489394523745E-2</v>
      </c>
      <c r="BF36" s="4">
        <f t="shared" si="33"/>
        <v>1.3368983957219305E-2</v>
      </c>
      <c r="BG36" s="4">
        <f t="shared" si="34"/>
        <v>3.7120359955005622E-2</v>
      </c>
      <c r="BH36" s="4">
        <f t="shared" si="35"/>
        <v>2.0129403306973437E-2</v>
      </c>
      <c r="BI36" s="4">
        <f t="shared" si="36"/>
        <v>2.5225225225224968E-3</v>
      </c>
      <c r="BJ36" s="4">
        <f t="shared" si="37"/>
        <v>3.6443148688047877E-4</v>
      </c>
      <c r="BK36" s="4">
        <f t="shared" si="38"/>
        <v>1.8998903909389853E-2</v>
      </c>
      <c r="BL36" s="4">
        <f t="shared" si="39"/>
        <v>3.3444816053511683E-3</v>
      </c>
      <c r="BM36" s="4">
        <f t="shared" si="49"/>
        <v>1.4943586057513423E-2</v>
      </c>
      <c r="BN36" s="14">
        <f t="shared" si="50"/>
        <v>13656.065950403841</v>
      </c>
      <c r="BO36" s="15">
        <f t="shared" si="51"/>
        <v>13125.876715783634</v>
      </c>
      <c r="BP36" s="16">
        <v>13410</v>
      </c>
      <c r="BQ36" s="16">
        <v>13440</v>
      </c>
      <c r="BR36" s="16">
        <v>13405</v>
      </c>
      <c r="BS36" s="16">
        <v>13410</v>
      </c>
      <c r="BT36" s="16">
        <v>42010</v>
      </c>
      <c r="BU36" s="15">
        <f t="shared" si="40"/>
        <v>13418.333333333334</v>
      </c>
      <c r="BV36" s="15">
        <f t="shared" si="41"/>
        <v>563704183.33333337</v>
      </c>
      <c r="BW36" s="15">
        <f>SUM($BV$3:BV36)</f>
        <v>65342221496.666664</v>
      </c>
      <c r="BX36" s="15">
        <f>SUM($BT$3:BT36)</f>
        <v>4860144</v>
      </c>
      <c r="BY36" s="15">
        <f t="shared" si="42"/>
        <v>13444.503186874024</v>
      </c>
      <c r="BZ36" s="3">
        <v>34</v>
      </c>
      <c r="CA36" s="3">
        <f t="shared" si="43"/>
        <v>0</v>
      </c>
      <c r="CB36" s="3">
        <f t="shared" si="44"/>
        <v>0</v>
      </c>
      <c r="CC36" s="3">
        <f t="shared" si="45"/>
        <v>0</v>
      </c>
      <c r="CD36" s="3" t="str">
        <f t="shared" si="46"/>
        <v/>
      </c>
      <c r="CE36" s="3">
        <f t="shared" si="47"/>
        <v>0</v>
      </c>
    </row>
    <row r="37" spans="1:83" x14ac:dyDescent="0.3">
      <c r="A37" s="3" t="s">
        <v>77</v>
      </c>
      <c r="B37" s="3">
        <v>11745</v>
      </c>
      <c r="C37" s="3">
        <v>11745</v>
      </c>
      <c r="D37" s="3">
        <v>11485</v>
      </c>
      <c r="E37" s="3">
        <v>11500</v>
      </c>
      <c r="F37" s="3">
        <v>11645</v>
      </c>
      <c r="G37" s="3">
        <v>11675</v>
      </c>
      <c r="H37" s="3">
        <v>11605</v>
      </c>
      <c r="I37" s="3">
        <v>11620</v>
      </c>
      <c r="J37" s="3">
        <v>11675</v>
      </c>
      <c r="K37" s="3">
        <v>11680</v>
      </c>
      <c r="L37" s="3">
        <v>11940</v>
      </c>
      <c r="M37" s="3">
        <v>11935</v>
      </c>
      <c r="N37" s="3">
        <v>12365</v>
      </c>
      <c r="O37" s="3">
        <v>12380</v>
      </c>
      <c r="P37" s="3">
        <v>12710</v>
      </c>
      <c r="Q37" s="3">
        <v>12720</v>
      </c>
      <c r="R37" s="3">
        <v>12670</v>
      </c>
      <c r="S37" s="3">
        <v>12660</v>
      </c>
      <c r="T37" s="3">
        <v>12195</v>
      </c>
      <c r="U37" s="3">
        <v>12205</v>
      </c>
      <c r="V37" s="3">
        <v>12695</v>
      </c>
      <c r="W37" s="3">
        <v>12685</v>
      </c>
      <c r="X37" s="3">
        <v>12525</v>
      </c>
      <c r="Y37" s="3">
        <v>12545</v>
      </c>
      <c r="Z37" s="3">
        <v>12810</v>
      </c>
      <c r="AA37" s="3">
        <v>12765</v>
      </c>
      <c r="AB37" s="3">
        <v>13290</v>
      </c>
      <c r="AC37" s="3">
        <v>13290</v>
      </c>
      <c r="AD37" s="3">
        <v>13270</v>
      </c>
      <c r="AE37" s="3">
        <v>13270</v>
      </c>
      <c r="AF37" s="3">
        <v>13830</v>
      </c>
      <c r="AG37" s="3">
        <v>13830</v>
      </c>
      <c r="AH37" s="3">
        <v>14190</v>
      </c>
      <c r="AI37" s="3">
        <v>14225</v>
      </c>
      <c r="AJ37" s="3">
        <v>13840</v>
      </c>
      <c r="AK37" s="3">
        <v>13805</v>
      </c>
      <c r="AL37" s="3">
        <v>13715</v>
      </c>
      <c r="AM37" s="3">
        <v>13680</v>
      </c>
      <c r="AN37" s="3">
        <v>13425</v>
      </c>
      <c r="AO37" s="3">
        <v>13430</v>
      </c>
      <c r="AP37" s="3">
        <v>13415</v>
      </c>
      <c r="AQ37" s="3">
        <v>13410</v>
      </c>
      <c r="AR37" s="4">
        <f t="shared" si="48"/>
        <v>1.8647007805724147E-2</v>
      </c>
      <c r="AS37" s="4">
        <f t="shared" si="20"/>
        <v>4.3290043290042934E-3</v>
      </c>
      <c r="AT37" s="4">
        <f t="shared" si="21"/>
        <v>2.7728873239436513E-2</v>
      </c>
      <c r="AU37" s="4">
        <f t="shared" si="22"/>
        <v>1.358234295415961E-2</v>
      </c>
      <c r="AV37" s="4">
        <f t="shared" si="23"/>
        <v>8.5543199315651908E-4</v>
      </c>
      <c r="AW37" s="4">
        <f t="shared" si="24"/>
        <v>6.3237774030353577E-3</v>
      </c>
      <c r="AX37" s="4">
        <f t="shared" si="25"/>
        <v>2.1873710276516745E-2</v>
      </c>
      <c r="AY37" s="4">
        <f t="shared" si="26"/>
        <v>4.6948356807511304E-3</v>
      </c>
      <c r="AZ37" s="4">
        <f t="shared" si="27"/>
        <v>9.1669988043046047E-3</v>
      </c>
      <c r="BA37" s="4">
        <f t="shared" si="28"/>
        <v>1.3737373737373715E-2</v>
      </c>
      <c r="BB37" s="4">
        <f t="shared" si="29"/>
        <v>2.8374543980543177E-2</v>
      </c>
      <c r="BC37" s="4">
        <f t="shared" si="30"/>
        <v>7.1230708349822036E-3</v>
      </c>
      <c r="BD37" s="4">
        <f t="shared" si="31"/>
        <v>5.8411214953271173E-3</v>
      </c>
      <c r="BE37" s="4">
        <f t="shared" si="32"/>
        <v>2.5067489394523745E-2</v>
      </c>
      <c r="BF37" s="4">
        <f t="shared" si="33"/>
        <v>1.3750954927425507E-2</v>
      </c>
      <c r="BG37" s="4">
        <f t="shared" si="34"/>
        <v>3.7120359955005622E-2</v>
      </c>
      <c r="BH37" s="4">
        <f t="shared" si="35"/>
        <v>2.2645578720345005E-2</v>
      </c>
      <c r="BI37" s="4">
        <f t="shared" si="36"/>
        <v>5.0450450450449935E-3</v>
      </c>
      <c r="BJ37" s="4">
        <f t="shared" si="37"/>
        <v>2.9154518950437192E-3</v>
      </c>
      <c r="BK37" s="4">
        <f t="shared" si="38"/>
        <v>1.8633540372670843E-2</v>
      </c>
      <c r="BL37" s="4">
        <f t="shared" si="39"/>
        <v>3.3444816053511683E-3</v>
      </c>
      <c r="BM37" s="4">
        <f t="shared" si="49"/>
        <v>1.5427862508561294E-2</v>
      </c>
      <c r="BN37" s="14">
        <f t="shared" si="50"/>
        <v>13662.581890052692</v>
      </c>
      <c r="BO37" s="15">
        <f t="shared" si="51"/>
        <v>13119.423732073421</v>
      </c>
      <c r="BP37" s="16">
        <v>13415</v>
      </c>
      <c r="BQ37" s="16">
        <v>13415</v>
      </c>
      <c r="BR37" s="16">
        <v>13400</v>
      </c>
      <c r="BS37" s="16">
        <v>13410</v>
      </c>
      <c r="BT37" s="16">
        <v>21446</v>
      </c>
      <c r="BU37" s="15">
        <f t="shared" si="40"/>
        <v>13408.333333333334</v>
      </c>
      <c r="BV37" s="15">
        <f t="shared" si="41"/>
        <v>287555116.66666669</v>
      </c>
      <c r="BW37" s="15">
        <f>SUM($BV$3:BV37)</f>
        <v>65629776613.333328</v>
      </c>
      <c r="BX37" s="15">
        <f>SUM($BT$3:BT37)</f>
        <v>4881590</v>
      </c>
      <c r="BY37" s="15">
        <f t="shared" si="42"/>
        <v>13444.344284000363</v>
      </c>
      <c r="BZ37" s="3">
        <v>35</v>
      </c>
      <c r="CA37" s="3">
        <f t="shared" si="43"/>
        <v>0</v>
      </c>
      <c r="CB37" s="3">
        <f t="shared" si="44"/>
        <v>0</v>
      </c>
      <c r="CC37" s="3">
        <f t="shared" si="45"/>
        <v>0</v>
      </c>
      <c r="CD37" s="3" t="str">
        <f t="shared" si="46"/>
        <v/>
      </c>
      <c r="CE37" s="3">
        <f t="shared" si="47"/>
        <v>0</v>
      </c>
    </row>
    <row r="38" spans="1:83" x14ac:dyDescent="0.3">
      <c r="A38" s="3" t="s">
        <v>78</v>
      </c>
      <c r="B38" s="3">
        <v>11750</v>
      </c>
      <c r="C38" s="3">
        <v>11750</v>
      </c>
      <c r="D38" s="3">
        <v>11500</v>
      </c>
      <c r="E38" s="3">
        <v>11505</v>
      </c>
      <c r="F38" s="3">
        <v>11675</v>
      </c>
      <c r="G38" s="3">
        <v>11685</v>
      </c>
      <c r="H38" s="3">
        <v>11620</v>
      </c>
      <c r="I38" s="3">
        <v>11635</v>
      </c>
      <c r="J38" s="3">
        <v>11675</v>
      </c>
      <c r="K38" s="3">
        <v>11675</v>
      </c>
      <c r="L38" s="3">
        <v>11930</v>
      </c>
      <c r="M38" s="3">
        <v>11935</v>
      </c>
      <c r="N38" s="3">
        <v>12380</v>
      </c>
      <c r="O38" s="3">
        <v>12385</v>
      </c>
      <c r="P38" s="3">
        <v>12715</v>
      </c>
      <c r="Q38" s="3">
        <v>12705</v>
      </c>
      <c r="R38" s="3">
        <v>12660</v>
      </c>
      <c r="S38" s="3">
        <v>12655</v>
      </c>
      <c r="T38" s="3">
        <v>12200</v>
      </c>
      <c r="U38" s="3">
        <v>12210</v>
      </c>
      <c r="V38" s="3">
        <v>12690</v>
      </c>
      <c r="W38" s="3">
        <v>12680</v>
      </c>
      <c r="X38" s="3">
        <v>12545</v>
      </c>
      <c r="Y38" s="3">
        <v>12570</v>
      </c>
      <c r="Z38" s="3">
        <v>12765</v>
      </c>
      <c r="AA38" s="3">
        <v>12785</v>
      </c>
      <c r="AB38" s="3">
        <v>13285</v>
      </c>
      <c r="AC38" s="3">
        <v>13265</v>
      </c>
      <c r="AD38" s="3">
        <v>13270</v>
      </c>
      <c r="AE38" s="3">
        <v>13295</v>
      </c>
      <c r="AF38" s="3">
        <v>13825</v>
      </c>
      <c r="AG38" s="3">
        <v>13815</v>
      </c>
      <c r="AH38" s="3">
        <v>14225</v>
      </c>
      <c r="AI38" s="3">
        <v>14225</v>
      </c>
      <c r="AJ38" s="3">
        <v>13800</v>
      </c>
      <c r="AK38" s="3">
        <v>13845</v>
      </c>
      <c r="AL38" s="3">
        <v>13685</v>
      </c>
      <c r="AM38" s="3">
        <v>13680</v>
      </c>
      <c r="AN38" s="3">
        <v>13425</v>
      </c>
      <c r="AO38" s="3">
        <v>13435</v>
      </c>
      <c r="AP38" s="3">
        <v>13410</v>
      </c>
      <c r="AQ38" s="3">
        <v>13420</v>
      </c>
      <c r="AR38" s="4">
        <f t="shared" si="48"/>
        <v>1.9080659150043422E-2</v>
      </c>
      <c r="AS38" s="4">
        <f t="shared" si="20"/>
        <v>3.8961038961038419E-3</v>
      </c>
      <c r="AT38" s="4">
        <f t="shared" si="21"/>
        <v>2.8609154929577496E-2</v>
      </c>
      <c r="AU38" s="4">
        <f t="shared" si="22"/>
        <v>1.2308998302207108E-2</v>
      </c>
      <c r="AV38" s="4">
        <f t="shared" si="23"/>
        <v>1.2831479897348341E-3</v>
      </c>
      <c r="AW38" s="4">
        <f t="shared" si="24"/>
        <v>6.3237774030353577E-3</v>
      </c>
      <c r="AX38" s="4">
        <f t="shared" si="25"/>
        <v>2.2286421791168021E-2</v>
      </c>
      <c r="AY38" s="4">
        <f t="shared" si="26"/>
        <v>5.8685446009389963E-3</v>
      </c>
      <c r="AZ38" s="4">
        <f t="shared" si="27"/>
        <v>8.7684336389000084E-3</v>
      </c>
      <c r="BA38" s="4">
        <f t="shared" si="28"/>
        <v>1.3333333333333308E-2</v>
      </c>
      <c r="BB38" s="4">
        <f t="shared" si="29"/>
        <v>2.7969193352249677E-2</v>
      </c>
      <c r="BC38" s="4">
        <f t="shared" si="30"/>
        <v>5.1444400474871532E-3</v>
      </c>
      <c r="BD38" s="4">
        <f t="shared" si="31"/>
        <v>4.2834890965731676E-3</v>
      </c>
      <c r="BE38" s="4">
        <f t="shared" si="32"/>
        <v>2.3139220979560449E-2</v>
      </c>
      <c r="BF38" s="4">
        <f t="shared" si="33"/>
        <v>1.5660809778456741E-2</v>
      </c>
      <c r="BG38" s="4">
        <f t="shared" si="34"/>
        <v>3.5995500562429728E-2</v>
      </c>
      <c r="BH38" s="4">
        <f t="shared" si="35"/>
        <v>2.2645578720345005E-2</v>
      </c>
      <c r="BI38" s="4">
        <f t="shared" si="36"/>
        <v>2.1621621621621401E-3</v>
      </c>
      <c r="BJ38" s="4">
        <f t="shared" si="37"/>
        <v>2.9154518950437192E-3</v>
      </c>
      <c r="BK38" s="4">
        <f t="shared" si="38"/>
        <v>1.8268176835951722E-2</v>
      </c>
      <c r="BL38" s="4">
        <f t="shared" si="39"/>
        <v>2.6012634708286742E-3</v>
      </c>
      <c r="BM38" s="4">
        <f t="shared" si="49"/>
        <v>1.4888625485328559E-2</v>
      </c>
      <c r="BN38" s="14">
        <f t="shared" si="50"/>
        <v>13655.326455905097</v>
      </c>
      <c r="BO38" s="15">
        <f t="shared" si="51"/>
        <v>13126.609065407998</v>
      </c>
      <c r="BP38" s="16">
        <v>13410</v>
      </c>
      <c r="BQ38" s="16">
        <v>13420</v>
      </c>
      <c r="BR38" s="16">
        <v>13400</v>
      </c>
      <c r="BS38" s="16">
        <v>13420</v>
      </c>
      <c r="BT38" s="16">
        <v>40431</v>
      </c>
      <c r="BU38" s="15">
        <f t="shared" si="40"/>
        <v>13413.333333333334</v>
      </c>
      <c r="BV38" s="15">
        <f t="shared" si="41"/>
        <v>542314480</v>
      </c>
      <c r="BW38" s="15">
        <f>SUM($BV$3:BV38)</f>
        <v>66172091093.333328</v>
      </c>
      <c r="BX38" s="15">
        <f>SUM($BT$3:BT38)</f>
        <v>4922021</v>
      </c>
      <c r="BY38" s="15">
        <f t="shared" si="42"/>
        <v>13444.089550478011</v>
      </c>
      <c r="BZ38" s="3">
        <v>36</v>
      </c>
      <c r="CA38" s="3">
        <f t="shared" si="43"/>
        <v>0</v>
      </c>
      <c r="CB38" s="3">
        <f t="shared" si="44"/>
        <v>0</v>
      </c>
      <c r="CC38" s="3">
        <f t="shared" si="45"/>
        <v>0</v>
      </c>
      <c r="CD38" s="3" t="str">
        <f t="shared" si="46"/>
        <v/>
      </c>
      <c r="CE38" s="3">
        <f t="shared" si="47"/>
        <v>0</v>
      </c>
    </row>
    <row r="39" spans="1:83" x14ac:dyDescent="0.3">
      <c r="A39" s="3" t="s">
        <v>79</v>
      </c>
      <c r="B39" s="3">
        <v>11750</v>
      </c>
      <c r="C39" s="3">
        <v>11760</v>
      </c>
      <c r="D39" s="3">
        <v>11505</v>
      </c>
      <c r="E39" s="3">
        <v>11525</v>
      </c>
      <c r="F39" s="3">
        <v>11690</v>
      </c>
      <c r="G39" s="3">
        <v>11660</v>
      </c>
      <c r="H39" s="3">
        <v>11630</v>
      </c>
      <c r="I39" s="3">
        <v>11630</v>
      </c>
      <c r="J39" s="3">
        <v>11675</v>
      </c>
      <c r="K39" s="3">
        <v>11670</v>
      </c>
      <c r="L39" s="3">
        <v>11940</v>
      </c>
      <c r="M39" s="3">
        <v>11920</v>
      </c>
      <c r="N39" s="3">
        <v>12385</v>
      </c>
      <c r="O39" s="3">
        <v>12390</v>
      </c>
      <c r="P39" s="3">
        <v>12700</v>
      </c>
      <c r="Q39" s="3">
        <v>12715</v>
      </c>
      <c r="R39" s="3">
        <v>12650</v>
      </c>
      <c r="S39" s="3">
        <v>12650</v>
      </c>
      <c r="T39" s="3">
        <v>12210</v>
      </c>
      <c r="U39" s="3">
        <v>12230</v>
      </c>
      <c r="V39" s="3">
        <v>12680</v>
      </c>
      <c r="W39" s="3">
        <v>12690</v>
      </c>
      <c r="X39" s="3">
        <v>12570</v>
      </c>
      <c r="Y39" s="3">
        <v>12580</v>
      </c>
      <c r="Z39" s="3">
        <v>12785</v>
      </c>
      <c r="AA39" s="3">
        <v>12790</v>
      </c>
      <c r="AB39" s="3">
        <v>13265</v>
      </c>
      <c r="AC39" s="3">
        <v>13240</v>
      </c>
      <c r="AD39" s="3">
        <v>13290</v>
      </c>
      <c r="AE39" s="3">
        <v>13285</v>
      </c>
      <c r="AF39" s="3">
        <v>13820</v>
      </c>
      <c r="AG39" s="3">
        <v>13820</v>
      </c>
      <c r="AH39" s="3">
        <v>14220</v>
      </c>
      <c r="AI39" s="3">
        <v>14215</v>
      </c>
      <c r="AJ39" s="3">
        <v>13845</v>
      </c>
      <c r="AK39" s="3">
        <v>13870</v>
      </c>
      <c r="AL39" s="3">
        <v>13680</v>
      </c>
      <c r="AM39" s="3">
        <v>13660</v>
      </c>
      <c r="AN39" s="3">
        <v>13435</v>
      </c>
      <c r="AO39" s="3">
        <v>13430</v>
      </c>
      <c r="AP39" s="3">
        <v>13415</v>
      </c>
      <c r="AQ39" s="3">
        <v>13435</v>
      </c>
      <c r="AR39" s="4">
        <f t="shared" si="48"/>
        <v>1.9947961838681749E-2</v>
      </c>
      <c r="AS39" s="4">
        <f t="shared" si="20"/>
        <v>2.1645021645021467E-3</v>
      </c>
      <c r="AT39" s="4">
        <f t="shared" si="21"/>
        <v>2.6408450704225261E-2</v>
      </c>
      <c r="AU39" s="4">
        <f t="shared" si="22"/>
        <v>1.2733446519524572E-2</v>
      </c>
      <c r="AV39" s="4">
        <f t="shared" si="23"/>
        <v>1.7108639863130382E-3</v>
      </c>
      <c r="AW39" s="4">
        <f t="shared" si="24"/>
        <v>5.0590219224282418E-3</v>
      </c>
      <c r="AX39" s="4">
        <f t="shared" si="25"/>
        <v>2.2699133305819297E-2</v>
      </c>
      <c r="AY39" s="4">
        <f t="shared" si="26"/>
        <v>5.0860719874804561E-3</v>
      </c>
      <c r="AZ39" s="4">
        <f t="shared" si="27"/>
        <v>8.3698684734954121E-3</v>
      </c>
      <c r="BA39" s="4">
        <f t="shared" si="28"/>
        <v>1.1717171717171682E-2</v>
      </c>
      <c r="BB39" s="4">
        <f t="shared" si="29"/>
        <v>2.8779894608836676E-2</v>
      </c>
      <c r="BC39" s="4">
        <f t="shared" si="30"/>
        <v>4.3529877324891553E-3</v>
      </c>
      <c r="BD39" s="4">
        <f t="shared" si="31"/>
        <v>3.8940809968847079E-3</v>
      </c>
      <c r="BE39" s="4">
        <f t="shared" si="32"/>
        <v>2.121095256459693E-2</v>
      </c>
      <c r="BF39" s="4">
        <f t="shared" si="33"/>
        <v>1.4896867838044336E-2</v>
      </c>
      <c r="BG39" s="4">
        <f t="shared" si="34"/>
        <v>3.6370453693288285E-2</v>
      </c>
      <c r="BH39" s="4">
        <f t="shared" si="35"/>
        <v>2.1926671459381764E-2</v>
      </c>
      <c r="BI39" s="4">
        <f t="shared" si="36"/>
        <v>3.6036036036035668E-4</v>
      </c>
      <c r="BJ39" s="4">
        <f t="shared" si="37"/>
        <v>4.3731778425656342E-3</v>
      </c>
      <c r="BK39" s="4">
        <f t="shared" si="38"/>
        <v>1.8633540372670843E-2</v>
      </c>
      <c r="BL39" s="4">
        <f t="shared" si="39"/>
        <v>1.4864362690449884E-3</v>
      </c>
      <c r="BM39" s="4">
        <f t="shared" si="49"/>
        <v>1.447651663950611E-2</v>
      </c>
      <c r="BN39" s="14">
        <f t="shared" si="50"/>
        <v>13649.781531384553</v>
      </c>
      <c r="BO39" s="15">
        <f t="shared" si="51"/>
        <v>13132.100415778581</v>
      </c>
      <c r="BP39" s="16">
        <v>13415</v>
      </c>
      <c r="BQ39" s="16">
        <v>13445</v>
      </c>
      <c r="BR39" s="16">
        <v>13415</v>
      </c>
      <c r="BS39" s="16">
        <v>13435</v>
      </c>
      <c r="BT39" s="16">
        <v>61015</v>
      </c>
      <c r="BU39" s="15">
        <f t="shared" si="40"/>
        <v>13431.666666666666</v>
      </c>
      <c r="BV39" s="15">
        <f t="shared" si="41"/>
        <v>819533141.66666663</v>
      </c>
      <c r="BW39" s="15">
        <f>SUM($BV$3:BV39)</f>
        <v>66991624234.999992</v>
      </c>
      <c r="BX39" s="15">
        <f>SUM($BT$3:BT39)</f>
        <v>4983036</v>
      </c>
      <c r="BY39" s="15">
        <f t="shared" si="42"/>
        <v>13443.937437939439</v>
      </c>
      <c r="BZ39" s="3">
        <v>37</v>
      </c>
      <c r="CA39" s="3">
        <f t="shared" si="43"/>
        <v>0</v>
      </c>
      <c r="CB39" s="3">
        <f t="shared" si="44"/>
        <v>0</v>
      </c>
      <c r="CC39" s="3">
        <f t="shared" si="45"/>
        <v>0</v>
      </c>
      <c r="CD39" s="3" t="str">
        <f t="shared" si="46"/>
        <v/>
      </c>
      <c r="CE39" s="3">
        <f t="shared" si="47"/>
        <v>0</v>
      </c>
    </row>
    <row r="40" spans="1:83" x14ac:dyDescent="0.3">
      <c r="A40" s="3" t="s">
        <v>80</v>
      </c>
      <c r="B40" s="3">
        <v>11760</v>
      </c>
      <c r="C40" s="3">
        <v>11770</v>
      </c>
      <c r="D40" s="3">
        <v>11525</v>
      </c>
      <c r="E40" s="3">
        <v>11525</v>
      </c>
      <c r="F40" s="3">
        <v>11660</v>
      </c>
      <c r="G40" s="3">
        <v>11655</v>
      </c>
      <c r="H40" s="3">
        <v>11630</v>
      </c>
      <c r="I40" s="3">
        <v>11630</v>
      </c>
      <c r="J40" s="3">
        <v>11670</v>
      </c>
      <c r="K40" s="3">
        <v>11685</v>
      </c>
      <c r="L40" s="3">
        <v>11915</v>
      </c>
      <c r="M40" s="3">
        <v>11910</v>
      </c>
      <c r="N40" s="3">
        <v>12395</v>
      </c>
      <c r="O40" s="3">
        <v>12405</v>
      </c>
      <c r="P40" s="3">
        <v>12715</v>
      </c>
      <c r="Q40" s="3">
        <v>12715</v>
      </c>
      <c r="R40" s="3">
        <v>12650</v>
      </c>
      <c r="S40" s="3">
        <v>12630</v>
      </c>
      <c r="T40" s="3">
        <v>12235</v>
      </c>
      <c r="U40" s="3">
        <v>12235</v>
      </c>
      <c r="V40" s="3">
        <v>12690</v>
      </c>
      <c r="W40" s="3">
        <v>12705</v>
      </c>
      <c r="X40" s="3">
        <v>12585</v>
      </c>
      <c r="Y40" s="3">
        <v>12595</v>
      </c>
      <c r="Z40" s="3">
        <v>12795</v>
      </c>
      <c r="AA40" s="3">
        <v>12785</v>
      </c>
      <c r="AB40" s="3">
        <v>13245</v>
      </c>
      <c r="AC40" s="3">
        <v>13245</v>
      </c>
      <c r="AD40" s="3">
        <v>13280</v>
      </c>
      <c r="AE40" s="3">
        <v>13280</v>
      </c>
      <c r="AF40" s="3">
        <v>13825</v>
      </c>
      <c r="AG40" s="3">
        <v>13850</v>
      </c>
      <c r="AH40" s="3">
        <v>14215</v>
      </c>
      <c r="AI40" s="3">
        <v>14230</v>
      </c>
      <c r="AJ40" s="3">
        <v>13865</v>
      </c>
      <c r="AK40" s="3">
        <v>13870</v>
      </c>
      <c r="AL40" s="3">
        <v>13665</v>
      </c>
      <c r="AM40" s="3">
        <v>13675</v>
      </c>
      <c r="AN40" s="3">
        <v>13430</v>
      </c>
      <c r="AO40" s="3">
        <v>13425</v>
      </c>
      <c r="AP40" s="3">
        <v>13440</v>
      </c>
      <c r="AQ40" s="3">
        <v>13440</v>
      </c>
      <c r="AR40" s="4">
        <f t="shared" si="48"/>
        <v>2.0815264527320076E-2</v>
      </c>
      <c r="AS40" s="4">
        <f t="shared" si="20"/>
        <v>2.1645021645021467E-3</v>
      </c>
      <c r="AT40" s="4">
        <f t="shared" si="21"/>
        <v>2.5968309859154992E-2</v>
      </c>
      <c r="AU40" s="4">
        <f t="shared" si="22"/>
        <v>1.2733446519524572E-2</v>
      </c>
      <c r="AV40" s="4">
        <f t="shared" si="23"/>
        <v>4.2771599657831505E-4</v>
      </c>
      <c r="AW40" s="4">
        <f t="shared" si="24"/>
        <v>4.2158516020236458E-3</v>
      </c>
      <c r="AX40" s="4">
        <f t="shared" si="25"/>
        <v>2.3937267849772903E-2</v>
      </c>
      <c r="AY40" s="4">
        <f t="shared" si="26"/>
        <v>5.0860719874804561E-3</v>
      </c>
      <c r="AZ40" s="4">
        <f t="shared" si="27"/>
        <v>6.7756078118772489E-3</v>
      </c>
      <c r="BA40" s="4">
        <f t="shared" si="28"/>
        <v>1.1313131313131275E-2</v>
      </c>
      <c r="BB40" s="4">
        <f t="shared" si="29"/>
        <v>2.9995946493717174E-2</v>
      </c>
      <c r="BC40" s="4">
        <f t="shared" si="30"/>
        <v>3.1658092599921028E-3</v>
      </c>
      <c r="BD40" s="4">
        <f t="shared" si="31"/>
        <v>4.2834890965731676E-3</v>
      </c>
      <c r="BE40" s="4">
        <f t="shared" si="32"/>
        <v>2.1596606247589634E-2</v>
      </c>
      <c r="BF40" s="4">
        <f t="shared" si="33"/>
        <v>1.4514896867838134E-2</v>
      </c>
      <c r="BG40" s="4">
        <f t="shared" si="34"/>
        <v>3.8620172478440296E-2</v>
      </c>
      <c r="BH40" s="4">
        <f t="shared" si="35"/>
        <v>2.3005032350826848E-2</v>
      </c>
      <c r="BI40" s="4">
        <f t="shared" si="36"/>
        <v>3.6036036036035668E-4</v>
      </c>
      <c r="BJ40" s="4">
        <f t="shared" si="37"/>
        <v>3.2798833819241979E-3</v>
      </c>
      <c r="BK40" s="4">
        <f t="shared" si="38"/>
        <v>1.8998903909389853E-2</v>
      </c>
      <c r="BL40" s="4">
        <f t="shared" si="39"/>
        <v>1.1148272017836858E-3</v>
      </c>
      <c r="BM40" s="4">
        <f t="shared" si="49"/>
        <v>1.4638084243493832E-2</v>
      </c>
      <c r="BN40" s="14">
        <f t="shared" si="50"/>
        <v>13651.955423496211</v>
      </c>
      <c r="BO40" s="15">
        <f t="shared" si="51"/>
        <v>13129.947527455444</v>
      </c>
      <c r="BP40" s="16">
        <v>13440</v>
      </c>
      <c r="BQ40" s="16">
        <v>13455</v>
      </c>
      <c r="BR40" s="16">
        <v>13420</v>
      </c>
      <c r="BS40" s="16">
        <v>13440</v>
      </c>
      <c r="BT40" s="16">
        <v>74634</v>
      </c>
      <c r="BU40" s="15">
        <f t="shared" si="40"/>
        <v>13438.333333333334</v>
      </c>
      <c r="BV40" s="15">
        <f t="shared" si="41"/>
        <v>1002956570</v>
      </c>
      <c r="BW40" s="15">
        <f>SUM($BV$3:BV40)</f>
        <v>67994580804.999992</v>
      </c>
      <c r="BX40" s="15">
        <f>SUM($BT$3:BT40)</f>
        <v>5057670</v>
      </c>
      <c r="BY40" s="15">
        <f t="shared" si="42"/>
        <v>13443.854740423949</v>
      </c>
      <c r="BZ40" s="3">
        <v>38</v>
      </c>
      <c r="CA40" s="3">
        <f t="shared" si="43"/>
        <v>0</v>
      </c>
      <c r="CB40" s="3">
        <f t="shared" si="44"/>
        <v>0</v>
      </c>
      <c r="CC40" s="3">
        <f t="shared" si="45"/>
        <v>0</v>
      </c>
      <c r="CD40" s="3" t="str">
        <f t="shared" si="46"/>
        <v/>
      </c>
      <c r="CE40" s="3">
        <f t="shared" si="47"/>
        <v>0</v>
      </c>
    </row>
    <row r="41" spans="1:83" x14ac:dyDescent="0.3">
      <c r="A41" s="3" t="s">
        <v>81</v>
      </c>
      <c r="B41" s="3">
        <v>11765</v>
      </c>
      <c r="C41" s="3">
        <v>11760</v>
      </c>
      <c r="D41" s="3">
        <v>11525</v>
      </c>
      <c r="E41" s="3">
        <v>11535</v>
      </c>
      <c r="F41" s="3">
        <v>11655</v>
      </c>
      <c r="G41" s="3">
        <v>11650</v>
      </c>
      <c r="H41" s="3">
        <v>11625</v>
      </c>
      <c r="I41" s="3">
        <v>11650</v>
      </c>
      <c r="J41" s="3">
        <v>11690</v>
      </c>
      <c r="K41" s="3">
        <v>11690</v>
      </c>
      <c r="L41" s="3">
        <v>11915</v>
      </c>
      <c r="M41" s="3">
        <v>11925</v>
      </c>
      <c r="N41" s="3">
        <v>12405</v>
      </c>
      <c r="O41" s="3">
        <v>12410</v>
      </c>
      <c r="P41" s="3">
        <v>12715</v>
      </c>
      <c r="Q41" s="3">
        <v>12705</v>
      </c>
      <c r="R41" s="3">
        <v>12630</v>
      </c>
      <c r="S41" s="3">
        <v>12610</v>
      </c>
      <c r="T41" s="3">
        <v>12235</v>
      </c>
      <c r="U41" s="3">
        <v>12225</v>
      </c>
      <c r="V41" s="3">
        <v>12700</v>
      </c>
      <c r="W41" s="3">
        <v>12715</v>
      </c>
      <c r="X41" s="3">
        <v>12595</v>
      </c>
      <c r="Y41" s="3">
        <v>12605</v>
      </c>
      <c r="Z41" s="3">
        <v>12785</v>
      </c>
      <c r="AA41" s="3">
        <v>12790</v>
      </c>
      <c r="AB41" s="3">
        <v>13245</v>
      </c>
      <c r="AC41" s="3">
        <v>13235</v>
      </c>
      <c r="AD41" s="3">
        <v>13280</v>
      </c>
      <c r="AE41" s="3">
        <v>13280</v>
      </c>
      <c r="AF41" s="3">
        <v>13850</v>
      </c>
      <c r="AG41" s="3">
        <v>13830</v>
      </c>
      <c r="AH41" s="3">
        <v>14235</v>
      </c>
      <c r="AI41" s="3">
        <v>14225</v>
      </c>
      <c r="AJ41" s="3">
        <v>13865</v>
      </c>
      <c r="AK41" s="3">
        <v>13880</v>
      </c>
      <c r="AL41" s="3">
        <v>13675</v>
      </c>
      <c r="AM41" s="3">
        <v>13655</v>
      </c>
      <c r="AN41" s="3">
        <v>13420</v>
      </c>
      <c r="AO41" s="3">
        <v>13455</v>
      </c>
      <c r="AP41" s="3">
        <v>13445</v>
      </c>
      <c r="AQ41" s="3">
        <v>13455</v>
      </c>
      <c r="AR41" s="4">
        <f t="shared" si="48"/>
        <v>1.9947961838681749E-2</v>
      </c>
      <c r="AS41" s="4">
        <f t="shared" si="20"/>
        <v>1.2987012987012436E-3</v>
      </c>
      <c r="AT41" s="4">
        <f t="shared" si="21"/>
        <v>2.5528169014084501E-2</v>
      </c>
      <c r="AU41" s="4">
        <f t="shared" si="22"/>
        <v>1.1035653650254718E-2</v>
      </c>
      <c r="AV41" s="4">
        <f t="shared" si="23"/>
        <v>0</v>
      </c>
      <c r="AW41" s="4">
        <f t="shared" si="24"/>
        <v>5.4806070826307618E-3</v>
      </c>
      <c r="AX41" s="4">
        <f t="shared" si="25"/>
        <v>2.4349979364424179E-2</v>
      </c>
      <c r="AY41" s="4">
        <f t="shared" si="26"/>
        <v>5.8685446009389963E-3</v>
      </c>
      <c r="AZ41" s="4">
        <f t="shared" si="27"/>
        <v>5.1813471502590858E-3</v>
      </c>
      <c r="BA41" s="4">
        <f t="shared" si="28"/>
        <v>1.2121212121212088E-2</v>
      </c>
      <c r="BB41" s="4">
        <f t="shared" si="29"/>
        <v>3.080664775030395E-2</v>
      </c>
      <c r="BC41" s="4">
        <f t="shared" si="30"/>
        <v>2.3743569449941049E-3</v>
      </c>
      <c r="BD41" s="4">
        <f t="shared" si="31"/>
        <v>3.8940809968847079E-3</v>
      </c>
      <c r="BE41" s="4">
        <f t="shared" si="32"/>
        <v>2.0825298881604226E-2</v>
      </c>
      <c r="BF41" s="4">
        <f t="shared" si="33"/>
        <v>1.4514896867838134E-2</v>
      </c>
      <c r="BG41" s="4">
        <f t="shared" si="34"/>
        <v>3.7120359955005622E-2</v>
      </c>
      <c r="BH41" s="4">
        <f t="shared" si="35"/>
        <v>2.2645578720345005E-2</v>
      </c>
      <c r="BI41" s="4">
        <f t="shared" si="36"/>
        <v>3.6036036036035668E-4</v>
      </c>
      <c r="BJ41" s="4">
        <f t="shared" si="37"/>
        <v>4.737609329446113E-3</v>
      </c>
      <c r="BK41" s="4">
        <f t="shared" si="38"/>
        <v>1.6806722689075682E-2</v>
      </c>
      <c r="BL41" s="4">
        <f t="shared" si="39"/>
        <v>0</v>
      </c>
      <c r="BM41" s="4">
        <f t="shared" si="49"/>
        <v>1.4400499695192304E-2</v>
      </c>
      <c r="BN41" s="14">
        <f t="shared" si="50"/>
        <v>13648.758723398812</v>
      </c>
      <c r="BO41" s="15">
        <f t="shared" si="51"/>
        <v>13133.113341561562</v>
      </c>
      <c r="BP41" s="16">
        <v>13445</v>
      </c>
      <c r="BQ41" s="16">
        <v>13465</v>
      </c>
      <c r="BR41" s="16">
        <v>13445</v>
      </c>
      <c r="BS41" s="16">
        <v>13455</v>
      </c>
      <c r="BT41" s="16">
        <v>77295</v>
      </c>
      <c r="BU41" s="15">
        <f t="shared" si="40"/>
        <v>13455</v>
      </c>
      <c r="BV41" s="15">
        <f t="shared" si="41"/>
        <v>1040004225</v>
      </c>
      <c r="BW41" s="15">
        <f>SUM($BV$3:BV41)</f>
        <v>69034585030</v>
      </c>
      <c r="BX41" s="15">
        <f>SUM($BT$3:BT41)</f>
        <v>5134965</v>
      </c>
      <c r="BY41" s="15">
        <f t="shared" si="42"/>
        <v>13444.022506482517</v>
      </c>
      <c r="BZ41" s="3">
        <v>39</v>
      </c>
      <c r="CA41" s="3">
        <f t="shared" si="43"/>
        <v>0</v>
      </c>
      <c r="CB41" s="3">
        <f t="shared" si="44"/>
        <v>0</v>
      </c>
      <c r="CC41" s="3">
        <f t="shared" si="45"/>
        <v>0</v>
      </c>
      <c r="CD41" s="3" t="str">
        <f t="shared" si="46"/>
        <v/>
      </c>
      <c r="CE41" s="3">
        <f t="shared" si="47"/>
        <v>0</v>
      </c>
    </row>
    <row r="42" spans="1:83" x14ac:dyDescent="0.3">
      <c r="A42" s="3" t="s">
        <v>82</v>
      </c>
      <c r="B42" s="3">
        <v>11760</v>
      </c>
      <c r="C42" s="3">
        <v>11770</v>
      </c>
      <c r="D42" s="3">
        <v>11535</v>
      </c>
      <c r="E42" s="3">
        <v>11550</v>
      </c>
      <c r="F42" s="3">
        <v>11655</v>
      </c>
      <c r="G42" s="3">
        <v>11660</v>
      </c>
      <c r="H42" s="3">
        <v>11655</v>
      </c>
      <c r="I42" s="3">
        <v>11640</v>
      </c>
      <c r="J42" s="3">
        <v>11695</v>
      </c>
      <c r="K42" s="3">
        <v>11705</v>
      </c>
      <c r="L42" s="3">
        <v>11925</v>
      </c>
      <c r="M42" s="3">
        <v>11955</v>
      </c>
      <c r="N42" s="3">
        <v>12405</v>
      </c>
      <c r="O42" s="3">
        <v>12430</v>
      </c>
      <c r="P42" s="3">
        <v>12705</v>
      </c>
      <c r="Q42" s="3">
        <v>12690</v>
      </c>
      <c r="R42" s="3">
        <v>12605</v>
      </c>
      <c r="S42" s="3">
        <v>12625</v>
      </c>
      <c r="T42" s="3">
        <v>12230</v>
      </c>
      <c r="U42" s="3">
        <v>12215</v>
      </c>
      <c r="V42" s="3">
        <v>12715</v>
      </c>
      <c r="W42" s="3">
        <v>12735</v>
      </c>
      <c r="X42" s="3">
        <v>12605</v>
      </c>
      <c r="Y42" s="3">
        <v>12585</v>
      </c>
      <c r="Z42" s="3">
        <v>12790</v>
      </c>
      <c r="AA42" s="3">
        <v>12810</v>
      </c>
      <c r="AB42" s="3">
        <v>13240</v>
      </c>
      <c r="AC42" s="3">
        <v>13265</v>
      </c>
      <c r="AD42" s="3">
        <v>13280</v>
      </c>
      <c r="AE42" s="3">
        <v>13255</v>
      </c>
      <c r="AF42" s="3">
        <v>13825</v>
      </c>
      <c r="AG42" s="3">
        <v>13825</v>
      </c>
      <c r="AH42" s="3">
        <v>14220</v>
      </c>
      <c r="AI42" s="3">
        <v>14230</v>
      </c>
      <c r="AJ42" s="3">
        <v>13880</v>
      </c>
      <c r="AK42" s="3">
        <v>13885</v>
      </c>
      <c r="AL42" s="3">
        <v>13655</v>
      </c>
      <c r="AM42" s="3">
        <v>13655</v>
      </c>
      <c r="AN42" s="3">
        <v>13460</v>
      </c>
      <c r="AO42" s="3">
        <v>13470</v>
      </c>
      <c r="AP42" s="3">
        <v>13460</v>
      </c>
      <c r="AQ42" s="3">
        <v>13475</v>
      </c>
      <c r="AR42" s="4">
        <f t="shared" si="48"/>
        <v>2.0815264527320076E-2</v>
      </c>
      <c r="AS42" s="4">
        <f t="shared" si="20"/>
        <v>0</v>
      </c>
      <c r="AT42" s="4">
        <f t="shared" si="21"/>
        <v>2.6408450704225261E-2</v>
      </c>
      <c r="AU42" s="4">
        <f t="shared" si="22"/>
        <v>1.1884550084889645E-2</v>
      </c>
      <c r="AV42" s="4">
        <f t="shared" si="23"/>
        <v>1.2831479897348341E-3</v>
      </c>
      <c r="AW42" s="4">
        <f t="shared" si="24"/>
        <v>8.0101180438447717E-3</v>
      </c>
      <c r="AX42" s="4">
        <f t="shared" si="25"/>
        <v>2.6000825423029283E-2</v>
      </c>
      <c r="AY42" s="4">
        <f t="shared" si="26"/>
        <v>7.0422535211267512E-3</v>
      </c>
      <c r="AZ42" s="4">
        <f t="shared" si="27"/>
        <v>6.3770426464726526E-3</v>
      </c>
      <c r="BA42" s="4">
        <f t="shared" si="28"/>
        <v>1.2929292929292902E-2</v>
      </c>
      <c r="BB42" s="4">
        <f t="shared" si="29"/>
        <v>3.2428050263477948E-2</v>
      </c>
      <c r="BC42" s="4">
        <f t="shared" si="30"/>
        <v>3.9572615749901008E-3</v>
      </c>
      <c r="BD42" s="4">
        <f t="shared" si="31"/>
        <v>2.3364485981308691E-3</v>
      </c>
      <c r="BE42" s="4">
        <f t="shared" si="32"/>
        <v>2.3139220979560449E-2</v>
      </c>
      <c r="BF42" s="4">
        <f t="shared" si="33"/>
        <v>1.2605042016806678E-2</v>
      </c>
      <c r="BG42" s="4">
        <f t="shared" si="34"/>
        <v>3.6745406824147064E-2</v>
      </c>
      <c r="BH42" s="4">
        <f t="shared" si="35"/>
        <v>2.3005032350826848E-2</v>
      </c>
      <c r="BI42" s="4">
        <f t="shared" si="36"/>
        <v>7.2072072072071336E-4</v>
      </c>
      <c r="BJ42" s="4">
        <f t="shared" si="37"/>
        <v>4.737609329446113E-3</v>
      </c>
      <c r="BK42" s="4">
        <f t="shared" si="38"/>
        <v>1.5710632078918541E-2</v>
      </c>
      <c r="BL42" s="4">
        <f t="shared" si="39"/>
        <v>1.4864362690449884E-3</v>
      </c>
      <c r="BM42" s="4">
        <f t="shared" si="49"/>
        <v>1.4838202804067637E-2</v>
      </c>
      <c r="BN42" s="14">
        <f t="shared" si="50"/>
        <v>13654.648018728731</v>
      </c>
      <c r="BO42" s="15">
        <f t="shared" si="51"/>
        <v>13127.280947635798</v>
      </c>
      <c r="BP42" s="16">
        <v>13460</v>
      </c>
      <c r="BQ42" s="16">
        <v>13485</v>
      </c>
      <c r="BR42" s="16">
        <v>13460</v>
      </c>
      <c r="BS42" s="16">
        <v>13475</v>
      </c>
      <c r="BT42" s="16">
        <v>141792</v>
      </c>
      <c r="BU42" s="15">
        <f t="shared" si="40"/>
        <v>13473.333333333334</v>
      </c>
      <c r="BV42" s="15">
        <f t="shared" si="41"/>
        <v>1910410880</v>
      </c>
      <c r="BW42" s="15">
        <f>SUM($BV$3:BV42)</f>
        <v>70944995910</v>
      </c>
      <c r="BX42" s="15">
        <f>SUM($BT$3:BT42)</f>
        <v>5276757</v>
      </c>
      <c r="BY42" s="15">
        <f t="shared" si="42"/>
        <v>13444.810119169786</v>
      </c>
      <c r="BZ42" s="3">
        <v>40</v>
      </c>
      <c r="CA42" s="3">
        <f t="shared" si="43"/>
        <v>0</v>
      </c>
      <c r="CB42" s="3">
        <f t="shared" si="44"/>
        <v>0</v>
      </c>
      <c r="CC42" s="3">
        <f t="shared" si="45"/>
        <v>0</v>
      </c>
      <c r="CD42" s="3" t="str">
        <f t="shared" si="46"/>
        <v/>
      </c>
      <c r="CE42" s="3">
        <f t="shared" si="47"/>
        <v>0</v>
      </c>
    </row>
    <row r="43" spans="1:83" x14ac:dyDescent="0.3">
      <c r="A43" s="3" t="s">
        <v>83</v>
      </c>
      <c r="B43" s="3">
        <v>11775</v>
      </c>
      <c r="C43" s="3">
        <v>11770</v>
      </c>
      <c r="D43" s="3">
        <v>11545</v>
      </c>
      <c r="E43" s="3">
        <v>11565</v>
      </c>
      <c r="F43" s="3">
        <v>11655</v>
      </c>
      <c r="G43" s="3">
        <v>11680</v>
      </c>
      <c r="H43" s="3">
        <v>11640</v>
      </c>
      <c r="I43" s="3">
        <v>11635</v>
      </c>
      <c r="J43" s="3">
        <v>11700</v>
      </c>
      <c r="K43" s="3">
        <v>11710</v>
      </c>
      <c r="L43" s="3">
        <v>11955</v>
      </c>
      <c r="M43" s="3">
        <v>11965</v>
      </c>
      <c r="N43" s="3">
        <v>12425</v>
      </c>
      <c r="O43" s="3">
        <v>12440</v>
      </c>
      <c r="P43" s="3">
        <v>12690</v>
      </c>
      <c r="Q43" s="3">
        <v>12700</v>
      </c>
      <c r="R43" s="3">
        <v>12625</v>
      </c>
      <c r="S43" s="3">
        <v>12635</v>
      </c>
      <c r="T43" s="3">
        <v>12215</v>
      </c>
      <c r="U43" s="3">
        <v>12230</v>
      </c>
      <c r="V43" s="3">
        <v>12735</v>
      </c>
      <c r="W43" s="3">
        <v>12750</v>
      </c>
      <c r="X43" s="3">
        <v>12585</v>
      </c>
      <c r="Y43" s="3">
        <v>12590</v>
      </c>
      <c r="Z43" s="3">
        <v>12810</v>
      </c>
      <c r="AA43" s="3">
        <v>12800</v>
      </c>
      <c r="AB43" s="3">
        <v>13265</v>
      </c>
      <c r="AC43" s="3">
        <v>13255</v>
      </c>
      <c r="AD43" s="3">
        <v>13250</v>
      </c>
      <c r="AE43" s="3">
        <v>13205</v>
      </c>
      <c r="AF43" s="3">
        <v>13830</v>
      </c>
      <c r="AG43" s="3">
        <v>13830</v>
      </c>
      <c r="AH43" s="3">
        <v>14225</v>
      </c>
      <c r="AI43" s="3">
        <v>14235</v>
      </c>
      <c r="AJ43" s="3">
        <v>13880</v>
      </c>
      <c r="AK43" s="3">
        <v>13900</v>
      </c>
      <c r="AL43" s="3">
        <v>13660</v>
      </c>
      <c r="AM43" s="3">
        <v>13650</v>
      </c>
      <c r="AN43" s="3">
        <v>13460</v>
      </c>
      <c r="AO43" s="3">
        <v>13475</v>
      </c>
      <c r="AP43" s="3">
        <v>13480</v>
      </c>
      <c r="AQ43" s="3">
        <v>13475</v>
      </c>
      <c r="AR43" s="4">
        <f t="shared" si="48"/>
        <v>2.0815264527320076E-2</v>
      </c>
      <c r="AS43" s="4">
        <f t="shared" si="20"/>
        <v>1.2987012987013546E-3</v>
      </c>
      <c r="AT43" s="4">
        <f t="shared" si="21"/>
        <v>2.8169014084507005E-2</v>
      </c>
      <c r="AU43" s="4">
        <f t="shared" si="22"/>
        <v>1.2308998302207108E-2</v>
      </c>
      <c r="AV43" s="4">
        <f t="shared" si="23"/>
        <v>1.7108639863130382E-3</v>
      </c>
      <c r="AW43" s="4">
        <f t="shared" si="24"/>
        <v>8.8532883642495896E-3</v>
      </c>
      <c r="AX43" s="4">
        <f t="shared" si="25"/>
        <v>2.6826248452331836E-2</v>
      </c>
      <c r="AY43" s="4">
        <f t="shared" si="26"/>
        <v>6.2597809076682109E-3</v>
      </c>
      <c r="AZ43" s="4">
        <f t="shared" si="27"/>
        <v>7.1741729772818452E-3</v>
      </c>
      <c r="BA43" s="4">
        <f t="shared" si="28"/>
        <v>1.1717171717171682E-2</v>
      </c>
      <c r="BB43" s="4">
        <f t="shared" si="29"/>
        <v>3.3644102148358224E-2</v>
      </c>
      <c r="BC43" s="4">
        <f t="shared" si="30"/>
        <v>3.5615354174910463E-3</v>
      </c>
      <c r="BD43" s="4">
        <f t="shared" si="31"/>
        <v>3.1152647975077885E-3</v>
      </c>
      <c r="BE43" s="4">
        <f t="shared" si="32"/>
        <v>2.2367913613575041E-2</v>
      </c>
      <c r="BF43" s="4">
        <f t="shared" si="33"/>
        <v>8.7853323147439877E-3</v>
      </c>
      <c r="BG43" s="4">
        <f t="shared" si="34"/>
        <v>3.7120359955005622E-2</v>
      </c>
      <c r="BH43" s="4">
        <f t="shared" si="35"/>
        <v>2.3364485981308469E-2</v>
      </c>
      <c r="BI43" s="4">
        <f t="shared" si="36"/>
        <v>1.8018018018017834E-3</v>
      </c>
      <c r="BJ43" s="4">
        <f t="shared" si="37"/>
        <v>5.1020408163264808E-3</v>
      </c>
      <c r="BK43" s="4">
        <f t="shared" si="38"/>
        <v>1.5345268542199531E-2</v>
      </c>
      <c r="BL43" s="4">
        <f t="shared" si="39"/>
        <v>1.4864362690449884E-3</v>
      </c>
      <c r="BM43" s="4">
        <f t="shared" si="49"/>
        <v>1.4727534245912253E-2</v>
      </c>
      <c r="BN43" s="14">
        <f t="shared" si="50"/>
        <v>13653.158973278751</v>
      </c>
      <c r="BO43" s="15">
        <f t="shared" si="51"/>
        <v>13128.755606173219</v>
      </c>
      <c r="BP43" s="16">
        <v>13480</v>
      </c>
      <c r="BQ43" s="16">
        <v>13510</v>
      </c>
      <c r="BR43" s="16">
        <v>13465</v>
      </c>
      <c r="BS43" s="16">
        <v>13475</v>
      </c>
      <c r="BT43" s="16">
        <v>281382</v>
      </c>
      <c r="BU43" s="15">
        <f t="shared" si="40"/>
        <v>13483.333333333334</v>
      </c>
      <c r="BV43" s="15">
        <f t="shared" si="41"/>
        <v>3793967300</v>
      </c>
      <c r="BW43" s="15">
        <f>SUM($BV$3:BV43)</f>
        <v>74738963210</v>
      </c>
      <c r="BX43" s="15">
        <f>SUM($BT$3:BT43)</f>
        <v>5558139</v>
      </c>
      <c r="BY43" s="15">
        <f t="shared" si="42"/>
        <v>13446.760365294931</v>
      </c>
      <c r="BZ43" s="3">
        <v>41</v>
      </c>
      <c r="CA43" s="3">
        <f t="shared" si="43"/>
        <v>0</v>
      </c>
      <c r="CB43" s="3">
        <f t="shared" si="44"/>
        <v>0</v>
      </c>
      <c r="CC43" s="3">
        <f t="shared" si="45"/>
        <v>0</v>
      </c>
      <c r="CD43" s="3" t="str">
        <f t="shared" si="46"/>
        <v/>
      </c>
      <c r="CE43" s="3">
        <f t="shared" si="47"/>
        <v>0</v>
      </c>
    </row>
    <row r="44" spans="1:83" x14ac:dyDescent="0.3">
      <c r="A44" s="3" t="s">
        <v>84</v>
      </c>
      <c r="B44" s="3">
        <v>11765</v>
      </c>
      <c r="C44" s="3">
        <v>11755</v>
      </c>
      <c r="D44" s="3">
        <v>11570</v>
      </c>
      <c r="E44" s="3">
        <v>11555</v>
      </c>
      <c r="F44" s="3">
        <v>11685</v>
      </c>
      <c r="G44" s="3">
        <v>11680</v>
      </c>
      <c r="H44" s="3">
        <v>11625</v>
      </c>
      <c r="I44" s="3">
        <v>11610</v>
      </c>
      <c r="J44" s="3">
        <v>11715</v>
      </c>
      <c r="K44" s="3">
        <v>11720</v>
      </c>
      <c r="L44" s="3">
        <v>11970</v>
      </c>
      <c r="M44" s="3">
        <v>12015</v>
      </c>
      <c r="N44" s="3">
        <v>12435</v>
      </c>
      <c r="O44" s="3">
        <v>12420</v>
      </c>
      <c r="P44" s="3">
        <v>12700</v>
      </c>
      <c r="Q44" s="3">
        <v>12670</v>
      </c>
      <c r="R44" s="3">
        <v>12630</v>
      </c>
      <c r="S44" s="3">
        <v>12640</v>
      </c>
      <c r="T44" s="3">
        <v>12230</v>
      </c>
      <c r="U44" s="3">
        <v>12250</v>
      </c>
      <c r="V44" s="3">
        <v>12750</v>
      </c>
      <c r="W44" s="3">
        <v>12740</v>
      </c>
      <c r="X44" s="3">
        <v>12595</v>
      </c>
      <c r="Y44" s="3">
        <v>12605</v>
      </c>
      <c r="Z44" s="3">
        <v>12800</v>
      </c>
      <c r="AA44" s="3">
        <v>12780</v>
      </c>
      <c r="AB44" s="3">
        <v>13255</v>
      </c>
      <c r="AC44" s="3">
        <v>13270</v>
      </c>
      <c r="AD44" s="3">
        <v>13205</v>
      </c>
      <c r="AE44" s="3">
        <v>13205</v>
      </c>
      <c r="AF44" s="3">
        <v>13830</v>
      </c>
      <c r="AG44" s="3">
        <v>13845</v>
      </c>
      <c r="AH44" s="3">
        <v>14240</v>
      </c>
      <c r="AI44" s="3">
        <v>14240</v>
      </c>
      <c r="AJ44" s="3">
        <v>13905</v>
      </c>
      <c r="AK44" s="3">
        <v>13930</v>
      </c>
      <c r="AL44" s="3">
        <v>13645</v>
      </c>
      <c r="AM44" s="3">
        <v>13700</v>
      </c>
      <c r="AN44" s="3">
        <v>13470</v>
      </c>
      <c r="AO44" s="3">
        <v>13465</v>
      </c>
      <c r="AP44" s="3">
        <v>13475</v>
      </c>
      <c r="AQ44" s="3">
        <v>13495</v>
      </c>
      <c r="AR44" s="4">
        <f t="shared" si="48"/>
        <v>1.9514310494362475E-2</v>
      </c>
      <c r="AS44" s="4">
        <f t="shared" si="20"/>
        <v>4.3290043290045155E-4</v>
      </c>
      <c r="AT44" s="4">
        <f t="shared" si="21"/>
        <v>2.8169014084507005E-2</v>
      </c>
      <c r="AU44" s="4">
        <f t="shared" si="22"/>
        <v>1.4431239388794537E-2</v>
      </c>
      <c r="AV44" s="4">
        <f t="shared" si="23"/>
        <v>2.5662959794696683E-3</v>
      </c>
      <c r="AW44" s="4">
        <f t="shared" si="24"/>
        <v>1.3069139966273235E-2</v>
      </c>
      <c r="AX44" s="4">
        <f t="shared" si="25"/>
        <v>2.5175402393726731E-2</v>
      </c>
      <c r="AY44" s="4">
        <f t="shared" si="26"/>
        <v>8.6071987480438317E-3</v>
      </c>
      <c r="AZ44" s="4">
        <f t="shared" si="27"/>
        <v>7.5727381426862195E-3</v>
      </c>
      <c r="BA44" s="4">
        <f t="shared" si="28"/>
        <v>1.0101010101010055E-2</v>
      </c>
      <c r="BB44" s="4">
        <f t="shared" si="29"/>
        <v>3.2833400891771447E-2</v>
      </c>
      <c r="BC44" s="4">
        <f t="shared" si="30"/>
        <v>2.3743569449941049E-3</v>
      </c>
      <c r="BD44" s="4">
        <f t="shared" si="31"/>
        <v>4.6728971962616273E-3</v>
      </c>
      <c r="BE44" s="4">
        <f t="shared" si="32"/>
        <v>2.352487466255293E-2</v>
      </c>
      <c r="BF44" s="4">
        <f t="shared" si="33"/>
        <v>8.7853323147439877E-3</v>
      </c>
      <c r="BG44" s="4">
        <f t="shared" si="34"/>
        <v>3.8245219347581516E-2</v>
      </c>
      <c r="BH44" s="4">
        <f t="shared" si="35"/>
        <v>2.372393961179009E-2</v>
      </c>
      <c r="BI44" s="4">
        <f t="shared" si="36"/>
        <v>3.9639639639639235E-3</v>
      </c>
      <c r="BJ44" s="4">
        <f t="shared" si="37"/>
        <v>1.4577259475219151E-3</v>
      </c>
      <c r="BK44" s="4">
        <f t="shared" si="38"/>
        <v>1.6075995615637551E-2</v>
      </c>
      <c r="BL44" s="4">
        <f t="shared" si="39"/>
        <v>2.9728725380899768E-3</v>
      </c>
      <c r="BM44" s="4">
        <f t="shared" si="49"/>
        <v>1.4793861134448996E-2</v>
      </c>
      <c r="BN44" s="14">
        <f t="shared" si="50"/>
        <v>13654.051401564011</v>
      </c>
      <c r="BO44" s="15">
        <f t="shared" si="51"/>
        <v>13127.871800383467</v>
      </c>
      <c r="BP44" s="16">
        <v>13475</v>
      </c>
      <c r="BQ44" s="16">
        <v>13495</v>
      </c>
      <c r="BR44" s="16">
        <v>13470</v>
      </c>
      <c r="BS44" s="16">
        <v>13495</v>
      </c>
      <c r="BT44" s="16">
        <v>112695</v>
      </c>
      <c r="BU44" s="15">
        <f t="shared" si="40"/>
        <v>13486.666666666666</v>
      </c>
      <c r="BV44" s="15">
        <f t="shared" si="41"/>
        <v>1519879900</v>
      </c>
      <c r="BW44" s="15">
        <f>SUM($BV$3:BV44)</f>
        <v>76258843110</v>
      </c>
      <c r="BX44" s="15">
        <f>SUM($BT$3:BT44)</f>
        <v>5670834</v>
      </c>
      <c r="BY44" s="15">
        <f t="shared" si="42"/>
        <v>13447.553412778438</v>
      </c>
      <c r="BZ44" s="3">
        <v>42</v>
      </c>
      <c r="CA44" s="3">
        <f t="shared" si="43"/>
        <v>0</v>
      </c>
      <c r="CB44" s="3">
        <f t="shared" si="44"/>
        <v>0</v>
      </c>
      <c r="CC44" s="3">
        <f t="shared" si="45"/>
        <v>0</v>
      </c>
      <c r="CD44" s="3" t="str">
        <f t="shared" si="46"/>
        <v/>
      </c>
      <c r="CE44" s="3">
        <f t="shared" si="47"/>
        <v>0</v>
      </c>
    </row>
    <row r="45" spans="1:83" x14ac:dyDescent="0.3">
      <c r="A45" s="3" t="s">
        <v>85</v>
      </c>
      <c r="B45" s="3">
        <v>11755</v>
      </c>
      <c r="C45" s="3">
        <v>11755</v>
      </c>
      <c r="D45" s="3">
        <v>11550</v>
      </c>
      <c r="E45" s="3">
        <v>11545</v>
      </c>
      <c r="F45" s="3">
        <v>11680</v>
      </c>
      <c r="G45" s="3">
        <v>11700</v>
      </c>
      <c r="H45" s="3">
        <v>11610</v>
      </c>
      <c r="I45" s="3">
        <v>11605</v>
      </c>
      <c r="J45" s="3">
        <v>11720</v>
      </c>
      <c r="K45" s="3">
        <v>11720</v>
      </c>
      <c r="L45" s="3">
        <v>12015</v>
      </c>
      <c r="M45" s="3">
        <v>12020</v>
      </c>
      <c r="N45" s="3">
        <v>12415</v>
      </c>
      <c r="O45" s="3">
        <v>12415</v>
      </c>
      <c r="P45" s="3">
        <v>12670</v>
      </c>
      <c r="Q45" s="3">
        <v>12635</v>
      </c>
      <c r="R45" s="3">
        <v>12640</v>
      </c>
      <c r="S45" s="3">
        <v>12620</v>
      </c>
      <c r="T45" s="3">
        <v>12245</v>
      </c>
      <c r="U45" s="3">
        <v>12265</v>
      </c>
      <c r="V45" s="3">
        <v>12735</v>
      </c>
      <c r="W45" s="3">
        <v>12730</v>
      </c>
      <c r="X45" s="3">
        <v>12600</v>
      </c>
      <c r="Y45" s="3">
        <v>12580</v>
      </c>
      <c r="Z45" s="3">
        <v>12780</v>
      </c>
      <c r="AA45" s="3">
        <v>12785</v>
      </c>
      <c r="AB45" s="3">
        <v>13265</v>
      </c>
      <c r="AC45" s="3">
        <v>13270</v>
      </c>
      <c r="AD45" s="3">
        <v>13210</v>
      </c>
      <c r="AE45" s="3">
        <v>13220</v>
      </c>
      <c r="AF45" s="3">
        <v>13845</v>
      </c>
      <c r="AG45" s="3">
        <v>13840</v>
      </c>
      <c r="AH45" s="3">
        <v>14240</v>
      </c>
      <c r="AI45" s="3">
        <v>14245</v>
      </c>
      <c r="AJ45" s="3">
        <v>13930</v>
      </c>
      <c r="AK45" s="3">
        <v>13915</v>
      </c>
      <c r="AL45" s="3">
        <v>13705</v>
      </c>
      <c r="AM45" s="3">
        <v>13720</v>
      </c>
      <c r="AN45" s="3">
        <v>13465</v>
      </c>
      <c r="AO45" s="3">
        <v>13480</v>
      </c>
      <c r="AP45" s="3">
        <v>13495</v>
      </c>
      <c r="AQ45" s="3">
        <v>13500</v>
      </c>
      <c r="AR45" s="4">
        <f t="shared" si="48"/>
        <v>1.9514310494362475E-2</v>
      </c>
      <c r="AS45" s="4">
        <f t="shared" si="20"/>
        <v>4.3290043290045155E-4</v>
      </c>
      <c r="AT45" s="4">
        <f t="shared" si="21"/>
        <v>2.9929577464788748E-2</v>
      </c>
      <c r="AU45" s="4">
        <f t="shared" si="22"/>
        <v>1.4855687606112E-2</v>
      </c>
      <c r="AV45" s="4">
        <f t="shared" si="23"/>
        <v>2.5662959794696683E-3</v>
      </c>
      <c r="AW45" s="4">
        <f t="shared" si="24"/>
        <v>1.3490725126475533E-2</v>
      </c>
      <c r="AX45" s="4">
        <f t="shared" si="25"/>
        <v>2.4762690879075455E-2</v>
      </c>
      <c r="AY45" s="4">
        <f t="shared" si="26"/>
        <v>1.1345852895148667E-2</v>
      </c>
      <c r="AZ45" s="4">
        <f t="shared" si="27"/>
        <v>5.9784774810680563E-3</v>
      </c>
      <c r="BA45" s="4">
        <f t="shared" si="28"/>
        <v>8.8888888888888351E-3</v>
      </c>
      <c r="BB45" s="4">
        <f t="shared" si="29"/>
        <v>3.2022699635184448E-2</v>
      </c>
      <c r="BC45" s="4">
        <f t="shared" si="30"/>
        <v>4.3529877324891553E-3</v>
      </c>
      <c r="BD45" s="4">
        <f t="shared" si="31"/>
        <v>4.2834890965731676E-3</v>
      </c>
      <c r="BE45" s="4">
        <f t="shared" si="32"/>
        <v>2.352487466255293E-2</v>
      </c>
      <c r="BF45" s="4">
        <f t="shared" si="33"/>
        <v>9.931245225362817E-3</v>
      </c>
      <c r="BG45" s="4">
        <f t="shared" si="34"/>
        <v>3.7870266216722959E-2</v>
      </c>
      <c r="BH45" s="4">
        <f t="shared" si="35"/>
        <v>2.4083393242271711E-2</v>
      </c>
      <c r="BI45" s="4">
        <f t="shared" si="36"/>
        <v>2.8828828828828534E-3</v>
      </c>
      <c r="BJ45" s="4">
        <f t="shared" si="37"/>
        <v>0</v>
      </c>
      <c r="BK45" s="4">
        <f t="shared" si="38"/>
        <v>1.4979905005480409E-2</v>
      </c>
      <c r="BL45" s="4">
        <f t="shared" si="39"/>
        <v>3.3444816053511683E-3</v>
      </c>
      <c r="BM45" s="4">
        <f t="shared" si="49"/>
        <v>1.4636260988835819E-2</v>
      </c>
      <c r="BN45" s="14">
        <f t="shared" si="50"/>
        <v>13651.930891604785</v>
      </c>
      <c r="BO45" s="15">
        <f t="shared" si="51"/>
        <v>13129.971822323761</v>
      </c>
      <c r="BP45" s="16">
        <v>13495</v>
      </c>
      <c r="BQ45" s="16">
        <v>13510</v>
      </c>
      <c r="BR45" s="16">
        <v>13495</v>
      </c>
      <c r="BS45" s="16">
        <v>13500</v>
      </c>
      <c r="BT45" s="16">
        <v>109064</v>
      </c>
      <c r="BU45" s="15">
        <f t="shared" si="40"/>
        <v>13501.666666666666</v>
      </c>
      <c r="BV45" s="15">
        <f t="shared" si="41"/>
        <v>1472545773.3333333</v>
      </c>
      <c r="BW45" s="15">
        <f>SUM($BV$3:BV45)</f>
        <v>77731388883.333328</v>
      </c>
      <c r="BX45" s="15">
        <f>SUM($BT$3:BT45)</f>
        <v>5779898</v>
      </c>
      <c r="BY45" s="15">
        <f t="shared" si="42"/>
        <v>13448.574504832668</v>
      </c>
      <c r="BZ45" s="3">
        <v>43</v>
      </c>
      <c r="CA45" s="3">
        <f t="shared" si="43"/>
        <v>0</v>
      </c>
      <c r="CB45" s="3">
        <f t="shared" si="44"/>
        <v>0</v>
      </c>
      <c r="CC45" s="3">
        <f t="shared" si="45"/>
        <v>0</v>
      </c>
      <c r="CD45" s="3" t="str">
        <f t="shared" si="46"/>
        <v/>
      </c>
      <c r="CE45" s="3">
        <f t="shared" si="47"/>
        <v>0</v>
      </c>
    </row>
    <row r="46" spans="1:83" x14ac:dyDescent="0.3">
      <c r="A46" s="3" t="s">
        <v>86</v>
      </c>
      <c r="B46" s="3">
        <v>11760</v>
      </c>
      <c r="C46" s="3">
        <v>11750</v>
      </c>
      <c r="D46" s="3">
        <v>11540</v>
      </c>
      <c r="E46" s="3">
        <v>11545</v>
      </c>
      <c r="F46" s="3">
        <v>11700</v>
      </c>
      <c r="G46" s="3">
        <v>11720</v>
      </c>
      <c r="H46" s="3">
        <v>11600</v>
      </c>
      <c r="I46" s="3">
        <v>11595</v>
      </c>
      <c r="J46" s="3">
        <v>11720</v>
      </c>
      <c r="K46" s="3">
        <v>11715</v>
      </c>
      <c r="L46" s="3">
        <v>12020</v>
      </c>
      <c r="M46" s="3">
        <v>12035</v>
      </c>
      <c r="N46" s="3">
        <v>12410</v>
      </c>
      <c r="O46" s="3">
        <v>12410</v>
      </c>
      <c r="P46" s="3">
        <v>12625</v>
      </c>
      <c r="Q46" s="3">
        <v>12660</v>
      </c>
      <c r="R46" s="3">
        <v>12620</v>
      </c>
      <c r="S46" s="3">
        <v>12615</v>
      </c>
      <c r="T46" s="3">
        <v>12265</v>
      </c>
      <c r="U46" s="3">
        <v>12260</v>
      </c>
      <c r="V46" s="3">
        <v>12730</v>
      </c>
      <c r="W46" s="3">
        <v>12695</v>
      </c>
      <c r="X46" s="3">
        <v>12580</v>
      </c>
      <c r="Y46" s="3">
        <v>12595</v>
      </c>
      <c r="Z46" s="3">
        <v>12790</v>
      </c>
      <c r="AA46" s="3">
        <v>12780</v>
      </c>
      <c r="AB46" s="3">
        <v>13265</v>
      </c>
      <c r="AC46" s="3">
        <v>13255</v>
      </c>
      <c r="AD46" s="3">
        <v>13220</v>
      </c>
      <c r="AE46" s="3">
        <v>13215</v>
      </c>
      <c r="AF46" s="3">
        <v>13845</v>
      </c>
      <c r="AG46" s="3">
        <v>13845</v>
      </c>
      <c r="AH46" s="3">
        <v>14245</v>
      </c>
      <c r="AI46" s="3">
        <v>14265</v>
      </c>
      <c r="AJ46" s="3">
        <v>13915</v>
      </c>
      <c r="AK46" s="3">
        <v>13920</v>
      </c>
      <c r="AL46" s="3">
        <v>13720</v>
      </c>
      <c r="AM46" s="3">
        <v>13790</v>
      </c>
      <c r="AN46" s="3">
        <v>13485</v>
      </c>
      <c r="AO46" s="3">
        <v>13530</v>
      </c>
      <c r="AP46" s="3">
        <v>13505</v>
      </c>
      <c r="AQ46" s="3">
        <v>13495</v>
      </c>
      <c r="AR46" s="4">
        <f t="shared" si="48"/>
        <v>1.9080659150043422E-2</v>
      </c>
      <c r="AS46" s="4">
        <f t="shared" si="20"/>
        <v>4.3290043290045155E-4</v>
      </c>
      <c r="AT46" s="4">
        <f t="shared" si="21"/>
        <v>3.1690140845070491E-2</v>
      </c>
      <c r="AU46" s="4">
        <f t="shared" si="22"/>
        <v>1.5704584040747038E-2</v>
      </c>
      <c r="AV46" s="4">
        <f t="shared" si="23"/>
        <v>2.1385799828914642E-3</v>
      </c>
      <c r="AW46" s="4">
        <f t="shared" si="24"/>
        <v>1.4755480607082649E-2</v>
      </c>
      <c r="AX46" s="4">
        <f t="shared" si="25"/>
        <v>2.4349979364424179E-2</v>
      </c>
      <c r="AY46" s="4">
        <f t="shared" si="26"/>
        <v>9.3896713615023719E-3</v>
      </c>
      <c r="AZ46" s="4">
        <f t="shared" si="27"/>
        <v>5.5799123156636821E-3</v>
      </c>
      <c r="BA46" s="4">
        <f t="shared" si="28"/>
        <v>9.2929292929292417E-3</v>
      </c>
      <c r="BB46" s="4">
        <f t="shared" si="29"/>
        <v>2.9185245237130175E-2</v>
      </c>
      <c r="BC46" s="4">
        <f t="shared" si="30"/>
        <v>3.1658092599921028E-3</v>
      </c>
      <c r="BD46" s="4">
        <f t="shared" si="31"/>
        <v>4.6728971962616273E-3</v>
      </c>
      <c r="BE46" s="4">
        <f t="shared" si="32"/>
        <v>2.2367913613575041E-2</v>
      </c>
      <c r="BF46" s="4">
        <f t="shared" si="33"/>
        <v>9.5492742551566145E-3</v>
      </c>
      <c r="BG46" s="4">
        <f t="shared" si="34"/>
        <v>3.8245219347581516E-2</v>
      </c>
      <c r="BH46" s="4">
        <f t="shared" si="35"/>
        <v>2.5521207764198417E-2</v>
      </c>
      <c r="BI46" s="4">
        <f t="shared" si="36"/>
        <v>3.2432432432432101E-3</v>
      </c>
      <c r="BJ46" s="4">
        <f t="shared" si="37"/>
        <v>5.1020408163264808E-3</v>
      </c>
      <c r="BK46" s="4">
        <f t="shared" si="38"/>
        <v>1.1326269638290087E-2</v>
      </c>
      <c r="BL46" s="4">
        <f t="shared" si="39"/>
        <v>2.9728725380899768E-3</v>
      </c>
      <c r="BM46" s="4">
        <f t="shared" si="49"/>
        <v>1.4356543764733911E-2</v>
      </c>
      <c r="BN46" s="14">
        <f t="shared" si="50"/>
        <v>13648.167296354495</v>
      </c>
      <c r="BO46" s="15">
        <f t="shared" si="51"/>
        <v>13133.69905433492</v>
      </c>
      <c r="BP46" s="16">
        <v>13505</v>
      </c>
      <c r="BQ46" s="16">
        <v>13510</v>
      </c>
      <c r="BR46" s="16">
        <v>13485</v>
      </c>
      <c r="BS46" s="16">
        <v>13495</v>
      </c>
      <c r="BT46" s="16">
        <v>68263</v>
      </c>
      <c r="BU46" s="15">
        <f t="shared" si="40"/>
        <v>13496.666666666666</v>
      </c>
      <c r="BV46" s="15">
        <f t="shared" si="41"/>
        <v>921322956.66666663</v>
      </c>
      <c r="BW46" s="15">
        <f>SUM($BV$3:BV46)</f>
        <v>78652711840</v>
      </c>
      <c r="BX46" s="15">
        <f>SUM($BT$3:BT46)</f>
        <v>5848161</v>
      </c>
      <c r="BY46" s="15">
        <f t="shared" si="42"/>
        <v>13449.135863393638</v>
      </c>
      <c r="BZ46" s="3">
        <v>44</v>
      </c>
      <c r="CA46" s="3">
        <f t="shared" si="43"/>
        <v>0</v>
      </c>
      <c r="CB46" s="3">
        <f t="shared" si="44"/>
        <v>0</v>
      </c>
      <c r="CC46" s="3">
        <f t="shared" si="45"/>
        <v>0</v>
      </c>
      <c r="CD46" s="3" t="str">
        <f t="shared" si="46"/>
        <v/>
      </c>
      <c r="CE46" s="3">
        <f t="shared" si="47"/>
        <v>0</v>
      </c>
    </row>
    <row r="47" spans="1:83" x14ac:dyDescent="0.3">
      <c r="A47" s="3" t="s">
        <v>87</v>
      </c>
      <c r="B47" s="3">
        <v>11750</v>
      </c>
      <c r="C47" s="3">
        <v>11745</v>
      </c>
      <c r="D47" s="3">
        <v>11545</v>
      </c>
      <c r="E47" s="3">
        <v>11535</v>
      </c>
      <c r="F47" s="3">
        <v>11720</v>
      </c>
      <c r="G47" s="3">
        <v>11740</v>
      </c>
      <c r="H47" s="3">
        <v>11590</v>
      </c>
      <c r="I47" s="3">
        <v>11600</v>
      </c>
      <c r="J47" s="3">
        <v>11715</v>
      </c>
      <c r="K47" s="3">
        <v>11720</v>
      </c>
      <c r="L47" s="3">
        <v>12035</v>
      </c>
      <c r="M47" s="3">
        <v>12035</v>
      </c>
      <c r="N47" s="3">
        <v>12410</v>
      </c>
      <c r="O47" s="3">
        <v>12395</v>
      </c>
      <c r="P47" s="3">
        <v>12660</v>
      </c>
      <c r="Q47" s="3">
        <v>12665</v>
      </c>
      <c r="R47" s="3">
        <v>12620</v>
      </c>
      <c r="S47" s="3">
        <v>12640</v>
      </c>
      <c r="T47" s="3">
        <v>12255</v>
      </c>
      <c r="U47" s="3">
        <v>12270</v>
      </c>
      <c r="V47" s="3">
        <v>12690</v>
      </c>
      <c r="W47" s="3">
        <v>12680</v>
      </c>
      <c r="X47" s="3">
        <v>12595</v>
      </c>
      <c r="Y47" s="3">
        <v>12605</v>
      </c>
      <c r="Z47" s="3">
        <v>12775</v>
      </c>
      <c r="AA47" s="3">
        <v>12775</v>
      </c>
      <c r="AB47" s="3">
        <v>13255</v>
      </c>
      <c r="AC47" s="3">
        <v>13245</v>
      </c>
      <c r="AD47" s="3">
        <v>13210</v>
      </c>
      <c r="AE47" s="3">
        <v>13225</v>
      </c>
      <c r="AF47" s="3">
        <v>13845</v>
      </c>
      <c r="AG47" s="3">
        <v>13830</v>
      </c>
      <c r="AH47" s="3">
        <v>14265</v>
      </c>
      <c r="AI47" s="3">
        <v>14285</v>
      </c>
      <c r="AJ47" s="3">
        <v>13925</v>
      </c>
      <c r="AK47" s="3">
        <v>13930</v>
      </c>
      <c r="AL47" s="3">
        <v>13785</v>
      </c>
      <c r="AM47" s="3">
        <v>13785</v>
      </c>
      <c r="AN47" s="3">
        <v>13535</v>
      </c>
      <c r="AO47" s="3">
        <v>13550</v>
      </c>
      <c r="AP47" s="3">
        <v>13495</v>
      </c>
      <c r="AQ47" s="3">
        <v>13500</v>
      </c>
      <c r="AR47" s="4">
        <f t="shared" si="48"/>
        <v>1.8647007805724147E-2</v>
      </c>
      <c r="AS47" s="4">
        <f t="shared" si="20"/>
        <v>1.2987012987012436E-3</v>
      </c>
      <c r="AT47" s="4">
        <f t="shared" si="21"/>
        <v>3.3450704225352013E-2</v>
      </c>
      <c r="AU47" s="4">
        <f t="shared" si="22"/>
        <v>1.5280135823429575E-2</v>
      </c>
      <c r="AV47" s="4">
        <f t="shared" si="23"/>
        <v>2.5662959794696683E-3</v>
      </c>
      <c r="AW47" s="4">
        <f t="shared" si="24"/>
        <v>1.4755480607082649E-2</v>
      </c>
      <c r="AX47" s="4">
        <f t="shared" si="25"/>
        <v>2.3111844820470573E-2</v>
      </c>
      <c r="AY47" s="4">
        <f t="shared" si="26"/>
        <v>8.9984350547730463E-3</v>
      </c>
      <c r="AZ47" s="4">
        <f t="shared" si="27"/>
        <v>7.5727381426862195E-3</v>
      </c>
      <c r="BA47" s="4">
        <f t="shared" si="28"/>
        <v>8.4848484848485395E-3</v>
      </c>
      <c r="BB47" s="4">
        <f t="shared" si="29"/>
        <v>2.7969193352249677E-2</v>
      </c>
      <c r="BC47" s="4">
        <f t="shared" si="30"/>
        <v>2.3743569449941049E-3</v>
      </c>
      <c r="BD47" s="4">
        <f t="shared" si="31"/>
        <v>5.062305295950198E-3</v>
      </c>
      <c r="BE47" s="4">
        <f t="shared" si="32"/>
        <v>2.1596606247589634E-2</v>
      </c>
      <c r="BF47" s="4">
        <f t="shared" si="33"/>
        <v>1.0313216195569241E-2</v>
      </c>
      <c r="BG47" s="4">
        <f t="shared" si="34"/>
        <v>3.7120359955005622E-2</v>
      </c>
      <c r="BH47" s="4">
        <f t="shared" si="35"/>
        <v>2.6959022286125123E-2</v>
      </c>
      <c r="BI47" s="4">
        <f t="shared" si="36"/>
        <v>3.9639639639639235E-3</v>
      </c>
      <c r="BJ47" s="4">
        <f t="shared" si="37"/>
        <v>4.737609329446002E-3</v>
      </c>
      <c r="BK47" s="4">
        <f t="shared" si="38"/>
        <v>9.8648154914139363E-3</v>
      </c>
      <c r="BL47" s="4">
        <f t="shared" si="39"/>
        <v>3.3444816053511683E-3</v>
      </c>
      <c r="BM47" s="4">
        <f t="shared" si="49"/>
        <v>1.4152093968934703E-2</v>
      </c>
      <c r="BN47" s="14">
        <f t="shared" si="50"/>
        <v>13645.416424352017</v>
      </c>
      <c r="BO47" s="15">
        <f t="shared" si="51"/>
        <v>13136.423347863945</v>
      </c>
      <c r="BP47" s="16">
        <v>13495</v>
      </c>
      <c r="BQ47" s="16">
        <v>13505</v>
      </c>
      <c r="BR47" s="16">
        <v>13490</v>
      </c>
      <c r="BS47" s="16">
        <v>13500</v>
      </c>
      <c r="BT47" s="16">
        <v>54233</v>
      </c>
      <c r="BU47" s="15">
        <f t="shared" si="40"/>
        <v>13498.333333333334</v>
      </c>
      <c r="BV47" s="15">
        <f t="shared" si="41"/>
        <v>732055111.66666675</v>
      </c>
      <c r="BW47" s="15">
        <f>SUM($BV$3:BV47)</f>
        <v>79384766951.666672</v>
      </c>
      <c r="BX47" s="15">
        <f>SUM($BT$3:BT47)</f>
        <v>5902394</v>
      </c>
      <c r="BY47" s="15">
        <f t="shared" si="42"/>
        <v>13449.587904783495</v>
      </c>
      <c r="BZ47" s="3">
        <v>45</v>
      </c>
      <c r="CA47" s="3">
        <f t="shared" si="43"/>
        <v>0</v>
      </c>
      <c r="CB47" s="3">
        <f t="shared" si="44"/>
        <v>0</v>
      </c>
      <c r="CC47" s="3">
        <f t="shared" si="45"/>
        <v>0</v>
      </c>
      <c r="CD47" s="3">
        <f t="shared" si="46"/>
        <v>0</v>
      </c>
      <c r="CE47" s="3">
        <f t="shared" si="47"/>
        <v>0</v>
      </c>
    </row>
    <row r="48" spans="1:83" x14ac:dyDescent="0.3">
      <c r="A48" s="3" t="s">
        <v>88</v>
      </c>
      <c r="B48" s="3">
        <v>11745</v>
      </c>
      <c r="C48" s="3">
        <v>11750</v>
      </c>
      <c r="D48" s="3">
        <v>11535</v>
      </c>
      <c r="E48" s="3">
        <v>11525</v>
      </c>
      <c r="F48" s="3">
        <v>11740</v>
      </c>
      <c r="G48" s="3">
        <v>11720</v>
      </c>
      <c r="H48" s="3">
        <v>11595</v>
      </c>
      <c r="I48" s="3">
        <v>11590</v>
      </c>
      <c r="J48" s="3">
        <v>11720</v>
      </c>
      <c r="K48" s="3">
        <v>11725</v>
      </c>
      <c r="L48" s="3">
        <v>12035</v>
      </c>
      <c r="M48" s="3">
        <v>11990</v>
      </c>
      <c r="N48" s="3">
        <v>12400</v>
      </c>
      <c r="O48" s="3">
        <v>12415</v>
      </c>
      <c r="P48" s="3">
        <v>12665</v>
      </c>
      <c r="Q48" s="3">
        <v>12650</v>
      </c>
      <c r="R48" s="3">
        <v>12635</v>
      </c>
      <c r="S48" s="3">
        <v>12630</v>
      </c>
      <c r="T48" s="3">
        <v>12265</v>
      </c>
      <c r="U48" s="3">
        <v>12265</v>
      </c>
      <c r="V48" s="3">
        <v>12680</v>
      </c>
      <c r="W48" s="3">
        <v>12685</v>
      </c>
      <c r="X48" s="3">
        <v>12605</v>
      </c>
      <c r="Y48" s="3">
        <v>12585</v>
      </c>
      <c r="Z48" s="3">
        <v>12770</v>
      </c>
      <c r="AA48" s="3">
        <v>12765</v>
      </c>
      <c r="AB48" s="3">
        <v>13240</v>
      </c>
      <c r="AC48" s="3">
        <v>13245</v>
      </c>
      <c r="AD48" s="3">
        <v>13225</v>
      </c>
      <c r="AE48" s="3">
        <v>13225</v>
      </c>
      <c r="AF48" s="3">
        <v>13830</v>
      </c>
      <c r="AG48" s="3">
        <v>13820</v>
      </c>
      <c r="AH48" s="3">
        <v>14285</v>
      </c>
      <c r="AI48" s="3">
        <v>14275</v>
      </c>
      <c r="AJ48" s="3">
        <v>13925</v>
      </c>
      <c r="AK48" s="3">
        <v>13925</v>
      </c>
      <c r="AL48" s="3">
        <v>13775</v>
      </c>
      <c r="AM48" s="3">
        <v>13800</v>
      </c>
      <c r="AN48" s="3">
        <v>13550</v>
      </c>
      <c r="AO48" s="3">
        <v>13550</v>
      </c>
      <c r="AP48" s="3">
        <v>13500</v>
      </c>
      <c r="AQ48" s="3">
        <v>13530</v>
      </c>
      <c r="AR48" s="4">
        <f t="shared" si="48"/>
        <v>1.9080659150043422E-2</v>
      </c>
      <c r="AS48" s="4">
        <f t="shared" si="20"/>
        <v>2.1645021645021467E-3</v>
      </c>
      <c r="AT48" s="4">
        <f t="shared" si="21"/>
        <v>3.1690140845070491E-2</v>
      </c>
      <c r="AU48" s="4">
        <f t="shared" si="22"/>
        <v>1.6129032258064502E-2</v>
      </c>
      <c r="AV48" s="4">
        <f t="shared" si="23"/>
        <v>2.9940119760478723E-3</v>
      </c>
      <c r="AW48" s="4">
        <f t="shared" si="24"/>
        <v>1.0961214165261302E-2</v>
      </c>
      <c r="AX48" s="4">
        <f t="shared" si="25"/>
        <v>2.4762690879075455E-2</v>
      </c>
      <c r="AY48" s="4">
        <f t="shared" si="26"/>
        <v>1.0172143974960912E-2</v>
      </c>
      <c r="AZ48" s="4">
        <f t="shared" si="27"/>
        <v>6.7756078118772489E-3</v>
      </c>
      <c r="BA48" s="4">
        <f t="shared" si="28"/>
        <v>8.8888888888888351E-3</v>
      </c>
      <c r="BB48" s="4">
        <f t="shared" si="29"/>
        <v>2.8374543980543177E-2</v>
      </c>
      <c r="BC48" s="4">
        <f t="shared" si="30"/>
        <v>3.9572615749901008E-3</v>
      </c>
      <c r="BD48" s="4">
        <f t="shared" si="31"/>
        <v>5.8411214953271173E-3</v>
      </c>
      <c r="BE48" s="4">
        <f t="shared" si="32"/>
        <v>2.1596606247589634E-2</v>
      </c>
      <c r="BF48" s="4">
        <f t="shared" si="33"/>
        <v>1.0313216195569241E-2</v>
      </c>
      <c r="BG48" s="4">
        <f t="shared" si="34"/>
        <v>3.6370453693288285E-2</v>
      </c>
      <c r="BH48" s="4">
        <f t="shared" si="35"/>
        <v>2.6240115025161659E-2</v>
      </c>
      <c r="BI48" s="4">
        <f t="shared" si="36"/>
        <v>3.6036036036035668E-3</v>
      </c>
      <c r="BJ48" s="4">
        <f t="shared" si="37"/>
        <v>5.8309037900874383E-3</v>
      </c>
      <c r="BK48" s="4">
        <f t="shared" si="38"/>
        <v>9.8648154914139363E-3</v>
      </c>
      <c r="BL48" s="4">
        <f t="shared" si="39"/>
        <v>5.5741360089185399E-3</v>
      </c>
      <c r="BM48" s="4">
        <f t="shared" si="49"/>
        <v>1.4470855189455472E-2</v>
      </c>
      <c r="BN48" s="14">
        <f t="shared" si="50"/>
        <v>13649.705356574123</v>
      </c>
      <c r="BO48" s="15">
        <f t="shared" si="51"/>
        <v>13132.175854600506</v>
      </c>
      <c r="BP48" s="16">
        <v>13500</v>
      </c>
      <c r="BQ48" s="16">
        <v>13540</v>
      </c>
      <c r="BR48" s="16">
        <v>13500</v>
      </c>
      <c r="BS48" s="16">
        <v>13530</v>
      </c>
      <c r="BT48" s="16">
        <v>264863</v>
      </c>
      <c r="BU48" s="15">
        <f t="shared" si="40"/>
        <v>13523.333333333334</v>
      </c>
      <c r="BV48" s="15">
        <f t="shared" si="41"/>
        <v>3581830636.666667</v>
      </c>
      <c r="BW48" s="15">
        <f>SUM($BV$3:BV48)</f>
        <v>82966597588.333344</v>
      </c>
      <c r="BX48" s="15">
        <f>SUM($BT$3:BT48)</f>
        <v>6167257</v>
      </c>
      <c r="BY48" s="15">
        <f t="shared" si="42"/>
        <v>13452.755023559639</v>
      </c>
      <c r="BZ48" s="3">
        <v>46</v>
      </c>
      <c r="CA48" s="3">
        <f t="shared" si="43"/>
        <v>0</v>
      </c>
      <c r="CB48" s="3">
        <f t="shared" si="44"/>
        <v>0</v>
      </c>
      <c r="CC48" s="3">
        <f t="shared" si="45"/>
        <v>0</v>
      </c>
      <c r="CD48" s="3" t="str">
        <f t="shared" si="46"/>
        <v/>
      </c>
      <c r="CE48" s="3">
        <f t="shared" si="47"/>
        <v>0</v>
      </c>
    </row>
    <row r="49" spans="1:83" x14ac:dyDescent="0.3">
      <c r="A49" s="3" t="s">
        <v>89</v>
      </c>
      <c r="B49" s="3">
        <v>11750</v>
      </c>
      <c r="C49" s="3">
        <v>11760</v>
      </c>
      <c r="D49" s="3">
        <v>11530</v>
      </c>
      <c r="E49" s="3">
        <v>11525</v>
      </c>
      <c r="F49" s="3">
        <v>11725</v>
      </c>
      <c r="G49" s="3">
        <v>11690</v>
      </c>
      <c r="H49" s="3">
        <v>11590</v>
      </c>
      <c r="I49" s="3">
        <v>11565</v>
      </c>
      <c r="J49" s="3">
        <v>11725</v>
      </c>
      <c r="K49" s="3">
        <v>11730</v>
      </c>
      <c r="L49" s="3">
        <v>12000</v>
      </c>
      <c r="M49" s="3">
        <v>12025</v>
      </c>
      <c r="N49" s="3">
        <v>12420</v>
      </c>
      <c r="O49" s="3">
        <v>12440</v>
      </c>
      <c r="P49" s="3">
        <v>12650</v>
      </c>
      <c r="Q49" s="3">
        <v>12660</v>
      </c>
      <c r="R49" s="3">
        <v>12630</v>
      </c>
      <c r="S49" s="3">
        <v>12630</v>
      </c>
      <c r="T49" s="3">
        <v>12270</v>
      </c>
      <c r="U49" s="3">
        <v>12265</v>
      </c>
      <c r="V49" s="3">
        <v>12680</v>
      </c>
      <c r="W49" s="3">
        <v>12690</v>
      </c>
      <c r="X49" s="3">
        <v>12580</v>
      </c>
      <c r="Y49" s="3">
        <v>12605</v>
      </c>
      <c r="Z49" s="3">
        <v>12765</v>
      </c>
      <c r="AA49" s="3">
        <v>12765</v>
      </c>
      <c r="AB49" s="3">
        <v>13250</v>
      </c>
      <c r="AC49" s="3">
        <v>13250</v>
      </c>
      <c r="AD49" s="3">
        <v>13230</v>
      </c>
      <c r="AE49" s="3">
        <v>13230</v>
      </c>
      <c r="AF49" s="3">
        <v>13820</v>
      </c>
      <c r="AG49" s="3">
        <v>13815</v>
      </c>
      <c r="AH49" s="3">
        <v>14280</v>
      </c>
      <c r="AI49" s="3">
        <v>14295</v>
      </c>
      <c r="AJ49" s="3">
        <v>13925</v>
      </c>
      <c r="AK49" s="3">
        <v>13945</v>
      </c>
      <c r="AL49" s="3">
        <v>13800</v>
      </c>
      <c r="AM49" s="3">
        <v>13780</v>
      </c>
      <c r="AN49" s="3">
        <v>13550</v>
      </c>
      <c r="AO49" s="3">
        <v>13570</v>
      </c>
      <c r="AP49" s="3">
        <v>13535</v>
      </c>
      <c r="AQ49" s="3">
        <v>13625</v>
      </c>
      <c r="AR49" s="4">
        <f t="shared" si="48"/>
        <v>1.9947961838681749E-2</v>
      </c>
      <c r="AS49" s="4">
        <f t="shared" si="20"/>
        <v>2.1645021645021467E-3</v>
      </c>
      <c r="AT49" s="4">
        <f t="shared" si="21"/>
        <v>2.9049295774647987E-2</v>
      </c>
      <c r="AU49" s="4">
        <f t="shared" si="22"/>
        <v>1.825127334465193E-2</v>
      </c>
      <c r="AV49" s="4">
        <f t="shared" si="23"/>
        <v>3.4217279726260763E-3</v>
      </c>
      <c r="AW49" s="4">
        <f t="shared" si="24"/>
        <v>1.3912310286677831E-2</v>
      </c>
      <c r="AX49" s="4">
        <f t="shared" si="25"/>
        <v>2.6826248452331836E-2</v>
      </c>
      <c r="AY49" s="4">
        <f t="shared" si="26"/>
        <v>9.3896713615023719E-3</v>
      </c>
      <c r="AZ49" s="4">
        <f t="shared" si="27"/>
        <v>6.7756078118772489E-3</v>
      </c>
      <c r="BA49" s="4">
        <f t="shared" si="28"/>
        <v>8.8888888888888351E-3</v>
      </c>
      <c r="BB49" s="4">
        <f t="shared" si="29"/>
        <v>2.8779894608836676E-2</v>
      </c>
      <c r="BC49" s="4">
        <f t="shared" si="30"/>
        <v>2.3743569449941049E-3</v>
      </c>
      <c r="BD49" s="4">
        <f t="shared" si="31"/>
        <v>5.8411214953271173E-3</v>
      </c>
      <c r="BE49" s="4">
        <f t="shared" si="32"/>
        <v>2.1982259930582337E-2</v>
      </c>
      <c r="BF49" s="4">
        <f t="shared" si="33"/>
        <v>1.0695187165775444E-2</v>
      </c>
      <c r="BG49" s="4">
        <f t="shared" si="34"/>
        <v>3.5995500562429728E-2</v>
      </c>
      <c r="BH49" s="4">
        <f t="shared" si="35"/>
        <v>2.7677929547088365E-2</v>
      </c>
      <c r="BI49" s="4">
        <f t="shared" si="36"/>
        <v>5.0450450450449935E-3</v>
      </c>
      <c r="BJ49" s="4">
        <f t="shared" si="37"/>
        <v>4.3731778425655232E-3</v>
      </c>
      <c r="BK49" s="4">
        <f t="shared" si="38"/>
        <v>8.4033613445377853E-3</v>
      </c>
      <c r="BL49" s="4">
        <f t="shared" si="39"/>
        <v>1.263470828688229E-2</v>
      </c>
      <c r="BM49" s="4">
        <f t="shared" si="49"/>
        <v>1.4503446500127313E-2</v>
      </c>
      <c r="BN49" s="14">
        <f t="shared" si="50"/>
        <v>13650.143872659211</v>
      </c>
      <c r="BO49" s="15">
        <f t="shared" si="51"/>
        <v>13131.741575385802</v>
      </c>
      <c r="BP49" s="16">
        <v>13535</v>
      </c>
      <c r="BQ49" s="16">
        <v>13625</v>
      </c>
      <c r="BR49" s="16">
        <v>13530</v>
      </c>
      <c r="BS49" s="16">
        <v>13625</v>
      </c>
      <c r="BT49" s="16">
        <v>563061</v>
      </c>
      <c r="BU49" s="15">
        <f t="shared" si="40"/>
        <v>13593.333333333334</v>
      </c>
      <c r="BV49" s="15">
        <f t="shared" si="41"/>
        <v>7653875860</v>
      </c>
      <c r="BW49" s="15">
        <f>SUM($BV$3:BV49)</f>
        <v>90620473448.333344</v>
      </c>
      <c r="BX49" s="15">
        <f>SUM($BT$3:BT49)</f>
        <v>6730318</v>
      </c>
      <c r="BY49" s="15">
        <f t="shared" si="42"/>
        <v>13464.515859181296</v>
      </c>
      <c r="BZ49" s="3">
        <v>47</v>
      </c>
      <c r="CA49" s="3">
        <f t="shared" si="43"/>
        <v>0</v>
      </c>
      <c r="CB49" s="3">
        <f t="shared" si="44"/>
        <v>0</v>
      </c>
      <c r="CC49" s="3">
        <f t="shared" si="45"/>
        <v>0</v>
      </c>
      <c r="CD49" s="3" t="str">
        <f t="shared" si="46"/>
        <v/>
      </c>
      <c r="CE49" s="3">
        <f t="shared" si="47"/>
        <v>0</v>
      </c>
    </row>
    <row r="50" spans="1:83" x14ac:dyDescent="0.3">
      <c r="A50" s="3" t="s">
        <v>90</v>
      </c>
      <c r="B50" s="3">
        <v>11755</v>
      </c>
      <c r="C50" s="3">
        <v>11750</v>
      </c>
      <c r="D50" s="3">
        <v>11525</v>
      </c>
      <c r="E50" s="3">
        <v>11520</v>
      </c>
      <c r="F50" s="3">
        <v>11690</v>
      </c>
      <c r="G50" s="3">
        <v>11695</v>
      </c>
      <c r="H50" s="3">
        <v>11565</v>
      </c>
      <c r="I50" s="3">
        <v>11570</v>
      </c>
      <c r="J50" s="3">
        <v>11725</v>
      </c>
      <c r="K50" s="3">
        <v>11730</v>
      </c>
      <c r="L50" s="3">
        <v>12025</v>
      </c>
      <c r="M50" s="3">
        <v>12005</v>
      </c>
      <c r="N50" s="3">
        <v>12440</v>
      </c>
      <c r="O50" s="3">
        <v>12425</v>
      </c>
      <c r="P50" s="3">
        <v>12660</v>
      </c>
      <c r="Q50" s="3">
        <v>12665</v>
      </c>
      <c r="R50" s="3">
        <v>12630</v>
      </c>
      <c r="S50" s="3">
        <v>12640</v>
      </c>
      <c r="T50" s="3">
        <v>12265</v>
      </c>
      <c r="U50" s="3">
        <v>12275</v>
      </c>
      <c r="V50" s="3">
        <v>12690</v>
      </c>
      <c r="W50" s="3">
        <v>12710</v>
      </c>
      <c r="X50" s="3">
        <v>12605</v>
      </c>
      <c r="Y50" s="3">
        <v>12610</v>
      </c>
      <c r="Z50" s="3">
        <v>12775</v>
      </c>
      <c r="AA50" s="3">
        <v>12745</v>
      </c>
      <c r="AB50" s="3">
        <v>13250</v>
      </c>
      <c r="AC50" s="3">
        <v>13250</v>
      </c>
      <c r="AD50" s="3">
        <v>13230</v>
      </c>
      <c r="AE50" s="3">
        <v>13235</v>
      </c>
      <c r="AF50" s="3">
        <v>13815</v>
      </c>
      <c r="AG50" s="3">
        <v>13795</v>
      </c>
      <c r="AH50" s="3">
        <v>14300</v>
      </c>
      <c r="AI50" s="3">
        <v>14290</v>
      </c>
      <c r="AJ50" s="3">
        <v>13945</v>
      </c>
      <c r="AK50" s="3">
        <v>13970</v>
      </c>
      <c r="AL50" s="3">
        <v>13775</v>
      </c>
      <c r="AM50" s="3">
        <v>13775</v>
      </c>
      <c r="AN50" s="3">
        <v>13570</v>
      </c>
      <c r="AO50" s="3">
        <v>13560</v>
      </c>
      <c r="AP50" s="3">
        <v>13630</v>
      </c>
      <c r="AQ50" s="3">
        <v>13650</v>
      </c>
      <c r="AR50" s="4">
        <f t="shared" si="48"/>
        <v>1.9080659150043422E-2</v>
      </c>
      <c r="AS50" s="4">
        <f t="shared" si="20"/>
        <v>2.5974025974025983E-3</v>
      </c>
      <c r="AT50" s="4">
        <f t="shared" si="21"/>
        <v>2.9489436619718257E-2</v>
      </c>
      <c r="AU50" s="4">
        <f t="shared" si="22"/>
        <v>1.7826825127334467E-2</v>
      </c>
      <c r="AV50" s="4">
        <f t="shared" si="23"/>
        <v>3.4217279726260763E-3</v>
      </c>
      <c r="AW50" s="4">
        <f t="shared" si="24"/>
        <v>1.2225969645868418E-2</v>
      </c>
      <c r="AX50" s="4">
        <f t="shared" si="25"/>
        <v>2.5588113908378007E-2</v>
      </c>
      <c r="AY50" s="4">
        <f t="shared" si="26"/>
        <v>8.9984350547730463E-3</v>
      </c>
      <c r="AZ50" s="4">
        <f t="shared" si="27"/>
        <v>7.5727381426862195E-3</v>
      </c>
      <c r="BA50" s="4">
        <f t="shared" si="28"/>
        <v>8.0808080808081328E-3</v>
      </c>
      <c r="BB50" s="4">
        <f t="shared" si="29"/>
        <v>3.0401297122010451E-2</v>
      </c>
      <c r="BC50" s="4">
        <f t="shared" si="30"/>
        <v>1.9786307874950504E-3</v>
      </c>
      <c r="BD50" s="4">
        <f t="shared" si="31"/>
        <v>7.3987538940809561E-3</v>
      </c>
      <c r="BE50" s="4">
        <f t="shared" si="32"/>
        <v>2.1982259930582337E-2</v>
      </c>
      <c r="BF50" s="4">
        <f t="shared" si="33"/>
        <v>1.1077158135981646E-2</v>
      </c>
      <c r="BG50" s="4">
        <f t="shared" si="34"/>
        <v>3.4495688038995054E-2</v>
      </c>
      <c r="BH50" s="4">
        <f t="shared" si="35"/>
        <v>2.7318475916606744E-2</v>
      </c>
      <c r="BI50" s="4">
        <f t="shared" si="36"/>
        <v>6.8468468468467769E-3</v>
      </c>
      <c r="BJ50" s="4">
        <f t="shared" si="37"/>
        <v>4.0087463556850444E-3</v>
      </c>
      <c r="BK50" s="4">
        <f t="shared" si="38"/>
        <v>9.1340884179759163E-3</v>
      </c>
      <c r="BL50" s="4">
        <f t="shared" si="39"/>
        <v>1.449275362318847E-2</v>
      </c>
      <c r="BM50" s="4">
        <f t="shared" si="49"/>
        <v>1.4634431473778955E-2</v>
      </c>
      <c r="BN50" s="14">
        <f t="shared" si="50"/>
        <v>13651.906275479696</v>
      </c>
      <c r="BO50" s="15">
        <f t="shared" si="51"/>
        <v>13129.996200611895</v>
      </c>
      <c r="BP50" s="16">
        <v>13630</v>
      </c>
      <c r="BQ50" s="16">
        <v>13670</v>
      </c>
      <c r="BR50" s="16">
        <v>13625</v>
      </c>
      <c r="BS50" s="16">
        <v>13650</v>
      </c>
      <c r="BT50" s="16">
        <v>378696</v>
      </c>
      <c r="BU50" s="15">
        <f t="shared" si="40"/>
        <v>13648.333333333334</v>
      </c>
      <c r="BV50" s="15">
        <f t="shared" si="41"/>
        <v>5168569240</v>
      </c>
      <c r="BW50" s="15">
        <f>SUM($BV$3:BV50)</f>
        <v>95789042688.333344</v>
      </c>
      <c r="BX50" s="15">
        <f>SUM($BT$3:BT50)</f>
        <v>7109014</v>
      </c>
      <c r="BY50" s="15">
        <f t="shared" si="42"/>
        <v>13474.307785627281</v>
      </c>
      <c r="BZ50" s="3">
        <v>48</v>
      </c>
      <c r="CA50" s="3">
        <f t="shared" si="43"/>
        <v>0</v>
      </c>
      <c r="CB50" s="3">
        <f t="shared" si="44"/>
        <v>0</v>
      </c>
      <c r="CC50" s="3">
        <f t="shared" si="45"/>
        <v>0</v>
      </c>
      <c r="CD50" s="3" t="str">
        <f t="shared" si="46"/>
        <v/>
      </c>
      <c r="CE50" s="3">
        <f t="shared" si="47"/>
        <v>0</v>
      </c>
    </row>
    <row r="51" spans="1:83" x14ac:dyDescent="0.3">
      <c r="A51" s="3" t="s">
        <v>91</v>
      </c>
      <c r="B51" s="3">
        <v>11755</v>
      </c>
      <c r="C51" s="3">
        <v>11760</v>
      </c>
      <c r="D51" s="3">
        <v>11525</v>
      </c>
      <c r="E51" s="3">
        <v>11510</v>
      </c>
      <c r="F51" s="3">
        <v>11695</v>
      </c>
      <c r="G51" s="3">
        <v>11705</v>
      </c>
      <c r="H51" s="3">
        <v>11565</v>
      </c>
      <c r="I51" s="3">
        <v>11575</v>
      </c>
      <c r="J51" s="3">
        <v>11735</v>
      </c>
      <c r="K51" s="3">
        <v>11745</v>
      </c>
      <c r="L51" s="3">
        <v>12010</v>
      </c>
      <c r="M51" s="3">
        <v>12030</v>
      </c>
      <c r="N51" s="3">
        <v>12425</v>
      </c>
      <c r="O51" s="3">
        <v>12410</v>
      </c>
      <c r="P51" s="3">
        <v>12665</v>
      </c>
      <c r="Q51" s="3">
        <v>12655</v>
      </c>
      <c r="R51" s="3">
        <v>12635</v>
      </c>
      <c r="S51" s="3">
        <v>12640</v>
      </c>
      <c r="T51" s="3">
        <v>12270</v>
      </c>
      <c r="U51" s="3">
        <v>12260</v>
      </c>
      <c r="V51" s="3">
        <v>12715</v>
      </c>
      <c r="W51" s="3">
        <v>12720</v>
      </c>
      <c r="X51" s="3">
        <v>12610</v>
      </c>
      <c r="Y51" s="3">
        <v>12635</v>
      </c>
      <c r="Z51" s="3">
        <v>12745</v>
      </c>
      <c r="AA51" s="3">
        <v>12715</v>
      </c>
      <c r="AB51" s="3">
        <v>13250</v>
      </c>
      <c r="AC51" s="3">
        <v>13245</v>
      </c>
      <c r="AD51" s="3">
        <v>13230</v>
      </c>
      <c r="AE51" s="3">
        <v>13230</v>
      </c>
      <c r="AF51" s="3">
        <v>13795</v>
      </c>
      <c r="AG51" s="3">
        <v>13795</v>
      </c>
      <c r="AH51" s="3">
        <v>14290</v>
      </c>
      <c r="AI51" s="3">
        <v>14295</v>
      </c>
      <c r="AJ51" s="3">
        <v>13970</v>
      </c>
      <c r="AK51" s="3">
        <v>13970</v>
      </c>
      <c r="AL51" s="3">
        <v>13780</v>
      </c>
      <c r="AM51" s="3">
        <v>13770</v>
      </c>
      <c r="AN51" s="3">
        <v>13555</v>
      </c>
      <c r="AO51" s="3">
        <v>13565</v>
      </c>
      <c r="AP51" s="3">
        <v>13650</v>
      </c>
      <c r="AQ51" s="3">
        <v>13675</v>
      </c>
      <c r="AR51" s="4">
        <f t="shared" si="48"/>
        <v>1.9947961838681749E-2</v>
      </c>
      <c r="AS51" s="4">
        <f t="shared" si="20"/>
        <v>3.4632034632035014E-3</v>
      </c>
      <c r="AT51" s="4">
        <f t="shared" si="21"/>
        <v>3.0369718309859239E-2</v>
      </c>
      <c r="AU51" s="4">
        <f t="shared" si="22"/>
        <v>1.7402376910017003E-2</v>
      </c>
      <c r="AV51" s="4">
        <f t="shared" si="23"/>
        <v>4.7048759623609104E-3</v>
      </c>
      <c r="AW51" s="4">
        <f t="shared" si="24"/>
        <v>1.4333895446880351E-2</v>
      </c>
      <c r="AX51" s="4">
        <f t="shared" si="25"/>
        <v>2.4349979364424179E-2</v>
      </c>
      <c r="AY51" s="4">
        <f t="shared" si="26"/>
        <v>9.7809076682315865E-3</v>
      </c>
      <c r="AZ51" s="4">
        <f t="shared" si="27"/>
        <v>7.5727381426862195E-3</v>
      </c>
      <c r="BA51" s="4">
        <f t="shared" si="28"/>
        <v>9.2929292929292417E-3</v>
      </c>
      <c r="BB51" s="4">
        <f t="shared" si="29"/>
        <v>3.121199837859745E-2</v>
      </c>
      <c r="BC51" s="4">
        <f t="shared" si="30"/>
        <v>0</v>
      </c>
      <c r="BD51" s="4">
        <f t="shared" si="31"/>
        <v>9.7352024922118252E-3</v>
      </c>
      <c r="BE51" s="4">
        <f t="shared" si="32"/>
        <v>2.1596606247589634E-2</v>
      </c>
      <c r="BF51" s="4">
        <f t="shared" si="33"/>
        <v>1.0695187165775444E-2</v>
      </c>
      <c r="BG51" s="4">
        <f t="shared" si="34"/>
        <v>3.4495688038995054E-2</v>
      </c>
      <c r="BH51" s="4">
        <f t="shared" si="35"/>
        <v>2.7677929547088365E-2</v>
      </c>
      <c r="BI51" s="4">
        <f t="shared" si="36"/>
        <v>6.8468468468467769E-3</v>
      </c>
      <c r="BJ51" s="4">
        <f t="shared" si="37"/>
        <v>3.6443148688045657E-3</v>
      </c>
      <c r="BK51" s="4">
        <f t="shared" si="38"/>
        <v>8.7687248812567953E-3</v>
      </c>
      <c r="BL51" s="4">
        <f t="shared" si="39"/>
        <v>1.635079895949465E-2</v>
      </c>
      <c r="BM51" s="4">
        <f t="shared" si="49"/>
        <v>1.469064663824551E-2</v>
      </c>
      <c r="BN51" s="14">
        <f t="shared" si="50"/>
        <v>13652.662650517594</v>
      </c>
      <c r="BO51" s="15">
        <f t="shared" si="51"/>
        <v>13129.247133545379</v>
      </c>
      <c r="BP51" s="16">
        <v>13650</v>
      </c>
      <c r="BQ51" s="16">
        <v>13700</v>
      </c>
      <c r="BR51" s="16">
        <v>13645</v>
      </c>
      <c r="BS51" s="16">
        <v>13675</v>
      </c>
      <c r="BT51" s="16">
        <v>362627</v>
      </c>
      <c r="BU51" s="15">
        <f t="shared" si="40"/>
        <v>13673.333333333334</v>
      </c>
      <c r="BV51" s="15">
        <f t="shared" si="41"/>
        <v>4958319846.666667</v>
      </c>
      <c r="BW51" s="15">
        <f>SUM($BV$3:BV51)</f>
        <v>100747362535.00002</v>
      </c>
      <c r="BX51" s="15">
        <f>SUM($BT$3:BT51)</f>
        <v>7471641</v>
      </c>
      <c r="BY51" s="15">
        <f t="shared" si="42"/>
        <v>13483.96724829258</v>
      </c>
      <c r="BZ51" s="3">
        <v>49</v>
      </c>
      <c r="CA51" s="3">
        <f t="shared" si="43"/>
        <v>1</v>
      </c>
      <c r="CB51" s="3">
        <f t="shared" si="44"/>
        <v>0</v>
      </c>
      <c r="CC51" s="3">
        <f t="shared" si="45"/>
        <v>1</v>
      </c>
      <c r="CD51" s="3" t="str">
        <f t="shared" si="46"/>
        <v/>
      </c>
      <c r="CE51" s="3">
        <f t="shared" si="47"/>
        <v>0</v>
      </c>
    </row>
    <row r="52" spans="1:83" x14ac:dyDescent="0.3">
      <c r="A52" s="3" t="s">
        <v>92</v>
      </c>
      <c r="B52" s="3">
        <v>11760</v>
      </c>
      <c r="C52" s="3">
        <v>11750</v>
      </c>
      <c r="D52" s="3">
        <v>11510</v>
      </c>
      <c r="E52" s="3">
        <v>11505</v>
      </c>
      <c r="F52" s="3">
        <v>11700</v>
      </c>
      <c r="G52" s="3">
        <v>11725</v>
      </c>
      <c r="H52" s="3">
        <v>11570</v>
      </c>
      <c r="I52" s="3">
        <v>11570</v>
      </c>
      <c r="J52" s="3">
        <v>11745</v>
      </c>
      <c r="K52" s="3">
        <v>11750</v>
      </c>
      <c r="L52" s="3">
        <v>12035</v>
      </c>
      <c r="M52" s="3">
        <v>12035</v>
      </c>
      <c r="N52" s="3">
        <v>12410</v>
      </c>
      <c r="O52" s="3">
        <v>12425</v>
      </c>
      <c r="P52" s="3">
        <v>12650</v>
      </c>
      <c r="Q52" s="3">
        <v>12640</v>
      </c>
      <c r="R52" s="3">
        <v>12640</v>
      </c>
      <c r="S52" s="3">
        <v>12640</v>
      </c>
      <c r="T52" s="3">
        <v>12265</v>
      </c>
      <c r="U52" s="3">
        <v>12270</v>
      </c>
      <c r="V52" s="3">
        <v>12720</v>
      </c>
      <c r="W52" s="3">
        <v>12735</v>
      </c>
      <c r="X52" s="3">
        <v>12630</v>
      </c>
      <c r="Y52" s="3">
        <v>12645</v>
      </c>
      <c r="Z52" s="3">
        <v>12715</v>
      </c>
      <c r="AA52" s="3">
        <v>12710</v>
      </c>
      <c r="AB52" s="3">
        <v>13245</v>
      </c>
      <c r="AC52" s="3">
        <v>13260</v>
      </c>
      <c r="AD52" s="3">
        <v>13235</v>
      </c>
      <c r="AE52" s="3">
        <v>13250</v>
      </c>
      <c r="AF52" s="3">
        <v>13795</v>
      </c>
      <c r="AG52" s="3">
        <v>13765</v>
      </c>
      <c r="AH52" s="3">
        <v>14295</v>
      </c>
      <c r="AI52" s="3">
        <v>14265</v>
      </c>
      <c r="AJ52" s="3">
        <v>13970</v>
      </c>
      <c r="AK52" s="3">
        <v>13965</v>
      </c>
      <c r="AL52" s="3">
        <v>13775</v>
      </c>
      <c r="AM52" s="3">
        <v>13775</v>
      </c>
      <c r="AN52" s="3">
        <v>13565</v>
      </c>
      <c r="AO52" s="3">
        <v>13560</v>
      </c>
      <c r="AP52" s="3">
        <v>13670</v>
      </c>
      <c r="AQ52" s="3">
        <v>13645</v>
      </c>
      <c r="AR52" s="4">
        <f t="shared" si="48"/>
        <v>1.9080659150043422E-2</v>
      </c>
      <c r="AS52" s="4">
        <f t="shared" si="20"/>
        <v>3.8961038961038419E-3</v>
      </c>
      <c r="AT52" s="4">
        <f t="shared" si="21"/>
        <v>3.2130281690140761E-2</v>
      </c>
      <c r="AU52" s="4">
        <f t="shared" si="22"/>
        <v>1.7826825127334467E-2</v>
      </c>
      <c r="AV52" s="4">
        <f t="shared" si="23"/>
        <v>5.1325919589393365E-3</v>
      </c>
      <c r="AW52" s="4">
        <f t="shared" si="24"/>
        <v>1.4755480607082649E-2</v>
      </c>
      <c r="AX52" s="4">
        <f t="shared" si="25"/>
        <v>2.5588113908378007E-2</v>
      </c>
      <c r="AY52" s="4">
        <f t="shared" si="26"/>
        <v>1.0954616588419452E-2</v>
      </c>
      <c r="AZ52" s="4">
        <f t="shared" si="27"/>
        <v>7.5727381426862195E-3</v>
      </c>
      <c r="BA52" s="4">
        <f t="shared" si="28"/>
        <v>8.4848484848485395E-3</v>
      </c>
      <c r="BB52" s="4">
        <f t="shared" si="29"/>
        <v>3.2428050263477948E-2</v>
      </c>
      <c r="BC52" s="4">
        <f t="shared" si="30"/>
        <v>7.9145231499810897E-4</v>
      </c>
      <c r="BD52" s="4">
        <f t="shared" si="31"/>
        <v>1.0124610591900285E-2</v>
      </c>
      <c r="BE52" s="4">
        <f t="shared" si="32"/>
        <v>2.2753567296567745E-2</v>
      </c>
      <c r="BF52" s="4">
        <f t="shared" si="33"/>
        <v>1.2223071046600475E-2</v>
      </c>
      <c r="BG52" s="4">
        <f t="shared" si="34"/>
        <v>3.2245969253843265E-2</v>
      </c>
      <c r="BH52" s="4">
        <f t="shared" si="35"/>
        <v>2.5521207764198417E-2</v>
      </c>
      <c r="BI52" s="4">
        <f t="shared" si="36"/>
        <v>6.4864864864864202E-3</v>
      </c>
      <c r="BJ52" s="4">
        <f t="shared" si="37"/>
        <v>4.0087463556850444E-3</v>
      </c>
      <c r="BK52" s="4">
        <f t="shared" si="38"/>
        <v>9.1340884179759163E-3</v>
      </c>
      <c r="BL52" s="4">
        <f t="shared" si="39"/>
        <v>1.4121144555927057E-2</v>
      </c>
      <c r="BM52" s="4">
        <f t="shared" si="49"/>
        <v>1.4879826208290417E-2</v>
      </c>
      <c r="BN52" s="14">
        <f t="shared" si="50"/>
        <v>13655.208061632546</v>
      </c>
      <c r="BO52" s="15">
        <f t="shared" si="51"/>
        <v>13126.726315774529</v>
      </c>
      <c r="BP52" s="16">
        <v>13670</v>
      </c>
      <c r="BQ52" s="16">
        <v>13680</v>
      </c>
      <c r="BR52" s="16">
        <v>13630</v>
      </c>
      <c r="BS52" s="16">
        <v>13645</v>
      </c>
      <c r="BT52" s="16">
        <v>156029</v>
      </c>
      <c r="BU52" s="15">
        <f t="shared" si="40"/>
        <v>13651.666666666666</v>
      </c>
      <c r="BV52" s="15">
        <f t="shared" si="41"/>
        <v>2130055898.3333333</v>
      </c>
      <c r="BW52" s="15">
        <f>SUM($BV$3:BV52)</f>
        <v>102877418433.33334</v>
      </c>
      <c r="BX52" s="15">
        <f>SUM($BT$3:BT52)</f>
        <v>7627670</v>
      </c>
      <c r="BY52" s="15">
        <f t="shared" si="42"/>
        <v>13487.397650046914</v>
      </c>
      <c r="BZ52" s="3">
        <v>50</v>
      </c>
      <c r="CA52" s="3">
        <f t="shared" si="43"/>
        <v>0</v>
      </c>
      <c r="CB52" s="3">
        <f t="shared" si="44"/>
        <v>0</v>
      </c>
      <c r="CC52" s="3">
        <f t="shared" si="45"/>
        <v>0</v>
      </c>
      <c r="CD52" s="3" t="str">
        <f t="shared" si="46"/>
        <v/>
      </c>
      <c r="CE52" s="3">
        <f t="shared" si="47"/>
        <v>0</v>
      </c>
    </row>
    <row r="53" spans="1:83" x14ac:dyDescent="0.3">
      <c r="A53" s="3" t="s">
        <v>93</v>
      </c>
      <c r="B53" s="3">
        <v>11750</v>
      </c>
      <c r="C53" s="3">
        <v>11745</v>
      </c>
      <c r="D53" s="3">
        <v>11515</v>
      </c>
      <c r="E53" s="3">
        <v>11525</v>
      </c>
      <c r="F53" s="3">
        <v>11720</v>
      </c>
      <c r="G53" s="3">
        <v>11730</v>
      </c>
      <c r="H53" s="3">
        <v>11570</v>
      </c>
      <c r="I53" s="3">
        <v>11555</v>
      </c>
      <c r="J53" s="3">
        <v>11745</v>
      </c>
      <c r="K53" s="3">
        <v>11755</v>
      </c>
      <c r="L53" s="3">
        <v>12035</v>
      </c>
      <c r="M53" s="3">
        <v>12030</v>
      </c>
      <c r="N53" s="3">
        <v>12425</v>
      </c>
      <c r="O53" s="3">
        <v>12430</v>
      </c>
      <c r="P53" s="3">
        <v>12640</v>
      </c>
      <c r="Q53" s="3">
        <v>12660</v>
      </c>
      <c r="R53" s="3">
        <v>12640</v>
      </c>
      <c r="S53" s="3">
        <v>12645</v>
      </c>
      <c r="T53" s="3">
        <v>12265</v>
      </c>
      <c r="U53" s="3">
        <v>12290</v>
      </c>
      <c r="V53" s="3">
        <v>12740</v>
      </c>
      <c r="W53" s="3">
        <v>12760</v>
      </c>
      <c r="X53" s="3">
        <v>12640</v>
      </c>
      <c r="Y53" s="3">
        <v>12620</v>
      </c>
      <c r="Z53" s="3">
        <v>12710</v>
      </c>
      <c r="AA53" s="3">
        <v>12715</v>
      </c>
      <c r="AB53" s="3">
        <v>13260</v>
      </c>
      <c r="AC53" s="3">
        <v>13265</v>
      </c>
      <c r="AD53" s="3">
        <v>13250</v>
      </c>
      <c r="AE53" s="3">
        <v>13255</v>
      </c>
      <c r="AF53" s="3">
        <v>13765</v>
      </c>
      <c r="AG53" s="3">
        <v>13745</v>
      </c>
      <c r="AH53" s="3">
        <v>14260</v>
      </c>
      <c r="AI53" s="3">
        <v>14235</v>
      </c>
      <c r="AJ53" s="3">
        <v>13965</v>
      </c>
      <c r="AK53" s="3">
        <v>13985</v>
      </c>
      <c r="AL53" s="3">
        <v>13770</v>
      </c>
      <c r="AM53" s="3">
        <v>13780</v>
      </c>
      <c r="AN53" s="3">
        <v>13560</v>
      </c>
      <c r="AO53" s="3">
        <v>13545</v>
      </c>
      <c r="AP53" s="3">
        <v>13645</v>
      </c>
      <c r="AQ53" s="3">
        <v>13650</v>
      </c>
      <c r="AR53" s="4">
        <f t="shared" si="48"/>
        <v>1.8647007805724147E-2</v>
      </c>
      <c r="AS53" s="4">
        <f t="shared" si="20"/>
        <v>2.1645021645021467E-3</v>
      </c>
      <c r="AT53" s="4">
        <f t="shared" si="21"/>
        <v>3.2570422535211252E-2</v>
      </c>
      <c r="AU53" s="4">
        <f t="shared" si="22"/>
        <v>1.9100169779286968E-2</v>
      </c>
      <c r="AV53" s="4">
        <f t="shared" si="23"/>
        <v>5.5603079555175405E-3</v>
      </c>
      <c r="AW53" s="4">
        <f t="shared" si="24"/>
        <v>1.4333895446880351E-2</v>
      </c>
      <c r="AX53" s="4">
        <f t="shared" si="25"/>
        <v>2.6000825423029283E-2</v>
      </c>
      <c r="AY53" s="4">
        <f t="shared" si="26"/>
        <v>9.3896713615023719E-3</v>
      </c>
      <c r="AZ53" s="4">
        <f t="shared" si="27"/>
        <v>7.9713033080908158E-3</v>
      </c>
      <c r="BA53" s="4">
        <f t="shared" si="28"/>
        <v>6.8686868686869129E-3</v>
      </c>
      <c r="BB53" s="4">
        <f t="shared" si="29"/>
        <v>3.4454803404945222E-2</v>
      </c>
      <c r="BC53" s="4">
        <f t="shared" si="30"/>
        <v>1.1871784724970524E-3</v>
      </c>
      <c r="BD53" s="4">
        <f t="shared" si="31"/>
        <v>9.7352024922118252E-3</v>
      </c>
      <c r="BE53" s="4">
        <f t="shared" si="32"/>
        <v>2.3139220979560449E-2</v>
      </c>
      <c r="BF53" s="4">
        <f t="shared" si="33"/>
        <v>1.2605042016806678E-2</v>
      </c>
      <c r="BG53" s="4">
        <f t="shared" si="34"/>
        <v>3.0746156730408591E-2</v>
      </c>
      <c r="BH53" s="4">
        <f t="shared" si="35"/>
        <v>2.3364485981308469E-2</v>
      </c>
      <c r="BI53" s="4">
        <f t="shared" si="36"/>
        <v>7.927927927927847E-3</v>
      </c>
      <c r="BJ53" s="4">
        <f t="shared" si="37"/>
        <v>4.3731778425655232E-3</v>
      </c>
      <c r="BK53" s="4">
        <f t="shared" si="38"/>
        <v>1.0230179028132946E-2</v>
      </c>
      <c r="BL53" s="4">
        <f t="shared" si="39"/>
        <v>1.449275362318847E-2</v>
      </c>
      <c r="BM53" s="4">
        <f t="shared" si="49"/>
        <v>1.4856704416976714E-2</v>
      </c>
      <c r="BN53" s="14">
        <f t="shared" si="50"/>
        <v>13654.896957930421</v>
      </c>
      <c r="BO53" s="15">
        <f t="shared" si="51"/>
        <v>13127.034413643785</v>
      </c>
      <c r="BP53" s="16">
        <v>13645</v>
      </c>
      <c r="BQ53" s="16">
        <v>13665</v>
      </c>
      <c r="BR53" s="16">
        <v>13635</v>
      </c>
      <c r="BS53" s="16">
        <v>13650</v>
      </c>
      <c r="BT53" s="16">
        <v>77441</v>
      </c>
      <c r="BU53" s="15">
        <f t="shared" si="40"/>
        <v>13650</v>
      </c>
      <c r="BV53" s="15">
        <f t="shared" si="41"/>
        <v>1057069650</v>
      </c>
      <c r="BW53" s="15">
        <f>SUM($BV$3:BV53)</f>
        <v>103934488083.33334</v>
      </c>
      <c r="BX53" s="15">
        <f>SUM($BT$3:BT53)</f>
        <v>7705111</v>
      </c>
      <c r="BY53" s="15">
        <f t="shared" si="42"/>
        <v>13489.031901465578</v>
      </c>
      <c r="BZ53" s="3">
        <v>51</v>
      </c>
      <c r="CA53" s="3">
        <f t="shared" si="43"/>
        <v>0</v>
      </c>
      <c r="CB53" s="3">
        <f t="shared" si="44"/>
        <v>0</v>
      </c>
      <c r="CC53" s="3">
        <f t="shared" si="45"/>
        <v>0</v>
      </c>
      <c r="CD53" s="3" t="str">
        <f t="shared" si="46"/>
        <v/>
      </c>
      <c r="CE53" s="3">
        <f t="shared" si="47"/>
        <v>0</v>
      </c>
    </row>
    <row r="54" spans="1:83" x14ac:dyDescent="0.3">
      <c r="A54" s="3" t="s">
        <v>94</v>
      </c>
      <c r="B54" s="3">
        <v>11745</v>
      </c>
      <c r="C54" s="3">
        <v>11740</v>
      </c>
      <c r="D54" s="3">
        <v>11525</v>
      </c>
      <c r="E54" s="3">
        <v>11530</v>
      </c>
      <c r="F54" s="3">
        <v>11730</v>
      </c>
      <c r="G54" s="3">
        <v>11720</v>
      </c>
      <c r="H54" s="3">
        <v>11555</v>
      </c>
      <c r="I54" s="3">
        <v>11575</v>
      </c>
      <c r="J54" s="3">
        <v>11755</v>
      </c>
      <c r="K54" s="3">
        <v>11740</v>
      </c>
      <c r="L54" s="3">
        <v>12030</v>
      </c>
      <c r="M54" s="3">
        <v>12025</v>
      </c>
      <c r="N54" s="3">
        <v>12435</v>
      </c>
      <c r="O54" s="3">
        <v>12425</v>
      </c>
      <c r="P54" s="3">
        <v>12655</v>
      </c>
      <c r="Q54" s="3">
        <v>12645</v>
      </c>
      <c r="R54" s="3">
        <v>12650</v>
      </c>
      <c r="S54" s="3">
        <v>12655</v>
      </c>
      <c r="T54" s="3">
        <v>12295</v>
      </c>
      <c r="U54" s="3">
        <v>12305</v>
      </c>
      <c r="V54" s="3">
        <v>12760</v>
      </c>
      <c r="W54" s="3">
        <v>12740</v>
      </c>
      <c r="X54" s="3">
        <v>12625</v>
      </c>
      <c r="Y54" s="3">
        <v>12625</v>
      </c>
      <c r="Z54" s="3">
        <v>12715</v>
      </c>
      <c r="AA54" s="3">
        <v>12715</v>
      </c>
      <c r="AB54" s="3">
        <v>13270</v>
      </c>
      <c r="AC54" s="3">
        <v>13280</v>
      </c>
      <c r="AD54" s="3">
        <v>13255</v>
      </c>
      <c r="AE54" s="3">
        <v>13255</v>
      </c>
      <c r="AF54" s="3">
        <v>13750</v>
      </c>
      <c r="AG54" s="3">
        <v>13750</v>
      </c>
      <c r="AH54" s="3">
        <v>14235</v>
      </c>
      <c r="AI54" s="3">
        <v>14260</v>
      </c>
      <c r="AJ54" s="3">
        <v>13980</v>
      </c>
      <c r="AK54" s="3">
        <v>13985</v>
      </c>
      <c r="AL54" s="3">
        <v>13780</v>
      </c>
      <c r="AM54" s="3">
        <v>13795</v>
      </c>
      <c r="AN54" s="3">
        <v>13545</v>
      </c>
      <c r="AO54" s="3">
        <v>13555</v>
      </c>
      <c r="AP54" s="3">
        <v>13655</v>
      </c>
      <c r="AQ54" s="3">
        <v>13665</v>
      </c>
      <c r="AR54" s="4">
        <f t="shared" si="48"/>
        <v>1.8213356461405095E-2</v>
      </c>
      <c r="AS54" s="4">
        <f t="shared" si="20"/>
        <v>1.7316017316016952E-3</v>
      </c>
      <c r="AT54" s="4">
        <f t="shared" si="21"/>
        <v>3.1690140845070491E-2</v>
      </c>
      <c r="AU54" s="4">
        <f t="shared" si="22"/>
        <v>1.7402376910017003E-2</v>
      </c>
      <c r="AV54" s="4">
        <f t="shared" si="23"/>
        <v>4.2771599657827064E-3</v>
      </c>
      <c r="AW54" s="4">
        <f t="shared" si="24"/>
        <v>1.3912310286677831E-2</v>
      </c>
      <c r="AX54" s="4">
        <f t="shared" si="25"/>
        <v>2.5588113908378007E-2</v>
      </c>
      <c r="AY54" s="4">
        <f t="shared" si="26"/>
        <v>1.0563380281690127E-2</v>
      </c>
      <c r="AZ54" s="4">
        <f t="shared" si="27"/>
        <v>8.7684336389000084E-3</v>
      </c>
      <c r="BA54" s="4">
        <f t="shared" si="28"/>
        <v>5.656565656565693E-3</v>
      </c>
      <c r="BB54" s="4">
        <f t="shared" si="29"/>
        <v>3.2833400891771447E-2</v>
      </c>
      <c r="BC54" s="4">
        <f t="shared" si="30"/>
        <v>7.9145231499799795E-4</v>
      </c>
      <c r="BD54" s="4">
        <f t="shared" si="31"/>
        <v>9.7352024922118252E-3</v>
      </c>
      <c r="BE54" s="4">
        <f t="shared" si="32"/>
        <v>2.4296182028538338E-2</v>
      </c>
      <c r="BF54" s="4">
        <f t="shared" si="33"/>
        <v>1.2605042016806678E-2</v>
      </c>
      <c r="BG54" s="4">
        <f t="shared" si="34"/>
        <v>3.1121109861267371E-2</v>
      </c>
      <c r="BH54" s="4">
        <f t="shared" si="35"/>
        <v>2.5161754133716796E-2</v>
      </c>
      <c r="BI54" s="4">
        <f t="shared" si="36"/>
        <v>7.927927927927847E-3</v>
      </c>
      <c r="BJ54" s="4">
        <f t="shared" si="37"/>
        <v>5.4664723032069595E-3</v>
      </c>
      <c r="BK54" s="4">
        <f t="shared" si="38"/>
        <v>9.4994519546949263E-3</v>
      </c>
      <c r="BL54" s="4">
        <f t="shared" si="39"/>
        <v>1.5607580824972045E-2</v>
      </c>
      <c r="BM54" s="4">
        <f t="shared" si="49"/>
        <v>1.5001034957905288E-2</v>
      </c>
      <c r="BN54" s="14">
        <f t="shared" si="50"/>
        <v>13656.838925358616</v>
      </c>
      <c r="BO54" s="15">
        <f t="shared" si="51"/>
        <v>13125.111209185912</v>
      </c>
      <c r="BP54" s="16">
        <v>13655</v>
      </c>
      <c r="BQ54" s="16">
        <v>13680</v>
      </c>
      <c r="BR54" s="16">
        <v>13630</v>
      </c>
      <c r="BS54" s="16">
        <v>13665</v>
      </c>
      <c r="BT54" s="16">
        <v>160355</v>
      </c>
      <c r="BU54" s="15">
        <f t="shared" si="40"/>
        <v>13658.333333333334</v>
      </c>
      <c r="BV54" s="15">
        <f t="shared" si="41"/>
        <v>2190182041.666667</v>
      </c>
      <c r="BW54" s="15">
        <f>SUM($BV$3:BV54)</f>
        <v>106124670125.00002</v>
      </c>
      <c r="BX54" s="15">
        <f>SUM($BT$3:BT54)</f>
        <v>7865466</v>
      </c>
      <c r="BY54" s="15">
        <f t="shared" si="42"/>
        <v>13492.483487310226</v>
      </c>
      <c r="BZ54" s="3">
        <v>52</v>
      </c>
      <c r="CA54" s="3">
        <f t="shared" si="43"/>
        <v>1</v>
      </c>
      <c r="CB54" s="3">
        <f t="shared" si="44"/>
        <v>0</v>
      </c>
      <c r="CC54" s="3">
        <f t="shared" si="45"/>
        <v>1</v>
      </c>
      <c r="CD54" s="3" t="str">
        <f t="shared" si="46"/>
        <v/>
      </c>
      <c r="CE54" s="3">
        <f t="shared" si="47"/>
        <v>0</v>
      </c>
    </row>
    <row r="55" spans="1:83" x14ac:dyDescent="0.3">
      <c r="A55" s="3" t="s">
        <v>95</v>
      </c>
      <c r="B55" s="3">
        <v>11740</v>
      </c>
      <c r="C55" s="3">
        <v>11740</v>
      </c>
      <c r="D55" s="3">
        <v>11530</v>
      </c>
      <c r="E55" s="3">
        <v>11535</v>
      </c>
      <c r="F55" s="3">
        <v>11720</v>
      </c>
      <c r="G55" s="3">
        <v>11735</v>
      </c>
      <c r="H55" s="3">
        <v>11575</v>
      </c>
      <c r="I55" s="3">
        <v>11585</v>
      </c>
      <c r="J55" s="3">
        <v>11740</v>
      </c>
      <c r="K55" s="3">
        <v>11730</v>
      </c>
      <c r="L55" s="3">
        <v>12025</v>
      </c>
      <c r="M55" s="3">
        <v>12025</v>
      </c>
      <c r="N55" s="3">
        <v>12425</v>
      </c>
      <c r="O55" s="3">
        <v>12430</v>
      </c>
      <c r="P55" s="3">
        <v>12645</v>
      </c>
      <c r="Q55" s="3">
        <v>12655</v>
      </c>
      <c r="R55" s="3">
        <v>12655</v>
      </c>
      <c r="S55" s="3">
        <v>12655</v>
      </c>
      <c r="T55" s="3">
        <v>12310</v>
      </c>
      <c r="U55" s="3">
        <v>12305</v>
      </c>
      <c r="V55" s="3">
        <v>12740</v>
      </c>
      <c r="W55" s="3">
        <v>12755</v>
      </c>
      <c r="X55" s="3">
        <v>12620</v>
      </c>
      <c r="Y55" s="3">
        <v>12640</v>
      </c>
      <c r="Z55" s="3">
        <v>12715</v>
      </c>
      <c r="AA55" s="3">
        <v>12700</v>
      </c>
      <c r="AB55" s="3">
        <v>13280</v>
      </c>
      <c r="AC55" s="3">
        <v>13285</v>
      </c>
      <c r="AD55" s="3">
        <v>13255</v>
      </c>
      <c r="AE55" s="3">
        <v>13260</v>
      </c>
      <c r="AF55" s="3">
        <v>13750</v>
      </c>
      <c r="AG55" s="3">
        <v>13775</v>
      </c>
      <c r="AH55" s="3">
        <v>14260</v>
      </c>
      <c r="AI55" s="3">
        <v>14270</v>
      </c>
      <c r="AJ55" s="3">
        <v>13985</v>
      </c>
      <c r="AK55" s="3">
        <v>13990</v>
      </c>
      <c r="AL55" s="3">
        <v>13795</v>
      </c>
      <c r="AM55" s="3">
        <v>13795</v>
      </c>
      <c r="AN55" s="3">
        <v>13555</v>
      </c>
      <c r="AO55" s="3">
        <v>13565</v>
      </c>
      <c r="AP55" s="3">
        <v>13665</v>
      </c>
      <c r="AQ55" s="3">
        <v>13680</v>
      </c>
      <c r="AR55" s="4">
        <f t="shared" si="48"/>
        <v>1.8213356461405095E-2</v>
      </c>
      <c r="AS55" s="4">
        <f t="shared" si="20"/>
        <v>1.2987012987012436E-3</v>
      </c>
      <c r="AT55" s="4">
        <f t="shared" si="21"/>
        <v>3.3010563380281743E-2</v>
      </c>
      <c r="AU55" s="4">
        <f t="shared" si="22"/>
        <v>1.6553480475381965E-2</v>
      </c>
      <c r="AV55" s="4">
        <f t="shared" si="23"/>
        <v>3.4217279726260763E-3</v>
      </c>
      <c r="AW55" s="4">
        <f t="shared" si="24"/>
        <v>1.3912310286677831E-2</v>
      </c>
      <c r="AX55" s="4">
        <f t="shared" si="25"/>
        <v>2.6000825423029283E-2</v>
      </c>
      <c r="AY55" s="4">
        <f t="shared" si="26"/>
        <v>9.7809076682315865E-3</v>
      </c>
      <c r="AZ55" s="4">
        <f t="shared" si="27"/>
        <v>8.7684336389000084E-3</v>
      </c>
      <c r="BA55" s="4">
        <f t="shared" si="28"/>
        <v>5.656565656565693E-3</v>
      </c>
      <c r="BB55" s="4">
        <f t="shared" si="29"/>
        <v>3.4049452776651723E-2</v>
      </c>
      <c r="BC55" s="4">
        <f t="shared" si="30"/>
        <v>3.9572615749894346E-4</v>
      </c>
      <c r="BD55" s="4">
        <f t="shared" si="31"/>
        <v>1.0903426791277204E-2</v>
      </c>
      <c r="BE55" s="4">
        <f t="shared" si="32"/>
        <v>2.4681835711531042E-2</v>
      </c>
      <c r="BF55" s="4">
        <f t="shared" si="33"/>
        <v>1.298701298701288E-2</v>
      </c>
      <c r="BG55" s="4">
        <f t="shared" si="34"/>
        <v>3.2995875515560602E-2</v>
      </c>
      <c r="BH55" s="4">
        <f t="shared" si="35"/>
        <v>2.5880661394680038E-2</v>
      </c>
      <c r="BI55" s="4">
        <f t="shared" si="36"/>
        <v>8.2882882882882036E-3</v>
      </c>
      <c r="BJ55" s="4">
        <f t="shared" si="37"/>
        <v>5.4664723032069595E-3</v>
      </c>
      <c r="BK55" s="4">
        <f t="shared" si="38"/>
        <v>8.7687248812567953E-3</v>
      </c>
      <c r="BL55" s="4">
        <f t="shared" si="39"/>
        <v>1.6722408026755842E-2</v>
      </c>
      <c r="BM55" s="4">
        <f t="shared" si="49"/>
        <v>1.5330300656692211E-2</v>
      </c>
      <c r="BN55" s="14">
        <f t="shared" si="50"/>
        <v>13661.269195335795</v>
      </c>
      <c r="BO55" s="15">
        <f t="shared" si="51"/>
        <v>13120.723743749577</v>
      </c>
      <c r="BP55" s="16">
        <v>13665</v>
      </c>
      <c r="BQ55" s="16">
        <v>13690</v>
      </c>
      <c r="BR55" s="16">
        <v>13665</v>
      </c>
      <c r="BS55" s="16">
        <v>13680</v>
      </c>
      <c r="BT55" s="16">
        <v>104477</v>
      </c>
      <c r="BU55" s="15">
        <f t="shared" si="40"/>
        <v>13678.333333333334</v>
      </c>
      <c r="BV55" s="15">
        <f t="shared" si="41"/>
        <v>1429071231.6666667</v>
      </c>
      <c r="BW55" s="15">
        <f>SUM($BV$3:BV55)</f>
        <v>107553741356.66669</v>
      </c>
      <c r="BX55" s="15">
        <f>SUM($BT$3:BT55)</f>
        <v>7969943</v>
      </c>
      <c r="BY55" s="15">
        <f t="shared" si="42"/>
        <v>13494.919770024288</v>
      </c>
      <c r="BZ55" s="3">
        <v>53</v>
      </c>
      <c r="CA55" s="3">
        <f t="shared" si="43"/>
        <v>1</v>
      </c>
      <c r="CB55" s="3">
        <f t="shared" si="44"/>
        <v>0</v>
      </c>
      <c r="CC55" s="3">
        <f t="shared" si="45"/>
        <v>1</v>
      </c>
      <c r="CD55" s="3" t="str">
        <f t="shared" si="46"/>
        <v/>
      </c>
      <c r="CE55" s="3">
        <f t="shared" si="47"/>
        <v>0</v>
      </c>
    </row>
    <row r="56" spans="1:83" x14ac:dyDescent="0.3">
      <c r="A56" s="3" t="s">
        <v>96</v>
      </c>
      <c r="B56" s="3">
        <v>11740</v>
      </c>
      <c r="C56" s="3">
        <v>11730</v>
      </c>
      <c r="D56" s="3">
        <v>11530</v>
      </c>
      <c r="E56" s="3">
        <v>11525</v>
      </c>
      <c r="F56" s="3">
        <v>11735</v>
      </c>
      <c r="G56" s="3">
        <v>11705</v>
      </c>
      <c r="H56" s="3">
        <v>11580</v>
      </c>
      <c r="I56" s="3">
        <v>11590</v>
      </c>
      <c r="J56" s="3">
        <v>11725</v>
      </c>
      <c r="K56" s="3">
        <v>11725</v>
      </c>
      <c r="L56" s="3">
        <v>12025</v>
      </c>
      <c r="M56" s="3">
        <v>12020</v>
      </c>
      <c r="N56" s="3">
        <v>12430</v>
      </c>
      <c r="O56" s="3">
        <v>12450</v>
      </c>
      <c r="P56" s="3">
        <v>12660</v>
      </c>
      <c r="Q56" s="3">
        <v>12670</v>
      </c>
      <c r="R56" s="3">
        <v>12655</v>
      </c>
      <c r="S56" s="3">
        <v>12665</v>
      </c>
      <c r="T56" s="3">
        <v>12305</v>
      </c>
      <c r="U56" s="3">
        <v>12310</v>
      </c>
      <c r="V56" s="3">
        <v>12755</v>
      </c>
      <c r="W56" s="3">
        <v>12745</v>
      </c>
      <c r="X56" s="3">
        <v>12640</v>
      </c>
      <c r="Y56" s="3">
        <v>12640</v>
      </c>
      <c r="Z56" s="3">
        <v>12695</v>
      </c>
      <c r="AA56" s="3">
        <v>12715</v>
      </c>
      <c r="AB56" s="3">
        <v>13285</v>
      </c>
      <c r="AC56" s="3">
        <v>13280</v>
      </c>
      <c r="AD56" s="3">
        <v>13255</v>
      </c>
      <c r="AE56" s="3">
        <v>13265</v>
      </c>
      <c r="AF56" s="3">
        <v>13775</v>
      </c>
      <c r="AG56" s="3">
        <v>13795</v>
      </c>
      <c r="AH56" s="3">
        <v>14275</v>
      </c>
      <c r="AI56" s="3">
        <v>14265</v>
      </c>
      <c r="AJ56" s="3">
        <v>13990</v>
      </c>
      <c r="AK56" s="3">
        <v>13990</v>
      </c>
      <c r="AL56" s="3">
        <v>13795</v>
      </c>
      <c r="AM56" s="3">
        <v>13775</v>
      </c>
      <c r="AN56" s="3">
        <v>13570</v>
      </c>
      <c r="AO56" s="3">
        <v>13595</v>
      </c>
      <c r="AP56" s="3">
        <v>13675</v>
      </c>
      <c r="AQ56" s="3">
        <v>13685</v>
      </c>
      <c r="AR56" s="4">
        <f t="shared" si="48"/>
        <v>1.7346053772766767E-2</v>
      </c>
      <c r="AS56" s="4">
        <f t="shared" si="20"/>
        <v>2.1645021645021467E-3</v>
      </c>
      <c r="AT56" s="4">
        <f t="shared" si="21"/>
        <v>3.0369718309859239E-2</v>
      </c>
      <c r="AU56" s="4">
        <f t="shared" si="22"/>
        <v>1.6129032258064502E-2</v>
      </c>
      <c r="AV56" s="4">
        <f t="shared" si="23"/>
        <v>2.9940119760478723E-3</v>
      </c>
      <c r="AW56" s="4">
        <f t="shared" si="24"/>
        <v>1.3490725126475533E-2</v>
      </c>
      <c r="AX56" s="4">
        <f t="shared" si="25"/>
        <v>2.7651671481634388E-2</v>
      </c>
      <c r="AY56" s="4">
        <f t="shared" si="26"/>
        <v>8.6071987480438317E-3</v>
      </c>
      <c r="AZ56" s="4">
        <f t="shared" si="27"/>
        <v>9.5655639697089789E-3</v>
      </c>
      <c r="BA56" s="4">
        <f t="shared" si="28"/>
        <v>5.2525252525252863E-3</v>
      </c>
      <c r="BB56" s="4">
        <f t="shared" si="29"/>
        <v>3.3238751520064946E-2</v>
      </c>
      <c r="BC56" s="4">
        <f t="shared" si="30"/>
        <v>3.9572615749894346E-4</v>
      </c>
      <c r="BD56" s="4">
        <f t="shared" si="31"/>
        <v>9.7352024922118252E-3</v>
      </c>
      <c r="BE56" s="4">
        <f t="shared" si="32"/>
        <v>2.4296182028538338E-2</v>
      </c>
      <c r="BF56" s="4">
        <f t="shared" si="33"/>
        <v>1.3368983957219305E-2</v>
      </c>
      <c r="BG56" s="4">
        <f t="shared" si="34"/>
        <v>3.4495688038995054E-2</v>
      </c>
      <c r="BH56" s="4">
        <f t="shared" si="35"/>
        <v>2.5521207764198417E-2</v>
      </c>
      <c r="BI56" s="4">
        <f t="shared" si="36"/>
        <v>8.2882882882882036E-3</v>
      </c>
      <c r="BJ56" s="4">
        <f t="shared" si="37"/>
        <v>4.0087463556850444E-3</v>
      </c>
      <c r="BK56" s="4">
        <f t="shared" si="38"/>
        <v>6.5765436609426242E-3</v>
      </c>
      <c r="BL56" s="4">
        <f t="shared" si="39"/>
        <v>1.7094017094017033E-2</v>
      </c>
      <c r="BM56" s="4">
        <f t="shared" si="49"/>
        <v>1.5071591408253942E-2</v>
      </c>
      <c r="BN56" s="14">
        <f t="shared" si="50"/>
        <v>13657.788262398057</v>
      </c>
      <c r="BO56" s="15">
        <f t="shared" si="51"/>
        <v>13124.171044485016</v>
      </c>
      <c r="BP56" s="16">
        <v>13675</v>
      </c>
      <c r="BQ56" s="16">
        <v>13700</v>
      </c>
      <c r="BR56" s="16">
        <v>13655</v>
      </c>
      <c r="BS56" s="16">
        <v>13685</v>
      </c>
      <c r="BT56" s="16">
        <v>400149</v>
      </c>
      <c r="BU56" s="15">
        <f t="shared" si="40"/>
        <v>13680</v>
      </c>
      <c r="BV56" s="15">
        <f t="shared" si="41"/>
        <v>5474038320</v>
      </c>
      <c r="BW56" s="15">
        <f>SUM($BV$3:BV56)</f>
        <v>113027779676.66669</v>
      </c>
      <c r="BX56" s="15">
        <f>SUM($BT$3:BT56)</f>
        <v>8370092</v>
      </c>
      <c r="BY56" s="15">
        <f t="shared" si="42"/>
        <v>13503.767900838688</v>
      </c>
      <c r="BZ56" s="3">
        <v>54</v>
      </c>
      <c r="CA56" s="3">
        <f t="shared" si="43"/>
        <v>1</v>
      </c>
      <c r="CB56" s="3">
        <f t="shared" si="44"/>
        <v>0</v>
      </c>
      <c r="CC56" s="3">
        <f t="shared" si="45"/>
        <v>1</v>
      </c>
      <c r="CD56" s="3" t="str">
        <f t="shared" si="46"/>
        <v/>
      </c>
      <c r="CE56" s="3">
        <f t="shared" si="47"/>
        <v>0</v>
      </c>
    </row>
    <row r="57" spans="1:83" x14ac:dyDescent="0.3">
      <c r="A57" s="3" t="s">
        <v>97</v>
      </c>
      <c r="B57" s="3">
        <v>11730</v>
      </c>
      <c r="C57" s="3">
        <v>11730</v>
      </c>
      <c r="D57" s="3">
        <v>11525</v>
      </c>
      <c r="E57" s="3">
        <v>11535</v>
      </c>
      <c r="F57" s="3">
        <v>11700</v>
      </c>
      <c r="G57" s="3">
        <v>11685</v>
      </c>
      <c r="H57" s="3">
        <v>11590</v>
      </c>
      <c r="I57" s="3">
        <v>11595</v>
      </c>
      <c r="J57" s="3">
        <v>11725</v>
      </c>
      <c r="K57" s="3">
        <v>11730</v>
      </c>
      <c r="L57" s="3">
        <v>12015</v>
      </c>
      <c r="M57" s="3">
        <v>12025</v>
      </c>
      <c r="N57" s="3">
        <v>12450</v>
      </c>
      <c r="O57" s="3">
        <v>12460</v>
      </c>
      <c r="P57" s="3">
        <v>12670</v>
      </c>
      <c r="Q57" s="3">
        <v>12670</v>
      </c>
      <c r="R57" s="3">
        <v>12660</v>
      </c>
      <c r="S57" s="3">
        <v>12660</v>
      </c>
      <c r="T57" s="3">
        <v>12310</v>
      </c>
      <c r="U57" s="3">
        <v>12310</v>
      </c>
      <c r="V57" s="3">
        <v>12745</v>
      </c>
      <c r="W57" s="3">
        <v>12755</v>
      </c>
      <c r="X57" s="3">
        <v>12640</v>
      </c>
      <c r="Y57" s="3">
        <v>12625</v>
      </c>
      <c r="Z57" s="3">
        <v>12720</v>
      </c>
      <c r="AA57" s="3">
        <v>12740</v>
      </c>
      <c r="AB57" s="3">
        <v>13280</v>
      </c>
      <c r="AC57" s="3">
        <v>13295</v>
      </c>
      <c r="AD57" s="3">
        <v>13260</v>
      </c>
      <c r="AE57" s="3">
        <v>13265</v>
      </c>
      <c r="AF57" s="3">
        <v>13795</v>
      </c>
      <c r="AG57" s="3">
        <v>13790</v>
      </c>
      <c r="AH57" s="3">
        <v>14260</v>
      </c>
      <c r="AI57" s="3">
        <v>14255</v>
      </c>
      <c r="AJ57" s="3">
        <v>13985</v>
      </c>
      <c r="AK57" s="3">
        <v>13980</v>
      </c>
      <c r="AL57" s="3">
        <v>13770</v>
      </c>
      <c r="AM57" s="3">
        <v>13785</v>
      </c>
      <c r="AN57" s="3">
        <v>13595</v>
      </c>
      <c r="AO57" s="3">
        <v>13595</v>
      </c>
      <c r="AP57" s="3">
        <v>13690</v>
      </c>
      <c r="AQ57" s="3">
        <v>13710</v>
      </c>
      <c r="AR57" s="4">
        <f t="shared" si="48"/>
        <v>1.7346053772766767E-2</v>
      </c>
      <c r="AS57" s="4">
        <f t="shared" si="20"/>
        <v>1.2987012987012436E-3</v>
      </c>
      <c r="AT57" s="4">
        <f t="shared" si="21"/>
        <v>2.8609154929577496E-2</v>
      </c>
      <c r="AU57" s="4">
        <f t="shared" si="22"/>
        <v>1.5704584040747038E-2</v>
      </c>
      <c r="AV57" s="4">
        <f t="shared" si="23"/>
        <v>3.4217279726260763E-3</v>
      </c>
      <c r="AW57" s="4">
        <f t="shared" si="24"/>
        <v>1.3912310286677831E-2</v>
      </c>
      <c r="AX57" s="4">
        <f t="shared" si="25"/>
        <v>2.847709451093694E-2</v>
      </c>
      <c r="AY57" s="4">
        <f t="shared" si="26"/>
        <v>8.6071987480438317E-3</v>
      </c>
      <c r="AZ57" s="4">
        <f t="shared" si="27"/>
        <v>9.1669988043046047E-3</v>
      </c>
      <c r="BA57" s="4">
        <f t="shared" si="28"/>
        <v>5.2525252525252863E-3</v>
      </c>
      <c r="BB57" s="4">
        <f t="shared" si="29"/>
        <v>3.4049452776651723E-2</v>
      </c>
      <c r="BC57" s="4">
        <f t="shared" si="30"/>
        <v>7.9145231499799795E-4</v>
      </c>
      <c r="BD57" s="4">
        <f t="shared" si="31"/>
        <v>7.7881619937694158E-3</v>
      </c>
      <c r="BE57" s="4">
        <f t="shared" si="32"/>
        <v>2.5453143077516449E-2</v>
      </c>
      <c r="BF57" s="4">
        <f t="shared" si="33"/>
        <v>1.3368983957219305E-2</v>
      </c>
      <c r="BG57" s="4">
        <f t="shared" si="34"/>
        <v>3.4120734908136496E-2</v>
      </c>
      <c r="BH57" s="4">
        <f t="shared" si="35"/>
        <v>2.4802300503235175E-2</v>
      </c>
      <c r="BI57" s="4">
        <f t="shared" si="36"/>
        <v>7.5675675675674903E-3</v>
      </c>
      <c r="BJ57" s="4">
        <f t="shared" si="37"/>
        <v>4.737609329446002E-3</v>
      </c>
      <c r="BK57" s="4">
        <f t="shared" si="38"/>
        <v>6.5765436609426242E-3</v>
      </c>
      <c r="BL57" s="4">
        <f t="shared" si="39"/>
        <v>1.8952062430323213E-2</v>
      </c>
      <c r="BM57" s="4">
        <f t="shared" si="49"/>
        <v>1.5054269100378095E-2</v>
      </c>
      <c r="BN57" s="14">
        <f t="shared" si="50"/>
        <v>13657.555190745587</v>
      </c>
      <c r="BO57" s="15">
        <f t="shared" si="51"/>
        <v>13124.401864237461</v>
      </c>
      <c r="BP57" s="16">
        <v>13690</v>
      </c>
      <c r="BQ57" s="16">
        <v>13715</v>
      </c>
      <c r="BR57" s="16">
        <v>13675</v>
      </c>
      <c r="BS57" s="16">
        <v>13710</v>
      </c>
      <c r="BT57" s="16">
        <v>250679</v>
      </c>
      <c r="BU57" s="15">
        <f t="shared" si="40"/>
        <v>13700</v>
      </c>
      <c r="BV57" s="15">
        <f t="shared" si="41"/>
        <v>3434302300</v>
      </c>
      <c r="BW57" s="15">
        <f>SUM($BV$3:BV57)</f>
        <v>116462081976.66669</v>
      </c>
      <c r="BX57" s="15">
        <f>SUM($BT$3:BT57)</f>
        <v>8620771</v>
      </c>
      <c r="BY57" s="15">
        <f t="shared" si="42"/>
        <v>13509.474033896351</v>
      </c>
      <c r="BZ57" s="3">
        <v>55</v>
      </c>
      <c r="CA57" s="3">
        <f t="shared" si="43"/>
        <v>1</v>
      </c>
      <c r="CB57" s="3">
        <f t="shared" si="44"/>
        <v>0</v>
      </c>
      <c r="CC57" s="3">
        <f t="shared" si="45"/>
        <v>1</v>
      </c>
      <c r="CD57" s="3" t="str">
        <f t="shared" si="46"/>
        <v/>
      </c>
      <c r="CE57" s="3">
        <f t="shared" si="47"/>
        <v>0</v>
      </c>
    </row>
    <row r="58" spans="1:83" x14ac:dyDescent="0.3">
      <c r="A58" s="3" t="s">
        <v>98</v>
      </c>
      <c r="B58" s="3">
        <v>11730</v>
      </c>
      <c r="C58" s="3">
        <v>11745</v>
      </c>
      <c r="D58" s="3">
        <v>11530</v>
      </c>
      <c r="E58" s="3">
        <v>11540</v>
      </c>
      <c r="F58" s="3">
        <v>11685</v>
      </c>
      <c r="G58" s="3">
        <v>11695</v>
      </c>
      <c r="H58" s="3">
        <v>11600</v>
      </c>
      <c r="I58" s="3">
        <v>11605</v>
      </c>
      <c r="J58" s="3">
        <v>11735</v>
      </c>
      <c r="K58" s="3">
        <v>11730</v>
      </c>
      <c r="L58" s="3">
        <v>12030</v>
      </c>
      <c r="M58" s="3">
        <v>12020</v>
      </c>
      <c r="N58" s="3">
        <v>12455</v>
      </c>
      <c r="O58" s="3">
        <v>12470</v>
      </c>
      <c r="P58" s="3">
        <v>12665</v>
      </c>
      <c r="Q58" s="3">
        <v>12665</v>
      </c>
      <c r="R58" s="3">
        <v>12660</v>
      </c>
      <c r="S58" s="3">
        <v>12665</v>
      </c>
      <c r="T58" s="3">
        <v>12310</v>
      </c>
      <c r="U58" s="3">
        <v>12305</v>
      </c>
      <c r="V58" s="3">
        <v>12760</v>
      </c>
      <c r="W58" s="3">
        <v>12775</v>
      </c>
      <c r="X58" s="3">
        <v>12625</v>
      </c>
      <c r="Y58" s="3">
        <v>12645</v>
      </c>
      <c r="Z58" s="3">
        <v>12740</v>
      </c>
      <c r="AA58" s="3">
        <v>12730</v>
      </c>
      <c r="AB58" s="3">
        <v>13290</v>
      </c>
      <c r="AC58" s="3">
        <v>13300</v>
      </c>
      <c r="AD58" s="3">
        <v>13265</v>
      </c>
      <c r="AE58" s="3">
        <v>13265</v>
      </c>
      <c r="AF58" s="3">
        <v>13795</v>
      </c>
      <c r="AG58" s="3">
        <v>13810</v>
      </c>
      <c r="AH58" s="3">
        <v>14255</v>
      </c>
      <c r="AI58" s="3">
        <v>14240</v>
      </c>
      <c r="AJ58" s="3">
        <v>13985</v>
      </c>
      <c r="AK58" s="3">
        <v>13960</v>
      </c>
      <c r="AL58" s="3">
        <v>13785</v>
      </c>
      <c r="AM58" s="3">
        <v>13780</v>
      </c>
      <c r="AN58" s="3">
        <v>13595</v>
      </c>
      <c r="AO58" s="3">
        <v>13595</v>
      </c>
      <c r="AP58" s="3">
        <v>13710</v>
      </c>
      <c r="AQ58" s="3">
        <v>13705</v>
      </c>
      <c r="AR58" s="4">
        <f t="shared" si="48"/>
        <v>1.8647007805724147E-2</v>
      </c>
      <c r="AS58" s="4">
        <f t="shared" si="20"/>
        <v>8.658008658009031E-4</v>
      </c>
      <c r="AT58" s="4">
        <f t="shared" si="21"/>
        <v>2.9489436619718257E-2</v>
      </c>
      <c r="AU58" s="4">
        <f t="shared" si="22"/>
        <v>1.4855687606112E-2</v>
      </c>
      <c r="AV58" s="4">
        <f t="shared" si="23"/>
        <v>3.4217279726260763E-3</v>
      </c>
      <c r="AW58" s="4">
        <f t="shared" si="24"/>
        <v>1.3490725126475533E-2</v>
      </c>
      <c r="AX58" s="4">
        <f t="shared" si="25"/>
        <v>2.930251754023927E-2</v>
      </c>
      <c r="AY58" s="4">
        <f t="shared" si="26"/>
        <v>8.9984350547730463E-3</v>
      </c>
      <c r="AZ58" s="4">
        <f t="shared" si="27"/>
        <v>9.5655639697089789E-3</v>
      </c>
      <c r="BA58" s="4">
        <f t="shared" si="28"/>
        <v>5.656565656565693E-3</v>
      </c>
      <c r="BB58" s="4">
        <f t="shared" si="29"/>
        <v>3.567085528982572E-2</v>
      </c>
      <c r="BC58" s="4">
        <f t="shared" si="30"/>
        <v>7.9145231499810897E-4</v>
      </c>
      <c r="BD58" s="4">
        <f t="shared" si="31"/>
        <v>8.5669781931464462E-3</v>
      </c>
      <c r="BE58" s="4">
        <f t="shared" si="32"/>
        <v>2.5838796760509153E-2</v>
      </c>
      <c r="BF58" s="4">
        <f t="shared" si="33"/>
        <v>1.3368983957219305E-2</v>
      </c>
      <c r="BG58" s="4">
        <f t="shared" si="34"/>
        <v>3.5620547431570948E-2</v>
      </c>
      <c r="BH58" s="4">
        <f t="shared" si="35"/>
        <v>2.372393961179009E-2</v>
      </c>
      <c r="BI58" s="4">
        <f t="shared" si="36"/>
        <v>6.1261261261260636E-3</v>
      </c>
      <c r="BJ58" s="4">
        <f t="shared" si="37"/>
        <v>4.3731778425655232E-3</v>
      </c>
      <c r="BK58" s="4">
        <f t="shared" si="38"/>
        <v>6.5765436609426242E-3</v>
      </c>
      <c r="BL58" s="4">
        <f t="shared" si="39"/>
        <v>1.8580453363062022E-2</v>
      </c>
      <c r="BM58" s="4">
        <f t="shared" si="49"/>
        <v>1.5298605957855784E-2</v>
      </c>
      <c r="BN58" s="14">
        <f t="shared" si="50"/>
        <v>13660.842743162948</v>
      </c>
      <c r="BO58" s="15">
        <f t="shared" si="51"/>
        <v>13121.146075611572</v>
      </c>
      <c r="BP58" s="16">
        <v>13710</v>
      </c>
      <c r="BQ58" s="16">
        <v>13740</v>
      </c>
      <c r="BR58" s="16">
        <v>13705</v>
      </c>
      <c r="BS58" s="16">
        <v>13705</v>
      </c>
      <c r="BT58" s="16">
        <v>237097</v>
      </c>
      <c r="BU58" s="15">
        <f t="shared" si="40"/>
        <v>13716.666666666666</v>
      </c>
      <c r="BV58" s="15">
        <f t="shared" si="41"/>
        <v>3252180516.6666665</v>
      </c>
      <c r="BW58" s="15">
        <f>SUM($BV$3:BV58)</f>
        <v>119714262493.33336</v>
      </c>
      <c r="BX58" s="15">
        <f>SUM($BT$3:BT58)</f>
        <v>8857868</v>
      </c>
      <c r="BY58" s="15">
        <f t="shared" si="42"/>
        <v>13515.019922777508</v>
      </c>
      <c r="BZ58" s="3">
        <v>56</v>
      </c>
      <c r="CA58" s="3">
        <f t="shared" si="43"/>
        <v>1</v>
      </c>
      <c r="CB58" s="3">
        <f t="shared" si="44"/>
        <v>0</v>
      </c>
      <c r="CC58" s="3">
        <f t="shared" si="45"/>
        <v>1</v>
      </c>
      <c r="CD58" s="3" t="str">
        <f t="shared" si="46"/>
        <v/>
      </c>
      <c r="CE58" s="3">
        <f t="shared" si="47"/>
        <v>0</v>
      </c>
    </row>
    <row r="59" spans="1:83" x14ac:dyDescent="0.3">
      <c r="A59" s="3" t="s">
        <v>99</v>
      </c>
      <c r="B59" s="3">
        <v>11745</v>
      </c>
      <c r="C59" s="3">
        <v>11740</v>
      </c>
      <c r="D59" s="3">
        <v>11540</v>
      </c>
      <c r="E59" s="3">
        <v>11540</v>
      </c>
      <c r="F59" s="3">
        <v>11700</v>
      </c>
      <c r="G59" s="3">
        <v>11710</v>
      </c>
      <c r="H59" s="3">
        <v>11600</v>
      </c>
      <c r="I59" s="3">
        <v>11615</v>
      </c>
      <c r="J59" s="3">
        <v>11725</v>
      </c>
      <c r="K59" s="3">
        <v>11715</v>
      </c>
      <c r="L59" s="3">
        <v>12025</v>
      </c>
      <c r="M59" s="3">
        <v>12030</v>
      </c>
      <c r="N59" s="3">
        <v>12465</v>
      </c>
      <c r="O59" s="3">
        <v>12455</v>
      </c>
      <c r="P59" s="3">
        <v>12660</v>
      </c>
      <c r="Q59" s="3">
        <v>12650</v>
      </c>
      <c r="R59" s="3">
        <v>12665</v>
      </c>
      <c r="S59" s="3">
        <v>12660</v>
      </c>
      <c r="T59" s="3">
        <v>12305</v>
      </c>
      <c r="U59" s="3">
        <v>12300</v>
      </c>
      <c r="V59" s="3">
        <v>12775</v>
      </c>
      <c r="W59" s="3">
        <v>12780</v>
      </c>
      <c r="X59" s="3">
        <v>12645</v>
      </c>
      <c r="Y59" s="3">
        <v>12660</v>
      </c>
      <c r="Z59" s="3">
        <v>12725</v>
      </c>
      <c r="AA59" s="3">
        <v>12725</v>
      </c>
      <c r="AB59" s="3">
        <v>13300</v>
      </c>
      <c r="AC59" s="3">
        <v>13305</v>
      </c>
      <c r="AD59" s="3">
        <v>13265</v>
      </c>
      <c r="AE59" s="3">
        <v>13245</v>
      </c>
      <c r="AF59" s="3">
        <v>13810</v>
      </c>
      <c r="AG59" s="3">
        <v>13810</v>
      </c>
      <c r="AH59" s="3">
        <v>14240</v>
      </c>
      <c r="AI59" s="3">
        <v>14235</v>
      </c>
      <c r="AJ59" s="3">
        <v>13960</v>
      </c>
      <c r="AK59" s="3">
        <v>13975</v>
      </c>
      <c r="AL59" s="3">
        <v>13780</v>
      </c>
      <c r="AM59" s="3">
        <v>13770</v>
      </c>
      <c r="AN59" s="3">
        <v>13595</v>
      </c>
      <c r="AO59" s="3">
        <v>13645</v>
      </c>
      <c r="AP59" s="3">
        <v>13705</v>
      </c>
      <c r="AQ59" s="3">
        <v>13695</v>
      </c>
      <c r="AR59" s="4">
        <f t="shared" si="48"/>
        <v>1.8213356461405095E-2</v>
      </c>
      <c r="AS59" s="4">
        <f t="shared" si="20"/>
        <v>8.658008658009031E-4</v>
      </c>
      <c r="AT59" s="4">
        <f t="shared" si="21"/>
        <v>3.0809859154929509E-2</v>
      </c>
      <c r="AU59" s="4">
        <f t="shared" si="22"/>
        <v>1.4006791171477073E-2</v>
      </c>
      <c r="AV59" s="4">
        <f t="shared" si="23"/>
        <v>2.1385799828914642E-3</v>
      </c>
      <c r="AW59" s="4">
        <f t="shared" si="24"/>
        <v>1.4333895446880351E-2</v>
      </c>
      <c r="AX59" s="4">
        <f t="shared" si="25"/>
        <v>2.8064382996285664E-2</v>
      </c>
      <c r="AY59" s="4">
        <f t="shared" si="26"/>
        <v>1.0172143974960912E-2</v>
      </c>
      <c r="AZ59" s="4">
        <f t="shared" si="27"/>
        <v>9.1669988043046047E-3</v>
      </c>
      <c r="BA59" s="4">
        <f t="shared" si="28"/>
        <v>6.0606060606060996E-3</v>
      </c>
      <c r="BB59" s="4">
        <f t="shared" si="29"/>
        <v>3.607620591811922E-2</v>
      </c>
      <c r="BC59" s="4">
        <f t="shared" si="30"/>
        <v>1.9786307874951614E-3</v>
      </c>
      <c r="BD59" s="4">
        <f t="shared" si="31"/>
        <v>8.9563862928349058E-3</v>
      </c>
      <c r="BE59" s="4">
        <f t="shared" si="32"/>
        <v>2.6224450443501635E-2</v>
      </c>
      <c r="BF59" s="4">
        <f t="shared" si="33"/>
        <v>1.1841100076394273E-2</v>
      </c>
      <c r="BG59" s="4">
        <f t="shared" si="34"/>
        <v>3.5620547431570948E-2</v>
      </c>
      <c r="BH59" s="4">
        <f t="shared" si="35"/>
        <v>2.3364485981308469E-2</v>
      </c>
      <c r="BI59" s="4">
        <f t="shared" si="36"/>
        <v>7.2072072072071336E-3</v>
      </c>
      <c r="BJ59" s="4">
        <f t="shared" si="37"/>
        <v>3.6443148688045657E-3</v>
      </c>
      <c r="BK59" s="4">
        <f t="shared" si="38"/>
        <v>2.9229082937523021E-3</v>
      </c>
      <c r="BL59" s="4">
        <f t="shared" si="39"/>
        <v>1.7837235228539638E-2</v>
      </c>
      <c r="BM59" s="4">
        <f t="shared" si="49"/>
        <v>1.5092883509796136E-2</v>
      </c>
      <c r="BN59" s="14">
        <f t="shared" si="50"/>
        <v>13658.074747624307</v>
      </c>
      <c r="BO59" s="15">
        <f t="shared" si="51"/>
        <v>13123.887327231967</v>
      </c>
      <c r="BP59" s="16">
        <v>13705</v>
      </c>
      <c r="BQ59" s="16">
        <v>13715</v>
      </c>
      <c r="BR59" s="16">
        <v>13680</v>
      </c>
      <c r="BS59" s="16">
        <v>13695</v>
      </c>
      <c r="BT59" s="16">
        <v>92614</v>
      </c>
      <c r="BU59" s="15">
        <f t="shared" si="40"/>
        <v>13696.666666666666</v>
      </c>
      <c r="BV59" s="15">
        <f t="shared" si="41"/>
        <v>1268503086.6666665</v>
      </c>
      <c r="BW59" s="15">
        <f>SUM($BV$3:BV59)</f>
        <v>120982765580.00003</v>
      </c>
      <c r="BX59" s="15">
        <f>SUM($BT$3:BT59)</f>
        <v>8950482</v>
      </c>
      <c r="BY59" s="15">
        <f t="shared" si="42"/>
        <v>13516.899489882224</v>
      </c>
      <c r="BZ59" s="3">
        <v>57</v>
      </c>
      <c r="CA59" s="3">
        <f t="shared" si="43"/>
        <v>1</v>
      </c>
      <c r="CB59" s="3">
        <f t="shared" si="44"/>
        <v>0</v>
      </c>
      <c r="CC59" s="3">
        <f t="shared" si="45"/>
        <v>1</v>
      </c>
      <c r="CD59" s="3" t="str">
        <f t="shared" si="46"/>
        <v/>
      </c>
      <c r="CE59" s="3">
        <f t="shared" si="47"/>
        <v>0</v>
      </c>
    </row>
    <row r="60" spans="1:83" x14ac:dyDescent="0.3">
      <c r="A60" s="3" t="s">
        <v>100</v>
      </c>
      <c r="B60" s="3">
        <v>11745</v>
      </c>
      <c r="C60" s="3">
        <v>11745</v>
      </c>
      <c r="D60" s="3">
        <v>11545</v>
      </c>
      <c r="E60" s="3">
        <v>11535</v>
      </c>
      <c r="F60" s="3">
        <v>11705</v>
      </c>
      <c r="G60" s="3">
        <v>11715</v>
      </c>
      <c r="H60" s="3">
        <v>11615</v>
      </c>
      <c r="I60" s="3">
        <v>11620</v>
      </c>
      <c r="J60" s="3">
        <v>11715</v>
      </c>
      <c r="K60" s="3">
        <v>11725</v>
      </c>
      <c r="L60" s="3">
        <v>12030</v>
      </c>
      <c r="M60" s="3">
        <v>12035</v>
      </c>
      <c r="N60" s="3">
        <v>12455</v>
      </c>
      <c r="O60" s="3">
        <v>12465</v>
      </c>
      <c r="P60" s="3">
        <v>12655</v>
      </c>
      <c r="Q60" s="3">
        <v>12675</v>
      </c>
      <c r="R60" s="3">
        <v>12660</v>
      </c>
      <c r="S60" s="3">
        <v>12665</v>
      </c>
      <c r="T60" s="3">
        <v>12300</v>
      </c>
      <c r="U60" s="3">
        <v>12305</v>
      </c>
      <c r="V60" s="3">
        <v>12780</v>
      </c>
      <c r="W60" s="3">
        <v>12785</v>
      </c>
      <c r="X60" s="3">
        <v>12665</v>
      </c>
      <c r="Y60" s="3">
        <v>12665</v>
      </c>
      <c r="Z60" s="3">
        <v>12720</v>
      </c>
      <c r="AA60" s="3">
        <v>12715</v>
      </c>
      <c r="AB60" s="3">
        <v>13300</v>
      </c>
      <c r="AC60" s="3">
        <v>13290</v>
      </c>
      <c r="AD60" s="3">
        <v>13240</v>
      </c>
      <c r="AE60" s="3">
        <v>13245</v>
      </c>
      <c r="AF60" s="3">
        <v>13810</v>
      </c>
      <c r="AG60" s="3">
        <v>13800</v>
      </c>
      <c r="AH60" s="3">
        <v>14240</v>
      </c>
      <c r="AI60" s="3">
        <v>14225</v>
      </c>
      <c r="AJ60" s="3">
        <v>13975</v>
      </c>
      <c r="AK60" s="3">
        <v>13970</v>
      </c>
      <c r="AL60" s="3">
        <v>13770</v>
      </c>
      <c r="AM60" s="3">
        <v>13775</v>
      </c>
      <c r="AN60" s="3">
        <v>13650</v>
      </c>
      <c r="AO60" s="3">
        <v>13650</v>
      </c>
      <c r="AP60" s="3">
        <v>13695</v>
      </c>
      <c r="AQ60" s="3">
        <v>13710</v>
      </c>
      <c r="AR60" s="4">
        <f t="shared" si="48"/>
        <v>1.8647007805724147E-2</v>
      </c>
      <c r="AS60" s="4">
        <f t="shared" si="20"/>
        <v>1.2987012987012436E-3</v>
      </c>
      <c r="AT60" s="4">
        <f t="shared" si="21"/>
        <v>3.125E-2</v>
      </c>
      <c r="AU60" s="4">
        <f t="shared" si="22"/>
        <v>1.358234295415961E-2</v>
      </c>
      <c r="AV60" s="4">
        <f t="shared" si="23"/>
        <v>2.9940119760478723E-3</v>
      </c>
      <c r="AW60" s="4">
        <f t="shared" si="24"/>
        <v>1.4755480607082649E-2</v>
      </c>
      <c r="AX60" s="4">
        <f t="shared" si="25"/>
        <v>2.8889806025588216E-2</v>
      </c>
      <c r="AY60" s="4">
        <f t="shared" si="26"/>
        <v>8.215962441314506E-3</v>
      </c>
      <c r="AZ60" s="4">
        <f t="shared" si="27"/>
        <v>9.5655639697089789E-3</v>
      </c>
      <c r="BA60" s="4">
        <f t="shared" si="28"/>
        <v>5.656565656565693E-3</v>
      </c>
      <c r="BB60" s="4">
        <f t="shared" si="29"/>
        <v>3.6481556546412719E-2</v>
      </c>
      <c r="BC60" s="4">
        <f t="shared" si="30"/>
        <v>2.3743569449941049E-3</v>
      </c>
      <c r="BD60" s="4">
        <f t="shared" si="31"/>
        <v>9.7352024922118252E-3</v>
      </c>
      <c r="BE60" s="4">
        <f t="shared" si="32"/>
        <v>2.5067489394523745E-2</v>
      </c>
      <c r="BF60" s="4">
        <f t="shared" si="33"/>
        <v>1.1841100076394273E-2</v>
      </c>
      <c r="BG60" s="4">
        <f t="shared" si="34"/>
        <v>3.4870641169853833E-2</v>
      </c>
      <c r="BH60" s="4">
        <f t="shared" si="35"/>
        <v>2.2645578720345005E-2</v>
      </c>
      <c r="BI60" s="4">
        <f t="shared" si="36"/>
        <v>6.8468468468467769E-3</v>
      </c>
      <c r="BJ60" s="4">
        <f t="shared" si="37"/>
        <v>4.0087463556850444E-3</v>
      </c>
      <c r="BK60" s="4">
        <f t="shared" si="38"/>
        <v>2.5575447570332921E-3</v>
      </c>
      <c r="BL60" s="4">
        <f t="shared" si="39"/>
        <v>1.8952062430323213E-2</v>
      </c>
      <c r="BM60" s="4">
        <f t="shared" si="49"/>
        <v>1.4911211528391286E-2</v>
      </c>
      <c r="BN60" s="14">
        <f t="shared" si="50"/>
        <v>13655.630351114505</v>
      </c>
      <c r="BO60" s="15">
        <f t="shared" si="51"/>
        <v>13126.308106384187</v>
      </c>
      <c r="BP60" s="16">
        <v>13695</v>
      </c>
      <c r="BQ60" s="16">
        <v>13720</v>
      </c>
      <c r="BR60" s="16">
        <v>13695</v>
      </c>
      <c r="BS60" s="16">
        <v>13710</v>
      </c>
      <c r="BT60" s="16">
        <v>36264</v>
      </c>
      <c r="BU60" s="15">
        <f t="shared" si="40"/>
        <v>13708.333333333334</v>
      </c>
      <c r="BV60" s="15">
        <f t="shared" si="41"/>
        <v>497119000</v>
      </c>
      <c r="BW60" s="15">
        <f>SUM($BV$3:BV60)</f>
        <v>121479884580.00003</v>
      </c>
      <c r="BX60" s="15">
        <f>SUM($BT$3:BT60)</f>
        <v>8986746</v>
      </c>
      <c r="BY60" s="15">
        <f t="shared" si="42"/>
        <v>13517.671978266664</v>
      </c>
      <c r="BZ60" s="3">
        <v>58</v>
      </c>
      <c r="CA60" s="3">
        <f t="shared" si="43"/>
        <v>1</v>
      </c>
      <c r="CB60" s="3">
        <f t="shared" si="44"/>
        <v>0</v>
      </c>
      <c r="CC60" s="3">
        <f t="shared" si="45"/>
        <v>1</v>
      </c>
      <c r="CD60" s="3" t="str">
        <f t="shared" si="46"/>
        <v/>
      </c>
      <c r="CE60" s="3">
        <f t="shared" si="47"/>
        <v>0</v>
      </c>
    </row>
    <row r="61" spans="1:83" x14ac:dyDescent="0.3">
      <c r="A61" s="3" t="s">
        <v>101</v>
      </c>
      <c r="B61" s="3">
        <v>11750</v>
      </c>
      <c r="C61" s="3">
        <v>11745</v>
      </c>
      <c r="D61" s="3">
        <v>11540</v>
      </c>
      <c r="E61" s="3">
        <v>11535</v>
      </c>
      <c r="F61" s="3">
        <v>11715</v>
      </c>
      <c r="G61" s="3">
        <v>11720</v>
      </c>
      <c r="H61" s="3">
        <v>11620</v>
      </c>
      <c r="I61" s="3">
        <v>11645</v>
      </c>
      <c r="J61" s="3">
        <v>11725</v>
      </c>
      <c r="K61" s="3">
        <v>11735</v>
      </c>
      <c r="L61" s="3">
        <v>12040</v>
      </c>
      <c r="M61" s="3">
        <v>12020</v>
      </c>
      <c r="N61" s="3">
        <v>12470</v>
      </c>
      <c r="O61" s="3">
        <v>12470</v>
      </c>
      <c r="P61" s="3">
        <v>12680</v>
      </c>
      <c r="Q61" s="3">
        <v>12680</v>
      </c>
      <c r="R61" s="3">
        <v>12665</v>
      </c>
      <c r="S61" s="3">
        <v>12665</v>
      </c>
      <c r="T61" s="3">
        <v>12310</v>
      </c>
      <c r="U61" s="3">
        <v>12325</v>
      </c>
      <c r="V61" s="3">
        <v>12785</v>
      </c>
      <c r="W61" s="3">
        <v>12790</v>
      </c>
      <c r="X61" s="3">
        <v>12660</v>
      </c>
      <c r="Y61" s="3">
        <v>12640</v>
      </c>
      <c r="Z61" s="3">
        <v>12715</v>
      </c>
      <c r="AA61" s="3">
        <v>12705</v>
      </c>
      <c r="AB61" s="3">
        <v>13290</v>
      </c>
      <c r="AC61" s="3">
        <v>13280</v>
      </c>
      <c r="AD61" s="3">
        <v>13245</v>
      </c>
      <c r="AE61" s="3">
        <v>13225</v>
      </c>
      <c r="AF61" s="3">
        <v>13795</v>
      </c>
      <c r="AG61" s="3">
        <v>13800</v>
      </c>
      <c r="AH61" s="3">
        <v>14220</v>
      </c>
      <c r="AI61" s="3">
        <v>14230</v>
      </c>
      <c r="AJ61" s="3">
        <v>13970</v>
      </c>
      <c r="AK61" s="3">
        <v>13955</v>
      </c>
      <c r="AL61" s="3">
        <v>13775</v>
      </c>
      <c r="AM61" s="3">
        <v>13750</v>
      </c>
      <c r="AN61" s="3">
        <v>13655</v>
      </c>
      <c r="AO61" s="3">
        <v>13670</v>
      </c>
      <c r="AP61" s="3">
        <v>13710</v>
      </c>
      <c r="AQ61" s="3">
        <v>13670</v>
      </c>
      <c r="AR61" s="4">
        <f t="shared" si="48"/>
        <v>1.8647007805724147E-2</v>
      </c>
      <c r="AS61" s="4">
        <f t="shared" si="20"/>
        <v>1.2987012987012436E-3</v>
      </c>
      <c r="AT61" s="4">
        <f t="shared" si="21"/>
        <v>3.1690140845070491E-2</v>
      </c>
      <c r="AU61" s="4">
        <f t="shared" si="22"/>
        <v>1.1460101867572181E-2</v>
      </c>
      <c r="AV61" s="4">
        <f t="shared" si="23"/>
        <v>3.8494439692045024E-3</v>
      </c>
      <c r="AW61" s="4">
        <f t="shared" si="24"/>
        <v>1.3490725126475533E-2</v>
      </c>
      <c r="AX61" s="4">
        <f t="shared" si="25"/>
        <v>2.930251754023927E-2</v>
      </c>
      <c r="AY61" s="4">
        <f t="shared" si="26"/>
        <v>7.8247261345852914E-3</v>
      </c>
      <c r="AZ61" s="4">
        <f t="shared" si="27"/>
        <v>9.5655639697089789E-3</v>
      </c>
      <c r="BA61" s="4">
        <f t="shared" si="28"/>
        <v>4.0404040404040664E-3</v>
      </c>
      <c r="BB61" s="4">
        <f t="shared" si="29"/>
        <v>3.6886907174706218E-2</v>
      </c>
      <c r="BC61" s="4">
        <f t="shared" si="30"/>
        <v>3.9572615749894346E-4</v>
      </c>
      <c r="BD61" s="4">
        <f t="shared" si="31"/>
        <v>1.0514018691588745E-2</v>
      </c>
      <c r="BE61" s="4">
        <f t="shared" si="32"/>
        <v>2.4296182028538338E-2</v>
      </c>
      <c r="BF61" s="4">
        <f t="shared" si="33"/>
        <v>1.0313216195569241E-2</v>
      </c>
      <c r="BG61" s="4">
        <f t="shared" si="34"/>
        <v>3.4870641169853833E-2</v>
      </c>
      <c r="BH61" s="4">
        <f t="shared" si="35"/>
        <v>2.3005032350826848E-2</v>
      </c>
      <c r="BI61" s="4">
        <f t="shared" si="36"/>
        <v>5.7657657657657069E-3</v>
      </c>
      <c r="BJ61" s="4">
        <f t="shared" si="37"/>
        <v>2.1865889212828726E-3</v>
      </c>
      <c r="BK61" s="4">
        <f t="shared" si="38"/>
        <v>1.096090610157141E-3</v>
      </c>
      <c r="BL61" s="4">
        <f t="shared" si="39"/>
        <v>1.5979189892233459E-2</v>
      </c>
      <c r="BM61" s="4">
        <f t="shared" si="49"/>
        <v>1.4290241482194679E-2</v>
      </c>
      <c r="BN61" s="14">
        <f t="shared" si="50"/>
        <v>13647.275199142929</v>
      </c>
      <c r="BO61" s="15">
        <f t="shared" si="51"/>
        <v>13134.582532249755</v>
      </c>
      <c r="BP61" s="16">
        <v>13710</v>
      </c>
      <c r="BQ61" s="16">
        <v>13720</v>
      </c>
      <c r="BR61" s="16">
        <v>13670</v>
      </c>
      <c r="BS61" s="16">
        <v>13670</v>
      </c>
      <c r="BT61" s="16">
        <v>74607</v>
      </c>
      <c r="BU61" s="15">
        <f t="shared" si="40"/>
        <v>13686.666666666666</v>
      </c>
      <c r="BV61" s="15">
        <f t="shared" si="41"/>
        <v>1021121140</v>
      </c>
      <c r="BW61" s="15">
        <f>SUM($BV$3:BV61)</f>
        <v>122501005720.00003</v>
      </c>
      <c r="BX61" s="15">
        <f>SUM($BT$3:BT61)</f>
        <v>9061353</v>
      </c>
      <c r="BY61" s="15">
        <f t="shared" si="42"/>
        <v>13519.063402562513</v>
      </c>
      <c r="BZ61" s="3">
        <v>59</v>
      </c>
      <c r="CA61" s="3">
        <f t="shared" si="43"/>
        <v>1</v>
      </c>
      <c r="CB61" s="3">
        <f t="shared" si="44"/>
        <v>0</v>
      </c>
      <c r="CC61" s="3">
        <f t="shared" si="45"/>
        <v>1</v>
      </c>
      <c r="CD61" s="3" t="str">
        <f t="shared" si="46"/>
        <v/>
      </c>
      <c r="CE61" s="3">
        <f t="shared" si="47"/>
        <v>0</v>
      </c>
    </row>
    <row r="62" spans="1:83" x14ac:dyDescent="0.3">
      <c r="A62" s="3" t="s">
        <v>102</v>
      </c>
      <c r="B62" s="3">
        <v>11745</v>
      </c>
      <c r="C62" s="3">
        <v>11750</v>
      </c>
      <c r="D62" s="3">
        <v>11535</v>
      </c>
      <c r="E62" s="3">
        <v>11525</v>
      </c>
      <c r="F62" s="3">
        <v>11720</v>
      </c>
      <c r="G62" s="3">
        <v>11725</v>
      </c>
      <c r="H62" s="3">
        <v>11645</v>
      </c>
      <c r="I62" s="3">
        <v>11650</v>
      </c>
      <c r="J62" s="3">
        <v>11735</v>
      </c>
      <c r="K62" s="3">
        <v>11735</v>
      </c>
      <c r="L62" s="3">
        <v>12020</v>
      </c>
      <c r="M62" s="3">
        <v>12025</v>
      </c>
      <c r="N62" s="3">
        <v>12470</v>
      </c>
      <c r="O62" s="3">
        <v>12475</v>
      </c>
      <c r="P62" s="3">
        <v>12680</v>
      </c>
      <c r="Q62" s="3">
        <v>12685</v>
      </c>
      <c r="R62" s="3">
        <v>12665</v>
      </c>
      <c r="S62" s="3">
        <v>12670</v>
      </c>
      <c r="T62" s="3">
        <v>12325</v>
      </c>
      <c r="U62" s="3">
        <v>12320</v>
      </c>
      <c r="V62" s="3">
        <v>12790</v>
      </c>
      <c r="W62" s="3">
        <v>12790</v>
      </c>
      <c r="X62" s="3">
        <v>12640</v>
      </c>
      <c r="Y62" s="3">
        <v>12650</v>
      </c>
      <c r="Z62" s="3">
        <v>12700</v>
      </c>
      <c r="AA62" s="3">
        <v>12700</v>
      </c>
      <c r="AB62" s="3">
        <v>13285</v>
      </c>
      <c r="AC62" s="3">
        <v>13270</v>
      </c>
      <c r="AD62" s="3">
        <v>13230</v>
      </c>
      <c r="AE62" s="3">
        <v>13220</v>
      </c>
      <c r="AF62" s="3">
        <v>13800</v>
      </c>
      <c r="AG62" s="3">
        <v>13795</v>
      </c>
      <c r="AH62" s="3">
        <v>14235</v>
      </c>
      <c r="AI62" s="3">
        <v>14215</v>
      </c>
      <c r="AJ62" s="3">
        <v>13955</v>
      </c>
      <c r="AK62" s="3">
        <v>13980</v>
      </c>
      <c r="AL62" s="3">
        <v>13750</v>
      </c>
      <c r="AM62" s="3">
        <v>13745</v>
      </c>
      <c r="AN62" s="3">
        <v>13670</v>
      </c>
      <c r="AO62" s="3">
        <v>13660</v>
      </c>
      <c r="AP62" s="3">
        <v>13675</v>
      </c>
      <c r="AQ62" s="3">
        <v>13680</v>
      </c>
      <c r="AR62" s="4">
        <f t="shared" si="48"/>
        <v>1.9080659150043422E-2</v>
      </c>
      <c r="AS62" s="4">
        <f t="shared" si="20"/>
        <v>2.1645021645021467E-3</v>
      </c>
      <c r="AT62" s="4">
        <f t="shared" si="21"/>
        <v>3.2130281690140761E-2</v>
      </c>
      <c r="AU62" s="4">
        <f t="shared" si="22"/>
        <v>1.1035653650254718E-2</v>
      </c>
      <c r="AV62" s="4">
        <f t="shared" si="23"/>
        <v>3.8494439692045024E-3</v>
      </c>
      <c r="AW62" s="4">
        <f t="shared" si="24"/>
        <v>1.3912310286677831E-2</v>
      </c>
      <c r="AX62" s="4">
        <f t="shared" si="25"/>
        <v>2.9715229054890546E-2</v>
      </c>
      <c r="AY62" s="4">
        <f t="shared" si="26"/>
        <v>7.4334898278560768E-3</v>
      </c>
      <c r="AZ62" s="4">
        <f t="shared" si="27"/>
        <v>9.9641291351135752E-3</v>
      </c>
      <c r="BA62" s="4">
        <f t="shared" si="28"/>
        <v>4.4444444444444731E-3</v>
      </c>
      <c r="BB62" s="4">
        <f t="shared" si="29"/>
        <v>3.6886907174706218E-2</v>
      </c>
      <c r="BC62" s="4">
        <f t="shared" si="30"/>
        <v>1.1871784724970524E-3</v>
      </c>
      <c r="BD62" s="4">
        <f t="shared" si="31"/>
        <v>1.0903426791277204E-2</v>
      </c>
      <c r="BE62" s="4">
        <f t="shared" si="32"/>
        <v>2.352487466255293E-2</v>
      </c>
      <c r="BF62" s="4">
        <f t="shared" si="33"/>
        <v>9.931245225362817E-3</v>
      </c>
      <c r="BG62" s="4">
        <f t="shared" si="34"/>
        <v>3.4495688038995054E-2</v>
      </c>
      <c r="BH62" s="4">
        <f t="shared" si="35"/>
        <v>2.1926671459381764E-2</v>
      </c>
      <c r="BI62" s="4">
        <f t="shared" si="36"/>
        <v>7.5675675675674903E-3</v>
      </c>
      <c r="BJ62" s="4">
        <f t="shared" si="37"/>
        <v>1.8221574344023939E-3</v>
      </c>
      <c r="BK62" s="4">
        <f t="shared" si="38"/>
        <v>1.8268176835951611E-3</v>
      </c>
      <c r="BL62" s="4">
        <f t="shared" si="39"/>
        <v>1.6722408026755842E-2</v>
      </c>
      <c r="BM62" s="4">
        <f t="shared" si="49"/>
        <v>1.4402130498045911E-2</v>
      </c>
      <c r="BN62" s="14">
        <f t="shared" si="50"/>
        <v>13648.780665851209</v>
      </c>
      <c r="BO62" s="15">
        <f t="shared" si="51"/>
        <v>13133.091611113538</v>
      </c>
      <c r="BP62" s="16">
        <v>13675</v>
      </c>
      <c r="BQ62" s="16">
        <v>13695</v>
      </c>
      <c r="BR62" s="16">
        <v>13675</v>
      </c>
      <c r="BS62" s="16">
        <v>13680</v>
      </c>
      <c r="BT62" s="16">
        <v>43621</v>
      </c>
      <c r="BU62" s="15">
        <f t="shared" si="40"/>
        <v>13683.333333333334</v>
      </c>
      <c r="BV62" s="15">
        <f t="shared" si="41"/>
        <v>596880683.33333337</v>
      </c>
      <c r="BW62" s="15">
        <f>SUM($BV$3:BV62)</f>
        <v>123097886403.33336</v>
      </c>
      <c r="BX62" s="15">
        <f>SUM($BT$3:BT62)</f>
        <v>9104974</v>
      </c>
      <c r="BY62" s="15">
        <f t="shared" si="42"/>
        <v>13519.85040301415</v>
      </c>
      <c r="BZ62" s="3">
        <v>60</v>
      </c>
      <c r="CA62" s="3">
        <f t="shared" si="43"/>
        <v>1</v>
      </c>
      <c r="CB62" s="3">
        <f t="shared" si="44"/>
        <v>0</v>
      </c>
      <c r="CC62" s="3">
        <f t="shared" si="45"/>
        <v>1</v>
      </c>
      <c r="CD62" s="6">
        <f t="shared" si="46"/>
        <v>1</v>
      </c>
      <c r="CE62" s="6">
        <f t="shared" si="47"/>
        <v>1</v>
      </c>
    </row>
    <row r="63" spans="1:83" x14ac:dyDescent="0.3">
      <c r="A63" s="3" t="s">
        <v>103</v>
      </c>
      <c r="B63" s="3">
        <v>11750</v>
      </c>
      <c r="C63" s="3">
        <v>11775</v>
      </c>
      <c r="D63" s="3">
        <v>11530</v>
      </c>
      <c r="E63" s="3">
        <v>11525</v>
      </c>
      <c r="F63" s="3">
        <v>11730</v>
      </c>
      <c r="G63" s="3">
        <v>11715</v>
      </c>
      <c r="H63" s="3">
        <v>11650</v>
      </c>
      <c r="I63" s="3">
        <v>11625</v>
      </c>
      <c r="J63" s="3">
        <v>11740</v>
      </c>
      <c r="K63" s="3">
        <v>11750</v>
      </c>
      <c r="L63" s="3">
        <v>12025</v>
      </c>
      <c r="M63" s="3">
        <v>12020</v>
      </c>
      <c r="N63" s="3">
        <v>12480</v>
      </c>
      <c r="O63" s="3">
        <v>12485</v>
      </c>
      <c r="P63" s="3">
        <v>12685</v>
      </c>
      <c r="Q63" s="3">
        <v>12670</v>
      </c>
      <c r="R63" s="3">
        <v>12675</v>
      </c>
      <c r="S63" s="3">
        <v>12665</v>
      </c>
      <c r="T63" s="3">
        <v>12320</v>
      </c>
      <c r="U63" s="3">
        <v>12340</v>
      </c>
      <c r="V63" s="3">
        <v>12790</v>
      </c>
      <c r="W63" s="3">
        <v>12795</v>
      </c>
      <c r="X63" s="3">
        <v>12650</v>
      </c>
      <c r="Y63" s="3">
        <v>12645</v>
      </c>
      <c r="Z63" s="3">
        <v>12700</v>
      </c>
      <c r="AA63" s="3">
        <v>12690</v>
      </c>
      <c r="AB63" s="3">
        <v>13265</v>
      </c>
      <c r="AC63" s="3">
        <v>13295</v>
      </c>
      <c r="AD63" s="3">
        <v>13215</v>
      </c>
      <c r="AE63" s="3">
        <v>13215</v>
      </c>
      <c r="AF63" s="3">
        <v>13795</v>
      </c>
      <c r="AG63" s="3">
        <v>13825</v>
      </c>
      <c r="AH63" s="3">
        <v>14215</v>
      </c>
      <c r="AI63" s="3">
        <v>14240</v>
      </c>
      <c r="AJ63" s="3">
        <v>13975</v>
      </c>
      <c r="AK63" s="3">
        <v>13975</v>
      </c>
      <c r="AL63" s="3">
        <v>13745</v>
      </c>
      <c r="AM63" s="3">
        <v>13755</v>
      </c>
      <c r="AN63" s="3">
        <v>13670</v>
      </c>
      <c r="AO63" s="3">
        <v>13660</v>
      </c>
      <c r="AP63" s="3">
        <v>13680</v>
      </c>
      <c r="AQ63" s="3">
        <v>13675</v>
      </c>
      <c r="AR63" s="4">
        <f t="shared" si="48"/>
        <v>2.1248915871639129E-2</v>
      </c>
      <c r="AS63" s="4">
        <f t="shared" si="20"/>
        <v>2.1645021645021467E-3</v>
      </c>
      <c r="AT63" s="4">
        <f t="shared" si="21"/>
        <v>3.125E-2</v>
      </c>
      <c r="AU63" s="4">
        <f t="shared" si="22"/>
        <v>1.3157894736842146E-2</v>
      </c>
      <c r="AV63" s="4">
        <f t="shared" si="23"/>
        <v>5.1325919589393365E-3</v>
      </c>
      <c r="AW63" s="4">
        <f t="shared" si="24"/>
        <v>1.3490725126475533E-2</v>
      </c>
      <c r="AX63" s="4">
        <f t="shared" si="25"/>
        <v>3.0540652084193098E-2</v>
      </c>
      <c r="AY63" s="4">
        <f t="shared" si="26"/>
        <v>8.6071987480438317E-3</v>
      </c>
      <c r="AZ63" s="4">
        <f t="shared" si="27"/>
        <v>9.5655639697089789E-3</v>
      </c>
      <c r="BA63" s="4">
        <f t="shared" si="28"/>
        <v>2.8282828282828465E-3</v>
      </c>
      <c r="BB63" s="4">
        <f t="shared" si="29"/>
        <v>3.7292257802999496E-2</v>
      </c>
      <c r="BC63" s="4">
        <f t="shared" si="30"/>
        <v>7.9145231499810897E-4</v>
      </c>
      <c r="BD63" s="4">
        <f t="shared" si="31"/>
        <v>1.1682242990654235E-2</v>
      </c>
      <c r="BE63" s="4">
        <f t="shared" si="32"/>
        <v>2.5453143077516449E-2</v>
      </c>
      <c r="BF63" s="4">
        <f t="shared" si="33"/>
        <v>9.5492742551566145E-3</v>
      </c>
      <c r="BG63" s="4">
        <f t="shared" si="34"/>
        <v>3.6745406824147064E-2</v>
      </c>
      <c r="BH63" s="4">
        <f t="shared" si="35"/>
        <v>2.372393961179009E-2</v>
      </c>
      <c r="BI63" s="4">
        <f t="shared" si="36"/>
        <v>7.2072072072071336E-3</v>
      </c>
      <c r="BJ63" s="4">
        <f t="shared" si="37"/>
        <v>2.5510204081633514E-3</v>
      </c>
      <c r="BK63" s="4">
        <f t="shared" si="38"/>
        <v>1.8268176835951611E-3</v>
      </c>
      <c r="BL63" s="4">
        <f t="shared" si="39"/>
        <v>1.635079895949465E-2</v>
      </c>
      <c r="BM63" s="4">
        <f t="shared" si="49"/>
        <v>1.4883175700461175E-2</v>
      </c>
      <c r="BN63" s="14">
        <f t="shared" si="50"/>
        <v>13655.253129049706</v>
      </c>
      <c r="BO63" s="15">
        <f t="shared" si="51"/>
        <v>13126.681683791356</v>
      </c>
      <c r="BP63" s="16">
        <v>13680</v>
      </c>
      <c r="BQ63" s="16">
        <v>13710</v>
      </c>
      <c r="BR63" s="16">
        <v>13665</v>
      </c>
      <c r="BS63" s="16">
        <v>13675</v>
      </c>
      <c r="BT63" s="16">
        <v>69996</v>
      </c>
      <c r="BU63" s="15">
        <f t="shared" si="40"/>
        <v>13683.333333333334</v>
      </c>
      <c r="BV63" s="15">
        <f t="shared" si="41"/>
        <v>957778600</v>
      </c>
      <c r="BW63" s="15">
        <f>SUM($BV$3:BV63)</f>
        <v>124055665003.33336</v>
      </c>
      <c r="BX63" s="15">
        <f>SUM($BT$3:BT63)</f>
        <v>9174970</v>
      </c>
      <c r="BY63" s="15">
        <f t="shared" si="42"/>
        <v>13521.097617031266</v>
      </c>
      <c r="BZ63" s="3">
        <v>61</v>
      </c>
      <c r="CA63" s="3">
        <f t="shared" si="43"/>
        <v>1</v>
      </c>
      <c r="CB63" s="3">
        <f t="shared" si="44"/>
        <v>0</v>
      </c>
      <c r="CC63" s="3">
        <f t="shared" si="45"/>
        <v>1</v>
      </c>
      <c r="CD63" s="6" t="str">
        <f t="shared" si="46"/>
        <v/>
      </c>
      <c r="CE63" s="6">
        <f t="shared" si="47"/>
        <v>1</v>
      </c>
    </row>
    <row r="64" spans="1:83" x14ac:dyDescent="0.3">
      <c r="A64" s="3" t="s">
        <v>104</v>
      </c>
      <c r="B64" s="3">
        <v>11775</v>
      </c>
      <c r="C64" s="3">
        <v>11775</v>
      </c>
      <c r="D64" s="3">
        <v>11530</v>
      </c>
      <c r="E64" s="3">
        <v>11525</v>
      </c>
      <c r="F64" s="3">
        <v>11725</v>
      </c>
      <c r="G64" s="3">
        <v>11720</v>
      </c>
      <c r="H64" s="3">
        <v>11625</v>
      </c>
      <c r="I64" s="3">
        <v>11625</v>
      </c>
      <c r="J64" s="3">
        <v>11750</v>
      </c>
      <c r="K64" s="3">
        <v>11735</v>
      </c>
      <c r="L64" s="3">
        <v>12015</v>
      </c>
      <c r="M64" s="3">
        <v>12030</v>
      </c>
      <c r="N64" s="3">
        <v>12490</v>
      </c>
      <c r="O64" s="3">
        <v>12490</v>
      </c>
      <c r="P64" s="3">
        <v>12670</v>
      </c>
      <c r="Q64" s="3">
        <v>12685</v>
      </c>
      <c r="R64" s="3">
        <v>12665</v>
      </c>
      <c r="S64" s="3">
        <v>12655</v>
      </c>
      <c r="T64" s="3">
        <v>12340</v>
      </c>
      <c r="U64" s="3">
        <v>12350</v>
      </c>
      <c r="V64" s="3">
        <v>12795</v>
      </c>
      <c r="W64" s="3">
        <v>12805</v>
      </c>
      <c r="X64" s="3">
        <v>12650</v>
      </c>
      <c r="Y64" s="3">
        <v>12665</v>
      </c>
      <c r="Z64" s="3">
        <v>12695</v>
      </c>
      <c r="AA64" s="3">
        <v>12670</v>
      </c>
      <c r="AB64" s="3">
        <v>13295</v>
      </c>
      <c r="AC64" s="3">
        <v>13300</v>
      </c>
      <c r="AD64" s="3">
        <v>13220</v>
      </c>
      <c r="AE64" s="3">
        <v>13220</v>
      </c>
      <c r="AF64" s="3">
        <v>13825</v>
      </c>
      <c r="AG64" s="3">
        <v>13875</v>
      </c>
      <c r="AH64" s="3">
        <v>14235</v>
      </c>
      <c r="AI64" s="3">
        <v>14220</v>
      </c>
      <c r="AJ64" s="3">
        <v>13970</v>
      </c>
      <c r="AK64" s="3">
        <v>13905</v>
      </c>
      <c r="AL64" s="3">
        <v>13755</v>
      </c>
      <c r="AM64" s="3">
        <v>13710</v>
      </c>
      <c r="AN64" s="3">
        <v>13660</v>
      </c>
      <c r="AO64" s="3">
        <v>13645</v>
      </c>
      <c r="AP64" s="3">
        <v>13680</v>
      </c>
      <c r="AQ64" s="3">
        <v>13685</v>
      </c>
      <c r="AR64" s="4">
        <f t="shared" si="48"/>
        <v>2.1248915871639129E-2</v>
      </c>
      <c r="AS64" s="4">
        <f t="shared" si="20"/>
        <v>2.1645021645021467E-3</v>
      </c>
      <c r="AT64" s="4">
        <f t="shared" si="21"/>
        <v>3.1690140845070491E-2</v>
      </c>
      <c r="AU64" s="4">
        <f t="shared" si="22"/>
        <v>1.3157894736842146E-2</v>
      </c>
      <c r="AV64" s="4">
        <f t="shared" si="23"/>
        <v>3.8494439692045024E-3</v>
      </c>
      <c r="AW64" s="4">
        <f t="shared" si="24"/>
        <v>1.4333895446880351E-2</v>
      </c>
      <c r="AX64" s="4">
        <f t="shared" si="25"/>
        <v>3.0953363598844374E-2</v>
      </c>
      <c r="AY64" s="4">
        <f t="shared" si="26"/>
        <v>7.4334898278560768E-3</v>
      </c>
      <c r="AZ64" s="4">
        <f t="shared" si="27"/>
        <v>8.7684336389000084E-3</v>
      </c>
      <c r="BA64" s="4">
        <f t="shared" si="28"/>
        <v>2.0202020202020332E-3</v>
      </c>
      <c r="BB64" s="4">
        <f t="shared" si="29"/>
        <v>3.8102959059586494E-2</v>
      </c>
      <c r="BC64" s="4">
        <f t="shared" si="30"/>
        <v>2.3743569449941049E-3</v>
      </c>
      <c r="BD64" s="4">
        <f t="shared" si="31"/>
        <v>1.3239875389408073E-2</v>
      </c>
      <c r="BE64" s="4">
        <f t="shared" si="32"/>
        <v>2.5838796760509153E-2</v>
      </c>
      <c r="BF64" s="4">
        <f t="shared" si="33"/>
        <v>9.931245225362817E-3</v>
      </c>
      <c r="BG64" s="4">
        <f t="shared" si="34"/>
        <v>4.0494938132733305E-2</v>
      </c>
      <c r="BH64" s="4">
        <f t="shared" si="35"/>
        <v>2.2286125089863384E-2</v>
      </c>
      <c r="BI64" s="4">
        <f t="shared" si="36"/>
        <v>2.1621621621621401E-3</v>
      </c>
      <c r="BJ64" s="4">
        <f t="shared" si="37"/>
        <v>7.2886297376095754E-4</v>
      </c>
      <c r="BK64" s="4">
        <f t="shared" si="38"/>
        <v>2.9229082937523021E-3</v>
      </c>
      <c r="BL64" s="4">
        <f t="shared" si="39"/>
        <v>1.7094017094017033E-2</v>
      </c>
      <c r="BM64" s="4">
        <f t="shared" si="49"/>
        <v>1.480412279413823E-2</v>
      </c>
      <c r="BN64" s="14">
        <f t="shared" si="50"/>
        <v>13654.18947219513</v>
      </c>
      <c r="BO64" s="15">
        <f t="shared" si="51"/>
        <v>13127.735063768108</v>
      </c>
      <c r="BP64" s="16">
        <v>13680</v>
      </c>
      <c r="BQ64" s="16">
        <v>13690</v>
      </c>
      <c r="BR64" s="16">
        <v>13670</v>
      </c>
      <c r="BS64" s="16">
        <v>13685</v>
      </c>
      <c r="BT64" s="16">
        <v>31931</v>
      </c>
      <c r="BU64" s="15">
        <f t="shared" si="40"/>
        <v>13681.666666666666</v>
      </c>
      <c r="BV64" s="15">
        <f t="shared" si="41"/>
        <v>436869298.33333331</v>
      </c>
      <c r="BW64" s="15">
        <f>SUM($BV$3:BV64)</f>
        <v>124492534301.66669</v>
      </c>
      <c r="BX64" s="15">
        <f>SUM($BT$3:BT64)</f>
        <v>9206901</v>
      </c>
      <c r="BY64" s="15">
        <f t="shared" si="42"/>
        <v>13521.654496085783</v>
      </c>
      <c r="BZ64" s="3">
        <v>62</v>
      </c>
      <c r="CA64" s="3">
        <f t="shared" si="43"/>
        <v>1</v>
      </c>
      <c r="CB64" s="3">
        <f t="shared" si="44"/>
        <v>0</v>
      </c>
      <c r="CC64" s="3">
        <f t="shared" si="45"/>
        <v>1</v>
      </c>
      <c r="CD64" s="6" t="str">
        <f t="shared" si="46"/>
        <v/>
      </c>
      <c r="CE64" s="6">
        <f t="shared" si="47"/>
        <v>1</v>
      </c>
    </row>
    <row r="65" spans="1:83" x14ac:dyDescent="0.3">
      <c r="A65" s="3" t="s">
        <v>105</v>
      </c>
      <c r="B65" s="3">
        <v>11770</v>
      </c>
      <c r="C65" s="3">
        <v>11760</v>
      </c>
      <c r="D65" s="3">
        <v>11525</v>
      </c>
      <c r="E65" s="3">
        <v>11530</v>
      </c>
      <c r="F65" s="3">
        <v>11725</v>
      </c>
      <c r="G65" s="3">
        <v>11735</v>
      </c>
      <c r="H65" s="3">
        <v>11620</v>
      </c>
      <c r="I65" s="3">
        <v>11620</v>
      </c>
      <c r="J65" s="3">
        <v>11735</v>
      </c>
      <c r="K65" s="3">
        <v>11720</v>
      </c>
      <c r="L65" s="3">
        <v>12030</v>
      </c>
      <c r="M65" s="3">
        <v>12035</v>
      </c>
      <c r="N65" s="3">
        <v>12490</v>
      </c>
      <c r="O65" s="3">
        <v>12480</v>
      </c>
      <c r="P65" s="3">
        <v>12685</v>
      </c>
      <c r="Q65" s="3">
        <v>12700</v>
      </c>
      <c r="R65" s="3">
        <v>12655</v>
      </c>
      <c r="S65" s="3">
        <v>12650</v>
      </c>
      <c r="T65" s="3">
        <v>12350</v>
      </c>
      <c r="U65" s="3">
        <v>12350</v>
      </c>
      <c r="V65" s="3">
        <v>12805</v>
      </c>
      <c r="W65" s="3">
        <v>12805</v>
      </c>
      <c r="X65" s="3">
        <v>12665</v>
      </c>
      <c r="Y65" s="3">
        <v>12675</v>
      </c>
      <c r="Z65" s="3">
        <v>12670</v>
      </c>
      <c r="AA65" s="3">
        <v>12655</v>
      </c>
      <c r="AB65" s="3">
        <v>13305</v>
      </c>
      <c r="AC65" s="3">
        <v>13305</v>
      </c>
      <c r="AD65" s="3">
        <v>13225</v>
      </c>
      <c r="AE65" s="3">
        <v>13215</v>
      </c>
      <c r="AF65" s="3">
        <v>13875</v>
      </c>
      <c r="AG65" s="3">
        <v>13875</v>
      </c>
      <c r="AH65" s="3">
        <v>14230</v>
      </c>
      <c r="AI65" s="3">
        <v>14195</v>
      </c>
      <c r="AJ65" s="3">
        <v>13905</v>
      </c>
      <c r="AK65" s="3">
        <v>13940</v>
      </c>
      <c r="AL65" s="3">
        <v>13720</v>
      </c>
      <c r="AM65" s="3">
        <v>13725</v>
      </c>
      <c r="AN65" s="3">
        <v>13645</v>
      </c>
      <c r="AO65" s="3">
        <v>13650</v>
      </c>
      <c r="AP65" s="3">
        <v>13690</v>
      </c>
      <c r="AQ65" s="3">
        <v>13685</v>
      </c>
      <c r="AR65" s="4">
        <f t="shared" si="48"/>
        <v>1.9947961838681749E-2</v>
      </c>
      <c r="AS65" s="4">
        <f t="shared" si="20"/>
        <v>1.7316017316016952E-3</v>
      </c>
      <c r="AT65" s="4">
        <f t="shared" si="21"/>
        <v>3.3010563380281743E-2</v>
      </c>
      <c r="AU65" s="4">
        <f t="shared" si="22"/>
        <v>1.358234295415961E-2</v>
      </c>
      <c r="AV65" s="4">
        <f t="shared" si="23"/>
        <v>2.5662959794696683E-3</v>
      </c>
      <c r="AW65" s="4">
        <f t="shared" si="24"/>
        <v>1.4755480607082649E-2</v>
      </c>
      <c r="AX65" s="4">
        <f t="shared" si="25"/>
        <v>3.0127940569541822E-2</v>
      </c>
      <c r="AY65" s="4">
        <f t="shared" si="26"/>
        <v>6.2597809076682109E-3</v>
      </c>
      <c r="AZ65" s="4">
        <f t="shared" si="27"/>
        <v>8.3698684734954121E-3</v>
      </c>
      <c r="BA65" s="4">
        <f t="shared" si="28"/>
        <v>2.0202020202020332E-3</v>
      </c>
      <c r="BB65" s="4">
        <f t="shared" si="29"/>
        <v>3.8102959059586494E-2</v>
      </c>
      <c r="BC65" s="4">
        <f t="shared" si="30"/>
        <v>3.1658092599919918E-3</v>
      </c>
      <c r="BD65" s="4">
        <f t="shared" si="31"/>
        <v>1.4408099688473563E-2</v>
      </c>
      <c r="BE65" s="4">
        <f t="shared" si="32"/>
        <v>2.6224450443501635E-2</v>
      </c>
      <c r="BF65" s="4">
        <f t="shared" si="33"/>
        <v>9.5492742551566145E-3</v>
      </c>
      <c r="BG65" s="4">
        <f t="shared" si="34"/>
        <v>4.0494938132733305E-2</v>
      </c>
      <c r="BH65" s="4">
        <f t="shared" si="35"/>
        <v>2.0488856937455058E-2</v>
      </c>
      <c r="BI65" s="4">
        <f t="shared" si="36"/>
        <v>4.6846846846846368E-3</v>
      </c>
      <c r="BJ65" s="4">
        <f t="shared" si="37"/>
        <v>3.6443148688047877E-4</v>
      </c>
      <c r="BK65" s="4">
        <f t="shared" si="38"/>
        <v>2.5575447570332921E-3</v>
      </c>
      <c r="BL65" s="4">
        <f t="shared" si="39"/>
        <v>1.7094017094017033E-2</v>
      </c>
      <c r="BM65" s="4">
        <f t="shared" si="49"/>
        <v>1.4772774334028895E-2</v>
      </c>
      <c r="BN65" s="14">
        <f t="shared" si="50"/>
        <v>13653.767678664359</v>
      </c>
      <c r="BO65" s="15">
        <f t="shared" si="51"/>
        <v>13128.152781999064</v>
      </c>
      <c r="BP65" s="16">
        <v>13690</v>
      </c>
      <c r="BQ65" s="16">
        <v>13705</v>
      </c>
      <c r="BR65" s="16">
        <v>13685</v>
      </c>
      <c r="BS65" s="16">
        <v>13685</v>
      </c>
      <c r="BT65" s="16">
        <v>41580</v>
      </c>
      <c r="BU65" s="15">
        <f t="shared" si="40"/>
        <v>13691.666666666666</v>
      </c>
      <c r="BV65" s="15">
        <f t="shared" si="41"/>
        <v>569299500</v>
      </c>
      <c r="BW65" s="15">
        <f>SUM($BV$3:BV65)</f>
        <v>125061833801.66669</v>
      </c>
      <c r="BX65" s="15">
        <f>SUM($BT$3:BT65)</f>
        <v>9248481</v>
      </c>
      <c r="BY65" s="15">
        <f t="shared" si="42"/>
        <v>13522.418849286352</v>
      </c>
      <c r="BZ65" s="3">
        <v>63</v>
      </c>
      <c r="CA65" s="3">
        <f t="shared" si="43"/>
        <v>1</v>
      </c>
      <c r="CB65" s="3">
        <f t="shared" si="44"/>
        <v>0</v>
      </c>
      <c r="CC65" s="3">
        <f t="shared" si="45"/>
        <v>1</v>
      </c>
      <c r="CD65" s="6" t="str">
        <f t="shared" si="46"/>
        <v/>
      </c>
      <c r="CE65" s="6">
        <f t="shared" si="47"/>
        <v>1</v>
      </c>
    </row>
    <row r="66" spans="1:83" x14ac:dyDescent="0.3">
      <c r="A66" s="3" t="s">
        <v>106</v>
      </c>
      <c r="B66" s="3">
        <v>11760</v>
      </c>
      <c r="C66" s="3">
        <v>11765</v>
      </c>
      <c r="D66" s="3">
        <v>11530</v>
      </c>
      <c r="E66" s="3">
        <v>11540</v>
      </c>
      <c r="F66" s="3">
        <v>11740</v>
      </c>
      <c r="G66" s="3">
        <v>11765</v>
      </c>
      <c r="H66" s="3">
        <v>11615</v>
      </c>
      <c r="I66" s="3">
        <v>11650</v>
      </c>
      <c r="J66" s="3">
        <v>11720</v>
      </c>
      <c r="K66" s="3">
        <v>11715</v>
      </c>
      <c r="L66" s="3">
        <v>12035</v>
      </c>
      <c r="M66" s="3">
        <v>12070</v>
      </c>
      <c r="N66" s="3">
        <v>12480</v>
      </c>
      <c r="O66" s="3">
        <v>12485</v>
      </c>
      <c r="P66" s="3">
        <v>12700</v>
      </c>
      <c r="Q66" s="3">
        <v>12685</v>
      </c>
      <c r="R66" s="3">
        <v>12650</v>
      </c>
      <c r="S66" s="3">
        <v>12655</v>
      </c>
      <c r="T66" s="3">
        <v>12355</v>
      </c>
      <c r="U66" s="3">
        <v>12375</v>
      </c>
      <c r="V66" s="3">
        <v>12810</v>
      </c>
      <c r="W66" s="3">
        <v>12805</v>
      </c>
      <c r="X66" s="3">
        <v>12675</v>
      </c>
      <c r="Y66" s="3">
        <v>12660</v>
      </c>
      <c r="Z66" s="3">
        <v>12655</v>
      </c>
      <c r="AA66" s="3">
        <v>12675</v>
      </c>
      <c r="AB66" s="3">
        <v>13305</v>
      </c>
      <c r="AC66" s="3">
        <v>13295</v>
      </c>
      <c r="AD66" s="3">
        <v>13220</v>
      </c>
      <c r="AE66" s="3">
        <v>13230</v>
      </c>
      <c r="AF66" s="3">
        <v>13875</v>
      </c>
      <c r="AG66" s="3">
        <v>13840</v>
      </c>
      <c r="AH66" s="3">
        <v>14195</v>
      </c>
      <c r="AI66" s="3">
        <v>14200</v>
      </c>
      <c r="AJ66" s="3">
        <v>13935</v>
      </c>
      <c r="AK66" s="3">
        <v>13920</v>
      </c>
      <c r="AL66" s="3">
        <v>13725</v>
      </c>
      <c r="AM66" s="3">
        <v>13730</v>
      </c>
      <c r="AN66" s="3">
        <v>13645</v>
      </c>
      <c r="AO66" s="3">
        <v>13620</v>
      </c>
      <c r="AP66" s="3">
        <v>13690</v>
      </c>
      <c r="AQ66" s="3">
        <v>13665</v>
      </c>
      <c r="AR66" s="4">
        <f t="shared" si="48"/>
        <v>2.0381613183000802E-2</v>
      </c>
      <c r="AS66" s="4">
        <f t="shared" si="20"/>
        <v>8.658008658009031E-4</v>
      </c>
      <c r="AT66" s="4">
        <f t="shared" si="21"/>
        <v>3.5651408450704247E-2</v>
      </c>
      <c r="AU66" s="4">
        <f t="shared" si="22"/>
        <v>1.1035653650254718E-2</v>
      </c>
      <c r="AV66" s="4">
        <f t="shared" si="23"/>
        <v>2.1385799828914642E-3</v>
      </c>
      <c r="AW66" s="4">
        <f t="shared" si="24"/>
        <v>1.7706576728499179E-2</v>
      </c>
      <c r="AX66" s="4">
        <f t="shared" si="25"/>
        <v>3.0540652084193098E-2</v>
      </c>
      <c r="AY66" s="4">
        <f t="shared" si="26"/>
        <v>7.4334898278560768E-3</v>
      </c>
      <c r="AZ66" s="4">
        <f t="shared" si="27"/>
        <v>8.7684336389000084E-3</v>
      </c>
      <c r="BA66" s="4">
        <f t="shared" si="28"/>
        <v>0</v>
      </c>
      <c r="BB66" s="4">
        <f t="shared" si="29"/>
        <v>3.8102959059586494E-2</v>
      </c>
      <c r="BC66" s="4">
        <f t="shared" si="30"/>
        <v>1.9786307874951614E-3</v>
      </c>
      <c r="BD66" s="4">
        <f t="shared" si="31"/>
        <v>1.2850467289719614E-2</v>
      </c>
      <c r="BE66" s="4">
        <f t="shared" si="32"/>
        <v>2.5453143077516449E-2</v>
      </c>
      <c r="BF66" s="4">
        <f t="shared" si="33"/>
        <v>1.0695187165775444E-2</v>
      </c>
      <c r="BG66" s="4">
        <f t="shared" si="34"/>
        <v>3.7870266216722959E-2</v>
      </c>
      <c r="BH66" s="4">
        <f t="shared" si="35"/>
        <v>2.0848310567936679E-2</v>
      </c>
      <c r="BI66" s="4">
        <f t="shared" si="36"/>
        <v>3.2432432432432101E-3</v>
      </c>
      <c r="BJ66" s="4">
        <f t="shared" si="37"/>
        <v>7.2886297376095754E-4</v>
      </c>
      <c r="BK66" s="4">
        <f t="shared" si="38"/>
        <v>4.7497259773474632E-3</v>
      </c>
      <c r="BL66" s="4">
        <f t="shared" si="39"/>
        <v>1.5607580824972045E-2</v>
      </c>
      <c r="BM66" s="4">
        <f t="shared" si="49"/>
        <v>1.4518812279289544E-2</v>
      </c>
      <c r="BN66" s="14">
        <f t="shared" si="50"/>
        <v>13650.350619217843</v>
      </c>
      <c r="BO66" s="15">
        <f t="shared" si="51"/>
        <v>13131.536826378468</v>
      </c>
      <c r="BP66" s="16">
        <v>13690</v>
      </c>
      <c r="BQ66" s="16">
        <v>13690</v>
      </c>
      <c r="BR66" s="16">
        <v>13665</v>
      </c>
      <c r="BS66" s="16">
        <v>13665</v>
      </c>
      <c r="BT66" s="16">
        <v>30950</v>
      </c>
      <c r="BU66" s="15">
        <f t="shared" si="40"/>
        <v>13673.333333333334</v>
      </c>
      <c r="BV66" s="15">
        <f t="shared" si="41"/>
        <v>423189666.66666669</v>
      </c>
      <c r="BW66" s="15">
        <f>SUM($BV$3:BV66)</f>
        <v>125485023468.33336</v>
      </c>
      <c r="BX66" s="15">
        <f>SUM($BT$3:BT66)</f>
        <v>9279431</v>
      </c>
      <c r="BY66" s="15">
        <f t="shared" si="42"/>
        <v>13522.922199468196</v>
      </c>
      <c r="BZ66" s="3">
        <v>64</v>
      </c>
      <c r="CA66" s="3">
        <f t="shared" si="43"/>
        <v>1</v>
      </c>
      <c r="CB66" s="3">
        <f t="shared" si="44"/>
        <v>0</v>
      </c>
      <c r="CC66" s="3">
        <f t="shared" si="45"/>
        <v>1</v>
      </c>
      <c r="CD66" s="6" t="str">
        <f t="shared" si="46"/>
        <v/>
      </c>
      <c r="CE66" s="6">
        <f t="shared" si="47"/>
        <v>1</v>
      </c>
    </row>
    <row r="67" spans="1:83" x14ac:dyDescent="0.3">
      <c r="A67" s="3" t="s">
        <v>107</v>
      </c>
      <c r="B67" s="3">
        <v>11770</v>
      </c>
      <c r="C67" s="3">
        <v>11760</v>
      </c>
      <c r="D67" s="3">
        <v>11540</v>
      </c>
      <c r="E67" s="3">
        <v>11530</v>
      </c>
      <c r="F67" s="3">
        <v>11765</v>
      </c>
      <c r="G67" s="3">
        <v>11755</v>
      </c>
      <c r="H67" s="3">
        <v>11645</v>
      </c>
      <c r="I67" s="3">
        <v>11635</v>
      </c>
      <c r="J67" s="3">
        <v>11710</v>
      </c>
      <c r="K67" s="3">
        <v>11720</v>
      </c>
      <c r="L67" s="3">
        <v>12070</v>
      </c>
      <c r="M67" s="3">
        <v>12060</v>
      </c>
      <c r="N67" s="3">
        <v>12480</v>
      </c>
      <c r="O67" s="3">
        <v>12480</v>
      </c>
      <c r="P67" s="3">
        <v>12685</v>
      </c>
      <c r="Q67" s="3">
        <v>12700</v>
      </c>
      <c r="R67" s="3">
        <v>12650</v>
      </c>
      <c r="S67" s="3">
        <v>12650</v>
      </c>
      <c r="T67" s="3">
        <v>12375</v>
      </c>
      <c r="U67" s="3">
        <v>12400</v>
      </c>
      <c r="V67" s="3">
        <v>12805</v>
      </c>
      <c r="W67" s="3">
        <v>12800</v>
      </c>
      <c r="X67" s="3">
        <v>12660</v>
      </c>
      <c r="Y67" s="3">
        <v>12635</v>
      </c>
      <c r="Z67" s="3">
        <v>12670</v>
      </c>
      <c r="AA67" s="3">
        <v>12665</v>
      </c>
      <c r="AB67" s="3">
        <v>13295</v>
      </c>
      <c r="AC67" s="3">
        <v>13285</v>
      </c>
      <c r="AD67" s="3">
        <v>13230</v>
      </c>
      <c r="AE67" s="3">
        <v>13230</v>
      </c>
      <c r="AF67" s="3">
        <v>13840</v>
      </c>
      <c r="AG67" s="3">
        <v>13855</v>
      </c>
      <c r="AH67" s="3">
        <v>14205</v>
      </c>
      <c r="AI67" s="3">
        <v>14215</v>
      </c>
      <c r="AJ67" s="3">
        <v>13920</v>
      </c>
      <c r="AK67" s="3">
        <v>13910</v>
      </c>
      <c r="AL67" s="3">
        <v>13730</v>
      </c>
      <c r="AM67" s="3">
        <v>13695</v>
      </c>
      <c r="AN67" s="3">
        <v>13615</v>
      </c>
      <c r="AO67" s="3">
        <v>13630</v>
      </c>
      <c r="AP67" s="3">
        <v>13670</v>
      </c>
      <c r="AQ67" s="3">
        <v>13660</v>
      </c>
      <c r="AR67" s="4">
        <f t="shared" si="48"/>
        <v>1.9947961838681749E-2</v>
      </c>
      <c r="AS67" s="4">
        <f t="shared" si="20"/>
        <v>1.7316017316016952E-3</v>
      </c>
      <c r="AT67" s="4">
        <f t="shared" si="21"/>
        <v>3.4771126760563487E-2</v>
      </c>
      <c r="AU67" s="4">
        <f t="shared" si="22"/>
        <v>1.2308998302207108E-2</v>
      </c>
      <c r="AV67" s="4">
        <f t="shared" si="23"/>
        <v>2.5662959794696683E-3</v>
      </c>
      <c r="AW67" s="4">
        <f t="shared" si="24"/>
        <v>1.6863406408094361E-2</v>
      </c>
      <c r="AX67" s="4">
        <f t="shared" si="25"/>
        <v>3.0127940569541822E-2</v>
      </c>
      <c r="AY67" s="4">
        <f t="shared" si="26"/>
        <v>6.2597809076682109E-3</v>
      </c>
      <c r="AZ67" s="4">
        <f t="shared" si="27"/>
        <v>8.3698684734954121E-3</v>
      </c>
      <c r="BA67" s="4">
        <f t="shared" si="28"/>
        <v>2.0202020202020332E-3</v>
      </c>
      <c r="BB67" s="4">
        <f t="shared" si="29"/>
        <v>3.7697608431292995E-2</v>
      </c>
      <c r="BC67" s="4">
        <f t="shared" si="30"/>
        <v>0</v>
      </c>
      <c r="BD67" s="4">
        <f t="shared" si="31"/>
        <v>1.3629283489096533E-2</v>
      </c>
      <c r="BE67" s="4">
        <f t="shared" si="32"/>
        <v>2.4681835711531042E-2</v>
      </c>
      <c r="BF67" s="4">
        <f t="shared" si="33"/>
        <v>1.0695187165775444E-2</v>
      </c>
      <c r="BG67" s="4">
        <f t="shared" si="34"/>
        <v>3.8995125609298853E-2</v>
      </c>
      <c r="BH67" s="4">
        <f t="shared" si="35"/>
        <v>2.1926671459381764E-2</v>
      </c>
      <c r="BI67" s="4">
        <f t="shared" si="36"/>
        <v>2.5225225225224968E-3</v>
      </c>
      <c r="BJ67" s="4">
        <f t="shared" si="37"/>
        <v>1.8221574344022828E-3</v>
      </c>
      <c r="BK67" s="4">
        <f t="shared" si="38"/>
        <v>4.0189989039094431E-3</v>
      </c>
      <c r="BL67" s="4">
        <f t="shared" si="39"/>
        <v>1.5235971757710853E-2</v>
      </c>
      <c r="BM67" s="4">
        <f t="shared" si="49"/>
        <v>1.4483370192722738E-2</v>
      </c>
      <c r="BN67" s="14">
        <f t="shared" si="50"/>
        <v>13649.873745943085</v>
      </c>
      <c r="BO67" s="15">
        <f t="shared" si="51"/>
        <v>13132.00909218197</v>
      </c>
      <c r="BP67" s="16">
        <v>13670</v>
      </c>
      <c r="BQ67" s="16">
        <v>13690</v>
      </c>
      <c r="BR67" s="16">
        <v>13660</v>
      </c>
      <c r="BS67" s="16">
        <v>13660</v>
      </c>
      <c r="BT67" s="16">
        <v>42930</v>
      </c>
      <c r="BU67" s="15">
        <f t="shared" si="40"/>
        <v>13670</v>
      </c>
      <c r="BV67" s="15">
        <f t="shared" si="41"/>
        <v>586853100</v>
      </c>
      <c r="BW67" s="15">
        <f>SUM($BV$3:BV67)</f>
        <v>126071876568.33336</v>
      </c>
      <c r="BX67" s="15">
        <f>SUM($BT$3:BT67)</f>
        <v>9322361</v>
      </c>
      <c r="BY67" s="15">
        <f t="shared" si="42"/>
        <v>13523.599501063449</v>
      </c>
      <c r="BZ67" s="3">
        <v>65</v>
      </c>
      <c r="CA67" s="3">
        <f t="shared" si="43"/>
        <v>1</v>
      </c>
      <c r="CB67" s="3">
        <f t="shared" si="44"/>
        <v>0</v>
      </c>
      <c r="CC67" s="3">
        <f t="shared" si="45"/>
        <v>1</v>
      </c>
      <c r="CD67" s="6" t="str">
        <f t="shared" si="46"/>
        <v/>
      </c>
      <c r="CE67" s="6">
        <f t="shared" si="47"/>
        <v>1</v>
      </c>
    </row>
    <row r="68" spans="1:83" x14ac:dyDescent="0.3">
      <c r="A68" s="3" t="s">
        <v>108</v>
      </c>
      <c r="B68" s="3">
        <v>11765</v>
      </c>
      <c r="C68" s="3">
        <v>11770</v>
      </c>
      <c r="D68" s="3">
        <v>11530</v>
      </c>
      <c r="E68" s="3">
        <v>11515</v>
      </c>
      <c r="F68" s="3">
        <v>11765</v>
      </c>
      <c r="G68" s="3">
        <v>11775</v>
      </c>
      <c r="H68" s="3">
        <v>11625</v>
      </c>
      <c r="I68" s="3">
        <v>11595</v>
      </c>
      <c r="J68" s="3">
        <v>11720</v>
      </c>
      <c r="K68" s="3">
        <v>11715</v>
      </c>
      <c r="L68" s="3">
        <v>12060</v>
      </c>
      <c r="M68" s="3">
        <v>12055</v>
      </c>
      <c r="N68" s="3">
        <v>12480</v>
      </c>
      <c r="O68" s="3">
        <v>12465</v>
      </c>
      <c r="P68" s="3">
        <v>12700</v>
      </c>
      <c r="Q68" s="3">
        <v>12690</v>
      </c>
      <c r="R68" s="3">
        <v>12650</v>
      </c>
      <c r="S68" s="3">
        <v>12645</v>
      </c>
      <c r="T68" s="3">
        <v>12400</v>
      </c>
      <c r="U68" s="3">
        <v>12435</v>
      </c>
      <c r="V68" s="3">
        <v>12800</v>
      </c>
      <c r="W68" s="3">
        <v>12810</v>
      </c>
      <c r="X68" s="3">
        <v>12635</v>
      </c>
      <c r="Y68" s="3">
        <v>12635</v>
      </c>
      <c r="Z68" s="3">
        <v>12660</v>
      </c>
      <c r="AA68" s="3">
        <v>12675</v>
      </c>
      <c r="AB68" s="3">
        <v>13285</v>
      </c>
      <c r="AC68" s="3">
        <v>13305</v>
      </c>
      <c r="AD68" s="3">
        <v>13230</v>
      </c>
      <c r="AE68" s="3">
        <v>13230</v>
      </c>
      <c r="AF68" s="3">
        <v>13855</v>
      </c>
      <c r="AG68" s="3">
        <v>13850</v>
      </c>
      <c r="AH68" s="3">
        <v>14215</v>
      </c>
      <c r="AI68" s="3">
        <v>14220</v>
      </c>
      <c r="AJ68" s="3">
        <v>13905</v>
      </c>
      <c r="AK68" s="3">
        <v>13920</v>
      </c>
      <c r="AL68" s="3">
        <v>13690</v>
      </c>
      <c r="AM68" s="3">
        <v>13705</v>
      </c>
      <c r="AN68" s="3">
        <v>13640</v>
      </c>
      <c r="AO68" s="3">
        <v>13640</v>
      </c>
      <c r="AP68" s="3">
        <v>13660</v>
      </c>
      <c r="AQ68" s="3">
        <v>13670</v>
      </c>
      <c r="AR68" s="4">
        <f t="shared" si="48"/>
        <v>2.0815264527320076E-2</v>
      </c>
      <c r="AS68" s="4">
        <f t="shared" ref="AS68:AS131" si="52">ABS(E68/D$3-1)</f>
        <v>3.0303030303030498E-3</v>
      </c>
      <c r="AT68" s="4">
        <f t="shared" ref="AT68:AT131" si="53">ABS(G68/F$3-1)</f>
        <v>3.6531690140845008E-2</v>
      </c>
      <c r="AU68" s="4">
        <f t="shared" ref="AU68:AU131" si="54">ABS(I68/H$3-1)</f>
        <v>1.5704584040747038E-2</v>
      </c>
      <c r="AV68" s="4">
        <f t="shared" ref="AV68:AV131" si="55">ABS(K68/J$3-1)</f>
        <v>2.1385799828914642E-3</v>
      </c>
      <c r="AW68" s="4">
        <f t="shared" ref="AW68:AW131" si="56">ABS(M68/L$3-1)</f>
        <v>1.6441821247892063E-2</v>
      </c>
      <c r="AX68" s="4">
        <f t="shared" ref="AX68:AX131" si="57">ABS(O68/N$3-1)</f>
        <v>2.8889806025588216E-2</v>
      </c>
      <c r="AY68" s="4">
        <f t="shared" ref="AY68:AY131" si="58">ABS(Q68/P$3-1)</f>
        <v>7.0422535211267512E-3</v>
      </c>
      <c r="AZ68" s="4">
        <f t="shared" ref="AZ68:AZ131" si="59">ABS(S68/R$3-1)</f>
        <v>7.9713033080908158E-3</v>
      </c>
      <c r="BA68" s="4">
        <f t="shared" ref="BA68:BA131" si="60">ABS(U68/T$3-1)</f>
        <v>4.8484848484848797E-3</v>
      </c>
      <c r="BB68" s="4">
        <f t="shared" ref="BB68:BB131" si="61">ABS(W68/V$3-1)</f>
        <v>3.8508309687879994E-2</v>
      </c>
      <c r="BC68" s="4">
        <f t="shared" ref="BC68:BC131" si="62">ABS(Y68/X$3-1)</f>
        <v>0</v>
      </c>
      <c r="BD68" s="4">
        <f t="shared" ref="BD68:BD131" si="63">ABS(AA68/Z$3-1)</f>
        <v>1.2850467289719614E-2</v>
      </c>
      <c r="BE68" s="4">
        <f t="shared" ref="BE68:BE131" si="64">ABS(AC68/AB$3-1)</f>
        <v>2.6224450443501635E-2</v>
      </c>
      <c r="BF68" s="4">
        <f t="shared" ref="BF68:BF131" si="65">ABS(AE68/AD$3-1)</f>
        <v>1.0695187165775444E-2</v>
      </c>
      <c r="BG68" s="4">
        <f t="shared" ref="BG68:BG131" si="66">ABS(AG68/AF$3-1)</f>
        <v>3.8620172478440296E-2</v>
      </c>
      <c r="BH68" s="4">
        <f t="shared" ref="BH68:BH131" si="67">ABS(AI68/AH$3-1)</f>
        <v>2.2286125089863384E-2</v>
      </c>
      <c r="BI68" s="4">
        <f t="shared" ref="BI68:BI131" si="68">ABS(AK68/AJ$3-1)</f>
        <v>3.2432432432432101E-3</v>
      </c>
      <c r="BJ68" s="4">
        <f t="shared" ref="BJ68:BJ131" si="69">ABS(AM68/AL$3-1)</f>
        <v>1.0932944606414363E-3</v>
      </c>
      <c r="BK68" s="4">
        <f t="shared" ref="BK68:BK131" si="70">ABS(AO68/AN$3-1)</f>
        <v>3.2882718304713121E-3</v>
      </c>
      <c r="BL68" s="4">
        <f t="shared" ref="BL68:BL131" si="71">ABS(AQ68/AP$3-1)</f>
        <v>1.5979189892233459E-2</v>
      </c>
      <c r="BM68" s="4">
        <f t="shared" si="49"/>
        <v>1.4682954956630499E-2</v>
      </c>
      <c r="BN68" s="14">
        <f t="shared" si="50"/>
        <v>13652.559158941463</v>
      </c>
      <c r="BO68" s="15">
        <f t="shared" si="51"/>
        <v>13129.349625202898</v>
      </c>
      <c r="BP68" s="16">
        <v>13660</v>
      </c>
      <c r="BQ68" s="16">
        <v>13675</v>
      </c>
      <c r="BR68" s="16">
        <v>13655</v>
      </c>
      <c r="BS68" s="16">
        <v>13670</v>
      </c>
      <c r="BT68" s="16">
        <v>64500</v>
      </c>
      <c r="BU68" s="15">
        <f t="shared" ref="BU68:BU131" si="72">SUM(BQ68:BS68)/3</f>
        <v>13666.666666666666</v>
      </c>
      <c r="BV68" s="15">
        <f t="shared" ref="BV68:BV131" si="73">BU68*BT68</f>
        <v>881500000</v>
      </c>
      <c r="BW68" s="15">
        <f>SUM($BV$3:BV68)</f>
        <v>126953376568.33336</v>
      </c>
      <c r="BX68" s="15">
        <f>SUM($BT$3:BT68)</f>
        <v>9386861</v>
      </c>
      <c r="BY68" s="15">
        <f t="shared" ref="BY68:BY131" si="74">BW68/BX68</f>
        <v>13524.582559423578</v>
      </c>
      <c r="BZ68" s="3">
        <v>66</v>
      </c>
      <c r="CA68" s="3">
        <f t="shared" ref="CA68:CA131" si="75">IF(AND(BS68&gt;BN68,BS68&gt;BY68), 1, 0)</f>
        <v>1</v>
      </c>
      <c r="CB68" s="3">
        <f t="shared" ref="CB68:CB131" si="76">IF(AND(BS68&lt;BO68, BS68&lt;BY68), -1, 0)</f>
        <v>0</v>
      </c>
      <c r="CC68" s="3">
        <f t="shared" ref="CC68:CC131" si="77">SUM(CA68:CB68)</f>
        <v>1</v>
      </c>
      <c r="CD68" s="6" t="str">
        <f t="shared" ref="CD68:CD131" si="78">IF(MOD(BZ68,$CD$2)=0,CC68,"")</f>
        <v/>
      </c>
      <c r="CE68" s="6">
        <f t="shared" ref="CE68:CE131" si="79">IF(OR(CD68=1, AND(CE67=1, CD68&lt;&gt;0)), 1, 0)</f>
        <v>1</v>
      </c>
    </row>
    <row r="69" spans="1:83" x14ac:dyDescent="0.3">
      <c r="A69" s="3" t="s">
        <v>109</v>
      </c>
      <c r="B69" s="3">
        <v>11770</v>
      </c>
      <c r="C69" s="3">
        <v>11760</v>
      </c>
      <c r="D69" s="3">
        <v>11515</v>
      </c>
      <c r="E69" s="3">
        <v>11505</v>
      </c>
      <c r="F69" s="3">
        <v>11775</v>
      </c>
      <c r="G69" s="3">
        <v>11765</v>
      </c>
      <c r="H69" s="3">
        <v>11595</v>
      </c>
      <c r="I69" s="3">
        <v>11605</v>
      </c>
      <c r="J69" s="3">
        <v>11720</v>
      </c>
      <c r="K69" s="3">
        <v>11720</v>
      </c>
      <c r="L69" s="3">
        <v>12055</v>
      </c>
      <c r="M69" s="3">
        <v>12055</v>
      </c>
      <c r="N69" s="3">
        <v>12465</v>
      </c>
      <c r="O69" s="3">
        <v>12465</v>
      </c>
      <c r="P69" s="3">
        <v>12690</v>
      </c>
      <c r="Q69" s="3">
        <v>12675</v>
      </c>
      <c r="R69" s="3">
        <v>12645</v>
      </c>
      <c r="S69" s="3">
        <v>12625</v>
      </c>
      <c r="T69" s="3">
        <v>12435</v>
      </c>
      <c r="U69" s="3">
        <v>12415</v>
      </c>
      <c r="V69" s="3">
        <v>12815</v>
      </c>
      <c r="W69" s="3">
        <v>12810</v>
      </c>
      <c r="X69" s="3">
        <v>12635</v>
      </c>
      <c r="Y69" s="3">
        <v>12635</v>
      </c>
      <c r="Z69" s="3">
        <v>12675</v>
      </c>
      <c r="AA69" s="3">
        <v>12675</v>
      </c>
      <c r="AB69" s="3">
        <v>13305</v>
      </c>
      <c r="AC69" s="3">
        <v>13310</v>
      </c>
      <c r="AD69" s="3">
        <v>13230</v>
      </c>
      <c r="AE69" s="3">
        <v>13230</v>
      </c>
      <c r="AF69" s="3">
        <v>13850</v>
      </c>
      <c r="AG69" s="3">
        <v>13880</v>
      </c>
      <c r="AH69" s="3">
        <v>14215</v>
      </c>
      <c r="AI69" s="3">
        <v>14205</v>
      </c>
      <c r="AJ69" s="3">
        <v>13920</v>
      </c>
      <c r="AK69" s="3">
        <v>13900</v>
      </c>
      <c r="AL69" s="3">
        <v>13700</v>
      </c>
      <c r="AM69" s="3">
        <v>13695</v>
      </c>
      <c r="AN69" s="3">
        <v>13640</v>
      </c>
      <c r="AO69" s="3">
        <v>13625</v>
      </c>
      <c r="AP69" s="3">
        <v>13675</v>
      </c>
      <c r="AQ69" s="3">
        <v>13675</v>
      </c>
      <c r="AR69" s="4">
        <f t="shared" ref="AR69:AR132" si="80">ABS(C69/B$3-1)</f>
        <v>1.9947961838681749E-2</v>
      </c>
      <c r="AS69" s="4">
        <f t="shared" si="52"/>
        <v>3.8961038961038419E-3</v>
      </c>
      <c r="AT69" s="4">
        <f t="shared" si="53"/>
        <v>3.5651408450704247E-2</v>
      </c>
      <c r="AU69" s="4">
        <f t="shared" si="54"/>
        <v>1.4855687606112E-2</v>
      </c>
      <c r="AV69" s="4">
        <f t="shared" si="55"/>
        <v>2.5662959794696683E-3</v>
      </c>
      <c r="AW69" s="4">
        <f t="shared" si="56"/>
        <v>1.6441821247892063E-2</v>
      </c>
      <c r="AX69" s="4">
        <f t="shared" si="57"/>
        <v>2.8889806025588216E-2</v>
      </c>
      <c r="AY69" s="4">
        <f t="shared" si="58"/>
        <v>8.215962441314506E-3</v>
      </c>
      <c r="AZ69" s="4">
        <f t="shared" si="59"/>
        <v>6.3770426464726526E-3</v>
      </c>
      <c r="BA69" s="4">
        <f t="shared" si="60"/>
        <v>3.2323232323232531E-3</v>
      </c>
      <c r="BB69" s="4">
        <f t="shared" si="61"/>
        <v>3.8508309687879994E-2</v>
      </c>
      <c r="BC69" s="4">
        <f t="shared" si="62"/>
        <v>0</v>
      </c>
      <c r="BD69" s="4">
        <f t="shared" si="63"/>
        <v>1.2850467289719614E-2</v>
      </c>
      <c r="BE69" s="4">
        <f t="shared" si="64"/>
        <v>2.6610104126494338E-2</v>
      </c>
      <c r="BF69" s="4">
        <f t="shared" si="65"/>
        <v>1.0695187165775444E-2</v>
      </c>
      <c r="BG69" s="4">
        <f t="shared" si="66"/>
        <v>4.0869891263592084E-2</v>
      </c>
      <c r="BH69" s="4">
        <f t="shared" si="67"/>
        <v>2.12077641984183E-2</v>
      </c>
      <c r="BI69" s="4">
        <f t="shared" si="68"/>
        <v>1.8018018018017834E-3</v>
      </c>
      <c r="BJ69" s="4">
        <f t="shared" si="69"/>
        <v>1.8221574344022828E-3</v>
      </c>
      <c r="BK69" s="4">
        <f t="shared" si="70"/>
        <v>4.3843624406284532E-3</v>
      </c>
      <c r="BL69" s="4">
        <f t="shared" si="71"/>
        <v>1.635079895949465E-2</v>
      </c>
      <c r="BM69" s="4">
        <f t="shared" ref="BM69:BM132" si="81">AVERAGE(AX69:BK69)</f>
        <v>1.4676084268172209E-2</v>
      </c>
      <c r="BN69" s="14">
        <f t="shared" ref="BN69:BN132" si="82">MAX($AP$3,$AO$383)*(1+BM69)</f>
        <v>13652.466713828257</v>
      </c>
      <c r="BO69" s="15">
        <f t="shared" ref="BO69:BO132" si="83">MIN($AP$3,$AO$383)*(1-BM69)</f>
        <v>13129.441177126604</v>
      </c>
      <c r="BP69" s="16">
        <v>13675</v>
      </c>
      <c r="BQ69" s="16">
        <v>13685</v>
      </c>
      <c r="BR69" s="16">
        <v>13660</v>
      </c>
      <c r="BS69" s="16">
        <v>13675</v>
      </c>
      <c r="BT69" s="16">
        <v>53129</v>
      </c>
      <c r="BU69" s="15">
        <f t="shared" si="72"/>
        <v>13673.333333333334</v>
      </c>
      <c r="BV69" s="15">
        <f t="shared" si="73"/>
        <v>726450526.66666675</v>
      </c>
      <c r="BW69" s="15">
        <f>SUM($BV$3:BV69)</f>
        <v>127679827095.00003</v>
      </c>
      <c r="BX69" s="15">
        <f>SUM($BT$3:BT69)</f>
        <v>9439990</v>
      </c>
      <c r="BY69" s="15">
        <f t="shared" si="74"/>
        <v>13525.419740381085</v>
      </c>
      <c r="BZ69" s="3">
        <v>67</v>
      </c>
      <c r="CA69" s="3">
        <f t="shared" si="75"/>
        <v>1</v>
      </c>
      <c r="CB69" s="3">
        <f t="shared" si="76"/>
        <v>0</v>
      </c>
      <c r="CC69" s="3">
        <f t="shared" si="77"/>
        <v>1</v>
      </c>
      <c r="CD69" s="6" t="str">
        <f t="shared" si="78"/>
        <v/>
      </c>
      <c r="CE69" s="6">
        <f t="shared" si="79"/>
        <v>1</v>
      </c>
    </row>
    <row r="70" spans="1:83" x14ac:dyDescent="0.3">
      <c r="A70" s="3" t="s">
        <v>110</v>
      </c>
      <c r="B70" s="3">
        <v>11765</v>
      </c>
      <c r="C70" s="3">
        <v>11760</v>
      </c>
      <c r="D70" s="3">
        <v>11500</v>
      </c>
      <c r="E70" s="3">
        <v>11525</v>
      </c>
      <c r="F70" s="3">
        <v>11760</v>
      </c>
      <c r="G70" s="3">
        <v>11720</v>
      </c>
      <c r="H70" s="3">
        <v>11605</v>
      </c>
      <c r="I70" s="3">
        <v>11610</v>
      </c>
      <c r="J70" s="3">
        <v>11720</v>
      </c>
      <c r="K70" s="3">
        <v>11720</v>
      </c>
      <c r="L70" s="3">
        <v>12060</v>
      </c>
      <c r="M70" s="3">
        <v>12035</v>
      </c>
      <c r="N70" s="3">
        <v>12460</v>
      </c>
      <c r="O70" s="3">
        <v>12465</v>
      </c>
      <c r="P70" s="3">
        <v>12680</v>
      </c>
      <c r="Q70" s="3">
        <v>12690</v>
      </c>
      <c r="R70" s="3">
        <v>12625</v>
      </c>
      <c r="S70" s="3">
        <v>12590</v>
      </c>
      <c r="T70" s="3">
        <v>12420</v>
      </c>
      <c r="U70" s="3">
        <v>12400</v>
      </c>
      <c r="V70" s="3">
        <v>12810</v>
      </c>
      <c r="W70" s="3">
        <v>12825</v>
      </c>
      <c r="X70" s="3">
        <v>12640</v>
      </c>
      <c r="Y70" s="3">
        <v>12650</v>
      </c>
      <c r="Z70" s="3">
        <v>12675</v>
      </c>
      <c r="AA70" s="3">
        <v>12680</v>
      </c>
      <c r="AB70" s="3">
        <v>13310</v>
      </c>
      <c r="AC70" s="3">
        <v>13310</v>
      </c>
      <c r="AD70" s="3">
        <v>13230</v>
      </c>
      <c r="AE70" s="3">
        <v>13225</v>
      </c>
      <c r="AF70" s="3">
        <v>13875</v>
      </c>
      <c r="AG70" s="3">
        <v>13870</v>
      </c>
      <c r="AH70" s="3">
        <v>14205</v>
      </c>
      <c r="AI70" s="3">
        <v>14195</v>
      </c>
      <c r="AJ70" s="3">
        <v>13900</v>
      </c>
      <c r="AK70" s="3">
        <v>13910</v>
      </c>
      <c r="AL70" s="3">
        <v>13690</v>
      </c>
      <c r="AM70" s="3">
        <v>13655</v>
      </c>
      <c r="AN70" s="3">
        <v>13625</v>
      </c>
      <c r="AO70" s="3">
        <v>13630</v>
      </c>
      <c r="AP70" s="3">
        <v>13680</v>
      </c>
      <c r="AQ70" s="3">
        <v>13680</v>
      </c>
      <c r="AR70" s="4">
        <f t="shared" si="80"/>
        <v>1.9947961838681749E-2</v>
      </c>
      <c r="AS70" s="4">
        <f t="shared" si="52"/>
        <v>2.1645021645021467E-3</v>
      </c>
      <c r="AT70" s="4">
        <f t="shared" si="53"/>
        <v>3.1690140845070491E-2</v>
      </c>
      <c r="AU70" s="4">
        <f t="shared" si="54"/>
        <v>1.4431239388794537E-2</v>
      </c>
      <c r="AV70" s="4">
        <f t="shared" si="55"/>
        <v>2.5662959794696683E-3</v>
      </c>
      <c r="AW70" s="4">
        <f t="shared" si="56"/>
        <v>1.4755480607082649E-2</v>
      </c>
      <c r="AX70" s="4">
        <f t="shared" si="57"/>
        <v>2.8889806025588216E-2</v>
      </c>
      <c r="AY70" s="4">
        <f t="shared" si="58"/>
        <v>7.0422535211267512E-3</v>
      </c>
      <c r="AZ70" s="4">
        <f t="shared" si="59"/>
        <v>3.5870864886409226E-3</v>
      </c>
      <c r="BA70" s="4">
        <f t="shared" si="60"/>
        <v>2.0202020202020332E-3</v>
      </c>
      <c r="BB70" s="4">
        <f t="shared" si="61"/>
        <v>3.9724361572760492E-2</v>
      </c>
      <c r="BC70" s="4">
        <f t="shared" si="62"/>
        <v>1.1871784724970524E-3</v>
      </c>
      <c r="BD70" s="4">
        <f t="shared" si="63"/>
        <v>1.2461059190031154E-2</v>
      </c>
      <c r="BE70" s="4">
        <f t="shared" si="64"/>
        <v>2.6610104126494338E-2</v>
      </c>
      <c r="BF70" s="4">
        <f t="shared" si="65"/>
        <v>1.0313216195569241E-2</v>
      </c>
      <c r="BG70" s="4">
        <f t="shared" si="66"/>
        <v>4.0119985001874747E-2</v>
      </c>
      <c r="BH70" s="4">
        <f t="shared" si="67"/>
        <v>2.0488856937455058E-2</v>
      </c>
      <c r="BI70" s="4">
        <f t="shared" si="68"/>
        <v>2.5225225225224968E-3</v>
      </c>
      <c r="BJ70" s="4">
        <f t="shared" si="69"/>
        <v>4.737609329446113E-3</v>
      </c>
      <c r="BK70" s="4">
        <f t="shared" si="70"/>
        <v>4.0189989039094431E-3</v>
      </c>
      <c r="BL70" s="4">
        <f t="shared" si="71"/>
        <v>1.6722408026755842E-2</v>
      </c>
      <c r="BM70" s="4">
        <f t="shared" si="81"/>
        <v>1.4551660022008433E-2</v>
      </c>
      <c r="BN70" s="14">
        <f t="shared" si="82"/>
        <v>13650.792585596122</v>
      </c>
      <c r="BO70" s="15">
        <f t="shared" si="83"/>
        <v>13131.099130206738</v>
      </c>
      <c r="BP70" s="16">
        <v>13680</v>
      </c>
      <c r="BQ70" s="16">
        <v>13695</v>
      </c>
      <c r="BR70" s="16">
        <v>13680</v>
      </c>
      <c r="BS70" s="16">
        <v>13680</v>
      </c>
      <c r="BT70" s="16">
        <v>24945</v>
      </c>
      <c r="BU70" s="15">
        <f t="shared" si="72"/>
        <v>13685</v>
      </c>
      <c r="BV70" s="15">
        <f t="shared" si="73"/>
        <v>341372325</v>
      </c>
      <c r="BW70" s="15">
        <f>SUM($BV$3:BV70)</f>
        <v>128021199420.00003</v>
      </c>
      <c r="BX70" s="15">
        <f>SUM($BT$3:BT70)</f>
        <v>9464935</v>
      </c>
      <c r="BY70" s="15">
        <f t="shared" si="74"/>
        <v>13525.840316917129</v>
      </c>
      <c r="BZ70" s="3">
        <v>68</v>
      </c>
      <c r="CA70" s="3">
        <f t="shared" si="75"/>
        <v>1</v>
      </c>
      <c r="CB70" s="3">
        <f t="shared" si="76"/>
        <v>0</v>
      </c>
      <c r="CC70" s="3">
        <f t="shared" si="77"/>
        <v>1</v>
      </c>
      <c r="CD70" s="6" t="str">
        <f t="shared" si="78"/>
        <v/>
      </c>
      <c r="CE70" s="6">
        <f t="shared" si="79"/>
        <v>1</v>
      </c>
    </row>
    <row r="71" spans="1:83" x14ac:dyDescent="0.3">
      <c r="A71" s="3" t="s">
        <v>111</v>
      </c>
      <c r="B71" s="3">
        <v>11760</v>
      </c>
      <c r="C71" s="3">
        <v>11760</v>
      </c>
      <c r="D71" s="3">
        <v>11525</v>
      </c>
      <c r="E71" s="3">
        <v>11520</v>
      </c>
      <c r="F71" s="3">
        <v>11720</v>
      </c>
      <c r="G71" s="3">
        <v>11730</v>
      </c>
      <c r="H71" s="3">
        <v>11610</v>
      </c>
      <c r="I71" s="3">
        <v>11595</v>
      </c>
      <c r="J71" s="3">
        <v>11715</v>
      </c>
      <c r="K71" s="3">
        <v>11690</v>
      </c>
      <c r="L71" s="3">
        <v>12035</v>
      </c>
      <c r="M71" s="3">
        <v>12030</v>
      </c>
      <c r="N71" s="3">
        <v>12470</v>
      </c>
      <c r="O71" s="3">
        <v>12465</v>
      </c>
      <c r="P71" s="3">
        <v>12695</v>
      </c>
      <c r="Q71" s="3">
        <v>12695</v>
      </c>
      <c r="R71" s="3">
        <v>12590</v>
      </c>
      <c r="S71" s="3">
        <v>12580</v>
      </c>
      <c r="T71" s="3">
        <v>12400</v>
      </c>
      <c r="U71" s="3">
        <v>12390</v>
      </c>
      <c r="V71" s="3">
        <v>12825</v>
      </c>
      <c r="W71" s="3">
        <v>12815</v>
      </c>
      <c r="X71" s="3">
        <v>12650</v>
      </c>
      <c r="Y71" s="3">
        <v>12655</v>
      </c>
      <c r="Z71" s="3">
        <v>12680</v>
      </c>
      <c r="AA71" s="3">
        <v>12705</v>
      </c>
      <c r="AB71" s="3">
        <v>13310</v>
      </c>
      <c r="AC71" s="3">
        <v>13305</v>
      </c>
      <c r="AD71" s="3">
        <v>13225</v>
      </c>
      <c r="AE71" s="3">
        <v>13235</v>
      </c>
      <c r="AF71" s="3">
        <v>13865</v>
      </c>
      <c r="AG71" s="3">
        <v>13865</v>
      </c>
      <c r="AH71" s="3">
        <v>14200</v>
      </c>
      <c r="AI71" s="3">
        <v>14210</v>
      </c>
      <c r="AJ71" s="3">
        <v>13905</v>
      </c>
      <c r="AK71" s="3">
        <v>13895</v>
      </c>
      <c r="AL71" s="3">
        <v>13655</v>
      </c>
      <c r="AM71" s="3">
        <v>13670</v>
      </c>
      <c r="AN71" s="3">
        <v>13635</v>
      </c>
      <c r="AO71" s="3">
        <v>13650</v>
      </c>
      <c r="AP71" s="3">
        <v>13675</v>
      </c>
      <c r="AQ71" s="3">
        <v>13675</v>
      </c>
      <c r="AR71" s="4">
        <f t="shared" si="80"/>
        <v>1.9947961838681749E-2</v>
      </c>
      <c r="AS71" s="4">
        <f t="shared" si="52"/>
        <v>2.5974025974025983E-3</v>
      </c>
      <c r="AT71" s="4">
        <f t="shared" si="53"/>
        <v>3.2570422535211252E-2</v>
      </c>
      <c r="AU71" s="4">
        <f t="shared" si="54"/>
        <v>1.5704584040747038E-2</v>
      </c>
      <c r="AV71" s="4">
        <f t="shared" si="55"/>
        <v>0</v>
      </c>
      <c r="AW71" s="4">
        <f t="shared" si="56"/>
        <v>1.4333895446880351E-2</v>
      </c>
      <c r="AX71" s="4">
        <f t="shared" si="57"/>
        <v>2.8889806025588216E-2</v>
      </c>
      <c r="AY71" s="4">
        <f t="shared" si="58"/>
        <v>6.6510172143975366E-3</v>
      </c>
      <c r="AZ71" s="4">
        <f t="shared" si="59"/>
        <v>2.78995615783173E-3</v>
      </c>
      <c r="BA71" s="4">
        <f t="shared" si="60"/>
        <v>1.2121212121212199E-3</v>
      </c>
      <c r="BB71" s="4">
        <f t="shared" si="61"/>
        <v>3.8913660316173493E-2</v>
      </c>
      <c r="BC71" s="4">
        <f t="shared" si="62"/>
        <v>1.5829046299959959E-3</v>
      </c>
      <c r="BD71" s="4">
        <f t="shared" si="63"/>
        <v>1.0514018691588745E-2</v>
      </c>
      <c r="BE71" s="4">
        <f t="shared" si="64"/>
        <v>2.6224450443501635E-2</v>
      </c>
      <c r="BF71" s="4">
        <f t="shared" si="65"/>
        <v>1.1077158135981646E-2</v>
      </c>
      <c r="BG71" s="4">
        <f t="shared" si="66"/>
        <v>3.974503187101619E-2</v>
      </c>
      <c r="BH71" s="4">
        <f t="shared" si="67"/>
        <v>2.1567217828900143E-2</v>
      </c>
      <c r="BI71" s="4">
        <f t="shared" si="68"/>
        <v>1.4414414414414267E-3</v>
      </c>
      <c r="BJ71" s="4">
        <f t="shared" si="69"/>
        <v>3.6443148688046767E-3</v>
      </c>
      <c r="BK71" s="4">
        <f t="shared" si="70"/>
        <v>2.5575447570332921E-3</v>
      </c>
      <c r="BL71" s="4">
        <f t="shared" si="71"/>
        <v>1.635079895949465E-2</v>
      </c>
      <c r="BM71" s="4">
        <f t="shared" si="81"/>
        <v>1.4057903113883996E-2</v>
      </c>
      <c r="BN71" s="14">
        <f t="shared" si="82"/>
        <v>13644.149086397309</v>
      </c>
      <c r="BO71" s="15">
        <f t="shared" si="83"/>
        <v>13137.678441007496</v>
      </c>
      <c r="BP71" s="16">
        <v>13675</v>
      </c>
      <c r="BQ71" s="16">
        <v>13680</v>
      </c>
      <c r="BR71" s="16">
        <v>13670</v>
      </c>
      <c r="BS71" s="16">
        <v>13675</v>
      </c>
      <c r="BT71" s="16">
        <v>5295</v>
      </c>
      <c r="BU71" s="15">
        <f t="shared" si="72"/>
        <v>13675</v>
      </c>
      <c r="BV71" s="15">
        <f t="shared" si="73"/>
        <v>72409125</v>
      </c>
      <c r="BW71" s="15">
        <f>SUM($BV$3:BV71)</f>
        <v>128093608545.00003</v>
      </c>
      <c r="BX71" s="15">
        <f>SUM($BT$3:BT71)</f>
        <v>9470230</v>
      </c>
      <c r="BY71" s="15">
        <f t="shared" si="74"/>
        <v>13525.923715157924</v>
      </c>
      <c r="BZ71" s="3">
        <v>69</v>
      </c>
      <c r="CA71" s="3">
        <f t="shared" si="75"/>
        <v>1</v>
      </c>
      <c r="CB71" s="3">
        <f t="shared" si="76"/>
        <v>0</v>
      </c>
      <c r="CC71" s="3">
        <f t="shared" si="77"/>
        <v>1</v>
      </c>
      <c r="CD71" s="6" t="str">
        <f t="shared" si="78"/>
        <v/>
      </c>
      <c r="CE71" s="6">
        <f t="shared" si="79"/>
        <v>1</v>
      </c>
    </row>
    <row r="72" spans="1:83" x14ac:dyDescent="0.3">
      <c r="A72" s="3" t="s">
        <v>112</v>
      </c>
      <c r="B72" s="3">
        <v>11760</v>
      </c>
      <c r="C72" s="3">
        <v>11755</v>
      </c>
      <c r="D72" s="3">
        <v>11515</v>
      </c>
      <c r="E72" s="3">
        <v>11510</v>
      </c>
      <c r="F72" s="3">
        <v>11735</v>
      </c>
      <c r="G72" s="3">
        <v>11700</v>
      </c>
      <c r="H72" s="3">
        <v>11595</v>
      </c>
      <c r="I72" s="3">
        <v>11590</v>
      </c>
      <c r="J72" s="3">
        <v>11695</v>
      </c>
      <c r="K72" s="3">
        <v>11690</v>
      </c>
      <c r="L72" s="3">
        <v>12025</v>
      </c>
      <c r="M72" s="3">
        <v>12030</v>
      </c>
      <c r="N72" s="3">
        <v>12465</v>
      </c>
      <c r="O72" s="3">
        <v>12455</v>
      </c>
      <c r="P72" s="3">
        <v>12695</v>
      </c>
      <c r="Q72" s="3">
        <v>12690</v>
      </c>
      <c r="R72" s="3">
        <v>12580</v>
      </c>
      <c r="S72" s="3">
        <v>12565</v>
      </c>
      <c r="T72" s="3">
        <v>12385</v>
      </c>
      <c r="U72" s="3">
        <v>12385</v>
      </c>
      <c r="V72" s="3">
        <v>12815</v>
      </c>
      <c r="W72" s="3">
        <v>12815</v>
      </c>
      <c r="X72" s="3">
        <v>12655</v>
      </c>
      <c r="Y72" s="3">
        <v>12645</v>
      </c>
      <c r="Z72" s="3">
        <v>12705</v>
      </c>
      <c r="AA72" s="3">
        <v>12690</v>
      </c>
      <c r="AB72" s="3">
        <v>13305</v>
      </c>
      <c r="AC72" s="3">
        <v>13315</v>
      </c>
      <c r="AD72" s="3">
        <v>13235</v>
      </c>
      <c r="AE72" s="3">
        <v>13230</v>
      </c>
      <c r="AF72" s="3">
        <v>13865</v>
      </c>
      <c r="AG72" s="3">
        <v>13865</v>
      </c>
      <c r="AH72" s="3">
        <v>14205</v>
      </c>
      <c r="AI72" s="3">
        <v>14190</v>
      </c>
      <c r="AJ72" s="3">
        <v>13895</v>
      </c>
      <c r="AK72" s="3">
        <v>13905</v>
      </c>
      <c r="AL72" s="3">
        <v>13665</v>
      </c>
      <c r="AM72" s="3">
        <v>13660</v>
      </c>
      <c r="AN72" s="3">
        <v>13650</v>
      </c>
      <c r="AO72" s="3">
        <v>13665</v>
      </c>
      <c r="AP72" s="3">
        <v>13670</v>
      </c>
      <c r="AQ72" s="3">
        <v>13665</v>
      </c>
      <c r="AR72" s="4">
        <f t="shared" si="80"/>
        <v>1.9514310494362475E-2</v>
      </c>
      <c r="AS72" s="4">
        <f t="shared" si="52"/>
        <v>3.4632034632035014E-3</v>
      </c>
      <c r="AT72" s="4">
        <f t="shared" si="53"/>
        <v>2.9929577464788748E-2</v>
      </c>
      <c r="AU72" s="4">
        <f t="shared" si="54"/>
        <v>1.6129032258064502E-2</v>
      </c>
      <c r="AV72" s="4">
        <f t="shared" si="55"/>
        <v>0</v>
      </c>
      <c r="AW72" s="4">
        <f t="shared" si="56"/>
        <v>1.4333895446880351E-2</v>
      </c>
      <c r="AX72" s="4">
        <f t="shared" si="57"/>
        <v>2.8064382996285664E-2</v>
      </c>
      <c r="AY72" s="4">
        <f t="shared" si="58"/>
        <v>7.0422535211267512E-3</v>
      </c>
      <c r="AZ72" s="4">
        <f t="shared" si="59"/>
        <v>1.5942606616181632E-3</v>
      </c>
      <c r="BA72" s="4">
        <f t="shared" si="60"/>
        <v>8.0808080808081328E-4</v>
      </c>
      <c r="BB72" s="4">
        <f t="shared" si="61"/>
        <v>3.8913660316173493E-2</v>
      </c>
      <c r="BC72" s="4">
        <f t="shared" si="62"/>
        <v>7.9145231499810897E-4</v>
      </c>
      <c r="BD72" s="4">
        <f t="shared" si="63"/>
        <v>1.1682242990654235E-2</v>
      </c>
      <c r="BE72" s="4">
        <f t="shared" si="64"/>
        <v>2.6995757809487042E-2</v>
      </c>
      <c r="BF72" s="4">
        <f t="shared" si="65"/>
        <v>1.0695187165775444E-2</v>
      </c>
      <c r="BG72" s="4">
        <f t="shared" si="66"/>
        <v>3.974503187101619E-2</v>
      </c>
      <c r="BH72" s="4">
        <f t="shared" si="67"/>
        <v>2.0129403306973437E-2</v>
      </c>
      <c r="BI72" s="4">
        <f t="shared" si="68"/>
        <v>2.1621621621621401E-3</v>
      </c>
      <c r="BJ72" s="4">
        <f t="shared" si="69"/>
        <v>4.3731778425656342E-3</v>
      </c>
      <c r="BK72" s="4">
        <f t="shared" si="70"/>
        <v>1.4614541468761511E-3</v>
      </c>
      <c r="BL72" s="4">
        <f t="shared" si="71"/>
        <v>1.5607580824972045E-2</v>
      </c>
      <c r="BM72" s="4">
        <f t="shared" si="81"/>
        <v>1.3889893422413804E-2</v>
      </c>
      <c r="BN72" s="14">
        <f t="shared" si="82"/>
        <v>13641.888515998578</v>
      </c>
      <c r="BO72" s="15">
        <f t="shared" si="83"/>
        <v>13139.917170146337</v>
      </c>
      <c r="BP72" s="16">
        <v>13670</v>
      </c>
      <c r="BQ72" s="16">
        <v>13675</v>
      </c>
      <c r="BR72" s="16">
        <v>13650</v>
      </c>
      <c r="BS72" s="16">
        <v>13665</v>
      </c>
      <c r="BT72" s="16">
        <v>46174</v>
      </c>
      <c r="BU72" s="15">
        <f t="shared" si="72"/>
        <v>13663.333333333334</v>
      </c>
      <c r="BV72" s="15">
        <f t="shared" si="73"/>
        <v>630890753.33333337</v>
      </c>
      <c r="BW72" s="15">
        <f>SUM($BV$3:BV72)</f>
        <v>128724499298.33336</v>
      </c>
      <c r="BX72" s="15">
        <f>SUM($BT$3:BT72)</f>
        <v>9516404</v>
      </c>
      <c r="BY72" s="15">
        <f t="shared" si="74"/>
        <v>13526.590432513516</v>
      </c>
      <c r="BZ72" s="3">
        <v>70</v>
      </c>
      <c r="CA72" s="3">
        <f t="shared" si="75"/>
        <v>1</v>
      </c>
      <c r="CB72" s="3">
        <f t="shared" si="76"/>
        <v>0</v>
      </c>
      <c r="CC72" s="3">
        <f t="shared" si="77"/>
        <v>1</v>
      </c>
      <c r="CD72" s="6" t="str">
        <f t="shared" si="78"/>
        <v/>
      </c>
      <c r="CE72" s="6">
        <f t="shared" si="79"/>
        <v>1</v>
      </c>
    </row>
    <row r="73" spans="1:83" x14ac:dyDescent="0.3">
      <c r="A73" s="3" t="s">
        <v>113</v>
      </c>
      <c r="B73" s="3">
        <v>11755</v>
      </c>
      <c r="C73" s="3">
        <v>11740</v>
      </c>
      <c r="D73" s="3">
        <v>11510</v>
      </c>
      <c r="E73" s="3">
        <v>11510</v>
      </c>
      <c r="F73" s="3">
        <v>11695</v>
      </c>
      <c r="G73" s="3">
        <v>11700</v>
      </c>
      <c r="H73" s="3">
        <v>11590</v>
      </c>
      <c r="I73" s="3">
        <v>11610</v>
      </c>
      <c r="J73" s="3">
        <v>11695</v>
      </c>
      <c r="K73" s="3">
        <v>11685</v>
      </c>
      <c r="L73" s="3">
        <v>12030</v>
      </c>
      <c r="M73" s="3">
        <v>12015</v>
      </c>
      <c r="N73" s="3">
        <v>12455</v>
      </c>
      <c r="O73" s="3">
        <v>12445</v>
      </c>
      <c r="P73" s="3">
        <v>12690</v>
      </c>
      <c r="Q73" s="3">
        <v>12680</v>
      </c>
      <c r="R73" s="3">
        <v>12570</v>
      </c>
      <c r="S73" s="3">
        <v>12545</v>
      </c>
      <c r="T73" s="3">
        <v>12390</v>
      </c>
      <c r="U73" s="3">
        <v>12420</v>
      </c>
      <c r="V73" s="3">
        <v>12810</v>
      </c>
      <c r="W73" s="3">
        <v>12795</v>
      </c>
      <c r="X73" s="3">
        <v>12640</v>
      </c>
      <c r="Y73" s="3">
        <v>12630</v>
      </c>
      <c r="Z73" s="3">
        <v>12695</v>
      </c>
      <c r="AA73" s="3">
        <v>12655</v>
      </c>
      <c r="AB73" s="3">
        <v>13315</v>
      </c>
      <c r="AC73" s="3">
        <v>13330</v>
      </c>
      <c r="AD73" s="3">
        <v>13235</v>
      </c>
      <c r="AE73" s="3">
        <v>13235</v>
      </c>
      <c r="AF73" s="3">
        <v>13865</v>
      </c>
      <c r="AG73" s="3">
        <v>13870</v>
      </c>
      <c r="AH73" s="3">
        <v>14190</v>
      </c>
      <c r="AI73" s="3">
        <v>14240</v>
      </c>
      <c r="AJ73" s="3">
        <v>13900</v>
      </c>
      <c r="AK73" s="3">
        <v>13920</v>
      </c>
      <c r="AL73" s="3">
        <v>13655</v>
      </c>
      <c r="AM73" s="3">
        <v>13650</v>
      </c>
      <c r="AN73" s="3">
        <v>13670</v>
      </c>
      <c r="AO73" s="3">
        <v>13680</v>
      </c>
      <c r="AP73" s="3">
        <v>13665</v>
      </c>
      <c r="AQ73" s="3">
        <v>13665</v>
      </c>
      <c r="AR73" s="4">
        <f t="shared" si="80"/>
        <v>1.8213356461405095E-2</v>
      </c>
      <c r="AS73" s="4">
        <f t="shared" si="52"/>
        <v>3.4632034632035014E-3</v>
      </c>
      <c r="AT73" s="4">
        <f t="shared" si="53"/>
        <v>2.9929577464788748E-2</v>
      </c>
      <c r="AU73" s="4">
        <f t="shared" si="54"/>
        <v>1.4431239388794537E-2</v>
      </c>
      <c r="AV73" s="4">
        <f t="shared" si="55"/>
        <v>4.2771599657831505E-4</v>
      </c>
      <c r="AW73" s="4">
        <f t="shared" si="56"/>
        <v>1.3069139966273235E-2</v>
      </c>
      <c r="AX73" s="4">
        <f t="shared" si="57"/>
        <v>2.7238959966983112E-2</v>
      </c>
      <c r="AY73" s="4">
        <f t="shared" si="58"/>
        <v>7.8247261345852914E-3</v>
      </c>
      <c r="AZ73" s="4">
        <f t="shared" si="59"/>
        <v>0</v>
      </c>
      <c r="BA73" s="4">
        <f t="shared" si="60"/>
        <v>3.6363636363636598E-3</v>
      </c>
      <c r="BB73" s="4">
        <f t="shared" si="61"/>
        <v>3.7292257802999496E-2</v>
      </c>
      <c r="BC73" s="4">
        <f t="shared" si="62"/>
        <v>3.9572615749905449E-4</v>
      </c>
      <c r="BD73" s="4">
        <f t="shared" si="63"/>
        <v>1.4408099688473563E-2</v>
      </c>
      <c r="BE73" s="4">
        <f t="shared" si="64"/>
        <v>2.8152718858465153E-2</v>
      </c>
      <c r="BF73" s="4">
        <f t="shared" si="65"/>
        <v>1.1077158135981646E-2</v>
      </c>
      <c r="BG73" s="4">
        <f t="shared" si="66"/>
        <v>4.0119985001874747E-2</v>
      </c>
      <c r="BH73" s="4">
        <f t="shared" si="67"/>
        <v>2.372393961179009E-2</v>
      </c>
      <c r="BI73" s="4">
        <f t="shared" si="68"/>
        <v>3.2432432432432101E-3</v>
      </c>
      <c r="BJ73" s="4">
        <f t="shared" si="69"/>
        <v>5.1020408163264808E-3</v>
      </c>
      <c r="BK73" s="4">
        <f t="shared" si="70"/>
        <v>3.6536353671901001E-4</v>
      </c>
      <c r="BL73" s="4">
        <f t="shared" si="71"/>
        <v>1.5607580824972045E-2</v>
      </c>
      <c r="BM73" s="4">
        <f t="shared" si="81"/>
        <v>1.4470041613664608E-2</v>
      </c>
      <c r="BN73" s="14">
        <f t="shared" si="82"/>
        <v>13649.694409911859</v>
      </c>
      <c r="BO73" s="15">
        <f t="shared" si="83"/>
        <v>13132.18669549792</v>
      </c>
      <c r="BP73" s="16">
        <v>13665</v>
      </c>
      <c r="BQ73" s="16">
        <v>13685</v>
      </c>
      <c r="BR73" s="16">
        <v>13660</v>
      </c>
      <c r="BS73" s="16">
        <v>13665</v>
      </c>
      <c r="BT73" s="16">
        <v>76840</v>
      </c>
      <c r="BU73" s="15">
        <f t="shared" si="72"/>
        <v>13670</v>
      </c>
      <c r="BV73" s="15">
        <f t="shared" si="73"/>
        <v>1050402800</v>
      </c>
      <c r="BW73" s="15">
        <f>SUM($BV$3:BV73)</f>
        <v>129774902098.33336</v>
      </c>
      <c r="BX73" s="15">
        <f>SUM($BT$3:BT73)</f>
        <v>9593244</v>
      </c>
      <c r="BY73" s="15">
        <f t="shared" si="74"/>
        <v>13527.739114978558</v>
      </c>
      <c r="BZ73" s="3">
        <v>71</v>
      </c>
      <c r="CA73" s="3">
        <f t="shared" si="75"/>
        <v>1</v>
      </c>
      <c r="CB73" s="3">
        <f t="shared" si="76"/>
        <v>0</v>
      </c>
      <c r="CC73" s="3">
        <f t="shared" si="77"/>
        <v>1</v>
      </c>
      <c r="CD73" s="6" t="str">
        <f t="shared" si="78"/>
        <v/>
      </c>
      <c r="CE73" s="6">
        <f t="shared" si="79"/>
        <v>1</v>
      </c>
    </row>
    <row r="74" spans="1:83" x14ac:dyDescent="0.3">
      <c r="A74" s="3" t="s">
        <v>114</v>
      </c>
      <c r="B74" s="3">
        <v>11745</v>
      </c>
      <c r="C74" s="3">
        <v>11740</v>
      </c>
      <c r="D74" s="3">
        <v>11505</v>
      </c>
      <c r="E74" s="3">
        <v>11510</v>
      </c>
      <c r="F74" s="3">
        <v>11700</v>
      </c>
      <c r="G74" s="3">
        <v>11695</v>
      </c>
      <c r="H74" s="3">
        <v>11610</v>
      </c>
      <c r="I74" s="3">
        <v>11610</v>
      </c>
      <c r="J74" s="3">
        <v>11690</v>
      </c>
      <c r="K74" s="3">
        <v>11695</v>
      </c>
      <c r="L74" s="3">
        <v>12015</v>
      </c>
      <c r="M74" s="3">
        <v>12020</v>
      </c>
      <c r="N74" s="3">
        <v>12445</v>
      </c>
      <c r="O74" s="3">
        <v>12445</v>
      </c>
      <c r="P74" s="3">
        <v>12675</v>
      </c>
      <c r="Q74" s="3">
        <v>12680</v>
      </c>
      <c r="R74" s="3">
        <v>12545</v>
      </c>
      <c r="S74" s="3">
        <v>12530</v>
      </c>
      <c r="T74" s="3">
        <v>12420</v>
      </c>
      <c r="U74" s="3">
        <v>12425</v>
      </c>
      <c r="V74" s="3">
        <v>12795</v>
      </c>
      <c r="W74" s="3">
        <v>12790</v>
      </c>
      <c r="X74" s="3">
        <v>12630</v>
      </c>
      <c r="Y74" s="3">
        <v>12630</v>
      </c>
      <c r="Z74" s="3">
        <v>12655</v>
      </c>
      <c r="AA74" s="3">
        <v>12680</v>
      </c>
      <c r="AB74" s="3">
        <v>13335</v>
      </c>
      <c r="AC74" s="3">
        <v>13340</v>
      </c>
      <c r="AD74" s="3">
        <v>13235</v>
      </c>
      <c r="AE74" s="3">
        <v>13250</v>
      </c>
      <c r="AF74" s="3">
        <v>13870</v>
      </c>
      <c r="AG74" s="3">
        <v>13865</v>
      </c>
      <c r="AH74" s="3">
        <v>14235</v>
      </c>
      <c r="AI74" s="3">
        <v>14215</v>
      </c>
      <c r="AJ74" s="3">
        <v>13925</v>
      </c>
      <c r="AK74" s="3">
        <v>13920</v>
      </c>
      <c r="AL74" s="3">
        <v>13645</v>
      </c>
      <c r="AM74" s="3">
        <v>13660</v>
      </c>
      <c r="AN74" s="3">
        <v>13685</v>
      </c>
      <c r="AO74" s="3">
        <v>13705</v>
      </c>
      <c r="AP74" s="3">
        <v>13665</v>
      </c>
      <c r="AQ74" s="3">
        <v>13685</v>
      </c>
      <c r="AR74" s="4">
        <f t="shared" si="80"/>
        <v>1.8213356461405095E-2</v>
      </c>
      <c r="AS74" s="4">
        <f t="shared" si="52"/>
        <v>3.4632034632035014E-3</v>
      </c>
      <c r="AT74" s="4">
        <f t="shared" si="53"/>
        <v>2.9489436619718257E-2</v>
      </c>
      <c r="AU74" s="4">
        <f t="shared" si="54"/>
        <v>1.4431239388794537E-2</v>
      </c>
      <c r="AV74" s="4">
        <f t="shared" si="55"/>
        <v>4.2771599657820403E-4</v>
      </c>
      <c r="AW74" s="4">
        <f t="shared" si="56"/>
        <v>1.3490725126475533E-2</v>
      </c>
      <c r="AX74" s="4">
        <f t="shared" si="57"/>
        <v>2.7238959966983112E-2</v>
      </c>
      <c r="AY74" s="4">
        <f t="shared" si="58"/>
        <v>7.8247261345852914E-3</v>
      </c>
      <c r="AZ74" s="4">
        <f t="shared" si="59"/>
        <v>1.1956954962136779E-3</v>
      </c>
      <c r="BA74" s="4">
        <f t="shared" si="60"/>
        <v>4.0404040404040664E-3</v>
      </c>
      <c r="BB74" s="4">
        <f t="shared" si="61"/>
        <v>3.6886907174706218E-2</v>
      </c>
      <c r="BC74" s="4">
        <f t="shared" si="62"/>
        <v>3.9572615749905449E-4</v>
      </c>
      <c r="BD74" s="4">
        <f t="shared" si="63"/>
        <v>1.2461059190031154E-2</v>
      </c>
      <c r="BE74" s="4">
        <f t="shared" si="64"/>
        <v>2.8924026224450339E-2</v>
      </c>
      <c r="BF74" s="4">
        <f t="shared" si="65"/>
        <v>1.2223071046600475E-2</v>
      </c>
      <c r="BG74" s="4">
        <f t="shared" si="66"/>
        <v>3.974503187101619E-2</v>
      </c>
      <c r="BH74" s="4">
        <f t="shared" si="67"/>
        <v>2.1926671459381764E-2</v>
      </c>
      <c r="BI74" s="4">
        <f t="shared" si="68"/>
        <v>3.2432432432432101E-3</v>
      </c>
      <c r="BJ74" s="4">
        <f t="shared" si="69"/>
        <v>4.3731778425656342E-3</v>
      </c>
      <c r="BK74" s="4">
        <f t="shared" si="70"/>
        <v>1.46145414687604E-3</v>
      </c>
      <c r="BL74" s="4">
        <f t="shared" si="71"/>
        <v>1.7094017094017033E-2</v>
      </c>
      <c r="BM74" s="4">
        <f t="shared" si="81"/>
        <v>1.4424296713896874E-2</v>
      </c>
      <c r="BN74" s="14">
        <f t="shared" si="82"/>
        <v>13649.07891228548</v>
      </c>
      <c r="BO74" s="15">
        <f t="shared" si="83"/>
        <v>13132.796246287324</v>
      </c>
      <c r="BP74" s="16">
        <v>13665</v>
      </c>
      <c r="BQ74" s="16">
        <v>13705</v>
      </c>
      <c r="BR74" s="16">
        <v>13665</v>
      </c>
      <c r="BS74" s="16">
        <v>13685</v>
      </c>
      <c r="BT74" s="16">
        <v>77621</v>
      </c>
      <c r="BU74" s="15">
        <f t="shared" si="72"/>
        <v>13685</v>
      </c>
      <c r="BV74" s="15">
        <f t="shared" si="73"/>
        <v>1062243385</v>
      </c>
      <c r="BW74" s="15">
        <f>SUM($BV$3:BV74)</f>
        <v>130837145483.33336</v>
      </c>
      <c r="BX74" s="15">
        <f>SUM($BT$3:BT74)</f>
        <v>9670865</v>
      </c>
      <c r="BY74" s="15">
        <f t="shared" si="74"/>
        <v>13529.001333731094</v>
      </c>
      <c r="BZ74" s="3">
        <v>72</v>
      </c>
      <c r="CA74" s="3">
        <f t="shared" si="75"/>
        <v>1</v>
      </c>
      <c r="CB74" s="3">
        <f t="shared" si="76"/>
        <v>0</v>
      </c>
      <c r="CC74" s="3">
        <f t="shared" si="77"/>
        <v>1</v>
      </c>
      <c r="CD74" s="6" t="str">
        <f t="shared" si="78"/>
        <v/>
      </c>
      <c r="CE74" s="6">
        <f t="shared" si="79"/>
        <v>1</v>
      </c>
    </row>
    <row r="75" spans="1:83" x14ac:dyDescent="0.3">
      <c r="A75" s="3" t="s">
        <v>115</v>
      </c>
      <c r="B75" s="3">
        <v>11740</v>
      </c>
      <c r="C75" s="3">
        <v>11740</v>
      </c>
      <c r="D75" s="3">
        <v>11510</v>
      </c>
      <c r="E75" s="3">
        <v>11500</v>
      </c>
      <c r="F75" s="3">
        <v>11695</v>
      </c>
      <c r="G75" s="3">
        <v>11715</v>
      </c>
      <c r="H75" s="3">
        <v>11610</v>
      </c>
      <c r="I75" s="3">
        <v>11620</v>
      </c>
      <c r="J75" s="3">
        <v>11690</v>
      </c>
      <c r="K75" s="3">
        <v>11685</v>
      </c>
      <c r="L75" s="3">
        <v>12020</v>
      </c>
      <c r="M75" s="3">
        <v>12030</v>
      </c>
      <c r="N75" s="3">
        <v>12440</v>
      </c>
      <c r="O75" s="3">
        <v>12455</v>
      </c>
      <c r="P75" s="3">
        <v>12680</v>
      </c>
      <c r="Q75" s="3">
        <v>12680</v>
      </c>
      <c r="R75" s="3">
        <v>12535</v>
      </c>
      <c r="S75" s="3">
        <v>12560</v>
      </c>
      <c r="T75" s="3">
        <v>12425</v>
      </c>
      <c r="U75" s="3">
        <v>12440</v>
      </c>
      <c r="V75" s="3">
        <v>12795</v>
      </c>
      <c r="W75" s="3">
        <v>12775</v>
      </c>
      <c r="X75" s="3">
        <v>12625</v>
      </c>
      <c r="Y75" s="3">
        <v>12620</v>
      </c>
      <c r="Z75" s="3">
        <v>12680</v>
      </c>
      <c r="AA75" s="3">
        <v>12680</v>
      </c>
      <c r="AB75" s="3">
        <v>13340</v>
      </c>
      <c r="AC75" s="3">
        <v>13330</v>
      </c>
      <c r="AD75" s="3">
        <v>13250</v>
      </c>
      <c r="AE75" s="3">
        <v>13240</v>
      </c>
      <c r="AF75" s="3">
        <v>13865</v>
      </c>
      <c r="AG75" s="3">
        <v>13845</v>
      </c>
      <c r="AH75" s="3">
        <v>14215</v>
      </c>
      <c r="AI75" s="3">
        <v>14190</v>
      </c>
      <c r="AJ75" s="3">
        <v>13925</v>
      </c>
      <c r="AK75" s="3">
        <v>13935</v>
      </c>
      <c r="AL75" s="3">
        <v>13655</v>
      </c>
      <c r="AM75" s="3">
        <v>13670</v>
      </c>
      <c r="AN75" s="3">
        <v>13705</v>
      </c>
      <c r="AO75" s="3">
        <v>13705</v>
      </c>
      <c r="AP75" s="3">
        <v>13690</v>
      </c>
      <c r="AQ75" s="3">
        <v>13675</v>
      </c>
      <c r="AR75" s="4">
        <f t="shared" si="80"/>
        <v>1.8213356461405095E-2</v>
      </c>
      <c r="AS75" s="4">
        <f t="shared" si="52"/>
        <v>4.3290043290042934E-3</v>
      </c>
      <c r="AT75" s="4">
        <f t="shared" si="53"/>
        <v>3.125E-2</v>
      </c>
      <c r="AU75" s="4">
        <f t="shared" si="54"/>
        <v>1.358234295415961E-2</v>
      </c>
      <c r="AV75" s="4">
        <f t="shared" si="55"/>
        <v>4.2771599657831505E-4</v>
      </c>
      <c r="AW75" s="4">
        <f t="shared" si="56"/>
        <v>1.4333895446880351E-2</v>
      </c>
      <c r="AX75" s="4">
        <f t="shared" si="57"/>
        <v>2.8064382996285664E-2</v>
      </c>
      <c r="AY75" s="4">
        <f t="shared" si="58"/>
        <v>7.8247261345852914E-3</v>
      </c>
      <c r="AZ75" s="4">
        <f t="shared" si="59"/>
        <v>1.1956954962135669E-3</v>
      </c>
      <c r="BA75" s="4">
        <f t="shared" si="60"/>
        <v>5.2525252525252863E-3</v>
      </c>
      <c r="BB75" s="4">
        <f t="shared" si="61"/>
        <v>3.567085528982572E-2</v>
      </c>
      <c r="BC75" s="4">
        <f t="shared" si="62"/>
        <v>1.1871784724970524E-3</v>
      </c>
      <c r="BD75" s="4">
        <f t="shared" si="63"/>
        <v>1.2461059190031154E-2</v>
      </c>
      <c r="BE75" s="4">
        <f t="shared" si="64"/>
        <v>2.8152718858465153E-2</v>
      </c>
      <c r="BF75" s="4">
        <f t="shared" si="65"/>
        <v>1.1459129106187849E-2</v>
      </c>
      <c r="BG75" s="4">
        <f t="shared" si="66"/>
        <v>3.8245219347581516E-2</v>
      </c>
      <c r="BH75" s="4">
        <f t="shared" si="67"/>
        <v>2.0129403306973437E-2</v>
      </c>
      <c r="BI75" s="4">
        <f t="shared" si="68"/>
        <v>4.3243243243242802E-3</v>
      </c>
      <c r="BJ75" s="4">
        <f t="shared" si="69"/>
        <v>3.6443148688046767E-3</v>
      </c>
      <c r="BK75" s="4">
        <f t="shared" si="70"/>
        <v>1.46145414687604E-3</v>
      </c>
      <c r="BL75" s="4">
        <f t="shared" si="71"/>
        <v>1.635079895949465E-2</v>
      </c>
      <c r="BM75" s="4">
        <f t="shared" si="81"/>
        <v>1.4219499056512621E-2</v>
      </c>
      <c r="BN75" s="14">
        <f t="shared" si="82"/>
        <v>13646.323359805376</v>
      </c>
      <c r="BO75" s="15">
        <f t="shared" si="83"/>
        <v>13135.525175071969</v>
      </c>
      <c r="BP75" s="16">
        <v>13690</v>
      </c>
      <c r="BQ75" s="16">
        <v>13690</v>
      </c>
      <c r="BR75" s="16">
        <v>13675</v>
      </c>
      <c r="BS75" s="16">
        <v>13675</v>
      </c>
      <c r="BT75" s="16">
        <v>38208</v>
      </c>
      <c r="BU75" s="15">
        <f t="shared" si="72"/>
        <v>13680</v>
      </c>
      <c r="BV75" s="15">
        <f t="shared" si="73"/>
        <v>522685440</v>
      </c>
      <c r="BW75" s="15">
        <f>SUM($BV$3:BV75)</f>
        <v>131359830923.33336</v>
      </c>
      <c r="BX75" s="15">
        <f>SUM($BT$3:BT75)</f>
        <v>9709073</v>
      </c>
      <c r="BY75" s="15">
        <f t="shared" si="74"/>
        <v>13529.595556994303</v>
      </c>
      <c r="BZ75" s="3">
        <v>73</v>
      </c>
      <c r="CA75" s="3">
        <f t="shared" si="75"/>
        <v>1</v>
      </c>
      <c r="CB75" s="3">
        <f t="shared" si="76"/>
        <v>0</v>
      </c>
      <c r="CC75" s="3">
        <f t="shared" si="77"/>
        <v>1</v>
      </c>
      <c r="CD75" s="6" t="str">
        <f t="shared" si="78"/>
        <v/>
      </c>
      <c r="CE75" s="6">
        <f t="shared" si="79"/>
        <v>1</v>
      </c>
    </row>
    <row r="76" spans="1:83" x14ac:dyDescent="0.3">
      <c r="A76" s="3" t="s">
        <v>116</v>
      </c>
      <c r="B76" s="3">
        <v>11740</v>
      </c>
      <c r="C76" s="3">
        <v>11740</v>
      </c>
      <c r="D76" s="3">
        <v>11500</v>
      </c>
      <c r="E76" s="3">
        <v>11480</v>
      </c>
      <c r="F76" s="3">
        <v>11715</v>
      </c>
      <c r="G76" s="3">
        <v>11710</v>
      </c>
      <c r="H76" s="3">
        <v>11620</v>
      </c>
      <c r="I76" s="3">
        <v>11625</v>
      </c>
      <c r="J76" s="3">
        <v>11685</v>
      </c>
      <c r="K76" s="3">
        <v>11685</v>
      </c>
      <c r="L76" s="3">
        <v>12030</v>
      </c>
      <c r="M76" s="3">
        <v>12020</v>
      </c>
      <c r="N76" s="3">
        <v>12455</v>
      </c>
      <c r="O76" s="3">
        <v>12470</v>
      </c>
      <c r="P76" s="3">
        <v>12675</v>
      </c>
      <c r="Q76" s="3">
        <v>12675</v>
      </c>
      <c r="R76" s="3">
        <v>12560</v>
      </c>
      <c r="S76" s="3">
        <v>12555</v>
      </c>
      <c r="T76" s="3">
        <v>12435</v>
      </c>
      <c r="U76" s="3">
        <v>12410</v>
      </c>
      <c r="V76" s="3">
        <v>12770</v>
      </c>
      <c r="W76" s="3">
        <v>12785</v>
      </c>
      <c r="X76" s="3">
        <v>12625</v>
      </c>
      <c r="Y76" s="3">
        <v>12640</v>
      </c>
      <c r="Z76" s="3">
        <v>12680</v>
      </c>
      <c r="AA76" s="3">
        <v>12700</v>
      </c>
      <c r="AB76" s="3">
        <v>13330</v>
      </c>
      <c r="AC76" s="3">
        <v>13330</v>
      </c>
      <c r="AD76" s="3">
        <v>13235</v>
      </c>
      <c r="AE76" s="3">
        <v>13230</v>
      </c>
      <c r="AF76" s="3">
        <v>13850</v>
      </c>
      <c r="AG76" s="3">
        <v>13835</v>
      </c>
      <c r="AH76" s="3">
        <v>14190</v>
      </c>
      <c r="AI76" s="3">
        <v>14200</v>
      </c>
      <c r="AJ76" s="3">
        <v>13935</v>
      </c>
      <c r="AK76" s="3">
        <v>13935</v>
      </c>
      <c r="AL76" s="3">
        <v>13670</v>
      </c>
      <c r="AM76" s="3">
        <v>13670</v>
      </c>
      <c r="AN76" s="3">
        <v>13705</v>
      </c>
      <c r="AO76" s="3">
        <v>13720</v>
      </c>
      <c r="AP76" s="3">
        <v>13680</v>
      </c>
      <c r="AQ76" s="3">
        <v>13680</v>
      </c>
      <c r="AR76" s="4">
        <f t="shared" si="80"/>
        <v>1.8213356461405095E-2</v>
      </c>
      <c r="AS76" s="4">
        <f t="shared" si="52"/>
        <v>6.0606060606060996E-3</v>
      </c>
      <c r="AT76" s="4">
        <f t="shared" si="53"/>
        <v>3.0809859154929509E-2</v>
      </c>
      <c r="AU76" s="4">
        <f t="shared" si="54"/>
        <v>1.3157894736842146E-2</v>
      </c>
      <c r="AV76" s="4">
        <f t="shared" si="55"/>
        <v>4.2771599657831505E-4</v>
      </c>
      <c r="AW76" s="4">
        <f t="shared" si="56"/>
        <v>1.3490725126475533E-2</v>
      </c>
      <c r="AX76" s="4">
        <f t="shared" si="57"/>
        <v>2.930251754023927E-2</v>
      </c>
      <c r="AY76" s="4">
        <f t="shared" si="58"/>
        <v>8.215962441314506E-3</v>
      </c>
      <c r="AZ76" s="4">
        <f t="shared" si="59"/>
        <v>7.971303308091926E-4</v>
      </c>
      <c r="BA76" s="4">
        <f t="shared" si="60"/>
        <v>2.8282828282828465E-3</v>
      </c>
      <c r="BB76" s="4">
        <f t="shared" si="61"/>
        <v>3.6481556546412719E-2</v>
      </c>
      <c r="BC76" s="4">
        <f t="shared" si="62"/>
        <v>3.9572615749894346E-4</v>
      </c>
      <c r="BD76" s="4">
        <f t="shared" si="63"/>
        <v>1.0903426791277204E-2</v>
      </c>
      <c r="BE76" s="4">
        <f t="shared" si="64"/>
        <v>2.8152718858465153E-2</v>
      </c>
      <c r="BF76" s="4">
        <f t="shared" si="65"/>
        <v>1.0695187165775444E-2</v>
      </c>
      <c r="BG76" s="4">
        <f t="shared" si="66"/>
        <v>3.7495313085864179E-2</v>
      </c>
      <c r="BH76" s="4">
        <f t="shared" si="67"/>
        <v>2.0848310567936679E-2</v>
      </c>
      <c r="BI76" s="4">
        <f t="shared" si="68"/>
        <v>4.3243243243242802E-3</v>
      </c>
      <c r="BJ76" s="4">
        <f t="shared" si="69"/>
        <v>3.6443148688046767E-3</v>
      </c>
      <c r="BK76" s="4">
        <f t="shared" si="70"/>
        <v>2.5575447570331811E-3</v>
      </c>
      <c r="BL76" s="4">
        <f t="shared" si="71"/>
        <v>1.6722408026755842E-2</v>
      </c>
      <c r="BM76" s="4">
        <f t="shared" si="81"/>
        <v>1.4045879733145592E-2</v>
      </c>
      <c r="BN76" s="14">
        <f t="shared" si="82"/>
        <v>13643.987311809473</v>
      </c>
      <c r="BO76" s="15">
        <f t="shared" si="83"/>
        <v>13137.838652555834</v>
      </c>
      <c r="BP76" s="16">
        <v>13680</v>
      </c>
      <c r="BQ76" s="16">
        <v>13690</v>
      </c>
      <c r="BR76" s="16">
        <v>13675</v>
      </c>
      <c r="BS76" s="16">
        <v>13680</v>
      </c>
      <c r="BT76" s="16">
        <v>3121</v>
      </c>
      <c r="BU76" s="15">
        <f t="shared" si="72"/>
        <v>13681.666666666666</v>
      </c>
      <c r="BV76" s="15">
        <f t="shared" si="73"/>
        <v>42700481.666666664</v>
      </c>
      <c r="BW76" s="15">
        <f>SUM($BV$3:BV76)</f>
        <v>131402531405.00003</v>
      </c>
      <c r="BX76" s="15">
        <f>SUM($BT$3:BT76)</f>
        <v>9712194</v>
      </c>
      <c r="BY76" s="15">
        <f t="shared" si="74"/>
        <v>13529.644424833363</v>
      </c>
      <c r="BZ76" s="3">
        <v>74</v>
      </c>
      <c r="CA76" s="3">
        <f t="shared" si="75"/>
        <v>1</v>
      </c>
      <c r="CB76" s="3">
        <f t="shared" si="76"/>
        <v>0</v>
      </c>
      <c r="CC76" s="3">
        <f t="shared" si="77"/>
        <v>1</v>
      </c>
      <c r="CD76" s="6" t="str">
        <f t="shared" si="78"/>
        <v/>
      </c>
      <c r="CE76" s="6">
        <f t="shared" si="79"/>
        <v>1</v>
      </c>
    </row>
    <row r="77" spans="1:83" x14ac:dyDescent="0.3">
      <c r="A77" s="3" t="s">
        <v>117</v>
      </c>
      <c r="B77" s="3">
        <v>11735</v>
      </c>
      <c r="C77" s="3">
        <v>11705</v>
      </c>
      <c r="D77" s="3">
        <v>11480</v>
      </c>
      <c r="E77" s="3">
        <v>11465</v>
      </c>
      <c r="F77" s="3">
        <v>11710</v>
      </c>
      <c r="G77" s="3">
        <v>11715</v>
      </c>
      <c r="H77" s="3">
        <v>11625</v>
      </c>
      <c r="I77" s="3">
        <v>11605</v>
      </c>
      <c r="J77" s="3">
        <v>11690</v>
      </c>
      <c r="K77" s="3">
        <v>11690</v>
      </c>
      <c r="L77" s="3">
        <v>12020</v>
      </c>
      <c r="M77" s="3">
        <v>12030</v>
      </c>
      <c r="N77" s="3">
        <v>12470</v>
      </c>
      <c r="O77" s="3">
        <v>12480</v>
      </c>
      <c r="P77" s="3">
        <v>12680</v>
      </c>
      <c r="Q77" s="3">
        <v>12695</v>
      </c>
      <c r="R77" s="3">
        <v>12565</v>
      </c>
      <c r="S77" s="3">
        <v>12545</v>
      </c>
      <c r="T77" s="3">
        <v>12415</v>
      </c>
      <c r="U77" s="3">
        <v>12385</v>
      </c>
      <c r="V77" s="3">
        <v>12785</v>
      </c>
      <c r="W77" s="3">
        <v>12765</v>
      </c>
      <c r="X77" s="3">
        <v>12640</v>
      </c>
      <c r="Y77" s="3">
        <v>12640</v>
      </c>
      <c r="Z77" s="3">
        <v>12695</v>
      </c>
      <c r="AA77" s="3">
        <v>12685</v>
      </c>
      <c r="AB77" s="3">
        <v>13330</v>
      </c>
      <c r="AC77" s="3">
        <v>13310</v>
      </c>
      <c r="AD77" s="3">
        <v>13230</v>
      </c>
      <c r="AE77" s="3">
        <v>13240</v>
      </c>
      <c r="AF77" s="3">
        <v>13845</v>
      </c>
      <c r="AG77" s="3">
        <v>13845</v>
      </c>
      <c r="AH77" s="3">
        <v>14200</v>
      </c>
      <c r="AI77" s="3">
        <v>14220</v>
      </c>
      <c r="AJ77" s="3">
        <v>13930</v>
      </c>
      <c r="AK77" s="3">
        <v>13940</v>
      </c>
      <c r="AL77" s="3">
        <v>13665</v>
      </c>
      <c r="AM77" s="3">
        <v>13670</v>
      </c>
      <c r="AN77" s="3">
        <v>13720</v>
      </c>
      <c r="AO77" s="3">
        <v>13700</v>
      </c>
      <c r="AP77" s="3">
        <v>13685</v>
      </c>
      <c r="AQ77" s="3">
        <v>13690</v>
      </c>
      <c r="AR77" s="4">
        <f t="shared" si="80"/>
        <v>1.5177797051170838E-2</v>
      </c>
      <c r="AS77" s="4">
        <f t="shared" si="52"/>
        <v>7.3593073593073433E-3</v>
      </c>
      <c r="AT77" s="4">
        <f t="shared" si="53"/>
        <v>3.125E-2</v>
      </c>
      <c r="AU77" s="4">
        <f t="shared" si="54"/>
        <v>1.4855687606112E-2</v>
      </c>
      <c r="AV77" s="4">
        <f t="shared" si="55"/>
        <v>0</v>
      </c>
      <c r="AW77" s="4">
        <f t="shared" si="56"/>
        <v>1.4333895446880351E-2</v>
      </c>
      <c r="AX77" s="4">
        <f t="shared" si="57"/>
        <v>3.0127940569541822E-2</v>
      </c>
      <c r="AY77" s="4">
        <f t="shared" si="58"/>
        <v>6.6510172143975366E-3</v>
      </c>
      <c r="AZ77" s="4">
        <f t="shared" si="59"/>
        <v>0</v>
      </c>
      <c r="BA77" s="4">
        <f t="shared" si="60"/>
        <v>8.0808080808081328E-4</v>
      </c>
      <c r="BB77" s="4">
        <f t="shared" si="61"/>
        <v>3.4860154033238722E-2</v>
      </c>
      <c r="BC77" s="4">
        <f t="shared" si="62"/>
        <v>3.9572615749894346E-4</v>
      </c>
      <c r="BD77" s="4">
        <f t="shared" si="63"/>
        <v>1.2071651090342694E-2</v>
      </c>
      <c r="BE77" s="4">
        <f t="shared" si="64"/>
        <v>2.6610104126494338E-2</v>
      </c>
      <c r="BF77" s="4">
        <f t="shared" si="65"/>
        <v>1.1459129106187849E-2</v>
      </c>
      <c r="BG77" s="4">
        <f t="shared" si="66"/>
        <v>3.8245219347581516E-2</v>
      </c>
      <c r="BH77" s="4">
        <f t="shared" si="67"/>
        <v>2.2286125089863384E-2</v>
      </c>
      <c r="BI77" s="4">
        <f t="shared" si="68"/>
        <v>4.6846846846846368E-3</v>
      </c>
      <c r="BJ77" s="4">
        <f t="shared" si="69"/>
        <v>3.6443148688046767E-3</v>
      </c>
      <c r="BK77" s="4">
        <f t="shared" si="70"/>
        <v>1.096090610157141E-3</v>
      </c>
      <c r="BL77" s="4">
        <f t="shared" si="71"/>
        <v>1.7465626161278225E-2</v>
      </c>
      <c r="BM77" s="4">
        <f t="shared" si="81"/>
        <v>1.3781445550491005E-2</v>
      </c>
      <c r="BN77" s="14">
        <f t="shared" si="82"/>
        <v>13640.429349881857</v>
      </c>
      <c r="BO77" s="15">
        <f t="shared" si="83"/>
        <v>13141.362238039708</v>
      </c>
      <c r="BP77" s="16">
        <v>13685</v>
      </c>
      <c r="BQ77" s="16">
        <v>13700</v>
      </c>
      <c r="BR77" s="16">
        <v>13685</v>
      </c>
      <c r="BS77" s="16">
        <v>13690</v>
      </c>
      <c r="BT77" s="16">
        <v>24024</v>
      </c>
      <c r="BU77" s="15">
        <f t="shared" si="72"/>
        <v>13691.666666666666</v>
      </c>
      <c r="BV77" s="15">
        <f t="shared" si="73"/>
        <v>328928600</v>
      </c>
      <c r="BW77" s="15">
        <f>SUM($BV$3:BV77)</f>
        <v>131731460005.00003</v>
      </c>
      <c r="BX77" s="15">
        <f>SUM($BT$3:BT77)</f>
        <v>9736218</v>
      </c>
      <c r="BY77" s="15">
        <f t="shared" si="74"/>
        <v>13530.04421275284</v>
      </c>
      <c r="BZ77" s="3">
        <v>75</v>
      </c>
      <c r="CA77" s="3">
        <f t="shared" si="75"/>
        <v>1</v>
      </c>
      <c r="CB77" s="3">
        <f t="shared" si="76"/>
        <v>0</v>
      </c>
      <c r="CC77" s="3">
        <f t="shared" si="77"/>
        <v>1</v>
      </c>
      <c r="CD77" s="6">
        <f t="shared" si="78"/>
        <v>1</v>
      </c>
      <c r="CE77" s="6">
        <f t="shared" si="79"/>
        <v>1</v>
      </c>
    </row>
    <row r="78" spans="1:83" x14ac:dyDescent="0.3">
      <c r="A78" s="3" t="s">
        <v>118</v>
      </c>
      <c r="B78" s="3">
        <v>11700</v>
      </c>
      <c r="C78" s="3">
        <v>11705</v>
      </c>
      <c r="D78" s="3">
        <v>11470</v>
      </c>
      <c r="E78" s="3">
        <v>11415</v>
      </c>
      <c r="F78" s="3">
        <v>11720</v>
      </c>
      <c r="G78" s="3">
        <v>11725</v>
      </c>
      <c r="H78" s="3">
        <v>11605</v>
      </c>
      <c r="I78" s="3">
        <v>11625</v>
      </c>
      <c r="J78" s="3">
        <v>11690</v>
      </c>
      <c r="K78" s="3">
        <v>11680</v>
      </c>
      <c r="L78" s="3">
        <v>12030</v>
      </c>
      <c r="M78" s="3">
        <v>12040</v>
      </c>
      <c r="N78" s="3">
        <v>12475</v>
      </c>
      <c r="O78" s="3">
        <v>12485</v>
      </c>
      <c r="P78" s="3">
        <v>12695</v>
      </c>
      <c r="Q78" s="3">
        <v>12705</v>
      </c>
      <c r="R78" s="3">
        <v>12545</v>
      </c>
      <c r="S78" s="3">
        <v>12535</v>
      </c>
      <c r="T78" s="3">
        <v>12390</v>
      </c>
      <c r="U78" s="3">
        <v>12420</v>
      </c>
      <c r="V78" s="3">
        <v>12770</v>
      </c>
      <c r="W78" s="3">
        <v>12755</v>
      </c>
      <c r="X78" s="3">
        <v>12645</v>
      </c>
      <c r="Y78" s="3">
        <v>12625</v>
      </c>
      <c r="Z78" s="3">
        <v>12680</v>
      </c>
      <c r="AA78" s="3">
        <v>12690</v>
      </c>
      <c r="AB78" s="3">
        <v>13310</v>
      </c>
      <c r="AC78" s="3">
        <v>13310</v>
      </c>
      <c r="AD78" s="3">
        <v>13240</v>
      </c>
      <c r="AE78" s="3">
        <v>13235</v>
      </c>
      <c r="AF78" s="3">
        <v>13850</v>
      </c>
      <c r="AG78" s="3">
        <v>13860</v>
      </c>
      <c r="AH78" s="3">
        <v>14220</v>
      </c>
      <c r="AI78" s="3">
        <v>14225</v>
      </c>
      <c r="AJ78" s="3">
        <v>13945</v>
      </c>
      <c r="AK78" s="3">
        <v>13935</v>
      </c>
      <c r="AL78" s="3">
        <v>13670</v>
      </c>
      <c r="AM78" s="3">
        <v>13670</v>
      </c>
      <c r="AN78" s="3">
        <v>13700</v>
      </c>
      <c r="AO78" s="3">
        <v>13690</v>
      </c>
      <c r="AP78" s="3">
        <v>13690</v>
      </c>
      <c r="AQ78" s="3">
        <v>13700</v>
      </c>
      <c r="AR78" s="4">
        <f t="shared" si="80"/>
        <v>1.5177797051170838E-2</v>
      </c>
      <c r="AS78" s="4">
        <f t="shared" si="52"/>
        <v>1.1688311688311637E-2</v>
      </c>
      <c r="AT78" s="4">
        <f t="shared" si="53"/>
        <v>3.2130281690140761E-2</v>
      </c>
      <c r="AU78" s="4">
        <f t="shared" si="54"/>
        <v>1.3157894736842146E-2</v>
      </c>
      <c r="AV78" s="4">
        <f t="shared" si="55"/>
        <v>8.5543199315651908E-4</v>
      </c>
      <c r="AW78" s="4">
        <f t="shared" si="56"/>
        <v>1.5177065767284947E-2</v>
      </c>
      <c r="AX78" s="4">
        <f t="shared" si="57"/>
        <v>3.0540652084193098E-2</v>
      </c>
      <c r="AY78" s="4">
        <f t="shared" si="58"/>
        <v>5.8685446009389963E-3</v>
      </c>
      <c r="AZ78" s="4">
        <f t="shared" si="59"/>
        <v>7.9713033080908158E-4</v>
      </c>
      <c r="BA78" s="4">
        <f t="shared" si="60"/>
        <v>3.6363636363636598E-3</v>
      </c>
      <c r="BB78" s="4">
        <f t="shared" si="61"/>
        <v>3.4049452776651723E-2</v>
      </c>
      <c r="BC78" s="4">
        <f t="shared" si="62"/>
        <v>7.9145231499799795E-4</v>
      </c>
      <c r="BD78" s="4">
        <f t="shared" si="63"/>
        <v>1.1682242990654235E-2</v>
      </c>
      <c r="BE78" s="4">
        <f t="shared" si="64"/>
        <v>2.6610104126494338E-2</v>
      </c>
      <c r="BF78" s="4">
        <f t="shared" si="65"/>
        <v>1.1077158135981646E-2</v>
      </c>
      <c r="BG78" s="4">
        <f t="shared" si="66"/>
        <v>3.937007874015741E-2</v>
      </c>
      <c r="BH78" s="4">
        <f t="shared" si="67"/>
        <v>2.2645578720345005E-2</v>
      </c>
      <c r="BI78" s="4">
        <f t="shared" si="68"/>
        <v>4.3243243243242802E-3</v>
      </c>
      <c r="BJ78" s="4">
        <f t="shared" si="69"/>
        <v>3.6443148688046767E-3</v>
      </c>
      <c r="BK78" s="4">
        <f t="shared" si="70"/>
        <v>3.6536353671912103E-4</v>
      </c>
      <c r="BL78" s="4">
        <f t="shared" si="71"/>
        <v>1.820884429580083E-2</v>
      </c>
      <c r="BM78" s="4">
        <f t="shared" si="81"/>
        <v>1.3957340084816805E-2</v>
      </c>
      <c r="BN78" s="14">
        <f t="shared" si="82"/>
        <v>13642.79601084121</v>
      </c>
      <c r="BO78" s="15">
        <f t="shared" si="83"/>
        <v>13139.018443369816</v>
      </c>
      <c r="BP78" s="16">
        <v>13690</v>
      </c>
      <c r="BQ78" s="16">
        <v>13710</v>
      </c>
      <c r="BR78" s="16">
        <v>13690</v>
      </c>
      <c r="BS78" s="16">
        <v>13700</v>
      </c>
      <c r="BT78" s="16">
        <v>32317</v>
      </c>
      <c r="BU78" s="15">
        <f t="shared" si="72"/>
        <v>13700</v>
      </c>
      <c r="BV78" s="15">
        <f t="shared" si="73"/>
        <v>442742900</v>
      </c>
      <c r="BW78" s="15">
        <f>SUM($BV$3:BV78)</f>
        <v>132174202905.00003</v>
      </c>
      <c r="BX78" s="15">
        <f>SUM($BT$3:BT78)</f>
        <v>9768535</v>
      </c>
      <c r="BY78" s="15">
        <f t="shared" si="74"/>
        <v>13530.606473232683</v>
      </c>
      <c r="BZ78" s="3">
        <v>76</v>
      </c>
      <c r="CA78" s="3">
        <f t="shared" si="75"/>
        <v>1</v>
      </c>
      <c r="CB78" s="3">
        <f t="shared" si="76"/>
        <v>0</v>
      </c>
      <c r="CC78" s="3">
        <f t="shared" si="77"/>
        <v>1</v>
      </c>
      <c r="CD78" s="6" t="str">
        <f t="shared" si="78"/>
        <v/>
      </c>
      <c r="CE78" s="6">
        <f t="shared" si="79"/>
        <v>1</v>
      </c>
    </row>
    <row r="79" spans="1:83" x14ac:dyDescent="0.3">
      <c r="A79" s="3" t="s">
        <v>119</v>
      </c>
      <c r="B79" s="3">
        <v>11705</v>
      </c>
      <c r="C79" s="3">
        <v>11725</v>
      </c>
      <c r="D79" s="3">
        <v>11415</v>
      </c>
      <c r="E79" s="3">
        <v>11395</v>
      </c>
      <c r="F79" s="3">
        <v>11725</v>
      </c>
      <c r="G79" s="3">
        <v>11715</v>
      </c>
      <c r="H79" s="3">
        <v>11630</v>
      </c>
      <c r="I79" s="3">
        <v>11630</v>
      </c>
      <c r="J79" s="3">
        <v>11680</v>
      </c>
      <c r="K79" s="3">
        <v>11680</v>
      </c>
      <c r="L79" s="3">
        <v>12040</v>
      </c>
      <c r="M79" s="3">
        <v>12055</v>
      </c>
      <c r="N79" s="3">
        <v>12480</v>
      </c>
      <c r="O79" s="3">
        <v>12485</v>
      </c>
      <c r="P79" s="3">
        <v>12705</v>
      </c>
      <c r="Q79" s="3">
        <v>12705</v>
      </c>
      <c r="R79" s="3">
        <v>12535</v>
      </c>
      <c r="S79" s="3">
        <v>12565</v>
      </c>
      <c r="T79" s="3">
        <v>12415</v>
      </c>
      <c r="U79" s="3">
        <v>12395</v>
      </c>
      <c r="V79" s="3">
        <v>12755</v>
      </c>
      <c r="W79" s="3">
        <v>12700</v>
      </c>
      <c r="X79" s="3">
        <v>12625</v>
      </c>
      <c r="Y79" s="3">
        <v>12590</v>
      </c>
      <c r="Z79" s="3">
        <v>12690</v>
      </c>
      <c r="AA79" s="3">
        <v>12680</v>
      </c>
      <c r="AB79" s="3">
        <v>13310</v>
      </c>
      <c r="AC79" s="3">
        <v>13315</v>
      </c>
      <c r="AD79" s="3">
        <v>13230</v>
      </c>
      <c r="AE79" s="3">
        <v>13235</v>
      </c>
      <c r="AF79" s="3">
        <v>13855</v>
      </c>
      <c r="AG79" s="3">
        <v>13855</v>
      </c>
      <c r="AH79" s="3">
        <v>14220</v>
      </c>
      <c r="AI79" s="3">
        <v>14220</v>
      </c>
      <c r="AJ79" s="3">
        <v>13935</v>
      </c>
      <c r="AK79" s="3">
        <v>13930</v>
      </c>
      <c r="AL79" s="3">
        <v>13670</v>
      </c>
      <c r="AM79" s="3">
        <v>13680</v>
      </c>
      <c r="AN79" s="3">
        <v>13685</v>
      </c>
      <c r="AO79" s="3">
        <v>13695</v>
      </c>
      <c r="AP79" s="3">
        <v>13695</v>
      </c>
      <c r="AQ79" s="3">
        <v>13690</v>
      </c>
      <c r="AR79" s="4">
        <f t="shared" si="80"/>
        <v>1.6912402428447493E-2</v>
      </c>
      <c r="AS79" s="4">
        <f t="shared" si="52"/>
        <v>1.3419913419913443E-2</v>
      </c>
      <c r="AT79" s="4">
        <f t="shared" si="53"/>
        <v>3.125E-2</v>
      </c>
      <c r="AU79" s="4">
        <f t="shared" si="54"/>
        <v>1.2733446519524572E-2</v>
      </c>
      <c r="AV79" s="4">
        <f t="shared" si="55"/>
        <v>8.5543199315651908E-4</v>
      </c>
      <c r="AW79" s="4">
        <f t="shared" si="56"/>
        <v>1.6441821247892063E-2</v>
      </c>
      <c r="AX79" s="4">
        <f t="shared" si="57"/>
        <v>3.0540652084193098E-2</v>
      </c>
      <c r="AY79" s="4">
        <f t="shared" si="58"/>
        <v>5.8685446009389963E-3</v>
      </c>
      <c r="AZ79" s="4">
        <f t="shared" si="59"/>
        <v>1.5942606616181632E-3</v>
      </c>
      <c r="BA79" s="4">
        <f t="shared" si="60"/>
        <v>1.6161616161616266E-3</v>
      </c>
      <c r="BB79" s="4">
        <f t="shared" si="61"/>
        <v>2.9590595865423674E-2</v>
      </c>
      <c r="BC79" s="4">
        <f t="shared" si="62"/>
        <v>3.5615354174910463E-3</v>
      </c>
      <c r="BD79" s="4">
        <f t="shared" si="63"/>
        <v>1.2461059190031154E-2</v>
      </c>
      <c r="BE79" s="4">
        <f t="shared" si="64"/>
        <v>2.6995757809487042E-2</v>
      </c>
      <c r="BF79" s="4">
        <f t="shared" si="65"/>
        <v>1.1077158135981646E-2</v>
      </c>
      <c r="BG79" s="4">
        <f t="shared" si="66"/>
        <v>3.8995125609298853E-2</v>
      </c>
      <c r="BH79" s="4">
        <f t="shared" si="67"/>
        <v>2.2286125089863384E-2</v>
      </c>
      <c r="BI79" s="4">
        <f t="shared" si="68"/>
        <v>3.9639639639639235E-3</v>
      </c>
      <c r="BJ79" s="4">
        <f t="shared" si="69"/>
        <v>2.9154518950437192E-3</v>
      </c>
      <c r="BK79" s="4">
        <f t="shared" si="70"/>
        <v>7.3072707343802001E-4</v>
      </c>
      <c r="BL79" s="4">
        <f t="shared" si="71"/>
        <v>1.7465626161278225E-2</v>
      </c>
      <c r="BM79" s="4">
        <f t="shared" si="81"/>
        <v>1.3728365643781024E-2</v>
      </c>
      <c r="BN79" s="14">
        <f t="shared" si="82"/>
        <v>13639.715159737074</v>
      </c>
      <c r="BO79" s="15">
        <f t="shared" si="83"/>
        <v>13142.069527796619</v>
      </c>
      <c r="BP79" s="16">
        <v>13695</v>
      </c>
      <c r="BQ79" s="16">
        <v>13705</v>
      </c>
      <c r="BR79" s="16">
        <v>13690</v>
      </c>
      <c r="BS79" s="16">
        <v>13690</v>
      </c>
      <c r="BT79" s="16">
        <v>27718</v>
      </c>
      <c r="BU79" s="15">
        <f t="shared" si="72"/>
        <v>13695</v>
      </c>
      <c r="BV79" s="15">
        <f t="shared" si="73"/>
        <v>379598010</v>
      </c>
      <c r="BW79" s="15">
        <f>SUM($BV$3:BV79)</f>
        <v>132553800915.00003</v>
      </c>
      <c r="BX79" s="15">
        <f>SUM($BT$3:BT79)</f>
        <v>9796253</v>
      </c>
      <c r="BY79" s="15">
        <f t="shared" si="74"/>
        <v>13531.071616361891</v>
      </c>
      <c r="BZ79" s="3">
        <v>77</v>
      </c>
      <c r="CA79" s="3">
        <f t="shared" si="75"/>
        <v>1</v>
      </c>
      <c r="CB79" s="3">
        <f t="shared" si="76"/>
        <v>0</v>
      </c>
      <c r="CC79" s="3">
        <f t="shared" si="77"/>
        <v>1</v>
      </c>
      <c r="CD79" s="6" t="str">
        <f t="shared" si="78"/>
        <v/>
      </c>
      <c r="CE79" s="6">
        <f t="shared" si="79"/>
        <v>1</v>
      </c>
    </row>
    <row r="80" spans="1:83" x14ac:dyDescent="0.3">
      <c r="A80" s="3" t="s">
        <v>120</v>
      </c>
      <c r="B80" s="3">
        <v>11730</v>
      </c>
      <c r="C80" s="3">
        <v>11715</v>
      </c>
      <c r="D80" s="3">
        <v>11390</v>
      </c>
      <c r="E80" s="3">
        <v>11385</v>
      </c>
      <c r="F80" s="3">
        <v>11715</v>
      </c>
      <c r="G80" s="3">
        <v>11720</v>
      </c>
      <c r="H80" s="3">
        <v>11630</v>
      </c>
      <c r="I80" s="3">
        <v>11640</v>
      </c>
      <c r="J80" s="3">
        <v>11685</v>
      </c>
      <c r="K80" s="3">
        <v>11695</v>
      </c>
      <c r="L80" s="3">
        <v>12050</v>
      </c>
      <c r="M80" s="3">
        <v>12040</v>
      </c>
      <c r="N80" s="3">
        <v>12485</v>
      </c>
      <c r="O80" s="3">
        <v>12480</v>
      </c>
      <c r="P80" s="3">
        <v>12700</v>
      </c>
      <c r="Q80" s="3">
        <v>12725</v>
      </c>
      <c r="R80" s="3">
        <v>12555</v>
      </c>
      <c r="S80" s="3">
        <v>12560</v>
      </c>
      <c r="T80" s="3">
        <v>12395</v>
      </c>
      <c r="U80" s="3">
        <v>12370</v>
      </c>
      <c r="V80" s="3">
        <v>12700</v>
      </c>
      <c r="W80" s="3">
        <v>12715</v>
      </c>
      <c r="X80" s="3">
        <v>12595</v>
      </c>
      <c r="Y80" s="3">
        <v>12585</v>
      </c>
      <c r="Z80" s="3">
        <v>12680</v>
      </c>
      <c r="AA80" s="3">
        <v>12675</v>
      </c>
      <c r="AB80" s="3">
        <v>13310</v>
      </c>
      <c r="AC80" s="3">
        <v>13310</v>
      </c>
      <c r="AD80" s="3">
        <v>13230</v>
      </c>
      <c r="AE80" s="3">
        <v>13230</v>
      </c>
      <c r="AF80" s="3">
        <v>13850</v>
      </c>
      <c r="AG80" s="3">
        <v>13845</v>
      </c>
      <c r="AH80" s="3">
        <v>14220</v>
      </c>
      <c r="AI80" s="3">
        <v>14215</v>
      </c>
      <c r="AJ80" s="3">
        <v>13925</v>
      </c>
      <c r="AK80" s="3">
        <v>13920</v>
      </c>
      <c r="AL80" s="3">
        <v>13675</v>
      </c>
      <c r="AM80" s="3">
        <v>13670</v>
      </c>
      <c r="AN80" s="3">
        <v>13695</v>
      </c>
      <c r="AO80" s="3">
        <v>13705</v>
      </c>
      <c r="AP80" s="3">
        <v>13695</v>
      </c>
      <c r="AQ80" s="3">
        <v>13695</v>
      </c>
      <c r="AR80" s="4">
        <f t="shared" si="80"/>
        <v>1.6045099739809165E-2</v>
      </c>
      <c r="AS80" s="4">
        <f t="shared" si="52"/>
        <v>1.4285714285714235E-2</v>
      </c>
      <c r="AT80" s="4">
        <f t="shared" si="53"/>
        <v>3.1690140845070491E-2</v>
      </c>
      <c r="AU80" s="4">
        <f t="shared" si="54"/>
        <v>1.1884550084889645E-2</v>
      </c>
      <c r="AV80" s="4">
        <f t="shared" si="55"/>
        <v>4.2771599657820403E-4</v>
      </c>
      <c r="AW80" s="4">
        <f t="shared" si="56"/>
        <v>1.5177065767284947E-2</v>
      </c>
      <c r="AX80" s="4">
        <f t="shared" si="57"/>
        <v>3.0127940569541822E-2</v>
      </c>
      <c r="AY80" s="4">
        <f t="shared" si="58"/>
        <v>4.3035993740219158E-3</v>
      </c>
      <c r="AZ80" s="4">
        <f t="shared" si="59"/>
        <v>1.1956954962135669E-3</v>
      </c>
      <c r="BA80" s="4">
        <f t="shared" si="60"/>
        <v>4.0404040404040664E-4</v>
      </c>
      <c r="BB80" s="4">
        <f t="shared" si="61"/>
        <v>3.080664775030395E-2</v>
      </c>
      <c r="BC80" s="4">
        <f t="shared" si="62"/>
        <v>3.9572615749901008E-3</v>
      </c>
      <c r="BD80" s="4">
        <f t="shared" si="63"/>
        <v>1.2850467289719614E-2</v>
      </c>
      <c r="BE80" s="4">
        <f t="shared" si="64"/>
        <v>2.6610104126494338E-2</v>
      </c>
      <c r="BF80" s="4">
        <f t="shared" si="65"/>
        <v>1.0695187165775444E-2</v>
      </c>
      <c r="BG80" s="4">
        <f t="shared" si="66"/>
        <v>3.8245219347581516E-2</v>
      </c>
      <c r="BH80" s="4">
        <f t="shared" si="67"/>
        <v>2.1926671459381764E-2</v>
      </c>
      <c r="BI80" s="4">
        <f t="shared" si="68"/>
        <v>3.2432432432432101E-3</v>
      </c>
      <c r="BJ80" s="4">
        <f t="shared" si="69"/>
        <v>3.6443148688046767E-3</v>
      </c>
      <c r="BK80" s="4">
        <f t="shared" si="70"/>
        <v>1.46145414687604E-3</v>
      </c>
      <c r="BL80" s="4">
        <f t="shared" si="71"/>
        <v>1.7837235228539638E-2</v>
      </c>
      <c r="BM80" s="4">
        <f t="shared" si="81"/>
        <v>1.3533703344070598E-2</v>
      </c>
      <c r="BN80" s="14">
        <f t="shared" si="82"/>
        <v>13637.09597849447</v>
      </c>
      <c r="BO80" s="15">
        <f t="shared" si="83"/>
        <v>13144.663402940259</v>
      </c>
      <c r="BP80" s="16">
        <v>13695</v>
      </c>
      <c r="BQ80" s="16">
        <v>13700</v>
      </c>
      <c r="BR80" s="16">
        <v>13690</v>
      </c>
      <c r="BS80" s="16">
        <v>13695</v>
      </c>
      <c r="BT80" s="16">
        <v>8666</v>
      </c>
      <c r="BU80" s="15">
        <f t="shared" si="72"/>
        <v>13695</v>
      </c>
      <c r="BV80" s="15">
        <f t="shared" si="73"/>
        <v>118680870</v>
      </c>
      <c r="BW80" s="15">
        <f>SUM($BV$3:BV80)</f>
        <v>132672481785.00003</v>
      </c>
      <c r="BX80" s="15">
        <f>SUM($BT$3:BT80)</f>
        <v>9804919</v>
      </c>
      <c r="BY80" s="15">
        <f t="shared" si="74"/>
        <v>13531.216503165404</v>
      </c>
      <c r="BZ80" s="3">
        <v>78</v>
      </c>
      <c r="CA80" s="3">
        <f t="shared" si="75"/>
        <v>1</v>
      </c>
      <c r="CB80" s="3">
        <f t="shared" si="76"/>
        <v>0</v>
      </c>
      <c r="CC80" s="3">
        <f t="shared" si="77"/>
        <v>1</v>
      </c>
      <c r="CD80" s="6" t="str">
        <f t="shared" si="78"/>
        <v/>
      </c>
      <c r="CE80" s="6">
        <f t="shared" si="79"/>
        <v>1</v>
      </c>
    </row>
    <row r="81" spans="1:83" x14ac:dyDescent="0.3">
      <c r="A81" s="3" t="s">
        <v>121</v>
      </c>
      <c r="B81" s="3">
        <v>11720</v>
      </c>
      <c r="C81" s="3">
        <v>11740</v>
      </c>
      <c r="D81" s="3">
        <v>11385</v>
      </c>
      <c r="E81" s="3">
        <v>11370</v>
      </c>
      <c r="F81" s="3">
        <v>11720</v>
      </c>
      <c r="G81" s="3">
        <v>11715</v>
      </c>
      <c r="H81" s="3">
        <v>11640</v>
      </c>
      <c r="I81" s="3">
        <v>11645</v>
      </c>
      <c r="J81" s="3">
        <v>11690</v>
      </c>
      <c r="K81" s="3">
        <v>11690</v>
      </c>
      <c r="L81" s="3">
        <v>12045</v>
      </c>
      <c r="M81" s="3">
        <v>12030</v>
      </c>
      <c r="N81" s="3">
        <v>12470</v>
      </c>
      <c r="O81" s="3">
        <v>12470</v>
      </c>
      <c r="P81" s="3">
        <v>12725</v>
      </c>
      <c r="Q81" s="3">
        <v>12720</v>
      </c>
      <c r="R81" s="3">
        <v>12560</v>
      </c>
      <c r="S81" s="3">
        <v>12555</v>
      </c>
      <c r="T81" s="3">
        <v>12375</v>
      </c>
      <c r="U81" s="3">
        <v>12385</v>
      </c>
      <c r="V81" s="3">
        <v>12715</v>
      </c>
      <c r="W81" s="3">
        <v>12745</v>
      </c>
      <c r="X81" s="3">
        <v>12590</v>
      </c>
      <c r="Y81" s="3">
        <v>12585</v>
      </c>
      <c r="Z81" s="3">
        <v>12675</v>
      </c>
      <c r="AA81" s="3">
        <v>12680</v>
      </c>
      <c r="AB81" s="3">
        <v>13310</v>
      </c>
      <c r="AC81" s="3">
        <v>13315</v>
      </c>
      <c r="AD81" s="3">
        <v>13225</v>
      </c>
      <c r="AE81" s="3">
        <v>13245</v>
      </c>
      <c r="AF81" s="3">
        <v>13850</v>
      </c>
      <c r="AG81" s="3">
        <v>13840</v>
      </c>
      <c r="AH81" s="3">
        <v>14215</v>
      </c>
      <c r="AI81" s="3">
        <v>14225</v>
      </c>
      <c r="AJ81" s="3">
        <v>13925</v>
      </c>
      <c r="AK81" s="3">
        <v>13930</v>
      </c>
      <c r="AL81" s="3">
        <v>13675</v>
      </c>
      <c r="AM81" s="3">
        <v>13665</v>
      </c>
      <c r="AN81" s="3">
        <v>13700</v>
      </c>
      <c r="AO81" s="3">
        <v>13695</v>
      </c>
      <c r="AP81" s="3">
        <v>13695</v>
      </c>
      <c r="AQ81" s="3">
        <v>13700</v>
      </c>
      <c r="AR81" s="4">
        <f t="shared" si="80"/>
        <v>1.8213356461405095E-2</v>
      </c>
      <c r="AS81" s="4">
        <f t="shared" si="52"/>
        <v>1.558441558441559E-2</v>
      </c>
      <c r="AT81" s="4">
        <f t="shared" si="53"/>
        <v>3.125E-2</v>
      </c>
      <c r="AU81" s="4">
        <f t="shared" si="54"/>
        <v>1.1460101867572181E-2</v>
      </c>
      <c r="AV81" s="4">
        <f t="shared" si="55"/>
        <v>0</v>
      </c>
      <c r="AW81" s="4">
        <f t="shared" si="56"/>
        <v>1.4333895446880351E-2</v>
      </c>
      <c r="AX81" s="4">
        <f t="shared" si="57"/>
        <v>2.930251754023927E-2</v>
      </c>
      <c r="AY81" s="4">
        <f t="shared" si="58"/>
        <v>4.6948356807511304E-3</v>
      </c>
      <c r="AZ81" s="4">
        <f t="shared" si="59"/>
        <v>7.971303308091926E-4</v>
      </c>
      <c r="BA81" s="4">
        <f t="shared" si="60"/>
        <v>8.0808080808081328E-4</v>
      </c>
      <c r="BB81" s="4">
        <f t="shared" si="61"/>
        <v>3.3238751520064946E-2</v>
      </c>
      <c r="BC81" s="4">
        <f t="shared" si="62"/>
        <v>3.9572615749901008E-3</v>
      </c>
      <c r="BD81" s="4">
        <f t="shared" si="63"/>
        <v>1.2461059190031154E-2</v>
      </c>
      <c r="BE81" s="4">
        <f t="shared" si="64"/>
        <v>2.6995757809487042E-2</v>
      </c>
      <c r="BF81" s="4">
        <f t="shared" si="65"/>
        <v>1.1841100076394273E-2</v>
      </c>
      <c r="BG81" s="4">
        <f t="shared" si="66"/>
        <v>3.7870266216722959E-2</v>
      </c>
      <c r="BH81" s="4">
        <f t="shared" si="67"/>
        <v>2.2645578720345005E-2</v>
      </c>
      <c r="BI81" s="4">
        <f t="shared" si="68"/>
        <v>3.9639639639639235E-3</v>
      </c>
      <c r="BJ81" s="4">
        <f t="shared" si="69"/>
        <v>4.0087463556851555E-3</v>
      </c>
      <c r="BK81" s="4">
        <f t="shared" si="70"/>
        <v>7.3072707343802001E-4</v>
      </c>
      <c r="BL81" s="4">
        <f t="shared" si="71"/>
        <v>1.820884429580083E-2</v>
      </c>
      <c r="BM81" s="4">
        <f t="shared" si="81"/>
        <v>1.3808269775785928E-2</v>
      </c>
      <c r="BN81" s="14">
        <f t="shared" si="82"/>
        <v>13640.7902698332</v>
      </c>
      <c r="BO81" s="15">
        <f t="shared" si="83"/>
        <v>13141.004805237651</v>
      </c>
      <c r="BP81" s="16">
        <v>13695</v>
      </c>
      <c r="BQ81" s="16">
        <v>13705</v>
      </c>
      <c r="BR81" s="16">
        <v>13695</v>
      </c>
      <c r="BS81" s="16">
        <v>13700</v>
      </c>
      <c r="BT81" s="16">
        <v>32126</v>
      </c>
      <c r="BU81" s="15">
        <f t="shared" si="72"/>
        <v>13700</v>
      </c>
      <c r="BV81" s="15">
        <f t="shared" si="73"/>
        <v>440126200</v>
      </c>
      <c r="BW81" s="15">
        <f>SUM($BV$3:BV81)</f>
        <v>133112607985.00003</v>
      </c>
      <c r="BX81" s="15">
        <f>SUM($BT$3:BT81)</f>
        <v>9837045</v>
      </c>
      <c r="BY81" s="15">
        <f t="shared" si="74"/>
        <v>13531.767719371013</v>
      </c>
      <c r="BZ81" s="3">
        <v>79</v>
      </c>
      <c r="CA81" s="3">
        <f t="shared" si="75"/>
        <v>1</v>
      </c>
      <c r="CB81" s="3">
        <f t="shared" si="76"/>
        <v>0</v>
      </c>
      <c r="CC81" s="3">
        <f t="shared" si="77"/>
        <v>1</v>
      </c>
      <c r="CD81" s="6" t="str">
        <f t="shared" si="78"/>
        <v/>
      </c>
      <c r="CE81" s="6">
        <f t="shared" si="79"/>
        <v>1</v>
      </c>
    </row>
    <row r="82" spans="1:83" x14ac:dyDescent="0.3">
      <c r="A82" s="3" t="s">
        <v>122</v>
      </c>
      <c r="B82" s="3">
        <v>11740</v>
      </c>
      <c r="C82" s="3">
        <v>11740</v>
      </c>
      <c r="D82" s="3">
        <v>11360</v>
      </c>
      <c r="E82" s="3">
        <v>11380</v>
      </c>
      <c r="F82" s="3">
        <v>11715</v>
      </c>
      <c r="G82" s="3">
        <v>11720</v>
      </c>
      <c r="H82" s="3">
        <v>11650</v>
      </c>
      <c r="I82" s="3">
        <v>11630</v>
      </c>
      <c r="J82" s="3">
        <v>11685</v>
      </c>
      <c r="K82" s="3">
        <v>11700</v>
      </c>
      <c r="L82" s="3">
        <v>12035</v>
      </c>
      <c r="M82" s="3">
        <v>12050</v>
      </c>
      <c r="N82" s="3">
        <v>12470</v>
      </c>
      <c r="O82" s="3">
        <v>12475</v>
      </c>
      <c r="P82" s="3">
        <v>12720</v>
      </c>
      <c r="Q82" s="3">
        <v>12720</v>
      </c>
      <c r="R82" s="3">
        <v>12555</v>
      </c>
      <c r="S82" s="3">
        <v>12560</v>
      </c>
      <c r="T82" s="3">
        <v>12390</v>
      </c>
      <c r="U82" s="3">
        <v>12375</v>
      </c>
      <c r="V82" s="3">
        <v>12745</v>
      </c>
      <c r="W82" s="3">
        <v>12760</v>
      </c>
      <c r="X82" s="3">
        <v>12585</v>
      </c>
      <c r="Y82" s="3">
        <v>12585</v>
      </c>
      <c r="Z82" s="3">
        <v>12680</v>
      </c>
      <c r="AA82" s="3">
        <v>12670</v>
      </c>
      <c r="AB82" s="3">
        <v>13310</v>
      </c>
      <c r="AC82" s="3">
        <v>13300</v>
      </c>
      <c r="AD82" s="3">
        <v>13245</v>
      </c>
      <c r="AE82" s="3">
        <v>13240</v>
      </c>
      <c r="AF82" s="3">
        <v>13840</v>
      </c>
      <c r="AG82" s="3">
        <v>13850</v>
      </c>
      <c r="AH82" s="3">
        <v>14225</v>
      </c>
      <c r="AI82" s="3">
        <v>14230</v>
      </c>
      <c r="AJ82" s="3">
        <v>13930</v>
      </c>
      <c r="AK82" s="3">
        <v>13910</v>
      </c>
      <c r="AL82" s="3">
        <v>13670</v>
      </c>
      <c r="AM82" s="3">
        <v>13700</v>
      </c>
      <c r="AN82" s="3">
        <v>13690</v>
      </c>
      <c r="AO82" s="3">
        <v>13670</v>
      </c>
      <c r="AP82" s="3">
        <v>13700</v>
      </c>
      <c r="AQ82" s="3">
        <v>13695</v>
      </c>
      <c r="AR82" s="4">
        <f t="shared" si="80"/>
        <v>1.8213356461405095E-2</v>
      </c>
      <c r="AS82" s="4">
        <f t="shared" si="52"/>
        <v>1.4718614718614687E-2</v>
      </c>
      <c r="AT82" s="4">
        <f t="shared" si="53"/>
        <v>3.1690140845070491E-2</v>
      </c>
      <c r="AU82" s="4">
        <f t="shared" si="54"/>
        <v>1.2733446519524572E-2</v>
      </c>
      <c r="AV82" s="4">
        <f t="shared" si="55"/>
        <v>8.554319931566301E-4</v>
      </c>
      <c r="AW82" s="4">
        <f t="shared" si="56"/>
        <v>1.6020236087689765E-2</v>
      </c>
      <c r="AX82" s="4">
        <f t="shared" si="57"/>
        <v>2.9715229054890546E-2</v>
      </c>
      <c r="AY82" s="4">
        <f t="shared" si="58"/>
        <v>4.6948356807511304E-3</v>
      </c>
      <c r="AZ82" s="4">
        <f t="shared" si="59"/>
        <v>1.1956954962135669E-3</v>
      </c>
      <c r="BA82" s="4">
        <f t="shared" si="60"/>
        <v>0</v>
      </c>
      <c r="BB82" s="4">
        <f t="shared" si="61"/>
        <v>3.4454803404945222E-2</v>
      </c>
      <c r="BC82" s="4">
        <f t="shared" si="62"/>
        <v>3.9572615749901008E-3</v>
      </c>
      <c r="BD82" s="4">
        <f t="shared" si="63"/>
        <v>1.3239875389408073E-2</v>
      </c>
      <c r="BE82" s="4">
        <f t="shared" si="64"/>
        <v>2.5838796760509153E-2</v>
      </c>
      <c r="BF82" s="4">
        <f t="shared" si="65"/>
        <v>1.1459129106187849E-2</v>
      </c>
      <c r="BG82" s="4">
        <f t="shared" si="66"/>
        <v>3.8620172478440296E-2</v>
      </c>
      <c r="BH82" s="4">
        <f t="shared" si="67"/>
        <v>2.3005032350826848E-2</v>
      </c>
      <c r="BI82" s="4">
        <f t="shared" si="68"/>
        <v>2.5225225225224968E-3</v>
      </c>
      <c r="BJ82" s="4">
        <f t="shared" si="69"/>
        <v>1.4577259475219151E-3</v>
      </c>
      <c r="BK82" s="4">
        <f t="shared" si="70"/>
        <v>1.096090610157141E-3</v>
      </c>
      <c r="BL82" s="4">
        <f t="shared" si="71"/>
        <v>1.7837235228539638E-2</v>
      </c>
      <c r="BM82" s="4">
        <f t="shared" si="81"/>
        <v>1.3661226455526023E-2</v>
      </c>
      <c r="BN82" s="14">
        <f t="shared" si="82"/>
        <v>13638.811801959102</v>
      </c>
      <c r="BO82" s="15">
        <f t="shared" si="83"/>
        <v>13142.964157480115</v>
      </c>
      <c r="BP82" s="16">
        <v>13700</v>
      </c>
      <c r="BQ82" s="16">
        <v>13705</v>
      </c>
      <c r="BR82" s="16">
        <v>13695</v>
      </c>
      <c r="BS82" s="16">
        <v>13695</v>
      </c>
      <c r="BT82" s="16">
        <v>25076</v>
      </c>
      <c r="BU82" s="15">
        <f t="shared" si="72"/>
        <v>13698.333333333334</v>
      </c>
      <c r="BV82" s="15">
        <f t="shared" si="73"/>
        <v>343499406.66666669</v>
      </c>
      <c r="BW82" s="15">
        <f>SUM($BV$3:BV82)</f>
        <v>133456107391.6667</v>
      </c>
      <c r="BX82" s="15">
        <f>SUM($BT$3:BT82)</f>
        <v>9862121</v>
      </c>
      <c r="BY82" s="15">
        <f t="shared" si="74"/>
        <v>13532.191238747395</v>
      </c>
      <c r="BZ82" s="3">
        <v>80</v>
      </c>
      <c r="CA82" s="3">
        <f t="shared" si="75"/>
        <v>1</v>
      </c>
      <c r="CB82" s="3">
        <f t="shared" si="76"/>
        <v>0</v>
      </c>
      <c r="CC82" s="3">
        <f t="shared" si="77"/>
        <v>1</v>
      </c>
      <c r="CD82" s="6" t="str">
        <f t="shared" si="78"/>
        <v/>
      </c>
      <c r="CE82" s="6">
        <f t="shared" si="79"/>
        <v>1</v>
      </c>
    </row>
    <row r="83" spans="1:83" x14ac:dyDescent="0.3">
      <c r="A83" s="3" t="s">
        <v>123</v>
      </c>
      <c r="B83" s="3">
        <v>11740</v>
      </c>
      <c r="C83" s="3">
        <v>11740</v>
      </c>
      <c r="D83" s="3">
        <v>11375</v>
      </c>
      <c r="E83" s="3">
        <v>11380</v>
      </c>
      <c r="F83" s="3">
        <v>11725</v>
      </c>
      <c r="G83" s="3">
        <v>11750</v>
      </c>
      <c r="H83" s="3">
        <v>11630</v>
      </c>
      <c r="I83" s="3">
        <v>11620</v>
      </c>
      <c r="J83" s="3">
        <v>11700</v>
      </c>
      <c r="K83" s="3">
        <v>11690</v>
      </c>
      <c r="L83" s="3">
        <v>12050</v>
      </c>
      <c r="M83" s="3">
        <v>12065</v>
      </c>
      <c r="N83" s="3">
        <v>12475</v>
      </c>
      <c r="O83" s="3">
        <v>12490</v>
      </c>
      <c r="P83" s="3">
        <v>12720</v>
      </c>
      <c r="Q83" s="3">
        <v>12695</v>
      </c>
      <c r="R83" s="3">
        <v>12560</v>
      </c>
      <c r="S83" s="3">
        <v>12545</v>
      </c>
      <c r="T83" s="3">
        <v>12375</v>
      </c>
      <c r="U83" s="3">
        <v>12375</v>
      </c>
      <c r="V83" s="3">
        <v>12765</v>
      </c>
      <c r="W83" s="3">
        <v>12775</v>
      </c>
      <c r="X83" s="3">
        <v>12590</v>
      </c>
      <c r="Y83" s="3">
        <v>12580</v>
      </c>
      <c r="Z83" s="3">
        <v>12665</v>
      </c>
      <c r="AA83" s="3">
        <v>12680</v>
      </c>
      <c r="AB83" s="3">
        <v>13300</v>
      </c>
      <c r="AC83" s="3">
        <v>13270</v>
      </c>
      <c r="AD83" s="3">
        <v>13240</v>
      </c>
      <c r="AE83" s="3">
        <v>13240</v>
      </c>
      <c r="AF83" s="3">
        <v>13850</v>
      </c>
      <c r="AG83" s="3">
        <v>13830</v>
      </c>
      <c r="AH83" s="3">
        <v>14235</v>
      </c>
      <c r="AI83" s="3">
        <v>14220</v>
      </c>
      <c r="AJ83" s="3">
        <v>13910</v>
      </c>
      <c r="AK83" s="3">
        <v>13915</v>
      </c>
      <c r="AL83" s="3">
        <v>13705</v>
      </c>
      <c r="AM83" s="3">
        <v>13700</v>
      </c>
      <c r="AN83" s="3">
        <v>13675</v>
      </c>
      <c r="AO83" s="3">
        <v>13685</v>
      </c>
      <c r="AP83" s="3">
        <v>13700</v>
      </c>
      <c r="AQ83" s="3">
        <v>13710</v>
      </c>
      <c r="AR83" s="4">
        <f t="shared" si="80"/>
        <v>1.8213356461405095E-2</v>
      </c>
      <c r="AS83" s="4">
        <f t="shared" si="52"/>
        <v>1.4718614718614687E-2</v>
      </c>
      <c r="AT83" s="4">
        <f t="shared" si="53"/>
        <v>3.4330985915492995E-2</v>
      </c>
      <c r="AU83" s="4">
        <f t="shared" si="54"/>
        <v>1.358234295415961E-2</v>
      </c>
      <c r="AV83" s="4">
        <f t="shared" si="55"/>
        <v>0</v>
      </c>
      <c r="AW83" s="4">
        <f t="shared" si="56"/>
        <v>1.7284991568296881E-2</v>
      </c>
      <c r="AX83" s="4">
        <f t="shared" si="57"/>
        <v>3.0953363598844374E-2</v>
      </c>
      <c r="AY83" s="4">
        <f t="shared" si="58"/>
        <v>6.6510172143975366E-3</v>
      </c>
      <c r="AZ83" s="4">
        <f t="shared" si="59"/>
        <v>0</v>
      </c>
      <c r="BA83" s="4">
        <f t="shared" si="60"/>
        <v>0</v>
      </c>
      <c r="BB83" s="4">
        <f t="shared" si="61"/>
        <v>3.567085528982572E-2</v>
      </c>
      <c r="BC83" s="4">
        <f t="shared" si="62"/>
        <v>4.3529877324891553E-3</v>
      </c>
      <c r="BD83" s="4">
        <f t="shared" si="63"/>
        <v>1.2461059190031154E-2</v>
      </c>
      <c r="BE83" s="4">
        <f t="shared" si="64"/>
        <v>2.352487466255293E-2</v>
      </c>
      <c r="BF83" s="4">
        <f t="shared" si="65"/>
        <v>1.1459129106187849E-2</v>
      </c>
      <c r="BG83" s="4">
        <f t="shared" si="66"/>
        <v>3.7120359955005622E-2</v>
      </c>
      <c r="BH83" s="4">
        <f t="shared" si="67"/>
        <v>2.2286125089863384E-2</v>
      </c>
      <c r="BI83" s="4">
        <f t="shared" si="68"/>
        <v>2.8828828828828534E-3</v>
      </c>
      <c r="BJ83" s="4">
        <f t="shared" si="69"/>
        <v>1.4577259475219151E-3</v>
      </c>
      <c r="BK83" s="4">
        <f t="shared" si="70"/>
        <v>0</v>
      </c>
      <c r="BL83" s="4">
        <f t="shared" si="71"/>
        <v>1.8952062430323213E-2</v>
      </c>
      <c r="BM83" s="4">
        <f t="shared" si="81"/>
        <v>1.3487170047828749E-2</v>
      </c>
      <c r="BN83" s="14">
        <f t="shared" si="82"/>
        <v>13636.469872993535</v>
      </c>
      <c r="BO83" s="15">
        <f t="shared" si="83"/>
        <v>13145.283459112683</v>
      </c>
      <c r="BP83" s="16">
        <v>13700</v>
      </c>
      <c r="BQ83" s="16">
        <v>13715</v>
      </c>
      <c r="BR83" s="16">
        <v>13700</v>
      </c>
      <c r="BS83" s="16">
        <v>13710</v>
      </c>
      <c r="BT83" s="16">
        <v>58247</v>
      </c>
      <c r="BU83" s="15">
        <f t="shared" si="72"/>
        <v>13708.333333333334</v>
      </c>
      <c r="BV83" s="15">
        <f t="shared" si="73"/>
        <v>798469291.66666675</v>
      </c>
      <c r="BW83" s="15">
        <f>SUM($BV$3:BV83)</f>
        <v>134254576683.33337</v>
      </c>
      <c r="BX83" s="15">
        <f>SUM($BT$3:BT83)</f>
        <v>9920368</v>
      </c>
      <c r="BY83" s="15">
        <f t="shared" si="74"/>
        <v>13533.225449230651</v>
      </c>
      <c r="BZ83" s="3">
        <v>81</v>
      </c>
      <c r="CA83" s="3">
        <f t="shared" si="75"/>
        <v>1</v>
      </c>
      <c r="CB83" s="3">
        <f t="shared" si="76"/>
        <v>0</v>
      </c>
      <c r="CC83" s="3">
        <f t="shared" si="77"/>
        <v>1</v>
      </c>
      <c r="CD83" s="6" t="str">
        <f t="shared" si="78"/>
        <v/>
      </c>
      <c r="CE83" s="6">
        <f t="shared" si="79"/>
        <v>1</v>
      </c>
    </row>
    <row r="84" spans="1:83" x14ac:dyDescent="0.3">
      <c r="A84" s="3" t="s">
        <v>124</v>
      </c>
      <c r="B84" s="3">
        <v>11740</v>
      </c>
      <c r="C84" s="3">
        <v>11730</v>
      </c>
      <c r="D84" s="3">
        <v>11380</v>
      </c>
      <c r="E84" s="3">
        <v>11380</v>
      </c>
      <c r="F84" s="3">
        <v>11750</v>
      </c>
      <c r="G84" s="3">
        <v>11745</v>
      </c>
      <c r="H84" s="3">
        <v>11615</v>
      </c>
      <c r="I84" s="3">
        <v>11615</v>
      </c>
      <c r="J84" s="3">
        <v>11690</v>
      </c>
      <c r="K84" s="3">
        <v>11685</v>
      </c>
      <c r="L84" s="3">
        <v>12065</v>
      </c>
      <c r="M84" s="3">
        <v>12045</v>
      </c>
      <c r="N84" s="3">
        <v>12485</v>
      </c>
      <c r="O84" s="3">
        <v>12490</v>
      </c>
      <c r="P84" s="3">
        <v>12695</v>
      </c>
      <c r="Q84" s="3">
        <v>12705</v>
      </c>
      <c r="R84" s="3">
        <v>12545</v>
      </c>
      <c r="S84" s="3">
        <v>12545</v>
      </c>
      <c r="T84" s="3">
        <v>12370</v>
      </c>
      <c r="U84" s="3">
        <v>12365</v>
      </c>
      <c r="V84" s="3">
        <v>12775</v>
      </c>
      <c r="W84" s="3">
        <v>12775</v>
      </c>
      <c r="X84" s="3">
        <v>12575</v>
      </c>
      <c r="Y84" s="3">
        <v>12570</v>
      </c>
      <c r="Z84" s="3">
        <v>12680</v>
      </c>
      <c r="AA84" s="3">
        <v>12675</v>
      </c>
      <c r="AB84" s="3">
        <v>13270</v>
      </c>
      <c r="AC84" s="3">
        <v>13290</v>
      </c>
      <c r="AD84" s="3">
        <v>13235</v>
      </c>
      <c r="AE84" s="3">
        <v>13230</v>
      </c>
      <c r="AF84" s="3">
        <v>13830</v>
      </c>
      <c r="AG84" s="3">
        <v>13830</v>
      </c>
      <c r="AH84" s="3">
        <v>14225</v>
      </c>
      <c r="AI84" s="3">
        <v>14210</v>
      </c>
      <c r="AJ84" s="3">
        <v>13910</v>
      </c>
      <c r="AK84" s="3">
        <v>13895</v>
      </c>
      <c r="AL84" s="3">
        <v>13695</v>
      </c>
      <c r="AM84" s="3">
        <v>13720</v>
      </c>
      <c r="AN84" s="3">
        <v>13685</v>
      </c>
      <c r="AO84" s="3">
        <v>13695</v>
      </c>
      <c r="AP84" s="3">
        <v>13710</v>
      </c>
      <c r="AQ84" s="3">
        <v>13700</v>
      </c>
      <c r="AR84" s="4">
        <f t="shared" si="80"/>
        <v>1.7346053772766767E-2</v>
      </c>
      <c r="AS84" s="4">
        <f t="shared" si="52"/>
        <v>1.4718614718614687E-2</v>
      </c>
      <c r="AT84" s="4">
        <f t="shared" si="53"/>
        <v>3.3890845070422504E-2</v>
      </c>
      <c r="AU84" s="4">
        <f t="shared" si="54"/>
        <v>1.4006791171477073E-2</v>
      </c>
      <c r="AV84" s="4">
        <f t="shared" si="55"/>
        <v>4.2771599657831505E-4</v>
      </c>
      <c r="AW84" s="4">
        <f t="shared" si="56"/>
        <v>1.5598650927487245E-2</v>
      </c>
      <c r="AX84" s="4">
        <f t="shared" si="57"/>
        <v>3.0953363598844374E-2</v>
      </c>
      <c r="AY84" s="4">
        <f t="shared" si="58"/>
        <v>5.8685446009389963E-3</v>
      </c>
      <c r="AZ84" s="4">
        <f t="shared" si="59"/>
        <v>0</v>
      </c>
      <c r="BA84" s="4">
        <f t="shared" si="60"/>
        <v>8.0808080808081328E-4</v>
      </c>
      <c r="BB84" s="4">
        <f t="shared" si="61"/>
        <v>3.567085528982572E-2</v>
      </c>
      <c r="BC84" s="4">
        <f t="shared" si="62"/>
        <v>5.1444400474871532E-3</v>
      </c>
      <c r="BD84" s="4">
        <f t="shared" si="63"/>
        <v>1.2850467289719614E-2</v>
      </c>
      <c r="BE84" s="4">
        <f t="shared" si="64"/>
        <v>2.5067489394523745E-2</v>
      </c>
      <c r="BF84" s="4">
        <f t="shared" si="65"/>
        <v>1.0695187165775444E-2</v>
      </c>
      <c r="BG84" s="4">
        <f t="shared" si="66"/>
        <v>3.7120359955005622E-2</v>
      </c>
      <c r="BH84" s="4">
        <f t="shared" si="67"/>
        <v>2.1567217828900143E-2</v>
      </c>
      <c r="BI84" s="4">
        <f t="shared" si="68"/>
        <v>1.4414414414414267E-3</v>
      </c>
      <c r="BJ84" s="4">
        <f t="shared" si="69"/>
        <v>0</v>
      </c>
      <c r="BK84" s="4">
        <f t="shared" si="70"/>
        <v>7.3072707343802001E-4</v>
      </c>
      <c r="BL84" s="4">
        <f t="shared" si="71"/>
        <v>1.820884429580083E-2</v>
      </c>
      <c r="BM84" s="4">
        <f t="shared" si="81"/>
        <v>1.3422726749570077E-2</v>
      </c>
      <c r="BN84" s="14">
        <f t="shared" si="82"/>
        <v>13635.602788415466</v>
      </c>
      <c r="BO84" s="15">
        <f t="shared" si="83"/>
        <v>13146.142166061978</v>
      </c>
      <c r="BP84" s="16">
        <v>13710</v>
      </c>
      <c r="BQ84" s="16">
        <v>13715</v>
      </c>
      <c r="BR84" s="16">
        <v>13685</v>
      </c>
      <c r="BS84" s="16">
        <v>13700</v>
      </c>
      <c r="BT84" s="16">
        <v>83334</v>
      </c>
      <c r="BU84" s="15">
        <f t="shared" si="72"/>
        <v>13700</v>
      </c>
      <c r="BV84" s="15">
        <f t="shared" si="73"/>
        <v>1141675800</v>
      </c>
      <c r="BW84" s="15">
        <f>SUM($BV$3:BV84)</f>
        <v>135396252483.33337</v>
      </c>
      <c r="BX84" s="15">
        <f>SUM($BT$3:BT84)</f>
        <v>10003702</v>
      </c>
      <c r="BY84" s="15">
        <f t="shared" si="74"/>
        <v>13534.614733958826</v>
      </c>
      <c r="BZ84" s="3">
        <v>82</v>
      </c>
      <c r="CA84" s="3">
        <f t="shared" si="75"/>
        <v>1</v>
      </c>
      <c r="CB84" s="3">
        <f t="shared" si="76"/>
        <v>0</v>
      </c>
      <c r="CC84" s="3">
        <f t="shared" si="77"/>
        <v>1</v>
      </c>
      <c r="CD84" s="6" t="str">
        <f t="shared" si="78"/>
        <v/>
      </c>
      <c r="CE84" s="6">
        <f t="shared" si="79"/>
        <v>1</v>
      </c>
    </row>
    <row r="85" spans="1:83" x14ac:dyDescent="0.3">
      <c r="A85" s="3" t="s">
        <v>125</v>
      </c>
      <c r="B85" s="3">
        <v>11730</v>
      </c>
      <c r="C85" s="3">
        <v>11740</v>
      </c>
      <c r="D85" s="3">
        <v>11380</v>
      </c>
      <c r="E85" s="3">
        <v>11400</v>
      </c>
      <c r="F85" s="3">
        <v>11750</v>
      </c>
      <c r="G85" s="3">
        <v>11730</v>
      </c>
      <c r="H85" s="3">
        <v>11615</v>
      </c>
      <c r="I85" s="3">
        <v>11650</v>
      </c>
      <c r="J85" s="3">
        <v>11690</v>
      </c>
      <c r="K85" s="3">
        <v>11690</v>
      </c>
      <c r="L85" s="3">
        <v>12045</v>
      </c>
      <c r="M85" s="3">
        <v>12030</v>
      </c>
      <c r="N85" s="3">
        <v>12490</v>
      </c>
      <c r="O85" s="3">
        <v>12495</v>
      </c>
      <c r="P85" s="3">
        <v>12710</v>
      </c>
      <c r="Q85" s="3">
        <v>12715</v>
      </c>
      <c r="R85" s="3">
        <v>12545</v>
      </c>
      <c r="S85" s="3">
        <v>12540</v>
      </c>
      <c r="T85" s="3">
        <v>12360</v>
      </c>
      <c r="U85" s="3">
        <v>12360</v>
      </c>
      <c r="V85" s="3">
        <v>12775</v>
      </c>
      <c r="W85" s="3">
        <v>12780</v>
      </c>
      <c r="X85" s="3">
        <v>12565</v>
      </c>
      <c r="Y85" s="3">
        <v>12550</v>
      </c>
      <c r="Z85" s="3">
        <v>12680</v>
      </c>
      <c r="AA85" s="3">
        <v>12690</v>
      </c>
      <c r="AB85" s="3">
        <v>13285</v>
      </c>
      <c r="AC85" s="3">
        <v>13280</v>
      </c>
      <c r="AD85" s="3">
        <v>13225</v>
      </c>
      <c r="AE85" s="3">
        <v>13230</v>
      </c>
      <c r="AF85" s="3">
        <v>13830</v>
      </c>
      <c r="AG85" s="3">
        <v>13785</v>
      </c>
      <c r="AH85" s="3">
        <v>14210</v>
      </c>
      <c r="AI85" s="3">
        <v>14215</v>
      </c>
      <c r="AJ85" s="3">
        <v>13895</v>
      </c>
      <c r="AK85" s="3">
        <v>13905</v>
      </c>
      <c r="AL85" s="3">
        <v>13720</v>
      </c>
      <c r="AM85" s="3">
        <v>13725</v>
      </c>
      <c r="AN85" s="3">
        <v>13695</v>
      </c>
      <c r="AO85" s="3">
        <v>13675</v>
      </c>
      <c r="AP85" s="3">
        <v>13700</v>
      </c>
      <c r="AQ85" s="3">
        <v>13720</v>
      </c>
      <c r="AR85" s="4">
        <f t="shared" si="80"/>
        <v>1.8213356461405095E-2</v>
      </c>
      <c r="AS85" s="4">
        <f t="shared" si="52"/>
        <v>1.2987012987012991E-2</v>
      </c>
      <c r="AT85" s="4">
        <f t="shared" si="53"/>
        <v>3.2570422535211252E-2</v>
      </c>
      <c r="AU85" s="4">
        <f t="shared" si="54"/>
        <v>1.1035653650254718E-2</v>
      </c>
      <c r="AV85" s="4">
        <f t="shared" si="55"/>
        <v>0</v>
      </c>
      <c r="AW85" s="4">
        <f t="shared" si="56"/>
        <v>1.4333895446880351E-2</v>
      </c>
      <c r="AX85" s="4">
        <f t="shared" si="57"/>
        <v>3.1366075113495651E-2</v>
      </c>
      <c r="AY85" s="4">
        <f t="shared" si="58"/>
        <v>5.0860719874804561E-3</v>
      </c>
      <c r="AZ85" s="4">
        <f t="shared" si="59"/>
        <v>3.985651654045963E-4</v>
      </c>
      <c r="BA85" s="4">
        <f t="shared" si="60"/>
        <v>1.2121212121212199E-3</v>
      </c>
      <c r="BB85" s="4">
        <f t="shared" si="61"/>
        <v>3.607620591811922E-2</v>
      </c>
      <c r="BC85" s="4">
        <f t="shared" si="62"/>
        <v>6.7273446774831491E-3</v>
      </c>
      <c r="BD85" s="4">
        <f t="shared" si="63"/>
        <v>1.1682242990654235E-2</v>
      </c>
      <c r="BE85" s="4">
        <f t="shared" si="64"/>
        <v>2.4296182028538338E-2</v>
      </c>
      <c r="BF85" s="4">
        <f t="shared" si="65"/>
        <v>1.0695187165775444E-2</v>
      </c>
      <c r="BG85" s="4">
        <f t="shared" si="66"/>
        <v>3.3745781777277939E-2</v>
      </c>
      <c r="BH85" s="4">
        <f t="shared" si="67"/>
        <v>2.1926671459381764E-2</v>
      </c>
      <c r="BI85" s="4">
        <f t="shared" si="68"/>
        <v>2.1621621621621401E-3</v>
      </c>
      <c r="BJ85" s="4">
        <f t="shared" si="69"/>
        <v>3.6443148688047877E-4</v>
      </c>
      <c r="BK85" s="4">
        <f t="shared" si="70"/>
        <v>7.3072707343802001E-4</v>
      </c>
      <c r="BL85" s="4">
        <f t="shared" si="71"/>
        <v>1.9695280564845818E-2</v>
      </c>
      <c r="BM85" s="4">
        <f t="shared" si="81"/>
        <v>1.3319269301300904E-2</v>
      </c>
      <c r="BN85" s="14">
        <f t="shared" si="82"/>
        <v>13634.210768449004</v>
      </c>
      <c r="BO85" s="15">
        <f t="shared" si="83"/>
        <v>13147.520736560165</v>
      </c>
      <c r="BP85" s="16">
        <v>13700</v>
      </c>
      <c r="BQ85" s="16">
        <v>13720</v>
      </c>
      <c r="BR85" s="16">
        <v>13700</v>
      </c>
      <c r="BS85" s="16">
        <v>13720</v>
      </c>
      <c r="BT85" s="16">
        <v>49486</v>
      </c>
      <c r="BU85" s="15">
        <f t="shared" si="72"/>
        <v>13713.333333333334</v>
      </c>
      <c r="BV85" s="15">
        <f t="shared" si="73"/>
        <v>678618013.33333337</v>
      </c>
      <c r="BW85" s="15">
        <f>SUM($BV$3:BV85)</f>
        <v>136074870496.6667</v>
      </c>
      <c r="BX85" s="15">
        <f>SUM($BT$3:BT85)</f>
        <v>10053188</v>
      </c>
      <c r="BY85" s="15">
        <f t="shared" si="74"/>
        <v>13535.494461723654</v>
      </c>
      <c r="BZ85" s="3">
        <v>83</v>
      </c>
      <c r="CA85" s="3">
        <f t="shared" si="75"/>
        <v>1</v>
      </c>
      <c r="CB85" s="3">
        <f t="shared" si="76"/>
        <v>0</v>
      </c>
      <c r="CC85" s="3">
        <f t="shared" si="77"/>
        <v>1</v>
      </c>
      <c r="CD85" s="6" t="str">
        <f t="shared" si="78"/>
        <v/>
      </c>
      <c r="CE85" s="6">
        <f t="shared" si="79"/>
        <v>1</v>
      </c>
    </row>
    <row r="86" spans="1:83" x14ac:dyDescent="0.3">
      <c r="A86" s="3" t="s">
        <v>126</v>
      </c>
      <c r="B86" s="3">
        <v>11740</v>
      </c>
      <c r="C86" s="3">
        <v>11735</v>
      </c>
      <c r="D86" s="3">
        <v>11400</v>
      </c>
      <c r="E86" s="3">
        <v>11405</v>
      </c>
      <c r="F86" s="3">
        <v>11730</v>
      </c>
      <c r="G86" s="3">
        <v>11725</v>
      </c>
      <c r="H86" s="3">
        <v>11650</v>
      </c>
      <c r="I86" s="3">
        <v>11630</v>
      </c>
      <c r="J86" s="3">
        <v>11690</v>
      </c>
      <c r="K86" s="3">
        <v>11685</v>
      </c>
      <c r="L86" s="3">
        <v>12030</v>
      </c>
      <c r="M86" s="3">
        <v>12035</v>
      </c>
      <c r="N86" s="3">
        <v>12490</v>
      </c>
      <c r="O86" s="3">
        <v>12495</v>
      </c>
      <c r="P86" s="3">
        <v>12720</v>
      </c>
      <c r="Q86" s="3">
        <v>12720</v>
      </c>
      <c r="R86" s="3">
        <v>12535</v>
      </c>
      <c r="S86" s="3">
        <v>12520</v>
      </c>
      <c r="T86" s="3">
        <v>12360</v>
      </c>
      <c r="U86" s="3">
        <v>12345</v>
      </c>
      <c r="V86" s="3">
        <v>12780</v>
      </c>
      <c r="W86" s="3">
        <v>12775</v>
      </c>
      <c r="X86" s="3">
        <v>12550</v>
      </c>
      <c r="Y86" s="3">
        <v>12515</v>
      </c>
      <c r="Z86" s="3">
        <v>12690</v>
      </c>
      <c r="AA86" s="3">
        <v>12665</v>
      </c>
      <c r="AB86" s="3">
        <v>13285</v>
      </c>
      <c r="AC86" s="3">
        <v>13275</v>
      </c>
      <c r="AD86" s="3">
        <v>13220</v>
      </c>
      <c r="AE86" s="3">
        <v>13205</v>
      </c>
      <c r="AF86" s="3">
        <v>13780</v>
      </c>
      <c r="AG86" s="3">
        <v>13805</v>
      </c>
      <c r="AH86" s="3">
        <v>14215</v>
      </c>
      <c r="AI86" s="3">
        <v>14210</v>
      </c>
      <c r="AJ86" s="3">
        <v>13905</v>
      </c>
      <c r="AK86" s="3">
        <v>13910</v>
      </c>
      <c r="AL86" s="3">
        <v>13725</v>
      </c>
      <c r="AM86" s="3">
        <v>13735</v>
      </c>
      <c r="AN86" s="3">
        <v>13675</v>
      </c>
      <c r="AO86" s="3">
        <v>13685</v>
      </c>
      <c r="AP86" s="3">
        <v>13720</v>
      </c>
      <c r="AQ86" s="3">
        <v>13745</v>
      </c>
      <c r="AR86" s="4">
        <f t="shared" si="80"/>
        <v>1.777970511708582E-2</v>
      </c>
      <c r="AS86" s="4">
        <f t="shared" si="52"/>
        <v>1.255411255411254E-2</v>
      </c>
      <c r="AT86" s="4">
        <f t="shared" si="53"/>
        <v>3.2130281690140761E-2</v>
      </c>
      <c r="AU86" s="4">
        <f t="shared" si="54"/>
        <v>1.2733446519524572E-2</v>
      </c>
      <c r="AV86" s="4">
        <f t="shared" si="55"/>
        <v>4.2771599657831505E-4</v>
      </c>
      <c r="AW86" s="4">
        <f t="shared" si="56"/>
        <v>1.4755480607082649E-2</v>
      </c>
      <c r="AX86" s="4">
        <f t="shared" si="57"/>
        <v>3.1366075113495651E-2</v>
      </c>
      <c r="AY86" s="4">
        <f t="shared" si="58"/>
        <v>4.6948356807511304E-3</v>
      </c>
      <c r="AZ86" s="4">
        <f t="shared" si="59"/>
        <v>1.9928258270227595E-3</v>
      </c>
      <c r="BA86" s="4">
        <f t="shared" si="60"/>
        <v>2.4242424242424399E-3</v>
      </c>
      <c r="BB86" s="4">
        <f t="shared" si="61"/>
        <v>3.567085528982572E-2</v>
      </c>
      <c r="BC86" s="4">
        <f t="shared" si="62"/>
        <v>9.4974277799763085E-3</v>
      </c>
      <c r="BD86" s="4">
        <f t="shared" si="63"/>
        <v>1.3629283489096533E-2</v>
      </c>
      <c r="BE86" s="4">
        <f t="shared" si="64"/>
        <v>2.3910528345545634E-2</v>
      </c>
      <c r="BF86" s="4">
        <f t="shared" si="65"/>
        <v>8.7853323147439877E-3</v>
      </c>
      <c r="BG86" s="4">
        <f t="shared" si="66"/>
        <v>3.5245594300712391E-2</v>
      </c>
      <c r="BH86" s="4">
        <f t="shared" si="67"/>
        <v>2.1567217828900143E-2</v>
      </c>
      <c r="BI86" s="4">
        <f t="shared" si="68"/>
        <v>2.5225225225224968E-3</v>
      </c>
      <c r="BJ86" s="4">
        <f t="shared" si="69"/>
        <v>1.0932944606414363E-3</v>
      </c>
      <c r="BK86" s="4">
        <f t="shared" si="70"/>
        <v>0</v>
      </c>
      <c r="BL86" s="4">
        <f t="shared" si="71"/>
        <v>2.1553325901151998E-2</v>
      </c>
      <c r="BM86" s="4">
        <f t="shared" si="81"/>
        <v>1.374285966981976E-2</v>
      </c>
      <c r="BN86" s="14">
        <f t="shared" si="82"/>
        <v>13639.910176857424</v>
      </c>
      <c r="BO86" s="15">
        <f t="shared" si="83"/>
        <v>13141.876394899651</v>
      </c>
      <c r="BP86" s="16">
        <v>13720</v>
      </c>
      <c r="BQ86" s="16">
        <v>13755</v>
      </c>
      <c r="BR86" s="16">
        <v>13720</v>
      </c>
      <c r="BS86" s="16">
        <v>13745</v>
      </c>
      <c r="BT86" s="16">
        <v>306239</v>
      </c>
      <c r="BU86" s="15">
        <f t="shared" si="72"/>
        <v>13740</v>
      </c>
      <c r="BV86" s="15">
        <f t="shared" si="73"/>
        <v>4207723860</v>
      </c>
      <c r="BW86" s="15">
        <f>SUM($BV$3:BV86)</f>
        <v>140282594356.66669</v>
      </c>
      <c r="BX86" s="15">
        <f>SUM($BT$3:BT86)</f>
        <v>10359427</v>
      </c>
      <c r="BY86" s="15">
        <f t="shared" si="74"/>
        <v>13541.539928479315</v>
      </c>
      <c r="BZ86" s="3">
        <v>84</v>
      </c>
      <c r="CA86" s="3">
        <f t="shared" si="75"/>
        <v>1</v>
      </c>
      <c r="CB86" s="3">
        <f t="shared" si="76"/>
        <v>0</v>
      </c>
      <c r="CC86" s="3">
        <f t="shared" si="77"/>
        <v>1</v>
      </c>
      <c r="CD86" s="6" t="str">
        <f t="shared" si="78"/>
        <v/>
      </c>
      <c r="CE86" s="6">
        <f t="shared" si="79"/>
        <v>1</v>
      </c>
    </row>
    <row r="87" spans="1:83" x14ac:dyDescent="0.3">
      <c r="A87" s="3" t="s">
        <v>127</v>
      </c>
      <c r="B87" s="3">
        <v>11735</v>
      </c>
      <c r="C87" s="3">
        <v>11740</v>
      </c>
      <c r="D87" s="3">
        <v>11405</v>
      </c>
      <c r="E87" s="3">
        <v>11395</v>
      </c>
      <c r="F87" s="3">
        <v>11725</v>
      </c>
      <c r="G87" s="3">
        <v>11715</v>
      </c>
      <c r="H87" s="3">
        <v>11630</v>
      </c>
      <c r="I87" s="3">
        <v>11640</v>
      </c>
      <c r="J87" s="3">
        <v>11685</v>
      </c>
      <c r="K87" s="3">
        <v>11685</v>
      </c>
      <c r="L87" s="3">
        <v>12035</v>
      </c>
      <c r="M87" s="3">
        <v>12050</v>
      </c>
      <c r="N87" s="3">
        <v>12500</v>
      </c>
      <c r="O87" s="3">
        <v>12495</v>
      </c>
      <c r="P87" s="3">
        <v>12720</v>
      </c>
      <c r="Q87" s="3">
        <v>12715</v>
      </c>
      <c r="R87" s="3">
        <v>12520</v>
      </c>
      <c r="S87" s="3">
        <v>12505</v>
      </c>
      <c r="T87" s="3">
        <v>12345</v>
      </c>
      <c r="U87" s="3">
        <v>12350</v>
      </c>
      <c r="V87" s="3">
        <v>12775</v>
      </c>
      <c r="W87" s="3">
        <v>12770</v>
      </c>
      <c r="X87" s="3">
        <v>12515</v>
      </c>
      <c r="Y87" s="3">
        <v>12525</v>
      </c>
      <c r="Z87" s="3">
        <v>12665</v>
      </c>
      <c r="AA87" s="3">
        <v>12690</v>
      </c>
      <c r="AB87" s="3">
        <v>13280</v>
      </c>
      <c r="AC87" s="3">
        <v>13290</v>
      </c>
      <c r="AD87" s="3">
        <v>13210</v>
      </c>
      <c r="AE87" s="3">
        <v>13210</v>
      </c>
      <c r="AF87" s="3">
        <v>13805</v>
      </c>
      <c r="AG87" s="3">
        <v>13795</v>
      </c>
      <c r="AH87" s="3">
        <v>14210</v>
      </c>
      <c r="AI87" s="3">
        <v>14200</v>
      </c>
      <c r="AJ87" s="3">
        <v>13910</v>
      </c>
      <c r="AK87" s="3">
        <v>13885</v>
      </c>
      <c r="AL87" s="3">
        <v>13735</v>
      </c>
      <c r="AM87" s="3">
        <v>13725</v>
      </c>
      <c r="AN87" s="3">
        <v>13685</v>
      </c>
      <c r="AO87" s="3">
        <v>13695</v>
      </c>
      <c r="AP87" s="3">
        <v>13745</v>
      </c>
      <c r="AQ87" s="3">
        <v>13750</v>
      </c>
      <c r="AR87" s="4">
        <f t="shared" si="80"/>
        <v>1.8213356461405095E-2</v>
      </c>
      <c r="AS87" s="4">
        <f t="shared" si="52"/>
        <v>1.3419913419913443E-2</v>
      </c>
      <c r="AT87" s="4">
        <f t="shared" si="53"/>
        <v>3.125E-2</v>
      </c>
      <c r="AU87" s="4">
        <f t="shared" si="54"/>
        <v>1.1884550084889645E-2</v>
      </c>
      <c r="AV87" s="4">
        <f t="shared" si="55"/>
        <v>4.2771599657831505E-4</v>
      </c>
      <c r="AW87" s="4">
        <f t="shared" si="56"/>
        <v>1.6020236087689765E-2</v>
      </c>
      <c r="AX87" s="4">
        <f t="shared" si="57"/>
        <v>3.1366075113495651E-2</v>
      </c>
      <c r="AY87" s="4">
        <f t="shared" si="58"/>
        <v>5.0860719874804561E-3</v>
      </c>
      <c r="AZ87" s="4">
        <f t="shared" si="59"/>
        <v>3.1885213232363263E-3</v>
      </c>
      <c r="BA87" s="4">
        <f t="shared" si="60"/>
        <v>2.0202020202020332E-3</v>
      </c>
      <c r="BB87" s="4">
        <f t="shared" si="61"/>
        <v>3.5265504661532221E-2</v>
      </c>
      <c r="BC87" s="4">
        <f t="shared" si="62"/>
        <v>8.7059754649781995E-3</v>
      </c>
      <c r="BD87" s="4">
        <f t="shared" si="63"/>
        <v>1.1682242990654235E-2</v>
      </c>
      <c r="BE87" s="4">
        <f t="shared" si="64"/>
        <v>2.5067489394523745E-2</v>
      </c>
      <c r="BF87" s="4">
        <f t="shared" si="65"/>
        <v>9.1673032849504121E-3</v>
      </c>
      <c r="BG87" s="4">
        <f t="shared" si="66"/>
        <v>3.4495688038995054E-2</v>
      </c>
      <c r="BH87" s="4">
        <f t="shared" si="67"/>
        <v>2.0848310567936679E-2</v>
      </c>
      <c r="BI87" s="4">
        <f t="shared" si="68"/>
        <v>7.2072072072071336E-4</v>
      </c>
      <c r="BJ87" s="4">
        <f t="shared" si="69"/>
        <v>3.6443148688047877E-4</v>
      </c>
      <c r="BK87" s="4">
        <f t="shared" si="70"/>
        <v>7.3072707343802001E-4</v>
      </c>
      <c r="BL87" s="4">
        <f t="shared" si="71"/>
        <v>2.192493496841319E-2</v>
      </c>
      <c r="BM87" s="4">
        <f t="shared" si="81"/>
        <v>1.3479233152073158E-2</v>
      </c>
      <c r="BN87" s="14">
        <f t="shared" si="82"/>
        <v>13636.363082061145</v>
      </c>
      <c r="BO87" s="15">
        <f t="shared" si="83"/>
        <v>13145.389218248625</v>
      </c>
      <c r="BP87" s="16">
        <v>13745</v>
      </c>
      <c r="BQ87" s="16">
        <v>13760</v>
      </c>
      <c r="BR87" s="16">
        <v>13740</v>
      </c>
      <c r="BS87" s="16">
        <v>13750</v>
      </c>
      <c r="BT87" s="16">
        <v>57559</v>
      </c>
      <c r="BU87" s="15">
        <f t="shared" si="72"/>
        <v>13750</v>
      </c>
      <c r="BV87" s="15">
        <f t="shared" si="73"/>
        <v>791436250</v>
      </c>
      <c r="BW87" s="15">
        <f>SUM($BV$3:BV87)</f>
        <v>141074030606.66669</v>
      </c>
      <c r="BX87" s="15">
        <f>SUM($BT$3:BT87)</f>
        <v>10416986</v>
      </c>
      <c r="BY87" s="15">
        <f t="shared" si="74"/>
        <v>13542.691773480994</v>
      </c>
      <c r="BZ87" s="3">
        <v>85</v>
      </c>
      <c r="CA87" s="3">
        <f t="shared" si="75"/>
        <v>1</v>
      </c>
      <c r="CB87" s="3">
        <f t="shared" si="76"/>
        <v>0</v>
      </c>
      <c r="CC87" s="3">
        <f t="shared" si="77"/>
        <v>1</v>
      </c>
      <c r="CD87" s="6" t="str">
        <f t="shared" si="78"/>
        <v/>
      </c>
      <c r="CE87" s="6">
        <f t="shared" si="79"/>
        <v>1</v>
      </c>
    </row>
    <row r="88" spans="1:83" x14ac:dyDescent="0.3">
      <c r="A88" s="3" t="s">
        <v>128</v>
      </c>
      <c r="B88" s="3">
        <v>11735</v>
      </c>
      <c r="C88" s="3">
        <v>11740</v>
      </c>
      <c r="D88" s="3">
        <v>11395</v>
      </c>
      <c r="E88" s="3">
        <v>11390</v>
      </c>
      <c r="F88" s="3">
        <v>11710</v>
      </c>
      <c r="G88" s="3">
        <v>11725</v>
      </c>
      <c r="H88" s="3">
        <v>11640</v>
      </c>
      <c r="I88" s="3">
        <v>11655</v>
      </c>
      <c r="J88" s="3">
        <v>11680</v>
      </c>
      <c r="K88" s="3">
        <v>11675</v>
      </c>
      <c r="L88" s="3">
        <v>12050</v>
      </c>
      <c r="M88" s="3">
        <v>12040</v>
      </c>
      <c r="N88" s="3">
        <v>12495</v>
      </c>
      <c r="O88" s="3">
        <v>12500</v>
      </c>
      <c r="P88" s="3">
        <v>12715</v>
      </c>
      <c r="Q88" s="3">
        <v>12715</v>
      </c>
      <c r="R88" s="3">
        <v>12510</v>
      </c>
      <c r="S88" s="3">
        <v>12490</v>
      </c>
      <c r="T88" s="3">
        <v>12350</v>
      </c>
      <c r="U88" s="3">
        <v>12355</v>
      </c>
      <c r="V88" s="3">
        <v>12775</v>
      </c>
      <c r="W88" s="3">
        <v>12795</v>
      </c>
      <c r="X88" s="3">
        <v>12530</v>
      </c>
      <c r="Y88" s="3">
        <v>12540</v>
      </c>
      <c r="Z88" s="3">
        <v>12685</v>
      </c>
      <c r="AA88" s="3">
        <v>12685</v>
      </c>
      <c r="AB88" s="3">
        <v>13290</v>
      </c>
      <c r="AC88" s="3">
        <v>13305</v>
      </c>
      <c r="AD88" s="3">
        <v>13210</v>
      </c>
      <c r="AE88" s="3">
        <v>13210</v>
      </c>
      <c r="AF88" s="3">
        <v>13790</v>
      </c>
      <c r="AG88" s="3">
        <v>13805</v>
      </c>
      <c r="AH88" s="3">
        <v>14200</v>
      </c>
      <c r="AI88" s="3">
        <v>14190</v>
      </c>
      <c r="AJ88" s="3">
        <v>13880</v>
      </c>
      <c r="AK88" s="3">
        <v>13890</v>
      </c>
      <c r="AL88" s="3">
        <v>13730</v>
      </c>
      <c r="AM88" s="3">
        <v>13730</v>
      </c>
      <c r="AN88" s="3">
        <v>13700</v>
      </c>
      <c r="AO88" s="3">
        <v>13695</v>
      </c>
      <c r="AP88" s="3">
        <v>13750</v>
      </c>
      <c r="AQ88" s="3">
        <v>13770</v>
      </c>
      <c r="AR88" s="4">
        <f t="shared" si="80"/>
        <v>1.8213356461405095E-2</v>
      </c>
      <c r="AS88" s="4">
        <f t="shared" si="52"/>
        <v>1.3852813852813894E-2</v>
      </c>
      <c r="AT88" s="4">
        <f t="shared" si="53"/>
        <v>3.2130281690140761E-2</v>
      </c>
      <c r="AU88" s="4">
        <f t="shared" si="54"/>
        <v>1.0611205432937143E-2</v>
      </c>
      <c r="AV88" s="4">
        <f t="shared" si="55"/>
        <v>1.2831479897348341E-3</v>
      </c>
      <c r="AW88" s="4">
        <f t="shared" si="56"/>
        <v>1.5177065767284947E-2</v>
      </c>
      <c r="AX88" s="4">
        <f t="shared" si="57"/>
        <v>3.1778786628146927E-2</v>
      </c>
      <c r="AY88" s="4">
        <f t="shared" si="58"/>
        <v>5.0860719874804561E-3</v>
      </c>
      <c r="AZ88" s="4">
        <f t="shared" si="59"/>
        <v>4.3842168194500042E-3</v>
      </c>
      <c r="BA88" s="4">
        <f t="shared" si="60"/>
        <v>1.6161616161616266E-3</v>
      </c>
      <c r="BB88" s="4">
        <f t="shared" si="61"/>
        <v>3.7292257802999496E-2</v>
      </c>
      <c r="BC88" s="4">
        <f t="shared" si="62"/>
        <v>7.5187969924812581E-3</v>
      </c>
      <c r="BD88" s="4">
        <f t="shared" si="63"/>
        <v>1.2071651090342694E-2</v>
      </c>
      <c r="BE88" s="4">
        <f t="shared" si="64"/>
        <v>2.6224450443501635E-2</v>
      </c>
      <c r="BF88" s="4">
        <f t="shared" si="65"/>
        <v>9.1673032849504121E-3</v>
      </c>
      <c r="BG88" s="4">
        <f t="shared" si="66"/>
        <v>3.5245594300712391E-2</v>
      </c>
      <c r="BH88" s="4">
        <f t="shared" si="67"/>
        <v>2.0129403306973437E-2</v>
      </c>
      <c r="BI88" s="4">
        <f t="shared" si="68"/>
        <v>1.08108108108107E-3</v>
      </c>
      <c r="BJ88" s="4">
        <f t="shared" si="69"/>
        <v>7.2886297376095754E-4</v>
      </c>
      <c r="BK88" s="4">
        <f t="shared" si="70"/>
        <v>7.3072707343802001E-4</v>
      </c>
      <c r="BL88" s="4">
        <f t="shared" si="71"/>
        <v>2.3411371237458178E-2</v>
      </c>
      <c r="BM88" s="4">
        <f t="shared" si="81"/>
        <v>1.37896689572486E-2</v>
      </c>
      <c r="BN88" s="14">
        <f t="shared" si="82"/>
        <v>13640.53999581978</v>
      </c>
      <c r="BO88" s="15">
        <f t="shared" si="83"/>
        <v>13141.252661144661</v>
      </c>
      <c r="BP88" s="16">
        <v>13750</v>
      </c>
      <c r="BQ88" s="16">
        <v>13785</v>
      </c>
      <c r="BR88" s="16">
        <v>13750</v>
      </c>
      <c r="BS88" s="16">
        <v>13770</v>
      </c>
      <c r="BT88" s="16">
        <v>240056</v>
      </c>
      <c r="BU88" s="15">
        <f t="shared" si="72"/>
        <v>13768.333333333334</v>
      </c>
      <c r="BV88" s="15">
        <f t="shared" si="73"/>
        <v>3305171026.666667</v>
      </c>
      <c r="BW88" s="15">
        <f>SUM($BV$3:BV88)</f>
        <v>144379201633.33334</v>
      </c>
      <c r="BX88" s="15">
        <f>SUM($BT$3:BT88)</f>
        <v>10657042</v>
      </c>
      <c r="BY88" s="15">
        <f t="shared" si="74"/>
        <v>13547.774479384931</v>
      </c>
      <c r="BZ88" s="3">
        <v>86</v>
      </c>
      <c r="CA88" s="3">
        <f t="shared" si="75"/>
        <v>1</v>
      </c>
      <c r="CB88" s="3">
        <f t="shared" si="76"/>
        <v>0</v>
      </c>
      <c r="CC88" s="3">
        <f t="shared" si="77"/>
        <v>1</v>
      </c>
      <c r="CD88" s="6" t="str">
        <f t="shared" si="78"/>
        <v/>
      </c>
      <c r="CE88" s="6">
        <f t="shared" si="79"/>
        <v>1</v>
      </c>
    </row>
    <row r="89" spans="1:83" x14ac:dyDescent="0.3">
      <c r="A89" s="3" t="s">
        <v>129</v>
      </c>
      <c r="B89" s="3">
        <v>11740</v>
      </c>
      <c r="C89" s="3">
        <v>11750</v>
      </c>
      <c r="D89" s="3">
        <v>11390</v>
      </c>
      <c r="E89" s="3">
        <v>11400</v>
      </c>
      <c r="F89" s="3">
        <v>11730</v>
      </c>
      <c r="G89" s="3">
        <v>11700</v>
      </c>
      <c r="H89" s="3">
        <v>11655</v>
      </c>
      <c r="I89" s="3">
        <v>11650</v>
      </c>
      <c r="J89" s="3">
        <v>11675</v>
      </c>
      <c r="K89" s="3">
        <v>11670</v>
      </c>
      <c r="L89" s="3">
        <v>12040</v>
      </c>
      <c r="M89" s="3">
        <v>12045</v>
      </c>
      <c r="N89" s="3">
        <v>12500</v>
      </c>
      <c r="O89" s="3">
        <v>12495</v>
      </c>
      <c r="P89" s="3">
        <v>12715</v>
      </c>
      <c r="Q89" s="3">
        <v>12715</v>
      </c>
      <c r="R89" s="3">
        <v>12490</v>
      </c>
      <c r="S89" s="3">
        <v>12505</v>
      </c>
      <c r="T89" s="3">
        <v>12360</v>
      </c>
      <c r="U89" s="3">
        <v>12355</v>
      </c>
      <c r="V89" s="3">
        <v>12800</v>
      </c>
      <c r="W89" s="3">
        <v>12795</v>
      </c>
      <c r="X89" s="3">
        <v>12545</v>
      </c>
      <c r="Y89" s="3">
        <v>12540</v>
      </c>
      <c r="Z89" s="3">
        <v>12690</v>
      </c>
      <c r="AA89" s="3">
        <v>12670</v>
      </c>
      <c r="AB89" s="3">
        <v>13305</v>
      </c>
      <c r="AC89" s="3">
        <v>13300</v>
      </c>
      <c r="AD89" s="3">
        <v>13205</v>
      </c>
      <c r="AE89" s="3">
        <v>13175</v>
      </c>
      <c r="AF89" s="3">
        <v>13805</v>
      </c>
      <c r="AG89" s="3">
        <v>13805</v>
      </c>
      <c r="AH89" s="3">
        <v>14185</v>
      </c>
      <c r="AI89" s="3">
        <v>14195</v>
      </c>
      <c r="AJ89" s="3">
        <v>13895</v>
      </c>
      <c r="AK89" s="3">
        <v>13905</v>
      </c>
      <c r="AL89" s="3">
        <v>13730</v>
      </c>
      <c r="AM89" s="3">
        <v>13735</v>
      </c>
      <c r="AN89" s="3">
        <v>13690</v>
      </c>
      <c r="AO89" s="3">
        <v>13680</v>
      </c>
      <c r="AP89" s="3">
        <v>13770</v>
      </c>
      <c r="AQ89" s="3">
        <v>13800</v>
      </c>
      <c r="AR89" s="4">
        <f t="shared" si="80"/>
        <v>1.9080659150043422E-2</v>
      </c>
      <c r="AS89" s="4">
        <f t="shared" si="52"/>
        <v>1.2987012987012991E-2</v>
      </c>
      <c r="AT89" s="4">
        <f t="shared" si="53"/>
        <v>2.9929577464788748E-2</v>
      </c>
      <c r="AU89" s="4">
        <f t="shared" si="54"/>
        <v>1.1035653650254718E-2</v>
      </c>
      <c r="AV89" s="4">
        <f t="shared" si="55"/>
        <v>1.7108639863130382E-3</v>
      </c>
      <c r="AW89" s="4">
        <f t="shared" si="56"/>
        <v>1.5598650927487245E-2</v>
      </c>
      <c r="AX89" s="4">
        <f t="shared" si="57"/>
        <v>3.1366075113495651E-2</v>
      </c>
      <c r="AY89" s="4">
        <f t="shared" si="58"/>
        <v>5.0860719874804561E-3</v>
      </c>
      <c r="AZ89" s="4">
        <f t="shared" si="59"/>
        <v>3.1885213232363263E-3</v>
      </c>
      <c r="BA89" s="4">
        <f t="shared" si="60"/>
        <v>1.6161616161616266E-3</v>
      </c>
      <c r="BB89" s="4">
        <f t="shared" si="61"/>
        <v>3.7292257802999496E-2</v>
      </c>
      <c r="BC89" s="4">
        <f t="shared" si="62"/>
        <v>7.5187969924812581E-3</v>
      </c>
      <c r="BD89" s="4">
        <f t="shared" si="63"/>
        <v>1.3239875389408073E-2</v>
      </c>
      <c r="BE89" s="4">
        <f t="shared" si="64"/>
        <v>2.5838796760509153E-2</v>
      </c>
      <c r="BF89" s="4">
        <f t="shared" si="65"/>
        <v>6.4935064935065512E-3</v>
      </c>
      <c r="BG89" s="4">
        <f t="shared" si="66"/>
        <v>3.5245594300712391E-2</v>
      </c>
      <c r="BH89" s="4">
        <f t="shared" si="67"/>
        <v>2.0488856937455058E-2</v>
      </c>
      <c r="BI89" s="4">
        <f t="shared" si="68"/>
        <v>2.1621621621621401E-3</v>
      </c>
      <c r="BJ89" s="4">
        <f t="shared" si="69"/>
        <v>1.0932944606414363E-3</v>
      </c>
      <c r="BK89" s="4">
        <f t="shared" si="70"/>
        <v>3.6536353671901001E-4</v>
      </c>
      <c r="BL89" s="4">
        <f t="shared" si="71"/>
        <v>2.564102564102555E-2</v>
      </c>
      <c r="BM89" s="4">
        <f t="shared" si="81"/>
        <v>1.3642523919783473E-2</v>
      </c>
      <c r="BN89" s="14">
        <f t="shared" si="82"/>
        <v>13638.560159340686</v>
      </c>
      <c r="BO89" s="15">
        <f t="shared" si="83"/>
        <v>13143.213368768886</v>
      </c>
      <c r="BP89" s="16">
        <v>13770</v>
      </c>
      <c r="BQ89" s="16">
        <v>13800</v>
      </c>
      <c r="BR89" s="16">
        <v>13770</v>
      </c>
      <c r="BS89" s="16">
        <v>13800</v>
      </c>
      <c r="BT89" s="16">
        <v>107843</v>
      </c>
      <c r="BU89" s="15">
        <f t="shared" si="72"/>
        <v>13790</v>
      </c>
      <c r="BV89" s="15">
        <f t="shared" si="73"/>
        <v>1487154970</v>
      </c>
      <c r="BW89" s="15">
        <f>SUM($BV$3:BV89)</f>
        <v>145866356603.33334</v>
      </c>
      <c r="BX89" s="15">
        <f>SUM($BT$3:BT89)</f>
        <v>10764885</v>
      </c>
      <c r="BY89" s="15">
        <f t="shared" si="74"/>
        <v>13550.201103247582</v>
      </c>
      <c r="BZ89" s="3">
        <v>87</v>
      </c>
      <c r="CA89" s="3">
        <f t="shared" si="75"/>
        <v>1</v>
      </c>
      <c r="CB89" s="3">
        <f t="shared" si="76"/>
        <v>0</v>
      </c>
      <c r="CC89" s="3">
        <f t="shared" si="77"/>
        <v>1</v>
      </c>
      <c r="CD89" s="6" t="str">
        <f t="shared" si="78"/>
        <v/>
      </c>
      <c r="CE89" s="6">
        <f t="shared" si="79"/>
        <v>1</v>
      </c>
    </row>
    <row r="90" spans="1:83" x14ac:dyDescent="0.3">
      <c r="A90" s="3" t="s">
        <v>130</v>
      </c>
      <c r="B90" s="3">
        <v>11750</v>
      </c>
      <c r="C90" s="3">
        <v>11740</v>
      </c>
      <c r="D90" s="3">
        <v>11405</v>
      </c>
      <c r="E90" s="3">
        <v>11400</v>
      </c>
      <c r="F90" s="3">
        <v>11695</v>
      </c>
      <c r="G90" s="3">
        <v>11695</v>
      </c>
      <c r="H90" s="3">
        <v>11650</v>
      </c>
      <c r="I90" s="3">
        <v>11650</v>
      </c>
      <c r="J90" s="3">
        <v>11675</v>
      </c>
      <c r="K90" s="3">
        <v>11680</v>
      </c>
      <c r="L90" s="3">
        <v>12045</v>
      </c>
      <c r="M90" s="3">
        <v>12055</v>
      </c>
      <c r="N90" s="3">
        <v>12495</v>
      </c>
      <c r="O90" s="3">
        <v>12495</v>
      </c>
      <c r="P90" s="3">
        <v>12720</v>
      </c>
      <c r="Q90" s="3">
        <v>12775</v>
      </c>
      <c r="R90" s="3">
        <v>12505</v>
      </c>
      <c r="S90" s="3">
        <v>12505</v>
      </c>
      <c r="T90" s="3">
        <v>12360</v>
      </c>
      <c r="U90" s="3">
        <v>12370</v>
      </c>
      <c r="V90" s="3">
        <v>12795</v>
      </c>
      <c r="W90" s="3">
        <v>12790</v>
      </c>
      <c r="X90" s="3">
        <v>12540</v>
      </c>
      <c r="Y90" s="3">
        <v>12545</v>
      </c>
      <c r="Z90" s="3">
        <v>12670</v>
      </c>
      <c r="AA90" s="3">
        <v>12675</v>
      </c>
      <c r="AB90" s="3">
        <v>13300</v>
      </c>
      <c r="AC90" s="3">
        <v>13295</v>
      </c>
      <c r="AD90" s="3">
        <v>13175</v>
      </c>
      <c r="AE90" s="3">
        <v>13185</v>
      </c>
      <c r="AF90" s="3">
        <v>13805</v>
      </c>
      <c r="AG90" s="3">
        <v>13810</v>
      </c>
      <c r="AH90" s="3">
        <v>14195</v>
      </c>
      <c r="AI90" s="3">
        <v>14195</v>
      </c>
      <c r="AJ90" s="3">
        <v>13905</v>
      </c>
      <c r="AK90" s="3">
        <v>13905</v>
      </c>
      <c r="AL90" s="3">
        <v>13740</v>
      </c>
      <c r="AM90" s="3">
        <v>13730</v>
      </c>
      <c r="AN90" s="3">
        <v>13680</v>
      </c>
      <c r="AO90" s="3">
        <v>13675</v>
      </c>
      <c r="AP90" s="3">
        <v>13795</v>
      </c>
      <c r="AQ90" s="3">
        <v>13805</v>
      </c>
      <c r="AR90" s="4">
        <f t="shared" si="80"/>
        <v>1.8213356461405095E-2</v>
      </c>
      <c r="AS90" s="4">
        <f t="shared" si="52"/>
        <v>1.2987012987012991E-2</v>
      </c>
      <c r="AT90" s="4">
        <f t="shared" si="53"/>
        <v>2.9489436619718257E-2</v>
      </c>
      <c r="AU90" s="4">
        <f t="shared" si="54"/>
        <v>1.1035653650254718E-2</v>
      </c>
      <c r="AV90" s="4">
        <f t="shared" si="55"/>
        <v>8.5543199315651908E-4</v>
      </c>
      <c r="AW90" s="4">
        <f t="shared" si="56"/>
        <v>1.6441821247892063E-2</v>
      </c>
      <c r="AX90" s="4">
        <f t="shared" si="57"/>
        <v>3.1366075113495651E-2</v>
      </c>
      <c r="AY90" s="4">
        <f t="shared" si="58"/>
        <v>3.9123630672921461E-4</v>
      </c>
      <c r="AZ90" s="4">
        <f t="shared" si="59"/>
        <v>3.1885213232363263E-3</v>
      </c>
      <c r="BA90" s="4">
        <f t="shared" si="60"/>
        <v>4.0404040404040664E-4</v>
      </c>
      <c r="BB90" s="4">
        <f t="shared" si="61"/>
        <v>3.6886907174706218E-2</v>
      </c>
      <c r="BC90" s="4">
        <f t="shared" si="62"/>
        <v>7.1230708349822036E-3</v>
      </c>
      <c r="BD90" s="4">
        <f t="shared" si="63"/>
        <v>1.2850467289719614E-2</v>
      </c>
      <c r="BE90" s="4">
        <f t="shared" si="64"/>
        <v>2.5453143077516449E-2</v>
      </c>
      <c r="BF90" s="4">
        <f t="shared" si="65"/>
        <v>7.257448433918956E-3</v>
      </c>
      <c r="BG90" s="4">
        <f t="shared" si="66"/>
        <v>3.5620547431570948E-2</v>
      </c>
      <c r="BH90" s="4">
        <f t="shared" si="67"/>
        <v>2.0488856937455058E-2</v>
      </c>
      <c r="BI90" s="4">
        <f t="shared" si="68"/>
        <v>2.1621621621621401E-3</v>
      </c>
      <c r="BJ90" s="4">
        <f t="shared" si="69"/>
        <v>7.2886297376095754E-4</v>
      </c>
      <c r="BK90" s="4">
        <f t="shared" si="70"/>
        <v>7.3072707343802001E-4</v>
      </c>
      <c r="BL90" s="4">
        <f t="shared" si="71"/>
        <v>2.6012634708286964E-2</v>
      </c>
      <c r="BM90" s="4">
        <f t="shared" si="81"/>
        <v>1.3189433324052298E-2</v>
      </c>
      <c r="BN90" s="14">
        <f t="shared" si="82"/>
        <v>13632.463825375124</v>
      </c>
      <c r="BO90" s="15">
        <f t="shared" si="83"/>
        <v>13149.250800957003</v>
      </c>
      <c r="BP90" s="16">
        <v>13795</v>
      </c>
      <c r="BQ90" s="16">
        <v>13820</v>
      </c>
      <c r="BR90" s="16">
        <v>13795</v>
      </c>
      <c r="BS90" s="16">
        <v>13805</v>
      </c>
      <c r="BT90" s="16">
        <v>272085</v>
      </c>
      <c r="BU90" s="15">
        <f t="shared" si="72"/>
        <v>13806.666666666666</v>
      </c>
      <c r="BV90" s="15">
        <f t="shared" si="73"/>
        <v>3756586900</v>
      </c>
      <c r="BW90" s="15">
        <f>SUM($BV$3:BV90)</f>
        <v>149622943503.33334</v>
      </c>
      <c r="BX90" s="15">
        <f>SUM($BT$3:BT90)</f>
        <v>11036970</v>
      </c>
      <c r="BY90" s="15">
        <f t="shared" si="74"/>
        <v>13556.523529857683</v>
      </c>
      <c r="BZ90" s="3">
        <v>88</v>
      </c>
      <c r="CA90" s="3">
        <f t="shared" si="75"/>
        <v>1</v>
      </c>
      <c r="CB90" s="3">
        <f t="shared" si="76"/>
        <v>0</v>
      </c>
      <c r="CC90" s="3">
        <f t="shared" si="77"/>
        <v>1</v>
      </c>
      <c r="CD90" s="6" t="str">
        <f t="shared" si="78"/>
        <v/>
      </c>
      <c r="CE90" s="6">
        <f t="shared" si="79"/>
        <v>1</v>
      </c>
    </row>
    <row r="91" spans="1:83" x14ac:dyDescent="0.3">
      <c r="A91" s="3" t="s">
        <v>131</v>
      </c>
      <c r="B91" s="3">
        <v>11745</v>
      </c>
      <c r="C91" s="3">
        <v>11735</v>
      </c>
      <c r="D91" s="3">
        <v>11400</v>
      </c>
      <c r="E91" s="3">
        <v>11410</v>
      </c>
      <c r="F91" s="3">
        <v>11690</v>
      </c>
      <c r="G91" s="3">
        <v>11695</v>
      </c>
      <c r="H91" s="3">
        <v>11650</v>
      </c>
      <c r="I91" s="3">
        <v>11655</v>
      </c>
      <c r="J91" s="3">
        <v>11680</v>
      </c>
      <c r="K91" s="3">
        <v>11665</v>
      </c>
      <c r="L91" s="3">
        <v>12055</v>
      </c>
      <c r="M91" s="3">
        <v>12045</v>
      </c>
      <c r="N91" s="3">
        <v>12495</v>
      </c>
      <c r="O91" s="3">
        <v>12495</v>
      </c>
      <c r="P91" s="3">
        <v>12770</v>
      </c>
      <c r="Q91" s="3">
        <v>12765</v>
      </c>
      <c r="R91" s="3">
        <v>12505</v>
      </c>
      <c r="S91" s="3">
        <v>12520</v>
      </c>
      <c r="T91" s="3">
        <v>12370</v>
      </c>
      <c r="U91" s="3">
        <v>12390</v>
      </c>
      <c r="V91" s="3">
        <v>12790</v>
      </c>
      <c r="W91" s="3">
        <v>12790</v>
      </c>
      <c r="X91" s="3">
        <v>12545</v>
      </c>
      <c r="Y91" s="3">
        <v>12550</v>
      </c>
      <c r="Z91" s="3">
        <v>12670</v>
      </c>
      <c r="AA91" s="3">
        <v>12680</v>
      </c>
      <c r="AB91" s="3">
        <v>13290</v>
      </c>
      <c r="AC91" s="3">
        <v>13285</v>
      </c>
      <c r="AD91" s="3">
        <v>13185</v>
      </c>
      <c r="AE91" s="3">
        <v>13185</v>
      </c>
      <c r="AF91" s="3">
        <v>13810</v>
      </c>
      <c r="AG91" s="3">
        <v>13800</v>
      </c>
      <c r="AH91" s="3">
        <v>14190</v>
      </c>
      <c r="AI91" s="3">
        <v>14195</v>
      </c>
      <c r="AJ91" s="3">
        <v>13910</v>
      </c>
      <c r="AK91" s="3">
        <v>13895</v>
      </c>
      <c r="AL91" s="3">
        <v>13725</v>
      </c>
      <c r="AM91" s="3">
        <v>13715</v>
      </c>
      <c r="AN91" s="3">
        <v>13680</v>
      </c>
      <c r="AO91" s="3">
        <v>13685</v>
      </c>
      <c r="AP91" s="3">
        <v>13805</v>
      </c>
      <c r="AQ91" s="3">
        <v>13795</v>
      </c>
      <c r="AR91" s="4">
        <f t="shared" si="80"/>
        <v>1.777970511708582E-2</v>
      </c>
      <c r="AS91" s="4">
        <f t="shared" si="52"/>
        <v>1.2121212121212088E-2</v>
      </c>
      <c r="AT91" s="4">
        <f t="shared" si="53"/>
        <v>2.9489436619718257E-2</v>
      </c>
      <c r="AU91" s="4">
        <f t="shared" si="54"/>
        <v>1.0611205432937143E-2</v>
      </c>
      <c r="AV91" s="4">
        <f t="shared" si="55"/>
        <v>2.1385799828913532E-3</v>
      </c>
      <c r="AW91" s="4">
        <f t="shared" si="56"/>
        <v>1.5598650927487245E-2</v>
      </c>
      <c r="AX91" s="4">
        <f t="shared" si="57"/>
        <v>3.1366075113495651E-2</v>
      </c>
      <c r="AY91" s="4">
        <f t="shared" si="58"/>
        <v>1.1737089201877549E-3</v>
      </c>
      <c r="AZ91" s="4">
        <f t="shared" si="59"/>
        <v>1.9928258270227595E-3</v>
      </c>
      <c r="BA91" s="4">
        <f t="shared" si="60"/>
        <v>1.2121212121212199E-3</v>
      </c>
      <c r="BB91" s="4">
        <f t="shared" si="61"/>
        <v>3.6886907174706218E-2</v>
      </c>
      <c r="BC91" s="4">
        <f t="shared" si="62"/>
        <v>6.7273446774831491E-3</v>
      </c>
      <c r="BD91" s="4">
        <f t="shared" si="63"/>
        <v>1.2461059190031154E-2</v>
      </c>
      <c r="BE91" s="4">
        <f t="shared" si="64"/>
        <v>2.4681835711531042E-2</v>
      </c>
      <c r="BF91" s="4">
        <f t="shared" si="65"/>
        <v>7.257448433918956E-3</v>
      </c>
      <c r="BG91" s="4">
        <f t="shared" si="66"/>
        <v>3.4870641169853833E-2</v>
      </c>
      <c r="BH91" s="4">
        <f t="shared" si="67"/>
        <v>2.0488856937455058E-2</v>
      </c>
      <c r="BI91" s="4">
        <f t="shared" si="68"/>
        <v>1.4414414414414267E-3</v>
      </c>
      <c r="BJ91" s="4">
        <f t="shared" si="69"/>
        <v>3.6443148688047877E-4</v>
      </c>
      <c r="BK91" s="4">
        <f t="shared" si="70"/>
        <v>0</v>
      </c>
      <c r="BL91" s="4">
        <f t="shared" si="71"/>
        <v>2.5269416573764358E-2</v>
      </c>
      <c r="BM91" s="4">
        <f t="shared" si="81"/>
        <v>1.2923192664009193E-2</v>
      </c>
      <c r="BN91" s="14">
        <f t="shared" si="82"/>
        <v>13628.881557294244</v>
      </c>
      <c r="BO91" s="15">
        <f t="shared" si="83"/>
        <v>13152.798457752077</v>
      </c>
      <c r="BP91" s="16">
        <v>13805</v>
      </c>
      <c r="BQ91" s="16">
        <v>13810</v>
      </c>
      <c r="BR91" s="16">
        <v>13785</v>
      </c>
      <c r="BS91" s="16">
        <v>13795</v>
      </c>
      <c r="BT91" s="16">
        <v>127794</v>
      </c>
      <c r="BU91" s="15">
        <f t="shared" si="72"/>
        <v>13796.666666666666</v>
      </c>
      <c r="BV91" s="15">
        <f t="shared" si="73"/>
        <v>1763131220</v>
      </c>
      <c r="BW91" s="15">
        <f>SUM($BV$3:BV91)</f>
        <v>151386074723.33334</v>
      </c>
      <c r="BX91" s="15">
        <f>SUM($BT$3:BT91)</f>
        <v>11164764</v>
      </c>
      <c r="BY91" s="15">
        <f t="shared" si="74"/>
        <v>13559.272253612646</v>
      </c>
      <c r="BZ91" s="3">
        <v>89</v>
      </c>
      <c r="CA91" s="3">
        <f t="shared" si="75"/>
        <v>1</v>
      </c>
      <c r="CB91" s="3">
        <f t="shared" si="76"/>
        <v>0</v>
      </c>
      <c r="CC91" s="3">
        <f t="shared" si="77"/>
        <v>1</v>
      </c>
      <c r="CD91" s="6" t="str">
        <f t="shared" si="78"/>
        <v/>
      </c>
      <c r="CE91" s="6">
        <f t="shared" si="79"/>
        <v>1</v>
      </c>
    </row>
    <row r="92" spans="1:83" x14ac:dyDescent="0.3">
      <c r="A92" s="3" t="s">
        <v>132</v>
      </c>
      <c r="B92" s="3">
        <v>11740</v>
      </c>
      <c r="C92" s="3">
        <v>11740</v>
      </c>
      <c r="D92" s="3">
        <v>11410</v>
      </c>
      <c r="E92" s="3">
        <v>11410</v>
      </c>
      <c r="F92" s="3">
        <v>11690</v>
      </c>
      <c r="G92" s="3">
        <v>11665</v>
      </c>
      <c r="H92" s="3">
        <v>11655</v>
      </c>
      <c r="I92" s="3">
        <v>11660</v>
      </c>
      <c r="J92" s="3">
        <v>11670</v>
      </c>
      <c r="K92" s="3">
        <v>11675</v>
      </c>
      <c r="L92" s="3">
        <v>12045</v>
      </c>
      <c r="M92" s="3">
        <v>12045</v>
      </c>
      <c r="N92" s="3">
        <v>12495</v>
      </c>
      <c r="O92" s="3">
        <v>12500</v>
      </c>
      <c r="P92" s="3">
        <v>12770</v>
      </c>
      <c r="Q92" s="3">
        <v>12750</v>
      </c>
      <c r="R92" s="3">
        <v>12520</v>
      </c>
      <c r="S92" s="3">
        <v>12515</v>
      </c>
      <c r="T92" s="3">
        <v>12390</v>
      </c>
      <c r="U92" s="3">
        <v>12375</v>
      </c>
      <c r="V92" s="3">
        <v>12790</v>
      </c>
      <c r="W92" s="3">
        <v>12800</v>
      </c>
      <c r="X92" s="3">
        <v>12545</v>
      </c>
      <c r="Y92" s="3">
        <v>12545</v>
      </c>
      <c r="Z92" s="3">
        <v>12675</v>
      </c>
      <c r="AA92" s="3">
        <v>12660</v>
      </c>
      <c r="AB92" s="3">
        <v>13285</v>
      </c>
      <c r="AC92" s="3">
        <v>13270</v>
      </c>
      <c r="AD92" s="3">
        <v>13185</v>
      </c>
      <c r="AE92" s="3">
        <v>13185</v>
      </c>
      <c r="AF92" s="3">
        <v>13800</v>
      </c>
      <c r="AG92" s="3">
        <v>13800</v>
      </c>
      <c r="AH92" s="3">
        <v>14200</v>
      </c>
      <c r="AI92" s="3">
        <v>14185</v>
      </c>
      <c r="AJ92" s="3">
        <v>13895</v>
      </c>
      <c r="AK92" s="3">
        <v>13900</v>
      </c>
      <c r="AL92" s="3">
        <v>13715</v>
      </c>
      <c r="AM92" s="3">
        <v>13730</v>
      </c>
      <c r="AN92" s="3">
        <v>13690</v>
      </c>
      <c r="AO92" s="3">
        <v>13675</v>
      </c>
      <c r="AP92" s="3">
        <v>13795</v>
      </c>
      <c r="AQ92" s="3">
        <v>13785</v>
      </c>
      <c r="AR92" s="4">
        <f t="shared" si="80"/>
        <v>1.8213356461405095E-2</v>
      </c>
      <c r="AS92" s="4">
        <f t="shared" si="52"/>
        <v>1.2121212121212088E-2</v>
      </c>
      <c r="AT92" s="4">
        <f t="shared" si="53"/>
        <v>2.6848591549295753E-2</v>
      </c>
      <c r="AU92" s="4">
        <f t="shared" si="54"/>
        <v>1.018675721561968E-2</v>
      </c>
      <c r="AV92" s="4">
        <f t="shared" si="55"/>
        <v>1.2831479897348341E-3</v>
      </c>
      <c r="AW92" s="4">
        <f t="shared" si="56"/>
        <v>1.5598650927487245E-2</v>
      </c>
      <c r="AX92" s="4">
        <f t="shared" si="57"/>
        <v>3.1778786628146927E-2</v>
      </c>
      <c r="AY92" s="4">
        <f t="shared" si="58"/>
        <v>2.3474178403756207E-3</v>
      </c>
      <c r="AZ92" s="4">
        <f t="shared" si="59"/>
        <v>2.3913909924272447E-3</v>
      </c>
      <c r="BA92" s="4">
        <f t="shared" si="60"/>
        <v>0</v>
      </c>
      <c r="BB92" s="4">
        <f t="shared" si="61"/>
        <v>3.7697608431292995E-2</v>
      </c>
      <c r="BC92" s="4">
        <f t="shared" si="62"/>
        <v>7.1230708349822036E-3</v>
      </c>
      <c r="BD92" s="4">
        <f t="shared" si="63"/>
        <v>1.4018691588784993E-2</v>
      </c>
      <c r="BE92" s="4">
        <f t="shared" si="64"/>
        <v>2.352487466255293E-2</v>
      </c>
      <c r="BF92" s="4">
        <f t="shared" si="65"/>
        <v>7.257448433918956E-3</v>
      </c>
      <c r="BG92" s="4">
        <f t="shared" si="66"/>
        <v>3.4870641169853833E-2</v>
      </c>
      <c r="BH92" s="4">
        <f t="shared" si="67"/>
        <v>1.9769949676491816E-2</v>
      </c>
      <c r="BI92" s="4">
        <f t="shared" si="68"/>
        <v>1.8018018018017834E-3</v>
      </c>
      <c r="BJ92" s="4">
        <f t="shared" si="69"/>
        <v>7.2886297376095754E-4</v>
      </c>
      <c r="BK92" s="4">
        <f t="shared" si="70"/>
        <v>7.3072707343802001E-4</v>
      </c>
      <c r="BL92" s="4">
        <f t="shared" si="71"/>
        <v>2.4526198439241975E-2</v>
      </c>
      <c r="BM92" s="4">
        <f t="shared" si="81"/>
        <v>1.3145805150559162E-2</v>
      </c>
      <c r="BN92" s="14">
        <f t="shared" si="82"/>
        <v>13631.876808300773</v>
      </c>
      <c r="BO92" s="15">
        <f t="shared" si="83"/>
        <v>13149.832146368799</v>
      </c>
      <c r="BP92" s="16">
        <v>13795</v>
      </c>
      <c r="BQ92" s="16">
        <v>13800</v>
      </c>
      <c r="BR92" s="16">
        <v>13785</v>
      </c>
      <c r="BS92" s="16">
        <v>13785</v>
      </c>
      <c r="BT92" s="16">
        <v>38104</v>
      </c>
      <c r="BU92" s="15">
        <f t="shared" si="72"/>
        <v>13790</v>
      </c>
      <c r="BV92" s="15">
        <f t="shared" si="73"/>
        <v>525454160</v>
      </c>
      <c r="BW92" s="15">
        <f>SUM($BV$3:BV92)</f>
        <v>151911528883.33334</v>
      </c>
      <c r="BX92" s="15">
        <f>SUM($BT$3:BT92)</f>
        <v>11202868</v>
      </c>
      <c r="BY92" s="15">
        <f t="shared" si="74"/>
        <v>13560.057021410352</v>
      </c>
      <c r="BZ92" s="3">
        <v>90</v>
      </c>
      <c r="CA92" s="3">
        <f t="shared" si="75"/>
        <v>1</v>
      </c>
      <c r="CB92" s="3">
        <f t="shared" si="76"/>
        <v>0</v>
      </c>
      <c r="CC92" s="3">
        <f t="shared" si="77"/>
        <v>1</v>
      </c>
      <c r="CD92" s="6">
        <f t="shared" si="78"/>
        <v>1</v>
      </c>
      <c r="CE92" s="6">
        <f t="shared" si="79"/>
        <v>1</v>
      </c>
    </row>
    <row r="93" spans="1:83" x14ac:dyDescent="0.3">
      <c r="A93" s="3" t="s">
        <v>133</v>
      </c>
      <c r="B93" s="3">
        <v>11740</v>
      </c>
      <c r="C93" s="3">
        <v>11740</v>
      </c>
      <c r="D93" s="3">
        <v>11410</v>
      </c>
      <c r="E93" s="3">
        <v>11420</v>
      </c>
      <c r="F93" s="3">
        <v>11665</v>
      </c>
      <c r="G93" s="3">
        <v>11670</v>
      </c>
      <c r="H93" s="3">
        <v>11660</v>
      </c>
      <c r="I93" s="3">
        <v>11665</v>
      </c>
      <c r="J93" s="3">
        <v>11680</v>
      </c>
      <c r="K93" s="3">
        <v>11680</v>
      </c>
      <c r="L93" s="3">
        <v>12045</v>
      </c>
      <c r="M93" s="3">
        <v>12060</v>
      </c>
      <c r="N93" s="3">
        <v>12500</v>
      </c>
      <c r="O93" s="3">
        <v>12495</v>
      </c>
      <c r="P93" s="3">
        <v>12750</v>
      </c>
      <c r="Q93" s="3">
        <v>12760</v>
      </c>
      <c r="R93" s="3">
        <v>12515</v>
      </c>
      <c r="S93" s="3">
        <v>12510</v>
      </c>
      <c r="T93" s="3">
        <v>12375</v>
      </c>
      <c r="U93" s="3">
        <v>12365</v>
      </c>
      <c r="V93" s="3">
        <v>12800</v>
      </c>
      <c r="W93" s="3">
        <v>12820</v>
      </c>
      <c r="X93" s="3">
        <v>12545</v>
      </c>
      <c r="Y93" s="3">
        <v>12520</v>
      </c>
      <c r="Z93" s="3">
        <v>12660</v>
      </c>
      <c r="AA93" s="3">
        <v>12620</v>
      </c>
      <c r="AB93" s="3">
        <v>13265</v>
      </c>
      <c r="AC93" s="3">
        <v>13295</v>
      </c>
      <c r="AD93" s="3">
        <v>13180</v>
      </c>
      <c r="AE93" s="3">
        <v>13185</v>
      </c>
      <c r="AF93" s="3">
        <v>13800</v>
      </c>
      <c r="AG93" s="3">
        <v>13800</v>
      </c>
      <c r="AH93" s="3">
        <v>14185</v>
      </c>
      <c r="AI93" s="3">
        <v>14200</v>
      </c>
      <c r="AJ93" s="3">
        <v>13905</v>
      </c>
      <c r="AK93" s="3">
        <v>13910</v>
      </c>
      <c r="AL93" s="3">
        <v>13730</v>
      </c>
      <c r="AM93" s="3">
        <v>13715</v>
      </c>
      <c r="AN93" s="3">
        <v>13670</v>
      </c>
      <c r="AO93" s="3">
        <v>13660</v>
      </c>
      <c r="AP93" s="3">
        <v>13780</v>
      </c>
      <c r="AQ93" s="3">
        <v>13780</v>
      </c>
      <c r="AR93" s="4">
        <f t="shared" si="80"/>
        <v>1.8213356461405095E-2</v>
      </c>
      <c r="AS93" s="4">
        <f t="shared" si="52"/>
        <v>1.1255411255411296E-2</v>
      </c>
      <c r="AT93" s="4">
        <f t="shared" si="53"/>
        <v>2.7288732394366244E-2</v>
      </c>
      <c r="AU93" s="4">
        <f t="shared" si="54"/>
        <v>9.762308998302216E-3</v>
      </c>
      <c r="AV93" s="4">
        <f t="shared" si="55"/>
        <v>8.5543199315651908E-4</v>
      </c>
      <c r="AW93" s="4">
        <f t="shared" si="56"/>
        <v>1.6863406408094361E-2</v>
      </c>
      <c r="AX93" s="4">
        <f t="shared" si="57"/>
        <v>3.1366075113495651E-2</v>
      </c>
      <c r="AY93" s="4">
        <f t="shared" si="58"/>
        <v>1.5649452269170805E-3</v>
      </c>
      <c r="AZ93" s="4">
        <f t="shared" si="59"/>
        <v>2.789956157831841E-3</v>
      </c>
      <c r="BA93" s="4">
        <f t="shared" si="60"/>
        <v>8.0808080808081328E-4</v>
      </c>
      <c r="BB93" s="4">
        <f t="shared" si="61"/>
        <v>3.9319010944466992E-2</v>
      </c>
      <c r="BC93" s="4">
        <f t="shared" si="62"/>
        <v>9.101701622477254E-3</v>
      </c>
      <c r="BD93" s="4">
        <f t="shared" si="63"/>
        <v>1.7133956386292781E-2</v>
      </c>
      <c r="BE93" s="4">
        <f t="shared" si="64"/>
        <v>2.5453143077516449E-2</v>
      </c>
      <c r="BF93" s="4">
        <f t="shared" si="65"/>
        <v>7.257448433918956E-3</v>
      </c>
      <c r="BG93" s="4">
        <f t="shared" si="66"/>
        <v>3.4870641169853833E-2</v>
      </c>
      <c r="BH93" s="4">
        <f t="shared" si="67"/>
        <v>2.0848310567936679E-2</v>
      </c>
      <c r="BI93" s="4">
        <f t="shared" si="68"/>
        <v>2.5225225225224968E-3</v>
      </c>
      <c r="BJ93" s="4">
        <f t="shared" si="69"/>
        <v>3.6443148688047877E-4</v>
      </c>
      <c r="BK93" s="4">
        <f t="shared" si="70"/>
        <v>1.8268176835951611E-3</v>
      </c>
      <c r="BL93" s="4">
        <f t="shared" si="71"/>
        <v>2.4154589371980784E-2</v>
      </c>
      <c r="BM93" s="4">
        <f t="shared" si="81"/>
        <v>1.3944788657270462E-2</v>
      </c>
      <c r="BN93" s="14">
        <f t="shared" si="82"/>
        <v>13642.627131383575</v>
      </c>
      <c r="BO93" s="15">
        <f t="shared" si="83"/>
        <v>13139.185691141871</v>
      </c>
      <c r="BP93" s="16">
        <v>13780</v>
      </c>
      <c r="BQ93" s="16">
        <v>13790</v>
      </c>
      <c r="BR93" s="16">
        <v>13770</v>
      </c>
      <c r="BS93" s="16">
        <v>13780</v>
      </c>
      <c r="BT93" s="16">
        <v>104225</v>
      </c>
      <c r="BU93" s="15">
        <f t="shared" si="72"/>
        <v>13780</v>
      </c>
      <c r="BV93" s="15">
        <f t="shared" si="73"/>
        <v>1436220500</v>
      </c>
      <c r="BW93" s="15">
        <f>SUM($BV$3:BV93)</f>
        <v>153347749383.33334</v>
      </c>
      <c r="BX93" s="15">
        <f>SUM($BT$3:BT93)</f>
        <v>11307093</v>
      </c>
      <c r="BY93" s="15">
        <f t="shared" si="74"/>
        <v>13562.084382195613</v>
      </c>
      <c r="BZ93" s="3">
        <v>91</v>
      </c>
      <c r="CA93" s="3">
        <f t="shared" si="75"/>
        <v>1</v>
      </c>
      <c r="CB93" s="3">
        <f t="shared" si="76"/>
        <v>0</v>
      </c>
      <c r="CC93" s="3">
        <f t="shared" si="77"/>
        <v>1</v>
      </c>
      <c r="CD93" s="6" t="str">
        <f t="shared" si="78"/>
        <v/>
      </c>
      <c r="CE93" s="6">
        <f t="shared" si="79"/>
        <v>1</v>
      </c>
    </row>
    <row r="94" spans="1:83" x14ac:dyDescent="0.3">
      <c r="A94" s="3" t="s">
        <v>134</v>
      </c>
      <c r="B94" s="3">
        <v>11735</v>
      </c>
      <c r="C94" s="3">
        <v>11720</v>
      </c>
      <c r="D94" s="3">
        <v>11420</v>
      </c>
      <c r="E94" s="3">
        <v>11425</v>
      </c>
      <c r="F94" s="3">
        <v>11670</v>
      </c>
      <c r="G94" s="3">
        <v>11655</v>
      </c>
      <c r="H94" s="3">
        <v>11665</v>
      </c>
      <c r="I94" s="3">
        <v>11655</v>
      </c>
      <c r="J94" s="3">
        <v>11685</v>
      </c>
      <c r="K94" s="3">
        <v>11655</v>
      </c>
      <c r="L94" s="3">
        <v>12055</v>
      </c>
      <c r="M94" s="3">
        <v>12055</v>
      </c>
      <c r="N94" s="3">
        <v>12495</v>
      </c>
      <c r="O94" s="3">
        <v>12485</v>
      </c>
      <c r="P94" s="3">
        <v>12765</v>
      </c>
      <c r="Q94" s="3">
        <v>12760</v>
      </c>
      <c r="R94" s="3">
        <v>12510</v>
      </c>
      <c r="S94" s="3">
        <v>12485</v>
      </c>
      <c r="T94" s="3">
        <v>12370</v>
      </c>
      <c r="U94" s="3">
        <v>12355</v>
      </c>
      <c r="V94" s="3">
        <v>12820</v>
      </c>
      <c r="W94" s="3">
        <v>12785</v>
      </c>
      <c r="X94" s="3">
        <v>12520</v>
      </c>
      <c r="Y94" s="3">
        <v>12535</v>
      </c>
      <c r="Z94" s="3">
        <v>12620</v>
      </c>
      <c r="AA94" s="3">
        <v>12605</v>
      </c>
      <c r="AB94" s="3">
        <v>13295</v>
      </c>
      <c r="AC94" s="3">
        <v>13285</v>
      </c>
      <c r="AD94" s="3">
        <v>13180</v>
      </c>
      <c r="AE94" s="3">
        <v>13190</v>
      </c>
      <c r="AF94" s="3">
        <v>13795</v>
      </c>
      <c r="AG94" s="3">
        <v>13780</v>
      </c>
      <c r="AH94" s="3">
        <v>14205</v>
      </c>
      <c r="AI94" s="3">
        <v>14185</v>
      </c>
      <c r="AJ94" s="3">
        <v>13905</v>
      </c>
      <c r="AK94" s="3">
        <v>13925</v>
      </c>
      <c r="AL94" s="3">
        <v>13715</v>
      </c>
      <c r="AM94" s="3">
        <v>13705</v>
      </c>
      <c r="AN94" s="3">
        <v>13660</v>
      </c>
      <c r="AO94" s="3">
        <v>13660</v>
      </c>
      <c r="AP94" s="3">
        <v>13780</v>
      </c>
      <c r="AQ94" s="3">
        <v>13765</v>
      </c>
      <c r="AR94" s="4">
        <f t="shared" si="80"/>
        <v>1.647875108412844E-2</v>
      </c>
      <c r="AS94" s="4">
        <f t="shared" si="52"/>
        <v>1.0822510822510845E-2</v>
      </c>
      <c r="AT94" s="4">
        <f t="shared" si="53"/>
        <v>2.5968309859154992E-2</v>
      </c>
      <c r="AU94" s="4">
        <f t="shared" si="54"/>
        <v>1.0611205432937143E-2</v>
      </c>
      <c r="AV94" s="4">
        <f t="shared" si="55"/>
        <v>2.9940119760478723E-3</v>
      </c>
      <c r="AW94" s="4">
        <f t="shared" si="56"/>
        <v>1.6441821247892063E-2</v>
      </c>
      <c r="AX94" s="4">
        <f t="shared" si="57"/>
        <v>3.0540652084193098E-2</v>
      </c>
      <c r="AY94" s="4">
        <f t="shared" si="58"/>
        <v>1.5649452269170805E-3</v>
      </c>
      <c r="AZ94" s="4">
        <f t="shared" si="59"/>
        <v>4.7827819848544895E-3</v>
      </c>
      <c r="BA94" s="4">
        <f t="shared" si="60"/>
        <v>1.6161616161616266E-3</v>
      </c>
      <c r="BB94" s="4">
        <f t="shared" si="61"/>
        <v>3.6481556546412719E-2</v>
      </c>
      <c r="BC94" s="4">
        <f t="shared" si="62"/>
        <v>7.9145231499802016E-3</v>
      </c>
      <c r="BD94" s="4">
        <f t="shared" si="63"/>
        <v>1.8302180685358271E-2</v>
      </c>
      <c r="BE94" s="4">
        <f t="shared" si="64"/>
        <v>2.4681835711531042E-2</v>
      </c>
      <c r="BF94" s="4">
        <f t="shared" si="65"/>
        <v>7.6394194041253805E-3</v>
      </c>
      <c r="BG94" s="4">
        <f t="shared" si="66"/>
        <v>3.3370828646419159E-2</v>
      </c>
      <c r="BH94" s="4">
        <f t="shared" si="67"/>
        <v>1.9769949676491816E-2</v>
      </c>
      <c r="BI94" s="4">
        <f t="shared" si="68"/>
        <v>3.6036036036035668E-3</v>
      </c>
      <c r="BJ94" s="4">
        <f t="shared" si="69"/>
        <v>1.0932944606414363E-3</v>
      </c>
      <c r="BK94" s="4">
        <f t="shared" si="70"/>
        <v>1.8268176835951611E-3</v>
      </c>
      <c r="BL94" s="4">
        <f t="shared" si="71"/>
        <v>2.3039762170196987E-2</v>
      </c>
      <c r="BM94" s="4">
        <f t="shared" si="81"/>
        <v>1.3799182177163218E-2</v>
      </c>
      <c r="BN94" s="14">
        <f t="shared" si="82"/>
        <v>13640.667996193732</v>
      </c>
      <c r="BO94" s="15">
        <f t="shared" si="83"/>
        <v>13141.125897489299</v>
      </c>
      <c r="BP94" s="16">
        <v>13780</v>
      </c>
      <c r="BQ94" s="16">
        <v>13785</v>
      </c>
      <c r="BR94" s="16">
        <v>13765</v>
      </c>
      <c r="BS94" s="16">
        <v>13765</v>
      </c>
      <c r="BT94" s="16">
        <v>46682</v>
      </c>
      <c r="BU94" s="15">
        <f t="shared" si="72"/>
        <v>13771.666666666666</v>
      </c>
      <c r="BV94" s="15">
        <f t="shared" si="73"/>
        <v>642888943.33333325</v>
      </c>
      <c r="BW94" s="15">
        <f>SUM($BV$3:BV94)</f>
        <v>153990638326.66669</v>
      </c>
      <c r="BX94" s="15">
        <f>SUM($BT$3:BT94)</f>
        <v>11353775</v>
      </c>
      <c r="BY94" s="15">
        <f t="shared" si="74"/>
        <v>13562.946097369966</v>
      </c>
      <c r="BZ94" s="3">
        <v>92</v>
      </c>
      <c r="CA94" s="3">
        <f t="shared" si="75"/>
        <v>1</v>
      </c>
      <c r="CB94" s="3">
        <f t="shared" si="76"/>
        <v>0</v>
      </c>
      <c r="CC94" s="3">
        <f t="shared" si="77"/>
        <v>1</v>
      </c>
      <c r="CD94" s="6" t="str">
        <f t="shared" si="78"/>
        <v/>
      </c>
      <c r="CE94" s="6">
        <f t="shared" si="79"/>
        <v>1</v>
      </c>
    </row>
    <row r="95" spans="1:83" x14ac:dyDescent="0.3">
      <c r="A95" s="3" t="s">
        <v>135</v>
      </c>
      <c r="B95" s="3">
        <v>11720</v>
      </c>
      <c r="C95" s="3">
        <v>11725</v>
      </c>
      <c r="D95" s="3">
        <v>11420</v>
      </c>
      <c r="E95" s="3">
        <v>11415</v>
      </c>
      <c r="F95" s="3">
        <v>11655</v>
      </c>
      <c r="G95" s="3">
        <v>11640</v>
      </c>
      <c r="H95" s="3">
        <v>11655</v>
      </c>
      <c r="I95" s="3">
        <v>11660</v>
      </c>
      <c r="J95" s="3">
        <v>11660</v>
      </c>
      <c r="K95" s="3">
        <v>11675</v>
      </c>
      <c r="L95" s="3">
        <v>12055</v>
      </c>
      <c r="M95" s="3">
        <v>12065</v>
      </c>
      <c r="N95" s="3">
        <v>12490</v>
      </c>
      <c r="O95" s="3">
        <v>12475</v>
      </c>
      <c r="P95" s="3">
        <v>12760</v>
      </c>
      <c r="Q95" s="3">
        <v>12740</v>
      </c>
      <c r="R95" s="3">
        <v>12490</v>
      </c>
      <c r="S95" s="3">
        <v>12490</v>
      </c>
      <c r="T95" s="3">
        <v>12350</v>
      </c>
      <c r="U95" s="3">
        <v>12360</v>
      </c>
      <c r="V95" s="3">
        <v>12790</v>
      </c>
      <c r="W95" s="3">
        <v>12800</v>
      </c>
      <c r="X95" s="3">
        <v>12530</v>
      </c>
      <c r="Y95" s="3">
        <v>12535</v>
      </c>
      <c r="Z95" s="3">
        <v>12605</v>
      </c>
      <c r="AA95" s="3">
        <v>12575</v>
      </c>
      <c r="AB95" s="3">
        <v>13285</v>
      </c>
      <c r="AC95" s="3">
        <v>13275</v>
      </c>
      <c r="AD95" s="3">
        <v>13185</v>
      </c>
      <c r="AE95" s="3">
        <v>13185</v>
      </c>
      <c r="AF95" s="3">
        <v>13780</v>
      </c>
      <c r="AG95" s="3">
        <v>13760</v>
      </c>
      <c r="AH95" s="3">
        <v>14190</v>
      </c>
      <c r="AI95" s="3">
        <v>14190</v>
      </c>
      <c r="AJ95" s="3">
        <v>13925</v>
      </c>
      <c r="AK95" s="3">
        <v>13925</v>
      </c>
      <c r="AL95" s="3">
        <v>13700</v>
      </c>
      <c r="AM95" s="3">
        <v>13680</v>
      </c>
      <c r="AN95" s="3">
        <v>13665</v>
      </c>
      <c r="AO95" s="3">
        <v>13665</v>
      </c>
      <c r="AP95" s="3">
        <v>13765</v>
      </c>
      <c r="AQ95" s="3">
        <v>13745</v>
      </c>
      <c r="AR95" s="4">
        <f t="shared" si="80"/>
        <v>1.6912402428447493E-2</v>
      </c>
      <c r="AS95" s="4">
        <f t="shared" si="52"/>
        <v>1.1688311688311637E-2</v>
      </c>
      <c r="AT95" s="4">
        <f t="shared" si="53"/>
        <v>2.464788732394374E-2</v>
      </c>
      <c r="AU95" s="4">
        <f t="shared" si="54"/>
        <v>1.018675721561968E-2</v>
      </c>
      <c r="AV95" s="4">
        <f t="shared" si="55"/>
        <v>1.2831479897348341E-3</v>
      </c>
      <c r="AW95" s="4">
        <f t="shared" si="56"/>
        <v>1.7284991568296881E-2</v>
      </c>
      <c r="AX95" s="4">
        <f t="shared" si="57"/>
        <v>2.9715229054890546E-2</v>
      </c>
      <c r="AY95" s="4">
        <f t="shared" si="58"/>
        <v>3.129890453834161E-3</v>
      </c>
      <c r="AZ95" s="4">
        <f t="shared" si="59"/>
        <v>4.3842168194500042E-3</v>
      </c>
      <c r="BA95" s="4">
        <f t="shared" si="60"/>
        <v>1.2121212121212199E-3</v>
      </c>
      <c r="BB95" s="4">
        <f t="shared" si="61"/>
        <v>3.7697608431292995E-2</v>
      </c>
      <c r="BC95" s="4">
        <f t="shared" si="62"/>
        <v>7.9145231499802016E-3</v>
      </c>
      <c r="BD95" s="4">
        <f t="shared" si="63"/>
        <v>2.063862928348914E-2</v>
      </c>
      <c r="BE95" s="4">
        <f t="shared" si="64"/>
        <v>2.3910528345545634E-2</v>
      </c>
      <c r="BF95" s="4">
        <f t="shared" si="65"/>
        <v>7.257448433918956E-3</v>
      </c>
      <c r="BG95" s="4">
        <f t="shared" si="66"/>
        <v>3.1871016122984708E-2</v>
      </c>
      <c r="BH95" s="4">
        <f t="shared" si="67"/>
        <v>2.0129403306973437E-2</v>
      </c>
      <c r="BI95" s="4">
        <f t="shared" si="68"/>
        <v>3.6036036036035668E-3</v>
      </c>
      <c r="BJ95" s="4">
        <f t="shared" si="69"/>
        <v>2.9154518950437192E-3</v>
      </c>
      <c r="BK95" s="4">
        <f t="shared" si="70"/>
        <v>1.4614541468761511E-3</v>
      </c>
      <c r="BL95" s="4">
        <f t="shared" si="71"/>
        <v>2.1553325901151998E-2</v>
      </c>
      <c r="BM95" s="4">
        <f t="shared" si="81"/>
        <v>1.398865173285746E-2</v>
      </c>
      <c r="BN95" s="14">
        <f t="shared" si="82"/>
        <v>13643.217309065596</v>
      </c>
      <c r="BO95" s="15">
        <f t="shared" si="83"/>
        <v>13138.601215659673</v>
      </c>
      <c r="BP95" s="16">
        <v>13765</v>
      </c>
      <c r="BQ95" s="16">
        <v>13765</v>
      </c>
      <c r="BR95" s="16">
        <v>13745</v>
      </c>
      <c r="BS95" s="16">
        <v>13745</v>
      </c>
      <c r="BT95" s="16">
        <v>38984</v>
      </c>
      <c r="BU95" s="15">
        <f t="shared" si="72"/>
        <v>13751.666666666666</v>
      </c>
      <c r="BV95" s="15">
        <f t="shared" si="73"/>
        <v>536094973.33333331</v>
      </c>
      <c r="BW95" s="15">
        <f>SUM($BV$3:BV95)</f>
        <v>154526733300.00003</v>
      </c>
      <c r="BX95" s="15">
        <f>SUM($BT$3:BT95)</f>
        <v>11392759</v>
      </c>
      <c r="BY95" s="15">
        <f t="shared" si="74"/>
        <v>13563.591865675386</v>
      </c>
      <c r="BZ95" s="3">
        <v>93</v>
      </c>
      <c r="CA95" s="3">
        <f t="shared" si="75"/>
        <v>1</v>
      </c>
      <c r="CB95" s="3">
        <f t="shared" si="76"/>
        <v>0</v>
      </c>
      <c r="CC95" s="3">
        <f t="shared" si="77"/>
        <v>1</v>
      </c>
      <c r="CD95" s="6" t="str">
        <f t="shared" si="78"/>
        <v/>
      </c>
      <c r="CE95" s="6">
        <f t="shared" si="79"/>
        <v>1</v>
      </c>
    </row>
    <row r="96" spans="1:83" x14ac:dyDescent="0.3">
      <c r="A96" s="3" t="s">
        <v>136</v>
      </c>
      <c r="B96" s="3">
        <v>11725</v>
      </c>
      <c r="C96" s="3">
        <v>11695</v>
      </c>
      <c r="D96" s="3">
        <v>11415</v>
      </c>
      <c r="E96" s="3">
        <v>11425</v>
      </c>
      <c r="F96" s="3">
        <v>11645</v>
      </c>
      <c r="G96" s="3">
        <v>11655</v>
      </c>
      <c r="H96" s="3">
        <v>11665</v>
      </c>
      <c r="I96" s="3">
        <v>11655</v>
      </c>
      <c r="J96" s="3">
        <v>11675</v>
      </c>
      <c r="K96" s="3">
        <v>11680</v>
      </c>
      <c r="L96" s="3">
        <v>12065</v>
      </c>
      <c r="M96" s="3">
        <v>12075</v>
      </c>
      <c r="N96" s="3">
        <v>12480</v>
      </c>
      <c r="O96" s="3">
        <v>12470</v>
      </c>
      <c r="P96" s="3">
        <v>12740</v>
      </c>
      <c r="Q96" s="3">
        <v>12750</v>
      </c>
      <c r="R96" s="3">
        <v>12495</v>
      </c>
      <c r="S96" s="3">
        <v>12505</v>
      </c>
      <c r="T96" s="3">
        <v>12360</v>
      </c>
      <c r="U96" s="3">
        <v>12375</v>
      </c>
      <c r="V96" s="3">
        <v>12800</v>
      </c>
      <c r="W96" s="3">
        <v>12810</v>
      </c>
      <c r="X96" s="3">
        <v>12530</v>
      </c>
      <c r="Y96" s="3">
        <v>12535</v>
      </c>
      <c r="Z96" s="3">
        <v>12575</v>
      </c>
      <c r="AA96" s="3">
        <v>12600</v>
      </c>
      <c r="AB96" s="3">
        <v>13275</v>
      </c>
      <c r="AC96" s="3">
        <v>13315</v>
      </c>
      <c r="AD96" s="3">
        <v>13185</v>
      </c>
      <c r="AE96" s="3">
        <v>13195</v>
      </c>
      <c r="AF96" s="3">
        <v>13755</v>
      </c>
      <c r="AG96" s="3">
        <v>13760</v>
      </c>
      <c r="AH96" s="3">
        <v>14195</v>
      </c>
      <c r="AI96" s="3">
        <v>14205</v>
      </c>
      <c r="AJ96" s="3">
        <v>13925</v>
      </c>
      <c r="AK96" s="3">
        <v>13925</v>
      </c>
      <c r="AL96" s="3">
        <v>13680</v>
      </c>
      <c r="AM96" s="3">
        <v>13685</v>
      </c>
      <c r="AN96" s="3">
        <v>13665</v>
      </c>
      <c r="AO96" s="3">
        <v>13635</v>
      </c>
      <c r="AP96" s="3">
        <v>13750</v>
      </c>
      <c r="AQ96" s="3">
        <v>13760</v>
      </c>
      <c r="AR96" s="4">
        <f t="shared" si="80"/>
        <v>1.4310494362532511E-2</v>
      </c>
      <c r="AS96" s="4">
        <f t="shared" si="52"/>
        <v>1.0822510822510845E-2</v>
      </c>
      <c r="AT96" s="4">
        <f t="shared" si="53"/>
        <v>2.5968309859154992E-2</v>
      </c>
      <c r="AU96" s="4">
        <f t="shared" si="54"/>
        <v>1.0611205432937143E-2</v>
      </c>
      <c r="AV96" s="4">
        <f t="shared" si="55"/>
        <v>8.5543199315651908E-4</v>
      </c>
      <c r="AW96" s="4">
        <f t="shared" si="56"/>
        <v>1.8128161888701477E-2</v>
      </c>
      <c r="AX96" s="4">
        <f t="shared" si="57"/>
        <v>2.930251754023927E-2</v>
      </c>
      <c r="AY96" s="4">
        <f t="shared" si="58"/>
        <v>2.3474178403756207E-3</v>
      </c>
      <c r="AZ96" s="4">
        <f t="shared" si="59"/>
        <v>3.1885213232363263E-3</v>
      </c>
      <c r="BA96" s="4">
        <f t="shared" si="60"/>
        <v>0</v>
      </c>
      <c r="BB96" s="4">
        <f t="shared" si="61"/>
        <v>3.8508309687879994E-2</v>
      </c>
      <c r="BC96" s="4">
        <f t="shared" si="62"/>
        <v>7.9145231499802016E-3</v>
      </c>
      <c r="BD96" s="4">
        <f t="shared" si="63"/>
        <v>1.8691588785046731E-2</v>
      </c>
      <c r="BE96" s="4">
        <f t="shared" si="64"/>
        <v>2.6995757809487042E-2</v>
      </c>
      <c r="BF96" s="4">
        <f t="shared" si="65"/>
        <v>8.0213903743315829E-3</v>
      </c>
      <c r="BG96" s="4">
        <f t="shared" si="66"/>
        <v>3.1871016122984708E-2</v>
      </c>
      <c r="BH96" s="4">
        <f t="shared" si="67"/>
        <v>2.12077641984183E-2</v>
      </c>
      <c r="BI96" s="4">
        <f t="shared" si="68"/>
        <v>3.6036036036035668E-3</v>
      </c>
      <c r="BJ96" s="4">
        <f t="shared" si="69"/>
        <v>2.5510204081632404E-3</v>
      </c>
      <c r="BK96" s="4">
        <f t="shared" si="70"/>
        <v>3.6536353671903221E-3</v>
      </c>
      <c r="BL96" s="4">
        <f t="shared" si="71"/>
        <v>2.2668153102935795E-2</v>
      </c>
      <c r="BM96" s="4">
        <f t="shared" si="81"/>
        <v>1.4132647586495493E-2</v>
      </c>
      <c r="BN96" s="14">
        <f t="shared" si="82"/>
        <v>13645.154773276297</v>
      </c>
      <c r="BO96" s="15">
        <f t="shared" si="83"/>
        <v>13136.682470909947</v>
      </c>
      <c r="BP96" s="16">
        <v>13750</v>
      </c>
      <c r="BQ96" s="16">
        <v>13765</v>
      </c>
      <c r="BR96" s="16">
        <v>13745</v>
      </c>
      <c r="BS96" s="16">
        <v>13760</v>
      </c>
      <c r="BT96" s="16">
        <v>49251</v>
      </c>
      <c r="BU96" s="15">
        <f t="shared" si="72"/>
        <v>13756.666666666666</v>
      </c>
      <c r="BV96" s="15">
        <f t="shared" si="73"/>
        <v>677529590</v>
      </c>
      <c r="BW96" s="15">
        <f>SUM($BV$3:BV96)</f>
        <v>155204262890.00003</v>
      </c>
      <c r="BX96" s="15">
        <f>SUM($BT$3:BT96)</f>
        <v>11442010</v>
      </c>
      <c r="BY96" s="15">
        <f t="shared" si="74"/>
        <v>13564.422937053894</v>
      </c>
      <c r="BZ96" s="3">
        <v>94</v>
      </c>
      <c r="CA96" s="3">
        <f t="shared" si="75"/>
        <v>1</v>
      </c>
      <c r="CB96" s="3">
        <f t="shared" si="76"/>
        <v>0</v>
      </c>
      <c r="CC96" s="3">
        <f t="shared" si="77"/>
        <v>1</v>
      </c>
      <c r="CD96" s="6" t="str">
        <f t="shared" si="78"/>
        <v/>
      </c>
      <c r="CE96" s="6">
        <f t="shared" si="79"/>
        <v>1</v>
      </c>
    </row>
    <row r="97" spans="1:83" x14ac:dyDescent="0.3">
      <c r="A97" s="3" t="s">
        <v>137</v>
      </c>
      <c r="B97" s="3">
        <v>11700</v>
      </c>
      <c r="C97" s="3">
        <v>11715</v>
      </c>
      <c r="D97" s="3">
        <v>11425</v>
      </c>
      <c r="E97" s="3">
        <v>11425</v>
      </c>
      <c r="F97" s="3">
        <v>11650</v>
      </c>
      <c r="G97" s="3">
        <v>11680</v>
      </c>
      <c r="H97" s="3">
        <v>11650</v>
      </c>
      <c r="I97" s="3">
        <v>11660</v>
      </c>
      <c r="J97" s="3">
        <v>11680</v>
      </c>
      <c r="K97" s="3">
        <v>11670</v>
      </c>
      <c r="L97" s="3">
        <v>12075</v>
      </c>
      <c r="M97" s="3">
        <v>12090</v>
      </c>
      <c r="N97" s="3">
        <v>12470</v>
      </c>
      <c r="O97" s="3">
        <v>12475</v>
      </c>
      <c r="P97" s="3">
        <v>12745</v>
      </c>
      <c r="Q97" s="3">
        <v>12765</v>
      </c>
      <c r="R97" s="3">
        <v>12505</v>
      </c>
      <c r="S97" s="3">
        <v>12510</v>
      </c>
      <c r="T97" s="3">
        <v>12370</v>
      </c>
      <c r="U97" s="3">
        <v>12370</v>
      </c>
      <c r="V97" s="3">
        <v>12810</v>
      </c>
      <c r="W97" s="3">
        <v>12815</v>
      </c>
      <c r="X97" s="3">
        <v>12535</v>
      </c>
      <c r="Y97" s="3">
        <v>12545</v>
      </c>
      <c r="Z97" s="3">
        <v>12595</v>
      </c>
      <c r="AA97" s="3">
        <v>12635</v>
      </c>
      <c r="AB97" s="3">
        <v>13315</v>
      </c>
      <c r="AC97" s="3">
        <v>13295</v>
      </c>
      <c r="AD97" s="3">
        <v>13190</v>
      </c>
      <c r="AE97" s="3">
        <v>13200</v>
      </c>
      <c r="AF97" s="3">
        <v>13760</v>
      </c>
      <c r="AG97" s="3">
        <v>13775</v>
      </c>
      <c r="AH97" s="3">
        <v>14205</v>
      </c>
      <c r="AI97" s="3">
        <v>14190</v>
      </c>
      <c r="AJ97" s="3">
        <v>13925</v>
      </c>
      <c r="AK97" s="3">
        <v>13900</v>
      </c>
      <c r="AL97" s="3">
        <v>13685</v>
      </c>
      <c r="AM97" s="3">
        <v>13685</v>
      </c>
      <c r="AN97" s="3">
        <v>13635</v>
      </c>
      <c r="AO97" s="3">
        <v>13610</v>
      </c>
      <c r="AP97" s="3">
        <v>13755</v>
      </c>
      <c r="AQ97" s="3">
        <v>13675</v>
      </c>
      <c r="AR97" s="4">
        <f t="shared" si="80"/>
        <v>1.6045099739809165E-2</v>
      </c>
      <c r="AS97" s="4">
        <f t="shared" si="52"/>
        <v>1.0822510822510845E-2</v>
      </c>
      <c r="AT97" s="4">
        <f t="shared" si="53"/>
        <v>2.8169014084507005E-2</v>
      </c>
      <c r="AU97" s="4">
        <f t="shared" si="54"/>
        <v>1.018675721561968E-2</v>
      </c>
      <c r="AV97" s="4">
        <f t="shared" si="55"/>
        <v>1.7108639863130382E-3</v>
      </c>
      <c r="AW97" s="4">
        <f t="shared" si="56"/>
        <v>1.9392917369308593E-2</v>
      </c>
      <c r="AX97" s="4">
        <f t="shared" si="57"/>
        <v>2.9715229054890546E-2</v>
      </c>
      <c r="AY97" s="4">
        <f t="shared" si="58"/>
        <v>1.1737089201877549E-3</v>
      </c>
      <c r="AZ97" s="4">
        <f t="shared" si="59"/>
        <v>2.789956157831841E-3</v>
      </c>
      <c r="BA97" s="4">
        <f t="shared" si="60"/>
        <v>4.0404040404040664E-4</v>
      </c>
      <c r="BB97" s="4">
        <f t="shared" si="61"/>
        <v>3.8913660316173493E-2</v>
      </c>
      <c r="BC97" s="4">
        <f t="shared" si="62"/>
        <v>7.1230708349822036E-3</v>
      </c>
      <c r="BD97" s="4">
        <f t="shared" si="63"/>
        <v>1.5965732087227402E-2</v>
      </c>
      <c r="BE97" s="4">
        <f t="shared" si="64"/>
        <v>2.5453143077516449E-2</v>
      </c>
      <c r="BF97" s="4">
        <f t="shared" si="65"/>
        <v>8.4033613445377853E-3</v>
      </c>
      <c r="BG97" s="4">
        <f t="shared" si="66"/>
        <v>3.2995875515560602E-2</v>
      </c>
      <c r="BH97" s="4">
        <f t="shared" si="67"/>
        <v>2.0129403306973437E-2</v>
      </c>
      <c r="BI97" s="4">
        <f t="shared" si="68"/>
        <v>1.8018018018017834E-3</v>
      </c>
      <c r="BJ97" s="4">
        <f t="shared" si="69"/>
        <v>2.5510204081632404E-3</v>
      </c>
      <c r="BK97" s="4">
        <f t="shared" si="70"/>
        <v>5.4804530507854832E-3</v>
      </c>
      <c r="BL97" s="4">
        <f t="shared" si="71"/>
        <v>1.635079895949465E-2</v>
      </c>
      <c r="BM97" s="4">
        <f t="shared" si="81"/>
        <v>1.3778604020048031E-2</v>
      </c>
      <c r="BN97" s="14">
        <f t="shared" si="82"/>
        <v>13640.391117089746</v>
      </c>
      <c r="BO97" s="15">
        <f t="shared" si="83"/>
        <v>13141.400101432861</v>
      </c>
      <c r="BP97" s="16">
        <v>13755</v>
      </c>
      <c r="BQ97" s="16">
        <v>13755</v>
      </c>
      <c r="BR97" s="16">
        <v>13650</v>
      </c>
      <c r="BS97" s="16">
        <v>13675</v>
      </c>
      <c r="BT97" s="16">
        <v>305658</v>
      </c>
      <c r="BU97" s="15">
        <f t="shared" si="72"/>
        <v>13693.333333333334</v>
      </c>
      <c r="BV97" s="15">
        <f t="shared" si="73"/>
        <v>4185476880</v>
      </c>
      <c r="BW97" s="15">
        <f>SUM($BV$3:BV97)</f>
        <v>159389739770.00003</v>
      </c>
      <c r="BX97" s="15">
        <f>SUM($BT$3:BT97)</f>
        <v>11747668</v>
      </c>
      <c r="BY97" s="15">
        <f t="shared" si="74"/>
        <v>13567.777006466307</v>
      </c>
      <c r="BZ97" s="3">
        <v>95</v>
      </c>
      <c r="CA97" s="3">
        <f t="shared" si="75"/>
        <v>1</v>
      </c>
      <c r="CB97" s="3">
        <f t="shared" si="76"/>
        <v>0</v>
      </c>
      <c r="CC97" s="3">
        <f t="shared" si="77"/>
        <v>1</v>
      </c>
      <c r="CD97" s="6" t="str">
        <f t="shared" si="78"/>
        <v/>
      </c>
      <c r="CE97" s="6">
        <f t="shared" si="79"/>
        <v>1</v>
      </c>
    </row>
    <row r="98" spans="1:83" x14ac:dyDescent="0.3">
      <c r="A98" s="3" t="s">
        <v>138</v>
      </c>
      <c r="B98" s="3">
        <v>11710</v>
      </c>
      <c r="C98" s="3">
        <v>11710</v>
      </c>
      <c r="D98" s="3">
        <v>11430</v>
      </c>
      <c r="E98" s="3">
        <v>11430</v>
      </c>
      <c r="F98" s="3">
        <v>11680</v>
      </c>
      <c r="G98" s="3">
        <v>11675</v>
      </c>
      <c r="H98" s="3">
        <v>11655</v>
      </c>
      <c r="I98" s="3">
        <v>11645</v>
      </c>
      <c r="J98" s="3">
        <v>11675</v>
      </c>
      <c r="K98" s="3">
        <v>11650</v>
      </c>
      <c r="L98" s="3">
        <v>12090</v>
      </c>
      <c r="M98" s="3">
        <v>12095</v>
      </c>
      <c r="N98" s="3">
        <v>12475</v>
      </c>
      <c r="O98" s="3">
        <v>12480</v>
      </c>
      <c r="P98" s="3">
        <v>12765</v>
      </c>
      <c r="Q98" s="3">
        <v>12760</v>
      </c>
      <c r="R98" s="3">
        <v>12510</v>
      </c>
      <c r="S98" s="3">
        <v>12500</v>
      </c>
      <c r="T98" s="3">
        <v>12375</v>
      </c>
      <c r="U98" s="3">
        <v>12355</v>
      </c>
      <c r="V98" s="3">
        <v>12810</v>
      </c>
      <c r="W98" s="3">
        <v>12820</v>
      </c>
      <c r="X98" s="3">
        <v>12550</v>
      </c>
      <c r="Y98" s="3">
        <v>12530</v>
      </c>
      <c r="Z98" s="3">
        <v>12640</v>
      </c>
      <c r="AA98" s="3">
        <v>12625</v>
      </c>
      <c r="AB98" s="3">
        <v>13290</v>
      </c>
      <c r="AC98" s="3">
        <v>13290</v>
      </c>
      <c r="AD98" s="3">
        <v>13200</v>
      </c>
      <c r="AE98" s="3">
        <v>13200</v>
      </c>
      <c r="AF98" s="3">
        <v>13775</v>
      </c>
      <c r="AG98" s="3">
        <v>13800</v>
      </c>
      <c r="AH98" s="3">
        <v>14185</v>
      </c>
      <c r="AI98" s="3">
        <v>14230</v>
      </c>
      <c r="AJ98" s="3">
        <v>13900</v>
      </c>
      <c r="AK98" s="3">
        <v>13890</v>
      </c>
      <c r="AL98" s="3">
        <v>13680</v>
      </c>
      <c r="AM98" s="3">
        <v>13695</v>
      </c>
      <c r="AN98" s="3">
        <v>13605</v>
      </c>
      <c r="AO98" s="3">
        <v>13585</v>
      </c>
      <c r="AP98" s="3">
        <v>13670</v>
      </c>
      <c r="AQ98" s="3">
        <v>13670</v>
      </c>
      <c r="AR98" s="4">
        <f t="shared" si="80"/>
        <v>1.5611448395490113E-2</v>
      </c>
      <c r="AS98" s="4">
        <f t="shared" si="52"/>
        <v>1.0389610389610393E-2</v>
      </c>
      <c r="AT98" s="4">
        <f t="shared" si="53"/>
        <v>2.7728873239436513E-2</v>
      </c>
      <c r="AU98" s="4">
        <f t="shared" si="54"/>
        <v>1.1460101867572181E-2</v>
      </c>
      <c r="AV98" s="4">
        <f t="shared" si="55"/>
        <v>3.4217279726261873E-3</v>
      </c>
      <c r="AW98" s="4">
        <f t="shared" si="56"/>
        <v>1.9814502529510891E-2</v>
      </c>
      <c r="AX98" s="4">
        <f t="shared" si="57"/>
        <v>3.0127940569541822E-2</v>
      </c>
      <c r="AY98" s="4">
        <f t="shared" si="58"/>
        <v>1.5649452269170805E-3</v>
      </c>
      <c r="AZ98" s="4">
        <f t="shared" si="59"/>
        <v>3.5870864886409226E-3</v>
      </c>
      <c r="BA98" s="4">
        <f t="shared" si="60"/>
        <v>1.6161616161616266E-3</v>
      </c>
      <c r="BB98" s="4">
        <f t="shared" si="61"/>
        <v>3.9319010944466992E-2</v>
      </c>
      <c r="BC98" s="4">
        <f t="shared" si="62"/>
        <v>8.3102493074792561E-3</v>
      </c>
      <c r="BD98" s="4">
        <f t="shared" si="63"/>
        <v>1.6744548286604322E-2</v>
      </c>
      <c r="BE98" s="4">
        <f t="shared" si="64"/>
        <v>2.5067489394523745E-2</v>
      </c>
      <c r="BF98" s="4">
        <f t="shared" si="65"/>
        <v>8.4033613445377853E-3</v>
      </c>
      <c r="BG98" s="4">
        <f t="shared" si="66"/>
        <v>3.4870641169853833E-2</v>
      </c>
      <c r="BH98" s="4">
        <f t="shared" si="67"/>
        <v>2.3005032350826848E-2</v>
      </c>
      <c r="BI98" s="4">
        <f t="shared" si="68"/>
        <v>1.08108108108107E-3</v>
      </c>
      <c r="BJ98" s="4">
        <f t="shared" si="69"/>
        <v>1.8221574344022828E-3</v>
      </c>
      <c r="BK98" s="4">
        <f t="shared" si="70"/>
        <v>7.3072707343807553E-3</v>
      </c>
      <c r="BL98" s="4">
        <f t="shared" si="71"/>
        <v>1.5979189892233459E-2</v>
      </c>
      <c r="BM98" s="4">
        <f t="shared" si="81"/>
        <v>1.4487641139244167E-2</v>
      </c>
      <c r="BN98" s="14">
        <f t="shared" si="82"/>
        <v>13649.931211528532</v>
      </c>
      <c r="BO98" s="15">
        <f t="shared" si="83"/>
        <v>13131.952181819572</v>
      </c>
      <c r="BP98" s="16">
        <v>13670</v>
      </c>
      <c r="BQ98" s="16">
        <v>13700</v>
      </c>
      <c r="BR98" s="16">
        <v>13660</v>
      </c>
      <c r="BS98" s="16">
        <v>13670</v>
      </c>
      <c r="BT98" s="16">
        <v>82773</v>
      </c>
      <c r="BU98" s="15">
        <f t="shared" si="72"/>
        <v>13676.666666666666</v>
      </c>
      <c r="BV98" s="15">
        <f t="shared" si="73"/>
        <v>1132058730</v>
      </c>
      <c r="BW98" s="15">
        <f>SUM($BV$3:BV98)</f>
        <v>160521798500.00003</v>
      </c>
      <c r="BX98" s="15">
        <f>SUM($BT$3:BT98)</f>
        <v>11830441</v>
      </c>
      <c r="BY98" s="15">
        <f t="shared" si="74"/>
        <v>13568.538865119232</v>
      </c>
      <c r="BZ98" s="3">
        <v>96</v>
      </c>
      <c r="CA98" s="3">
        <f t="shared" si="75"/>
        <v>1</v>
      </c>
      <c r="CB98" s="3">
        <f t="shared" si="76"/>
        <v>0</v>
      </c>
      <c r="CC98" s="3">
        <f t="shared" si="77"/>
        <v>1</v>
      </c>
      <c r="CD98" s="6" t="str">
        <f t="shared" si="78"/>
        <v/>
      </c>
      <c r="CE98" s="6">
        <f t="shared" si="79"/>
        <v>1</v>
      </c>
    </row>
    <row r="99" spans="1:83" x14ac:dyDescent="0.3">
      <c r="A99" s="3" t="s">
        <v>139</v>
      </c>
      <c r="B99" s="3">
        <v>11710</v>
      </c>
      <c r="C99" s="3">
        <v>11710</v>
      </c>
      <c r="D99" s="3">
        <v>11425</v>
      </c>
      <c r="E99" s="3">
        <v>11395</v>
      </c>
      <c r="F99" s="3">
        <v>11675</v>
      </c>
      <c r="G99" s="3">
        <v>11660</v>
      </c>
      <c r="H99" s="3">
        <v>11645</v>
      </c>
      <c r="I99" s="3">
        <v>11635</v>
      </c>
      <c r="J99" s="3">
        <v>11650</v>
      </c>
      <c r="K99" s="3">
        <v>11650</v>
      </c>
      <c r="L99" s="3">
        <v>12095</v>
      </c>
      <c r="M99" s="3">
        <v>12095</v>
      </c>
      <c r="N99" s="3">
        <v>12480</v>
      </c>
      <c r="O99" s="3">
        <v>12490</v>
      </c>
      <c r="P99" s="3">
        <v>12760</v>
      </c>
      <c r="Q99" s="3">
        <v>12745</v>
      </c>
      <c r="R99" s="3">
        <v>12500</v>
      </c>
      <c r="S99" s="3">
        <v>12495</v>
      </c>
      <c r="T99" s="3">
        <v>12355</v>
      </c>
      <c r="U99" s="3">
        <v>12360</v>
      </c>
      <c r="V99" s="3">
        <v>12820</v>
      </c>
      <c r="W99" s="3">
        <v>12830</v>
      </c>
      <c r="X99" s="3">
        <v>12530</v>
      </c>
      <c r="Y99" s="3">
        <v>12545</v>
      </c>
      <c r="Z99" s="3">
        <v>12625</v>
      </c>
      <c r="AA99" s="3">
        <v>12625</v>
      </c>
      <c r="AB99" s="3">
        <v>13295</v>
      </c>
      <c r="AC99" s="3">
        <v>13310</v>
      </c>
      <c r="AD99" s="3">
        <v>13195</v>
      </c>
      <c r="AE99" s="3">
        <v>13175</v>
      </c>
      <c r="AF99" s="3">
        <v>13800</v>
      </c>
      <c r="AG99" s="3">
        <v>13815</v>
      </c>
      <c r="AH99" s="3">
        <v>14225</v>
      </c>
      <c r="AI99" s="3">
        <v>14220</v>
      </c>
      <c r="AJ99" s="3">
        <v>13885</v>
      </c>
      <c r="AK99" s="3">
        <v>13895</v>
      </c>
      <c r="AL99" s="3">
        <v>13695</v>
      </c>
      <c r="AM99" s="3">
        <v>13690</v>
      </c>
      <c r="AN99" s="3">
        <v>13585</v>
      </c>
      <c r="AO99" s="3">
        <v>13610</v>
      </c>
      <c r="AP99" s="3">
        <v>13680</v>
      </c>
      <c r="AQ99" s="3">
        <v>13645</v>
      </c>
      <c r="AR99" s="4">
        <f t="shared" si="80"/>
        <v>1.5611448395490113E-2</v>
      </c>
      <c r="AS99" s="4">
        <f t="shared" si="52"/>
        <v>1.3419913419913443E-2</v>
      </c>
      <c r="AT99" s="4">
        <f t="shared" si="53"/>
        <v>2.6408450704225261E-2</v>
      </c>
      <c r="AU99" s="4">
        <f t="shared" si="54"/>
        <v>1.2308998302207108E-2</v>
      </c>
      <c r="AV99" s="4">
        <f t="shared" si="55"/>
        <v>3.4217279726261873E-3</v>
      </c>
      <c r="AW99" s="4">
        <f t="shared" si="56"/>
        <v>1.9814502529510891E-2</v>
      </c>
      <c r="AX99" s="4">
        <f t="shared" si="57"/>
        <v>3.0953363598844374E-2</v>
      </c>
      <c r="AY99" s="4">
        <f t="shared" si="58"/>
        <v>2.7386541471048353E-3</v>
      </c>
      <c r="AZ99" s="4">
        <f t="shared" si="59"/>
        <v>3.9856516540454079E-3</v>
      </c>
      <c r="BA99" s="4">
        <f t="shared" si="60"/>
        <v>1.2121212121212199E-3</v>
      </c>
      <c r="BB99" s="4">
        <f t="shared" si="61"/>
        <v>4.0129712201053991E-2</v>
      </c>
      <c r="BC99" s="4">
        <f t="shared" si="62"/>
        <v>7.1230708349822036E-3</v>
      </c>
      <c r="BD99" s="4">
        <f t="shared" si="63"/>
        <v>1.6744548286604322E-2</v>
      </c>
      <c r="BE99" s="4">
        <f t="shared" si="64"/>
        <v>2.6610104126494338E-2</v>
      </c>
      <c r="BF99" s="4">
        <f t="shared" si="65"/>
        <v>6.4935064935065512E-3</v>
      </c>
      <c r="BG99" s="4">
        <f t="shared" si="66"/>
        <v>3.5995500562429728E-2</v>
      </c>
      <c r="BH99" s="4">
        <f t="shared" si="67"/>
        <v>2.2286125089863384E-2</v>
      </c>
      <c r="BI99" s="4">
        <f t="shared" si="68"/>
        <v>1.4414414414414267E-3</v>
      </c>
      <c r="BJ99" s="4">
        <f t="shared" si="69"/>
        <v>2.1865889212827616E-3</v>
      </c>
      <c r="BK99" s="4">
        <f t="shared" si="70"/>
        <v>5.4804530507854832E-3</v>
      </c>
      <c r="BL99" s="4">
        <f t="shared" si="71"/>
        <v>1.4121144555927057E-2</v>
      </c>
      <c r="BM99" s="4">
        <f t="shared" si="81"/>
        <v>1.4527202972897144E-2</v>
      </c>
      <c r="BN99" s="14">
        <f t="shared" si="82"/>
        <v>13650.463516000331</v>
      </c>
      <c r="BO99" s="15">
        <f t="shared" si="83"/>
        <v>13131.425020386147</v>
      </c>
      <c r="BP99" s="16">
        <v>13680</v>
      </c>
      <c r="BQ99" s="16">
        <v>13680</v>
      </c>
      <c r="BR99" s="16">
        <v>13620</v>
      </c>
      <c r="BS99" s="16">
        <v>13645</v>
      </c>
      <c r="BT99" s="16">
        <v>165769</v>
      </c>
      <c r="BU99" s="15">
        <f t="shared" si="72"/>
        <v>13648.333333333334</v>
      </c>
      <c r="BV99" s="15">
        <f t="shared" si="73"/>
        <v>2262470568.3333335</v>
      </c>
      <c r="BW99" s="15">
        <f>SUM($BV$3:BV99)</f>
        <v>162784269068.33337</v>
      </c>
      <c r="BX99" s="15">
        <f>SUM($BT$3:BT99)</f>
        <v>11996210</v>
      </c>
      <c r="BY99" s="15">
        <f t="shared" si="74"/>
        <v>13569.641500801785</v>
      </c>
      <c r="BZ99" s="3">
        <v>97</v>
      </c>
      <c r="CA99" s="3">
        <f t="shared" si="75"/>
        <v>0</v>
      </c>
      <c r="CB99" s="3">
        <f t="shared" si="76"/>
        <v>0</v>
      </c>
      <c r="CC99" s="3">
        <f t="shared" si="77"/>
        <v>0</v>
      </c>
      <c r="CD99" s="6" t="str">
        <f t="shared" si="78"/>
        <v/>
      </c>
      <c r="CE99" s="6">
        <f t="shared" si="79"/>
        <v>1</v>
      </c>
    </row>
    <row r="100" spans="1:83" x14ac:dyDescent="0.3">
      <c r="A100" s="3" t="s">
        <v>140</v>
      </c>
      <c r="B100" s="3">
        <v>11705</v>
      </c>
      <c r="C100" s="3">
        <v>11715</v>
      </c>
      <c r="D100" s="3">
        <v>11395</v>
      </c>
      <c r="E100" s="3">
        <v>11415</v>
      </c>
      <c r="F100" s="3">
        <v>11660</v>
      </c>
      <c r="G100" s="3">
        <v>11675</v>
      </c>
      <c r="H100" s="3">
        <v>11640</v>
      </c>
      <c r="I100" s="3">
        <v>11645</v>
      </c>
      <c r="J100" s="3">
        <v>11650</v>
      </c>
      <c r="K100" s="3">
        <v>11655</v>
      </c>
      <c r="L100" s="3">
        <v>12095</v>
      </c>
      <c r="M100" s="3">
        <v>12080</v>
      </c>
      <c r="N100" s="3">
        <v>12490</v>
      </c>
      <c r="O100" s="3">
        <v>12495</v>
      </c>
      <c r="P100" s="3">
        <v>12745</v>
      </c>
      <c r="Q100" s="3">
        <v>12730</v>
      </c>
      <c r="R100" s="3">
        <v>12495</v>
      </c>
      <c r="S100" s="3">
        <v>12510</v>
      </c>
      <c r="T100" s="3">
        <v>12360</v>
      </c>
      <c r="U100" s="3">
        <v>12365</v>
      </c>
      <c r="V100" s="3">
        <v>12830</v>
      </c>
      <c r="W100" s="3">
        <v>12825</v>
      </c>
      <c r="X100" s="3">
        <v>12545</v>
      </c>
      <c r="Y100" s="3">
        <v>12555</v>
      </c>
      <c r="Z100" s="3">
        <v>12625</v>
      </c>
      <c r="AA100" s="3">
        <v>12645</v>
      </c>
      <c r="AB100" s="3">
        <v>13310</v>
      </c>
      <c r="AC100" s="3">
        <v>13305</v>
      </c>
      <c r="AD100" s="3">
        <v>13165</v>
      </c>
      <c r="AE100" s="3">
        <v>13170</v>
      </c>
      <c r="AF100" s="3">
        <v>13815</v>
      </c>
      <c r="AG100" s="3">
        <v>13815</v>
      </c>
      <c r="AH100" s="3">
        <v>14220</v>
      </c>
      <c r="AI100" s="3">
        <v>14240</v>
      </c>
      <c r="AJ100" s="3">
        <v>13895</v>
      </c>
      <c r="AK100" s="3">
        <v>13880</v>
      </c>
      <c r="AL100" s="3">
        <v>13690</v>
      </c>
      <c r="AM100" s="3">
        <v>13680</v>
      </c>
      <c r="AN100" s="3">
        <v>13610</v>
      </c>
      <c r="AO100" s="3">
        <v>13605</v>
      </c>
      <c r="AP100" s="3">
        <v>13645</v>
      </c>
      <c r="AQ100" s="3">
        <v>13670</v>
      </c>
      <c r="AR100" s="4">
        <f t="shared" si="80"/>
        <v>1.6045099739809165E-2</v>
      </c>
      <c r="AS100" s="4">
        <f t="shared" si="52"/>
        <v>1.1688311688311637E-2</v>
      </c>
      <c r="AT100" s="4">
        <f t="shared" si="53"/>
        <v>2.7728873239436513E-2</v>
      </c>
      <c r="AU100" s="4">
        <f t="shared" si="54"/>
        <v>1.1460101867572181E-2</v>
      </c>
      <c r="AV100" s="4">
        <f t="shared" si="55"/>
        <v>2.9940119760478723E-3</v>
      </c>
      <c r="AW100" s="4">
        <f t="shared" si="56"/>
        <v>1.8549747048903775E-2</v>
      </c>
      <c r="AX100" s="4">
        <f t="shared" si="57"/>
        <v>3.1366075113495651E-2</v>
      </c>
      <c r="AY100" s="4">
        <f t="shared" si="58"/>
        <v>3.9123630672925902E-3</v>
      </c>
      <c r="AZ100" s="4">
        <f t="shared" si="59"/>
        <v>2.789956157831841E-3</v>
      </c>
      <c r="BA100" s="4">
        <f t="shared" si="60"/>
        <v>8.0808080808081328E-4</v>
      </c>
      <c r="BB100" s="4">
        <f t="shared" si="61"/>
        <v>3.9724361572760492E-2</v>
      </c>
      <c r="BC100" s="4">
        <f t="shared" si="62"/>
        <v>6.3316185199842057E-3</v>
      </c>
      <c r="BD100" s="4">
        <f t="shared" si="63"/>
        <v>1.5186915887850483E-2</v>
      </c>
      <c r="BE100" s="4">
        <f t="shared" si="64"/>
        <v>2.6224450443501635E-2</v>
      </c>
      <c r="BF100" s="4">
        <f t="shared" si="65"/>
        <v>6.1115355233001267E-3</v>
      </c>
      <c r="BG100" s="4">
        <f t="shared" si="66"/>
        <v>3.5995500562429728E-2</v>
      </c>
      <c r="BH100" s="4">
        <f t="shared" si="67"/>
        <v>2.372393961179009E-2</v>
      </c>
      <c r="BI100" s="4">
        <f t="shared" si="68"/>
        <v>3.6036036036035668E-4</v>
      </c>
      <c r="BJ100" s="4">
        <f t="shared" si="69"/>
        <v>2.9154518950437192E-3</v>
      </c>
      <c r="BK100" s="4">
        <f t="shared" si="70"/>
        <v>5.8458165875046042E-3</v>
      </c>
      <c r="BL100" s="4">
        <f t="shared" si="71"/>
        <v>1.5979189892233459E-2</v>
      </c>
      <c r="BM100" s="4">
        <f t="shared" si="81"/>
        <v>1.4378316150801882E-2</v>
      </c>
      <c r="BN100" s="14">
        <f t="shared" si="82"/>
        <v>13648.460243809041</v>
      </c>
      <c r="BO100" s="15">
        <f t="shared" si="83"/>
        <v>13133.408937290566</v>
      </c>
      <c r="BP100" s="16">
        <v>13645</v>
      </c>
      <c r="BQ100" s="16">
        <v>13675</v>
      </c>
      <c r="BR100" s="16">
        <v>13645</v>
      </c>
      <c r="BS100" s="16">
        <v>13670</v>
      </c>
      <c r="BT100" s="16">
        <v>57872</v>
      </c>
      <c r="BU100" s="15">
        <f t="shared" si="72"/>
        <v>13663.333333333334</v>
      </c>
      <c r="BV100" s="15">
        <f t="shared" si="73"/>
        <v>790724426.66666675</v>
      </c>
      <c r="BW100" s="15">
        <f>SUM($BV$3:BV100)</f>
        <v>163574993495.00003</v>
      </c>
      <c r="BX100" s="15">
        <f>SUM($BT$3:BT100)</f>
        <v>12054082</v>
      </c>
      <c r="BY100" s="15">
        <f t="shared" si="74"/>
        <v>13570.091318028202</v>
      </c>
      <c r="BZ100" s="3">
        <v>98</v>
      </c>
      <c r="CA100" s="3">
        <f t="shared" si="75"/>
        <v>1</v>
      </c>
      <c r="CB100" s="3">
        <f t="shared" si="76"/>
        <v>0</v>
      </c>
      <c r="CC100" s="3">
        <f t="shared" si="77"/>
        <v>1</v>
      </c>
      <c r="CD100" s="6" t="str">
        <f t="shared" si="78"/>
        <v/>
      </c>
      <c r="CE100" s="6">
        <f t="shared" si="79"/>
        <v>1</v>
      </c>
    </row>
    <row r="101" spans="1:83" x14ac:dyDescent="0.3">
      <c r="A101" s="3" t="s">
        <v>141</v>
      </c>
      <c r="B101" s="3">
        <v>11720</v>
      </c>
      <c r="C101" s="3">
        <v>11720</v>
      </c>
      <c r="D101" s="3">
        <v>11420</v>
      </c>
      <c r="E101" s="3">
        <v>11405</v>
      </c>
      <c r="F101" s="3">
        <v>11675</v>
      </c>
      <c r="G101" s="3">
        <v>11680</v>
      </c>
      <c r="H101" s="3">
        <v>11640</v>
      </c>
      <c r="I101" s="3">
        <v>11625</v>
      </c>
      <c r="J101" s="3">
        <v>11655</v>
      </c>
      <c r="K101" s="3">
        <v>11665</v>
      </c>
      <c r="L101" s="3">
        <v>12080</v>
      </c>
      <c r="M101" s="3">
        <v>12125</v>
      </c>
      <c r="N101" s="3">
        <v>12495</v>
      </c>
      <c r="O101" s="3">
        <v>12515</v>
      </c>
      <c r="P101" s="3">
        <v>12730</v>
      </c>
      <c r="Q101" s="3">
        <v>12750</v>
      </c>
      <c r="R101" s="3">
        <v>12505</v>
      </c>
      <c r="S101" s="3">
        <v>12520</v>
      </c>
      <c r="T101" s="3">
        <v>12365</v>
      </c>
      <c r="U101" s="3">
        <v>12365</v>
      </c>
      <c r="V101" s="3">
        <v>12825</v>
      </c>
      <c r="W101" s="3">
        <v>12820</v>
      </c>
      <c r="X101" s="3">
        <v>12555</v>
      </c>
      <c r="Y101" s="3">
        <v>12560</v>
      </c>
      <c r="Z101" s="3">
        <v>12645</v>
      </c>
      <c r="AA101" s="3">
        <v>12625</v>
      </c>
      <c r="AB101" s="3">
        <v>13305</v>
      </c>
      <c r="AC101" s="3">
        <v>13310</v>
      </c>
      <c r="AD101" s="3">
        <v>13170</v>
      </c>
      <c r="AE101" s="3">
        <v>13175</v>
      </c>
      <c r="AF101" s="3">
        <v>13810</v>
      </c>
      <c r="AG101" s="3">
        <v>13810</v>
      </c>
      <c r="AH101" s="3">
        <v>14240</v>
      </c>
      <c r="AI101" s="3">
        <v>14230</v>
      </c>
      <c r="AJ101" s="3">
        <v>13885</v>
      </c>
      <c r="AK101" s="3">
        <v>13885</v>
      </c>
      <c r="AL101" s="3">
        <v>13680</v>
      </c>
      <c r="AM101" s="3">
        <v>13680</v>
      </c>
      <c r="AN101" s="3">
        <v>13595</v>
      </c>
      <c r="AO101" s="3">
        <v>13620</v>
      </c>
      <c r="AP101" s="3">
        <v>13670</v>
      </c>
      <c r="AQ101" s="3">
        <v>13675</v>
      </c>
      <c r="AR101" s="4">
        <f t="shared" si="80"/>
        <v>1.647875108412844E-2</v>
      </c>
      <c r="AS101" s="4">
        <f t="shared" si="52"/>
        <v>1.255411255411254E-2</v>
      </c>
      <c r="AT101" s="4">
        <f t="shared" si="53"/>
        <v>2.8169014084507005E-2</v>
      </c>
      <c r="AU101" s="4">
        <f t="shared" si="54"/>
        <v>1.3157894736842146E-2</v>
      </c>
      <c r="AV101" s="4">
        <f t="shared" si="55"/>
        <v>2.1385799828913532E-3</v>
      </c>
      <c r="AW101" s="4">
        <f t="shared" si="56"/>
        <v>2.2344013490725123E-2</v>
      </c>
      <c r="AX101" s="4">
        <f t="shared" si="57"/>
        <v>3.3016921172100755E-2</v>
      </c>
      <c r="AY101" s="4">
        <f t="shared" si="58"/>
        <v>2.3474178403756207E-3</v>
      </c>
      <c r="AZ101" s="4">
        <f t="shared" si="59"/>
        <v>1.9928258270227595E-3</v>
      </c>
      <c r="BA101" s="4">
        <f t="shared" si="60"/>
        <v>8.0808080808081328E-4</v>
      </c>
      <c r="BB101" s="4">
        <f t="shared" si="61"/>
        <v>3.9319010944466992E-2</v>
      </c>
      <c r="BC101" s="4">
        <f t="shared" si="62"/>
        <v>5.9358923624851512E-3</v>
      </c>
      <c r="BD101" s="4">
        <f t="shared" si="63"/>
        <v>1.6744548286604322E-2</v>
      </c>
      <c r="BE101" s="4">
        <f t="shared" si="64"/>
        <v>2.6610104126494338E-2</v>
      </c>
      <c r="BF101" s="4">
        <f t="shared" si="65"/>
        <v>6.4935064935065512E-3</v>
      </c>
      <c r="BG101" s="4">
        <f t="shared" si="66"/>
        <v>3.5620547431570948E-2</v>
      </c>
      <c r="BH101" s="4">
        <f t="shared" si="67"/>
        <v>2.3005032350826848E-2</v>
      </c>
      <c r="BI101" s="4">
        <f t="shared" si="68"/>
        <v>7.2072072072071336E-4</v>
      </c>
      <c r="BJ101" s="4">
        <f t="shared" si="69"/>
        <v>2.9154518950437192E-3</v>
      </c>
      <c r="BK101" s="4">
        <f t="shared" si="70"/>
        <v>4.7497259773474632E-3</v>
      </c>
      <c r="BL101" s="4">
        <f t="shared" si="71"/>
        <v>1.635079895949465E-2</v>
      </c>
      <c r="BM101" s="4">
        <f t="shared" si="81"/>
        <v>1.4305699016903357E-2</v>
      </c>
      <c r="BN101" s="14">
        <f t="shared" si="82"/>
        <v>13647.483180272433</v>
      </c>
      <c r="BO101" s="15">
        <f t="shared" si="83"/>
        <v>13134.376560599763</v>
      </c>
      <c r="BP101" s="16">
        <v>13670</v>
      </c>
      <c r="BQ101" s="16">
        <v>13680</v>
      </c>
      <c r="BR101" s="16">
        <v>13660</v>
      </c>
      <c r="BS101" s="16">
        <v>13675</v>
      </c>
      <c r="BT101" s="16">
        <v>31429</v>
      </c>
      <c r="BU101" s="15">
        <f t="shared" si="72"/>
        <v>13671.666666666666</v>
      </c>
      <c r="BV101" s="15">
        <f t="shared" si="73"/>
        <v>429686811.66666663</v>
      </c>
      <c r="BW101" s="15">
        <f>SUM($BV$3:BV101)</f>
        <v>164004680306.66669</v>
      </c>
      <c r="BX101" s="15">
        <f>SUM($BT$3:BT101)</f>
        <v>12085511</v>
      </c>
      <c r="BY101" s="15">
        <f t="shared" si="74"/>
        <v>13570.355470005918</v>
      </c>
      <c r="BZ101" s="3">
        <v>99</v>
      </c>
      <c r="CA101" s="3">
        <f t="shared" si="75"/>
        <v>1</v>
      </c>
      <c r="CB101" s="3">
        <f t="shared" si="76"/>
        <v>0</v>
      </c>
      <c r="CC101" s="3">
        <f t="shared" si="77"/>
        <v>1</v>
      </c>
      <c r="CD101" s="6" t="str">
        <f t="shared" si="78"/>
        <v/>
      </c>
      <c r="CE101" s="6">
        <f t="shared" si="79"/>
        <v>1</v>
      </c>
    </row>
    <row r="102" spans="1:83" x14ac:dyDescent="0.3">
      <c r="A102" s="3" t="s">
        <v>142</v>
      </c>
      <c r="B102" s="3">
        <v>11720</v>
      </c>
      <c r="C102" s="3">
        <v>11725</v>
      </c>
      <c r="D102" s="3">
        <v>11405</v>
      </c>
      <c r="E102" s="3">
        <v>11405</v>
      </c>
      <c r="F102" s="3">
        <v>11675</v>
      </c>
      <c r="G102" s="3">
        <v>11670</v>
      </c>
      <c r="H102" s="3">
        <v>11625</v>
      </c>
      <c r="I102" s="3">
        <v>11635</v>
      </c>
      <c r="J102" s="3">
        <v>11670</v>
      </c>
      <c r="K102" s="3">
        <v>11665</v>
      </c>
      <c r="L102" s="3">
        <v>12125</v>
      </c>
      <c r="M102" s="3">
        <v>12130</v>
      </c>
      <c r="N102" s="3">
        <v>12515</v>
      </c>
      <c r="O102" s="3">
        <v>12520</v>
      </c>
      <c r="P102" s="3">
        <v>12750</v>
      </c>
      <c r="Q102" s="3">
        <v>12725</v>
      </c>
      <c r="R102" s="3">
        <v>12525</v>
      </c>
      <c r="S102" s="3">
        <v>12515</v>
      </c>
      <c r="T102" s="3">
        <v>12365</v>
      </c>
      <c r="U102" s="3">
        <v>12370</v>
      </c>
      <c r="V102" s="3">
        <v>12825</v>
      </c>
      <c r="W102" s="3">
        <v>12820</v>
      </c>
      <c r="X102" s="3">
        <v>12560</v>
      </c>
      <c r="Y102" s="3">
        <v>12550</v>
      </c>
      <c r="Z102" s="3">
        <v>12625</v>
      </c>
      <c r="AA102" s="3">
        <v>12620</v>
      </c>
      <c r="AB102" s="3">
        <v>13315</v>
      </c>
      <c r="AC102" s="3">
        <v>13325</v>
      </c>
      <c r="AD102" s="3">
        <v>13175</v>
      </c>
      <c r="AE102" s="3">
        <v>13175</v>
      </c>
      <c r="AF102" s="3">
        <v>13815</v>
      </c>
      <c r="AG102" s="3">
        <v>13815</v>
      </c>
      <c r="AH102" s="3">
        <v>14230</v>
      </c>
      <c r="AI102" s="3">
        <v>14230</v>
      </c>
      <c r="AJ102" s="3">
        <v>13885</v>
      </c>
      <c r="AK102" s="3">
        <v>13870</v>
      </c>
      <c r="AL102" s="3">
        <v>13680</v>
      </c>
      <c r="AM102" s="3">
        <v>13675</v>
      </c>
      <c r="AN102" s="3">
        <v>13620</v>
      </c>
      <c r="AO102" s="3">
        <v>13625</v>
      </c>
      <c r="AP102" s="3">
        <v>13680</v>
      </c>
      <c r="AQ102" s="3">
        <v>13680</v>
      </c>
      <c r="AR102" s="4">
        <f t="shared" si="80"/>
        <v>1.6912402428447493E-2</v>
      </c>
      <c r="AS102" s="4">
        <f t="shared" si="52"/>
        <v>1.255411255411254E-2</v>
      </c>
      <c r="AT102" s="4">
        <f t="shared" si="53"/>
        <v>2.7288732394366244E-2</v>
      </c>
      <c r="AU102" s="4">
        <f t="shared" si="54"/>
        <v>1.2308998302207108E-2</v>
      </c>
      <c r="AV102" s="4">
        <f t="shared" si="55"/>
        <v>2.1385799828913532E-3</v>
      </c>
      <c r="AW102" s="4">
        <f t="shared" si="56"/>
        <v>2.2765598650927421E-2</v>
      </c>
      <c r="AX102" s="4">
        <f t="shared" si="57"/>
        <v>3.3429632686752031E-2</v>
      </c>
      <c r="AY102" s="4">
        <f t="shared" si="58"/>
        <v>4.3035993740219158E-3</v>
      </c>
      <c r="AZ102" s="4">
        <f t="shared" si="59"/>
        <v>2.3913909924272447E-3</v>
      </c>
      <c r="BA102" s="4">
        <f t="shared" si="60"/>
        <v>4.0404040404040664E-4</v>
      </c>
      <c r="BB102" s="4">
        <f t="shared" si="61"/>
        <v>3.9319010944466992E-2</v>
      </c>
      <c r="BC102" s="4">
        <f t="shared" si="62"/>
        <v>6.7273446774831491E-3</v>
      </c>
      <c r="BD102" s="4">
        <f t="shared" si="63"/>
        <v>1.7133956386292781E-2</v>
      </c>
      <c r="BE102" s="4">
        <f t="shared" si="64"/>
        <v>2.776706517547245E-2</v>
      </c>
      <c r="BF102" s="4">
        <f t="shared" si="65"/>
        <v>6.4935064935065512E-3</v>
      </c>
      <c r="BG102" s="4">
        <f t="shared" si="66"/>
        <v>3.5995500562429728E-2</v>
      </c>
      <c r="BH102" s="4">
        <f t="shared" si="67"/>
        <v>2.3005032350826848E-2</v>
      </c>
      <c r="BI102" s="4">
        <f t="shared" si="68"/>
        <v>3.6036036036035668E-4</v>
      </c>
      <c r="BJ102" s="4">
        <f t="shared" si="69"/>
        <v>3.2798833819241979E-3</v>
      </c>
      <c r="BK102" s="4">
        <f t="shared" si="70"/>
        <v>4.3843624406284532E-3</v>
      </c>
      <c r="BL102" s="4">
        <f t="shared" si="71"/>
        <v>1.6722408026755842E-2</v>
      </c>
      <c r="BM102" s="4">
        <f t="shared" si="81"/>
        <v>1.4642477587902365E-2</v>
      </c>
      <c r="BN102" s="14">
        <f t="shared" si="82"/>
        <v>13652.014535945227</v>
      </c>
      <c r="BO102" s="15">
        <f t="shared" si="83"/>
        <v>13129.888986141201</v>
      </c>
      <c r="BP102" s="16">
        <v>13680</v>
      </c>
      <c r="BQ102" s="16">
        <v>13685</v>
      </c>
      <c r="BR102" s="16">
        <v>13665</v>
      </c>
      <c r="BS102" s="16">
        <v>13680</v>
      </c>
      <c r="BT102" s="16">
        <v>20534</v>
      </c>
      <c r="BU102" s="15">
        <f t="shared" si="72"/>
        <v>13676.666666666666</v>
      </c>
      <c r="BV102" s="15">
        <f t="shared" si="73"/>
        <v>280836673.33333331</v>
      </c>
      <c r="BW102" s="15">
        <f>SUM($BV$3:BV102)</f>
        <v>164285516980.00003</v>
      </c>
      <c r="BX102" s="15">
        <f>SUM($BT$3:BT102)</f>
        <v>12106045</v>
      </c>
      <c r="BY102" s="15">
        <f t="shared" si="74"/>
        <v>13570.535792655655</v>
      </c>
      <c r="BZ102" s="3">
        <v>100</v>
      </c>
      <c r="CA102" s="3">
        <f t="shared" si="75"/>
        <v>1</v>
      </c>
      <c r="CB102" s="3">
        <f t="shared" si="76"/>
        <v>0</v>
      </c>
      <c r="CC102" s="3">
        <f t="shared" si="77"/>
        <v>1</v>
      </c>
      <c r="CD102" s="6" t="str">
        <f t="shared" si="78"/>
        <v/>
      </c>
      <c r="CE102" s="6">
        <f t="shared" si="79"/>
        <v>1</v>
      </c>
    </row>
    <row r="103" spans="1:83" x14ac:dyDescent="0.3">
      <c r="A103" s="3" t="s">
        <v>143</v>
      </c>
      <c r="B103" s="3">
        <v>11725</v>
      </c>
      <c r="C103" s="3">
        <v>11725</v>
      </c>
      <c r="D103" s="3">
        <v>11405</v>
      </c>
      <c r="E103" s="3">
        <v>11420</v>
      </c>
      <c r="F103" s="3">
        <v>11665</v>
      </c>
      <c r="G103" s="3">
        <v>11665</v>
      </c>
      <c r="H103" s="3">
        <v>11635</v>
      </c>
      <c r="I103" s="3">
        <v>11615</v>
      </c>
      <c r="J103" s="3">
        <v>11665</v>
      </c>
      <c r="K103" s="3">
        <v>11660</v>
      </c>
      <c r="L103" s="3">
        <v>12130</v>
      </c>
      <c r="M103" s="3">
        <v>12125</v>
      </c>
      <c r="N103" s="3">
        <v>12525</v>
      </c>
      <c r="O103" s="3">
        <v>12530</v>
      </c>
      <c r="P103" s="3">
        <v>12725</v>
      </c>
      <c r="Q103" s="3">
        <v>12710</v>
      </c>
      <c r="R103" s="3">
        <v>12515</v>
      </c>
      <c r="S103" s="3">
        <v>12510</v>
      </c>
      <c r="T103" s="3">
        <v>12370</v>
      </c>
      <c r="U103" s="3">
        <v>12370</v>
      </c>
      <c r="V103" s="3">
        <v>12820</v>
      </c>
      <c r="W103" s="3">
        <v>12820</v>
      </c>
      <c r="X103" s="3">
        <v>12555</v>
      </c>
      <c r="Y103" s="3">
        <v>12565</v>
      </c>
      <c r="Z103" s="3">
        <v>12620</v>
      </c>
      <c r="AA103" s="3">
        <v>12630</v>
      </c>
      <c r="AB103" s="3">
        <v>13320</v>
      </c>
      <c r="AC103" s="3">
        <v>13310</v>
      </c>
      <c r="AD103" s="3">
        <v>13175</v>
      </c>
      <c r="AE103" s="3">
        <v>13200</v>
      </c>
      <c r="AF103" s="3">
        <v>13810</v>
      </c>
      <c r="AG103" s="3">
        <v>13785</v>
      </c>
      <c r="AH103" s="3">
        <v>14230</v>
      </c>
      <c r="AI103" s="3">
        <v>14240</v>
      </c>
      <c r="AJ103" s="3">
        <v>13870</v>
      </c>
      <c r="AK103" s="3">
        <v>13880</v>
      </c>
      <c r="AL103" s="3">
        <v>13670</v>
      </c>
      <c r="AM103" s="3">
        <v>13680</v>
      </c>
      <c r="AN103" s="3">
        <v>13620</v>
      </c>
      <c r="AO103" s="3">
        <v>13610</v>
      </c>
      <c r="AP103" s="3">
        <v>13680</v>
      </c>
      <c r="AQ103" s="3">
        <v>13670</v>
      </c>
      <c r="AR103" s="4">
        <f t="shared" si="80"/>
        <v>1.6912402428447493E-2</v>
      </c>
      <c r="AS103" s="4">
        <f t="shared" si="52"/>
        <v>1.1255411255411296E-2</v>
      </c>
      <c r="AT103" s="4">
        <f t="shared" si="53"/>
        <v>2.6848591549295753E-2</v>
      </c>
      <c r="AU103" s="4">
        <f t="shared" si="54"/>
        <v>1.4006791171477073E-2</v>
      </c>
      <c r="AV103" s="4">
        <f t="shared" si="55"/>
        <v>2.5662959794696683E-3</v>
      </c>
      <c r="AW103" s="4">
        <f t="shared" si="56"/>
        <v>2.2344013490725123E-2</v>
      </c>
      <c r="AX103" s="4">
        <f t="shared" si="57"/>
        <v>3.4255055716054583E-2</v>
      </c>
      <c r="AY103" s="4">
        <f t="shared" si="58"/>
        <v>5.4773082942096707E-3</v>
      </c>
      <c r="AZ103" s="4">
        <f t="shared" si="59"/>
        <v>2.789956157831841E-3</v>
      </c>
      <c r="BA103" s="4">
        <f t="shared" si="60"/>
        <v>4.0404040404040664E-4</v>
      </c>
      <c r="BB103" s="4">
        <f t="shared" si="61"/>
        <v>3.9319010944466992E-2</v>
      </c>
      <c r="BC103" s="4">
        <f t="shared" si="62"/>
        <v>5.5401662049860967E-3</v>
      </c>
      <c r="BD103" s="4">
        <f t="shared" si="63"/>
        <v>1.6355140186915862E-2</v>
      </c>
      <c r="BE103" s="4">
        <f t="shared" si="64"/>
        <v>2.6610104126494338E-2</v>
      </c>
      <c r="BF103" s="4">
        <f t="shared" si="65"/>
        <v>8.4033613445377853E-3</v>
      </c>
      <c r="BG103" s="4">
        <f t="shared" si="66"/>
        <v>3.3745781777277939E-2</v>
      </c>
      <c r="BH103" s="4">
        <f t="shared" si="67"/>
        <v>2.372393961179009E-2</v>
      </c>
      <c r="BI103" s="4">
        <f t="shared" si="68"/>
        <v>3.6036036036035668E-4</v>
      </c>
      <c r="BJ103" s="4">
        <f t="shared" si="69"/>
        <v>2.9154518950437192E-3</v>
      </c>
      <c r="BK103" s="4">
        <f t="shared" si="70"/>
        <v>5.4804530507854832E-3</v>
      </c>
      <c r="BL103" s="4">
        <f t="shared" si="71"/>
        <v>1.5979189892233459E-2</v>
      </c>
      <c r="BM103" s="4">
        <f t="shared" si="81"/>
        <v>1.4670009291056798E-2</v>
      </c>
      <c r="BN103" s="14">
        <f t="shared" si="82"/>
        <v>13652.384975011169</v>
      </c>
      <c r="BO103" s="15">
        <f t="shared" si="83"/>
        <v>13129.522126196669</v>
      </c>
      <c r="BP103" s="16">
        <v>13680</v>
      </c>
      <c r="BQ103" s="16">
        <v>13680</v>
      </c>
      <c r="BR103" s="16">
        <v>13665</v>
      </c>
      <c r="BS103" s="16">
        <v>13670</v>
      </c>
      <c r="BT103" s="16">
        <v>16776</v>
      </c>
      <c r="BU103" s="15">
        <f t="shared" si="72"/>
        <v>13671.666666666666</v>
      </c>
      <c r="BV103" s="15">
        <f t="shared" si="73"/>
        <v>229355880</v>
      </c>
      <c r="BW103" s="15">
        <f>SUM($BV$3:BV103)</f>
        <v>164514872860.00003</v>
      </c>
      <c r="BX103" s="15">
        <f>SUM($BT$3:BT103)</f>
        <v>12122821</v>
      </c>
      <c r="BY103" s="15">
        <f t="shared" si="74"/>
        <v>13570.675741232179</v>
      </c>
      <c r="BZ103" s="3">
        <v>101</v>
      </c>
      <c r="CA103" s="3">
        <f t="shared" si="75"/>
        <v>1</v>
      </c>
      <c r="CB103" s="3">
        <f t="shared" si="76"/>
        <v>0</v>
      </c>
      <c r="CC103" s="3">
        <f t="shared" si="77"/>
        <v>1</v>
      </c>
      <c r="CD103" s="6" t="str">
        <f t="shared" si="78"/>
        <v/>
      </c>
      <c r="CE103" s="6">
        <f t="shared" si="79"/>
        <v>1</v>
      </c>
    </row>
    <row r="104" spans="1:83" x14ac:dyDescent="0.3">
      <c r="A104" s="3" t="s">
        <v>144</v>
      </c>
      <c r="B104" s="3">
        <v>11730</v>
      </c>
      <c r="C104" s="3">
        <v>11710</v>
      </c>
      <c r="D104" s="3">
        <v>11420</v>
      </c>
      <c r="E104" s="3">
        <v>11430</v>
      </c>
      <c r="F104" s="3">
        <v>11670</v>
      </c>
      <c r="G104" s="3">
        <v>11670</v>
      </c>
      <c r="H104" s="3">
        <v>11615</v>
      </c>
      <c r="I104" s="3">
        <v>11600</v>
      </c>
      <c r="J104" s="3">
        <v>11660</v>
      </c>
      <c r="K104" s="3">
        <v>11655</v>
      </c>
      <c r="L104" s="3">
        <v>12120</v>
      </c>
      <c r="M104" s="3">
        <v>12115</v>
      </c>
      <c r="N104" s="3">
        <v>12530</v>
      </c>
      <c r="O104" s="3">
        <v>12535</v>
      </c>
      <c r="P104" s="3">
        <v>12710</v>
      </c>
      <c r="Q104" s="3">
        <v>12735</v>
      </c>
      <c r="R104" s="3">
        <v>12510</v>
      </c>
      <c r="S104" s="3">
        <v>12510</v>
      </c>
      <c r="T104" s="3">
        <v>12365</v>
      </c>
      <c r="U104" s="3">
        <v>12405</v>
      </c>
      <c r="V104" s="3">
        <v>12825</v>
      </c>
      <c r="W104" s="3">
        <v>12830</v>
      </c>
      <c r="X104" s="3">
        <v>12565</v>
      </c>
      <c r="Y104" s="3">
        <v>12575</v>
      </c>
      <c r="Z104" s="3">
        <v>12625</v>
      </c>
      <c r="AA104" s="3">
        <v>12610</v>
      </c>
      <c r="AB104" s="3">
        <v>13310</v>
      </c>
      <c r="AC104" s="3">
        <v>13315</v>
      </c>
      <c r="AD104" s="3">
        <v>13195</v>
      </c>
      <c r="AE104" s="3">
        <v>13180</v>
      </c>
      <c r="AF104" s="3">
        <v>13790</v>
      </c>
      <c r="AG104" s="3">
        <v>13805</v>
      </c>
      <c r="AH104" s="3">
        <v>14240</v>
      </c>
      <c r="AI104" s="3">
        <v>14250</v>
      </c>
      <c r="AJ104" s="3">
        <v>13875</v>
      </c>
      <c r="AK104" s="3">
        <v>13875</v>
      </c>
      <c r="AL104" s="3">
        <v>13680</v>
      </c>
      <c r="AM104" s="3">
        <v>13700</v>
      </c>
      <c r="AN104" s="3">
        <v>13605</v>
      </c>
      <c r="AO104" s="3">
        <v>13595</v>
      </c>
      <c r="AP104" s="3">
        <v>13675</v>
      </c>
      <c r="AQ104" s="3">
        <v>13680</v>
      </c>
      <c r="AR104" s="4">
        <f t="shared" si="80"/>
        <v>1.5611448395490113E-2</v>
      </c>
      <c r="AS104" s="4">
        <f t="shared" si="52"/>
        <v>1.0389610389610393E-2</v>
      </c>
      <c r="AT104" s="4">
        <f t="shared" si="53"/>
        <v>2.7288732394366244E-2</v>
      </c>
      <c r="AU104" s="4">
        <f t="shared" si="54"/>
        <v>1.5280135823429575E-2</v>
      </c>
      <c r="AV104" s="4">
        <f t="shared" si="55"/>
        <v>2.9940119760478723E-3</v>
      </c>
      <c r="AW104" s="4">
        <f t="shared" si="56"/>
        <v>2.1500843170320305E-2</v>
      </c>
      <c r="AX104" s="4">
        <f t="shared" si="57"/>
        <v>3.4667767230705637E-2</v>
      </c>
      <c r="AY104" s="4">
        <f t="shared" si="58"/>
        <v>3.5211267605633756E-3</v>
      </c>
      <c r="AZ104" s="4">
        <f t="shared" si="59"/>
        <v>2.789956157831841E-3</v>
      </c>
      <c r="BA104" s="4">
        <f t="shared" si="60"/>
        <v>2.4242424242424399E-3</v>
      </c>
      <c r="BB104" s="4">
        <f t="shared" si="61"/>
        <v>4.0129712201053991E-2</v>
      </c>
      <c r="BC104" s="4">
        <f t="shared" si="62"/>
        <v>4.7487138899880987E-3</v>
      </c>
      <c r="BD104" s="4">
        <f t="shared" si="63"/>
        <v>1.7912772585669812E-2</v>
      </c>
      <c r="BE104" s="4">
        <f t="shared" si="64"/>
        <v>2.6995757809487042E-2</v>
      </c>
      <c r="BF104" s="4">
        <f t="shared" si="65"/>
        <v>6.8754774637127536E-3</v>
      </c>
      <c r="BG104" s="4">
        <f t="shared" si="66"/>
        <v>3.5245594300712391E-2</v>
      </c>
      <c r="BH104" s="4">
        <f t="shared" si="67"/>
        <v>2.4442846872753332E-2</v>
      </c>
      <c r="BI104" s="4">
        <f t="shared" si="68"/>
        <v>0</v>
      </c>
      <c r="BJ104" s="4">
        <f t="shared" si="69"/>
        <v>1.4577259475219151E-3</v>
      </c>
      <c r="BK104" s="4">
        <f t="shared" si="70"/>
        <v>6.5765436609426242E-3</v>
      </c>
      <c r="BL104" s="4">
        <f t="shared" si="71"/>
        <v>1.6722408026755842E-2</v>
      </c>
      <c r="BM104" s="4">
        <f t="shared" si="81"/>
        <v>1.4842016950370376E-2</v>
      </c>
      <c r="BN104" s="14">
        <f t="shared" si="82"/>
        <v>13654.699338067234</v>
      </c>
      <c r="BO104" s="15">
        <f t="shared" si="83"/>
        <v>13127.230124136315</v>
      </c>
      <c r="BP104" s="16">
        <v>13675</v>
      </c>
      <c r="BQ104" s="16">
        <v>13690</v>
      </c>
      <c r="BR104" s="16">
        <v>13670</v>
      </c>
      <c r="BS104" s="16">
        <v>13680</v>
      </c>
      <c r="BT104" s="16">
        <v>29788</v>
      </c>
      <c r="BU104" s="15">
        <f t="shared" si="72"/>
        <v>13680</v>
      </c>
      <c r="BV104" s="15">
        <f t="shared" si="73"/>
        <v>407499840</v>
      </c>
      <c r="BW104" s="15">
        <f>SUM($BV$3:BV104)</f>
        <v>164922372700.00003</v>
      </c>
      <c r="BX104" s="15">
        <f>SUM($BT$3:BT104)</f>
        <v>12152609</v>
      </c>
      <c r="BY104" s="15">
        <f t="shared" si="74"/>
        <v>13570.943712580569</v>
      </c>
      <c r="BZ104" s="3">
        <v>102</v>
      </c>
      <c r="CA104" s="3">
        <f t="shared" si="75"/>
        <v>1</v>
      </c>
      <c r="CB104" s="3">
        <f t="shared" si="76"/>
        <v>0</v>
      </c>
      <c r="CC104" s="3">
        <f t="shared" si="77"/>
        <v>1</v>
      </c>
      <c r="CD104" s="6" t="str">
        <f t="shared" si="78"/>
        <v/>
      </c>
      <c r="CE104" s="6">
        <f t="shared" si="79"/>
        <v>1</v>
      </c>
    </row>
    <row r="105" spans="1:83" x14ac:dyDescent="0.3">
      <c r="A105" s="3" t="s">
        <v>145</v>
      </c>
      <c r="B105" s="3">
        <v>11720</v>
      </c>
      <c r="C105" s="3">
        <v>11720</v>
      </c>
      <c r="D105" s="3">
        <v>11430</v>
      </c>
      <c r="E105" s="3">
        <v>11430</v>
      </c>
      <c r="F105" s="3">
        <v>11665</v>
      </c>
      <c r="G105" s="3">
        <v>11665</v>
      </c>
      <c r="H105" s="3">
        <v>11600</v>
      </c>
      <c r="I105" s="3">
        <v>11530</v>
      </c>
      <c r="J105" s="3">
        <v>11655</v>
      </c>
      <c r="K105" s="3">
        <v>11625</v>
      </c>
      <c r="L105" s="3">
        <v>12120</v>
      </c>
      <c r="M105" s="3">
        <v>12120</v>
      </c>
      <c r="N105" s="3">
        <v>12540</v>
      </c>
      <c r="O105" s="3">
        <v>12540</v>
      </c>
      <c r="P105" s="3">
        <v>12740</v>
      </c>
      <c r="Q105" s="3">
        <v>12725</v>
      </c>
      <c r="R105" s="3">
        <v>12515</v>
      </c>
      <c r="S105" s="3">
        <v>12510</v>
      </c>
      <c r="T105" s="3">
        <v>12405</v>
      </c>
      <c r="U105" s="3">
        <v>12400</v>
      </c>
      <c r="V105" s="3">
        <v>12825</v>
      </c>
      <c r="W105" s="3">
        <v>12820</v>
      </c>
      <c r="X105" s="3">
        <v>12575</v>
      </c>
      <c r="Y105" s="3">
        <v>12585</v>
      </c>
      <c r="Z105" s="3">
        <v>12615</v>
      </c>
      <c r="AA105" s="3">
        <v>12615</v>
      </c>
      <c r="AB105" s="3">
        <v>13315</v>
      </c>
      <c r="AC105" s="3">
        <v>13310</v>
      </c>
      <c r="AD105" s="3">
        <v>13180</v>
      </c>
      <c r="AE105" s="3">
        <v>13175</v>
      </c>
      <c r="AF105" s="3">
        <v>13805</v>
      </c>
      <c r="AG105" s="3">
        <v>13805</v>
      </c>
      <c r="AH105" s="3">
        <v>14250</v>
      </c>
      <c r="AI105" s="3">
        <v>14255</v>
      </c>
      <c r="AJ105" s="3">
        <v>13875</v>
      </c>
      <c r="AK105" s="3">
        <v>13870</v>
      </c>
      <c r="AL105" s="3">
        <v>13700</v>
      </c>
      <c r="AM105" s="3">
        <v>13700</v>
      </c>
      <c r="AN105" s="3">
        <v>13595</v>
      </c>
      <c r="AO105" s="3">
        <v>13595</v>
      </c>
      <c r="AP105" s="3">
        <v>13685</v>
      </c>
      <c r="AQ105" s="3">
        <v>13670</v>
      </c>
      <c r="AR105" s="4">
        <f t="shared" si="80"/>
        <v>1.647875108412844E-2</v>
      </c>
      <c r="AS105" s="4">
        <f t="shared" si="52"/>
        <v>1.0389610389610393E-2</v>
      </c>
      <c r="AT105" s="4">
        <f t="shared" si="53"/>
        <v>2.6848591549295753E-2</v>
      </c>
      <c r="AU105" s="4">
        <f t="shared" si="54"/>
        <v>2.1222410865874397E-2</v>
      </c>
      <c r="AV105" s="4">
        <f t="shared" si="55"/>
        <v>5.5603079555175405E-3</v>
      </c>
      <c r="AW105" s="4">
        <f t="shared" si="56"/>
        <v>2.1922428330522825E-2</v>
      </c>
      <c r="AX105" s="4">
        <f t="shared" si="57"/>
        <v>3.5080478745356913E-2</v>
      </c>
      <c r="AY105" s="4">
        <f t="shared" si="58"/>
        <v>4.3035993740219158E-3</v>
      </c>
      <c r="AZ105" s="4">
        <f t="shared" si="59"/>
        <v>2.789956157831841E-3</v>
      </c>
      <c r="BA105" s="4">
        <f t="shared" si="60"/>
        <v>2.0202020202020332E-3</v>
      </c>
      <c r="BB105" s="4">
        <f t="shared" si="61"/>
        <v>3.9319010944466992E-2</v>
      </c>
      <c r="BC105" s="4">
        <f t="shared" si="62"/>
        <v>3.9572615749901008E-3</v>
      </c>
      <c r="BD105" s="4">
        <f t="shared" si="63"/>
        <v>1.7523364485981352E-2</v>
      </c>
      <c r="BE105" s="4">
        <f t="shared" si="64"/>
        <v>2.6610104126494338E-2</v>
      </c>
      <c r="BF105" s="4">
        <f t="shared" si="65"/>
        <v>6.4935064935065512E-3</v>
      </c>
      <c r="BG105" s="4">
        <f t="shared" si="66"/>
        <v>3.5245594300712391E-2</v>
      </c>
      <c r="BH105" s="4">
        <f t="shared" si="67"/>
        <v>2.4802300503235175E-2</v>
      </c>
      <c r="BI105" s="4">
        <f t="shared" si="68"/>
        <v>3.6036036036035668E-4</v>
      </c>
      <c r="BJ105" s="4">
        <f t="shared" si="69"/>
        <v>1.4577259475219151E-3</v>
      </c>
      <c r="BK105" s="4">
        <f t="shared" si="70"/>
        <v>6.5765436609426242E-3</v>
      </c>
      <c r="BL105" s="4">
        <f t="shared" si="71"/>
        <v>1.5979189892233459E-2</v>
      </c>
      <c r="BM105" s="4">
        <f t="shared" si="81"/>
        <v>1.4752857763973179E-2</v>
      </c>
      <c r="BN105" s="14">
        <f t="shared" si="82"/>
        <v>13653.499701214261</v>
      </c>
      <c r="BO105" s="15">
        <f t="shared" si="83"/>
        <v>13128.418170295057</v>
      </c>
      <c r="BP105" s="16">
        <v>13685</v>
      </c>
      <c r="BQ105" s="16">
        <v>13690</v>
      </c>
      <c r="BR105" s="16">
        <v>13660</v>
      </c>
      <c r="BS105" s="16">
        <v>13670</v>
      </c>
      <c r="BT105" s="16">
        <v>12448</v>
      </c>
      <c r="BU105" s="15">
        <f t="shared" si="72"/>
        <v>13673.333333333334</v>
      </c>
      <c r="BV105" s="15">
        <f t="shared" si="73"/>
        <v>170205653.33333334</v>
      </c>
      <c r="BW105" s="15">
        <f>SUM($BV$3:BV105)</f>
        <v>165092578353.33337</v>
      </c>
      <c r="BX105" s="15">
        <f>SUM($BT$3:BT105)</f>
        <v>12165057</v>
      </c>
      <c r="BY105" s="15">
        <f t="shared" si="74"/>
        <v>13571.048483647333</v>
      </c>
      <c r="BZ105" s="3">
        <v>103</v>
      </c>
      <c r="CA105" s="3">
        <f t="shared" si="75"/>
        <v>1</v>
      </c>
      <c r="CB105" s="3">
        <f t="shared" si="76"/>
        <v>0</v>
      </c>
      <c r="CC105" s="3">
        <f t="shared" si="77"/>
        <v>1</v>
      </c>
      <c r="CD105" s="6" t="str">
        <f t="shared" si="78"/>
        <v/>
      </c>
      <c r="CE105" s="6">
        <f t="shared" si="79"/>
        <v>1</v>
      </c>
    </row>
    <row r="106" spans="1:83" x14ac:dyDescent="0.3">
      <c r="A106" s="3" t="s">
        <v>146</v>
      </c>
      <c r="B106" s="3">
        <v>11720</v>
      </c>
      <c r="C106" s="3">
        <v>11720</v>
      </c>
      <c r="D106" s="3">
        <v>11430</v>
      </c>
      <c r="E106" s="3">
        <v>11450</v>
      </c>
      <c r="F106" s="3">
        <v>11670</v>
      </c>
      <c r="G106" s="3">
        <v>11670</v>
      </c>
      <c r="H106" s="3">
        <v>11530</v>
      </c>
      <c r="I106" s="3">
        <v>11530</v>
      </c>
      <c r="J106" s="3">
        <v>11620</v>
      </c>
      <c r="K106" s="3">
        <v>11615</v>
      </c>
      <c r="L106" s="3">
        <v>12120</v>
      </c>
      <c r="M106" s="3">
        <v>12130</v>
      </c>
      <c r="N106" s="3">
        <v>12540</v>
      </c>
      <c r="O106" s="3">
        <v>12560</v>
      </c>
      <c r="P106" s="3">
        <v>12720</v>
      </c>
      <c r="Q106" s="3">
        <v>12725</v>
      </c>
      <c r="R106" s="3">
        <v>12515</v>
      </c>
      <c r="S106" s="3">
        <v>12525</v>
      </c>
      <c r="T106" s="3">
        <v>12400</v>
      </c>
      <c r="U106" s="3">
        <v>12390</v>
      </c>
      <c r="V106" s="3">
        <v>12820</v>
      </c>
      <c r="W106" s="3">
        <v>12815</v>
      </c>
      <c r="X106" s="3">
        <v>12580</v>
      </c>
      <c r="Y106" s="3">
        <v>12595</v>
      </c>
      <c r="Z106" s="3">
        <v>12610</v>
      </c>
      <c r="AA106" s="3">
        <v>12620</v>
      </c>
      <c r="AB106" s="3">
        <v>13315</v>
      </c>
      <c r="AC106" s="3">
        <v>13330</v>
      </c>
      <c r="AD106" s="3">
        <v>13170</v>
      </c>
      <c r="AE106" s="3">
        <v>13175</v>
      </c>
      <c r="AF106" s="3">
        <v>13800</v>
      </c>
      <c r="AG106" s="3">
        <v>13785</v>
      </c>
      <c r="AH106" s="3">
        <v>14260</v>
      </c>
      <c r="AI106" s="3">
        <v>14245</v>
      </c>
      <c r="AJ106" s="3">
        <v>13870</v>
      </c>
      <c r="AK106" s="3">
        <v>13855</v>
      </c>
      <c r="AL106" s="3">
        <v>13700</v>
      </c>
      <c r="AM106" s="3">
        <v>13720</v>
      </c>
      <c r="AN106" s="3">
        <v>13595</v>
      </c>
      <c r="AO106" s="3">
        <v>13600</v>
      </c>
      <c r="AP106" s="3">
        <v>13675</v>
      </c>
      <c r="AQ106" s="3">
        <v>13650</v>
      </c>
      <c r="AR106" s="4">
        <f t="shared" si="80"/>
        <v>1.647875108412844E-2</v>
      </c>
      <c r="AS106" s="4">
        <f t="shared" si="52"/>
        <v>8.6580086580086979E-3</v>
      </c>
      <c r="AT106" s="4">
        <f t="shared" si="53"/>
        <v>2.7288732394366244E-2</v>
      </c>
      <c r="AU106" s="4">
        <f t="shared" si="54"/>
        <v>2.1222410865874397E-2</v>
      </c>
      <c r="AV106" s="4">
        <f t="shared" si="55"/>
        <v>6.4157399486740596E-3</v>
      </c>
      <c r="AW106" s="4">
        <f t="shared" si="56"/>
        <v>2.2765598650927421E-2</v>
      </c>
      <c r="AX106" s="4">
        <f t="shared" si="57"/>
        <v>3.6731324803962018E-2</v>
      </c>
      <c r="AY106" s="4">
        <f t="shared" si="58"/>
        <v>4.3035993740219158E-3</v>
      </c>
      <c r="AZ106" s="4">
        <f t="shared" si="59"/>
        <v>1.5942606616181632E-3</v>
      </c>
      <c r="BA106" s="4">
        <f t="shared" si="60"/>
        <v>1.2121212121212199E-3</v>
      </c>
      <c r="BB106" s="4">
        <f t="shared" si="61"/>
        <v>3.8913660316173493E-2</v>
      </c>
      <c r="BC106" s="4">
        <f t="shared" si="62"/>
        <v>3.1658092599921028E-3</v>
      </c>
      <c r="BD106" s="4">
        <f t="shared" si="63"/>
        <v>1.7133956386292781E-2</v>
      </c>
      <c r="BE106" s="4">
        <f t="shared" si="64"/>
        <v>2.8152718858465153E-2</v>
      </c>
      <c r="BF106" s="4">
        <f t="shared" si="65"/>
        <v>6.4935064935065512E-3</v>
      </c>
      <c r="BG106" s="4">
        <f t="shared" si="66"/>
        <v>3.3745781777277939E-2</v>
      </c>
      <c r="BH106" s="4">
        <f t="shared" si="67"/>
        <v>2.4083393242271711E-2</v>
      </c>
      <c r="BI106" s="4">
        <f t="shared" si="68"/>
        <v>1.4414414414414267E-3</v>
      </c>
      <c r="BJ106" s="4">
        <f t="shared" si="69"/>
        <v>0</v>
      </c>
      <c r="BK106" s="4">
        <f t="shared" si="70"/>
        <v>6.2111801242236142E-3</v>
      </c>
      <c r="BL106" s="4">
        <f t="shared" si="71"/>
        <v>1.449275362318847E-2</v>
      </c>
      <c r="BM106" s="4">
        <f t="shared" si="81"/>
        <v>1.4513053853669149E-2</v>
      </c>
      <c r="BN106" s="14">
        <f t="shared" si="82"/>
        <v>13650.273139601117</v>
      </c>
      <c r="BO106" s="15">
        <f t="shared" si="83"/>
        <v>13131.613557399858</v>
      </c>
      <c r="BP106" s="16">
        <v>13675</v>
      </c>
      <c r="BQ106" s="16">
        <v>13680</v>
      </c>
      <c r="BR106" s="16">
        <v>13650</v>
      </c>
      <c r="BS106" s="16">
        <v>13650</v>
      </c>
      <c r="BT106" s="16">
        <v>23560</v>
      </c>
      <c r="BU106" s="15">
        <f t="shared" si="72"/>
        <v>13660</v>
      </c>
      <c r="BV106" s="15">
        <f t="shared" si="73"/>
        <v>321829600</v>
      </c>
      <c r="BW106" s="15">
        <f>SUM($BV$3:BV106)</f>
        <v>165414407953.33337</v>
      </c>
      <c r="BX106" s="15">
        <f>SUM($BT$3:BT106)</f>
        <v>12188617</v>
      </c>
      <c r="BY106" s="15">
        <f t="shared" si="74"/>
        <v>13571.220422574061</v>
      </c>
      <c r="BZ106" s="3">
        <v>104</v>
      </c>
      <c r="CA106" s="3">
        <f t="shared" si="75"/>
        <v>0</v>
      </c>
      <c r="CB106" s="3">
        <f t="shared" si="76"/>
        <v>0</v>
      </c>
      <c r="CC106" s="3">
        <f t="shared" si="77"/>
        <v>0</v>
      </c>
      <c r="CD106" s="6" t="str">
        <f t="shared" si="78"/>
        <v/>
      </c>
      <c r="CE106" s="6">
        <f t="shared" si="79"/>
        <v>1</v>
      </c>
    </row>
    <row r="107" spans="1:83" x14ac:dyDescent="0.3">
      <c r="A107" s="3" t="s">
        <v>147</v>
      </c>
      <c r="B107" s="3">
        <v>11720</v>
      </c>
      <c r="C107" s="3">
        <v>11710</v>
      </c>
      <c r="D107" s="3">
        <v>11445</v>
      </c>
      <c r="E107" s="3">
        <v>11455</v>
      </c>
      <c r="F107" s="3">
        <v>11670</v>
      </c>
      <c r="G107" s="3">
        <v>11665</v>
      </c>
      <c r="H107" s="3">
        <v>11530</v>
      </c>
      <c r="I107" s="3">
        <v>11550</v>
      </c>
      <c r="J107" s="3">
        <v>11620</v>
      </c>
      <c r="K107" s="3">
        <v>11635</v>
      </c>
      <c r="L107" s="3">
        <v>12125</v>
      </c>
      <c r="M107" s="3">
        <v>12125</v>
      </c>
      <c r="N107" s="3">
        <v>12560</v>
      </c>
      <c r="O107" s="3">
        <v>12555</v>
      </c>
      <c r="P107" s="3">
        <v>12725</v>
      </c>
      <c r="Q107" s="3">
        <v>12740</v>
      </c>
      <c r="R107" s="3">
        <v>12525</v>
      </c>
      <c r="S107" s="3">
        <v>12510</v>
      </c>
      <c r="T107" s="3">
        <v>12390</v>
      </c>
      <c r="U107" s="3">
        <v>12395</v>
      </c>
      <c r="V107" s="3">
        <v>12815</v>
      </c>
      <c r="W107" s="3">
        <v>12805</v>
      </c>
      <c r="X107" s="3">
        <v>12595</v>
      </c>
      <c r="Y107" s="3">
        <v>12600</v>
      </c>
      <c r="Z107" s="3">
        <v>12625</v>
      </c>
      <c r="AA107" s="3">
        <v>12635</v>
      </c>
      <c r="AB107" s="3">
        <v>13330</v>
      </c>
      <c r="AC107" s="3">
        <v>13330</v>
      </c>
      <c r="AD107" s="3">
        <v>13170</v>
      </c>
      <c r="AE107" s="3">
        <v>13160</v>
      </c>
      <c r="AF107" s="3">
        <v>13790</v>
      </c>
      <c r="AG107" s="3">
        <v>13790</v>
      </c>
      <c r="AH107" s="3">
        <v>14250</v>
      </c>
      <c r="AI107" s="3">
        <v>14270</v>
      </c>
      <c r="AJ107" s="3">
        <v>13855</v>
      </c>
      <c r="AK107" s="3">
        <v>13835</v>
      </c>
      <c r="AL107" s="3">
        <v>13720</v>
      </c>
      <c r="AM107" s="3">
        <v>13720</v>
      </c>
      <c r="AN107" s="3">
        <v>13600</v>
      </c>
      <c r="AO107" s="3">
        <v>13605</v>
      </c>
      <c r="AP107" s="3">
        <v>13645</v>
      </c>
      <c r="AQ107" s="3">
        <v>13630</v>
      </c>
      <c r="AR107" s="4">
        <f t="shared" si="80"/>
        <v>1.5611448395490113E-2</v>
      </c>
      <c r="AS107" s="4">
        <f t="shared" si="52"/>
        <v>8.2251082251082464E-3</v>
      </c>
      <c r="AT107" s="4">
        <f t="shared" si="53"/>
        <v>2.6848591549295753E-2</v>
      </c>
      <c r="AU107" s="4">
        <f t="shared" si="54"/>
        <v>1.9524617996604432E-2</v>
      </c>
      <c r="AV107" s="4">
        <f t="shared" si="55"/>
        <v>4.7048759623610215E-3</v>
      </c>
      <c r="AW107" s="4">
        <f t="shared" si="56"/>
        <v>2.2344013490725123E-2</v>
      </c>
      <c r="AX107" s="4">
        <f t="shared" si="57"/>
        <v>3.6318613289310742E-2</v>
      </c>
      <c r="AY107" s="4">
        <f t="shared" si="58"/>
        <v>3.129890453834161E-3</v>
      </c>
      <c r="AZ107" s="4">
        <f t="shared" si="59"/>
        <v>2.789956157831841E-3</v>
      </c>
      <c r="BA107" s="4">
        <f t="shared" si="60"/>
        <v>1.6161616161616266E-3</v>
      </c>
      <c r="BB107" s="4">
        <f t="shared" si="61"/>
        <v>3.8102959059586494E-2</v>
      </c>
      <c r="BC107" s="4">
        <f t="shared" si="62"/>
        <v>2.7700831024930483E-3</v>
      </c>
      <c r="BD107" s="4">
        <f t="shared" si="63"/>
        <v>1.5965732087227402E-2</v>
      </c>
      <c r="BE107" s="4">
        <f t="shared" si="64"/>
        <v>2.8152718858465153E-2</v>
      </c>
      <c r="BF107" s="4">
        <f t="shared" si="65"/>
        <v>5.3475935828877219E-3</v>
      </c>
      <c r="BG107" s="4">
        <f t="shared" si="66"/>
        <v>3.4120734908136496E-2</v>
      </c>
      <c r="BH107" s="4">
        <f t="shared" si="67"/>
        <v>2.5880661394680038E-2</v>
      </c>
      <c r="BI107" s="4">
        <f t="shared" si="68"/>
        <v>2.8828828828828534E-3</v>
      </c>
      <c r="BJ107" s="4">
        <f t="shared" si="69"/>
        <v>0</v>
      </c>
      <c r="BK107" s="4">
        <f t="shared" si="70"/>
        <v>5.8458165875046042E-3</v>
      </c>
      <c r="BL107" s="4">
        <f t="shared" si="71"/>
        <v>1.3006317354143482E-2</v>
      </c>
      <c r="BM107" s="4">
        <f t="shared" si="81"/>
        <v>1.4494557427214441E-2</v>
      </c>
      <c r="BN107" s="14">
        <f t="shared" si="82"/>
        <v>13650.02427018317</v>
      </c>
      <c r="BO107" s="15">
        <f t="shared" si="83"/>
        <v>13131.860022282368</v>
      </c>
      <c r="BP107" s="16">
        <v>13645</v>
      </c>
      <c r="BQ107" s="16">
        <v>13650</v>
      </c>
      <c r="BR107" s="16">
        <v>13620</v>
      </c>
      <c r="BS107" s="16">
        <v>13630</v>
      </c>
      <c r="BT107" s="16">
        <v>69678</v>
      </c>
      <c r="BU107" s="15">
        <f t="shared" si="72"/>
        <v>13633.333333333334</v>
      </c>
      <c r="BV107" s="15">
        <f t="shared" si="73"/>
        <v>949943400</v>
      </c>
      <c r="BW107" s="15">
        <f>SUM($BV$3:BV107)</f>
        <v>166364351353.33337</v>
      </c>
      <c r="BX107" s="15">
        <f>SUM($BT$3:BT107)</f>
        <v>12258295</v>
      </c>
      <c r="BY107" s="15">
        <f t="shared" si="74"/>
        <v>13571.573481738968</v>
      </c>
      <c r="BZ107" s="3">
        <v>105</v>
      </c>
      <c r="CA107" s="3">
        <f t="shared" si="75"/>
        <v>0</v>
      </c>
      <c r="CB107" s="3">
        <f t="shared" si="76"/>
        <v>0</v>
      </c>
      <c r="CC107" s="3">
        <f t="shared" si="77"/>
        <v>0</v>
      </c>
      <c r="CD107" s="6">
        <f t="shared" si="78"/>
        <v>0</v>
      </c>
      <c r="CE107" s="6">
        <f t="shared" si="79"/>
        <v>0</v>
      </c>
    </row>
    <row r="108" spans="1:83" x14ac:dyDescent="0.3">
      <c r="A108" s="3" t="s">
        <v>148</v>
      </c>
      <c r="B108" s="3">
        <v>11715</v>
      </c>
      <c r="C108" s="3">
        <v>11715</v>
      </c>
      <c r="D108" s="3">
        <v>11455</v>
      </c>
      <c r="E108" s="3">
        <v>11440</v>
      </c>
      <c r="F108" s="3">
        <v>11660</v>
      </c>
      <c r="G108" s="3">
        <v>11680</v>
      </c>
      <c r="H108" s="3">
        <v>11550</v>
      </c>
      <c r="I108" s="3">
        <v>11550</v>
      </c>
      <c r="J108" s="3">
        <v>11635</v>
      </c>
      <c r="K108" s="3">
        <v>11645</v>
      </c>
      <c r="L108" s="3">
        <v>12130</v>
      </c>
      <c r="M108" s="3">
        <v>12135</v>
      </c>
      <c r="N108" s="3">
        <v>12560</v>
      </c>
      <c r="O108" s="3">
        <v>12550</v>
      </c>
      <c r="P108" s="3">
        <v>12745</v>
      </c>
      <c r="Q108" s="3">
        <v>12715</v>
      </c>
      <c r="R108" s="3">
        <v>12505</v>
      </c>
      <c r="S108" s="3">
        <v>12505</v>
      </c>
      <c r="T108" s="3">
        <v>12395</v>
      </c>
      <c r="U108" s="3">
        <v>12385</v>
      </c>
      <c r="V108" s="3">
        <v>12805</v>
      </c>
      <c r="W108" s="3">
        <v>12820</v>
      </c>
      <c r="X108" s="3">
        <v>12600</v>
      </c>
      <c r="Y108" s="3">
        <v>12585</v>
      </c>
      <c r="Z108" s="3">
        <v>12635</v>
      </c>
      <c r="AA108" s="3">
        <v>12635</v>
      </c>
      <c r="AB108" s="3">
        <v>13325</v>
      </c>
      <c r="AC108" s="3">
        <v>13315</v>
      </c>
      <c r="AD108" s="3">
        <v>13165</v>
      </c>
      <c r="AE108" s="3">
        <v>13170</v>
      </c>
      <c r="AF108" s="3">
        <v>13785</v>
      </c>
      <c r="AG108" s="3">
        <v>13795</v>
      </c>
      <c r="AH108" s="3">
        <v>14270</v>
      </c>
      <c r="AI108" s="3">
        <v>14285</v>
      </c>
      <c r="AJ108" s="3">
        <v>13835</v>
      </c>
      <c r="AK108" s="3">
        <v>13830</v>
      </c>
      <c r="AL108" s="3">
        <v>13725</v>
      </c>
      <c r="AM108" s="3">
        <v>13740</v>
      </c>
      <c r="AN108" s="3">
        <v>13605</v>
      </c>
      <c r="AO108" s="3">
        <v>13600</v>
      </c>
      <c r="AP108" s="3">
        <v>13625</v>
      </c>
      <c r="AQ108" s="3">
        <v>13630</v>
      </c>
      <c r="AR108" s="4">
        <f t="shared" si="80"/>
        <v>1.6045099739809165E-2</v>
      </c>
      <c r="AS108" s="4">
        <f t="shared" si="52"/>
        <v>9.52380952380949E-3</v>
      </c>
      <c r="AT108" s="4">
        <f t="shared" si="53"/>
        <v>2.8169014084507005E-2</v>
      </c>
      <c r="AU108" s="4">
        <f t="shared" si="54"/>
        <v>1.9524617996604432E-2</v>
      </c>
      <c r="AV108" s="4">
        <f t="shared" si="55"/>
        <v>3.8494439692045024E-3</v>
      </c>
      <c r="AW108" s="4">
        <f t="shared" si="56"/>
        <v>2.3187183811129941E-2</v>
      </c>
      <c r="AX108" s="4">
        <f t="shared" si="57"/>
        <v>3.5905901774659466E-2</v>
      </c>
      <c r="AY108" s="4">
        <f t="shared" si="58"/>
        <v>5.0860719874804561E-3</v>
      </c>
      <c r="AZ108" s="4">
        <f t="shared" si="59"/>
        <v>3.1885213232363263E-3</v>
      </c>
      <c r="BA108" s="4">
        <f t="shared" si="60"/>
        <v>8.0808080808081328E-4</v>
      </c>
      <c r="BB108" s="4">
        <f t="shared" si="61"/>
        <v>3.9319010944466992E-2</v>
      </c>
      <c r="BC108" s="4">
        <f t="shared" si="62"/>
        <v>3.9572615749901008E-3</v>
      </c>
      <c r="BD108" s="4">
        <f t="shared" si="63"/>
        <v>1.5965732087227402E-2</v>
      </c>
      <c r="BE108" s="4">
        <f t="shared" si="64"/>
        <v>2.6995757809487042E-2</v>
      </c>
      <c r="BF108" s="4">
        <f t="shared" si="65"/>
        <v>6.1115355233001267E-3</v>
      </c>
      <c r="BG108" s="4">
        <f t="shared" si="66"/>
        <v>3.4495688038995054E-2</v>
      </c>
      <c r="BH108" s="4">
        <f t="shared" si="67"/>
        <v>2.6959022286125123E-2</v>
      </c>
      <c r="BI108" s="4">
        <f t="shared" si="68"/>
        <v>3.2432432432432101E-3</v>
      </c>
      <c r="BJ108" s="4">
        <f t="shared" si="69"/>
        <v>1.4577259475219151E-3</v>
      </c>
      <c r="BK108" s="4">
        <f t="shared" si="70"/>
        <v>6.2111801242236142E-3</v>
      </c>
      <c r="BL108" s="4">
        <f t="shared" si="71"/>
        <v>1.3006317354143482E-2</v>
      </c>
      <c r="BM108" s="4">
        <f t="shared" si="81"/>
        <v>1.4978909533788403E-2</v>
      </c>
      <c r="BN108" s="14">
        <f t="shared" si="82"/>
        <v>13656.541227777123</v>
      </c>
      <c r="BO108" s="15">
        <f t="shared" si="83"/>
        <v>13125.406030462269</v>
      </c>
      <c r="BP108" s="16">
        <v>13625</v>
      </c>
      <c r="BQ108" s="16">
        <v>13645</v>
      </c>
      <c r="BR108" s="16">
        <v>13625</v>
      </c>
      <c r="BS108" s="16">
        <v>13630</v>
      </c>
      <c r="BT108" s="16">
        <v>19620</v>
      </c>
      <c r="BU108" s="15">
        <f t="shared" si="72"/>
        <v>13633.333333333334</v>
      </c>
      <c r="BV108" s="15">
        <f t="shared" si="73"/>
        <v>267486000</v>
      </c>
      <c r="BW108" s="15">
        <f>SUM($BV$3:BV108)</f>
        <v>166631837353.33337</v>
      </c>
      <c r="BX108" s="15">
        <f>SUM($BT$3:BT108)</f>
        <v>12277915</v>
      </c>
      <c r="BY108" s="15">
        <f t="shared" si="74"/>
        <v>13571.672173437702</v>
      </c>
      <c r="BZ108" s="3">
        <v>106</v>
      </c>
      <c r="CA108" s="3">
        <f t="shared" si="75"/>
        <v>0</v>
      </c>
      <c r="CB108" s="3">
        <f t="shared" si="76"/>
        <v>0</v>
      </c>
      <c r="CC108" s="3">
        <f t="shared" si="77"/>
        <v>0</v>
      </c>
      <c r="CD108" s="6" t="str">
        <f t="shared" si="78"/>
        <v/>
      </c>
      <c r="CE108" s="6">
        <f t="shared" si="79"/>
        <v>0</v>
      </c>
    </row>
    <row r="109" spans="1:83" x14ac:dyDescent="0.3">
      <c r="A109" s="3" t="s">
        <v>149</v>
      </c>
      <c r="B109" s="3">
        <v>11720</v>
      </c>
      <c r="C109" s="3">
        <v>11725</v>
      </c>
      <c r="D109" s="3">
        <v>11440</v>
      </c>
      <c r="E109" s="3">
        <v>11445</v>
      </c>
      <c r="F109" s="3">
        <v>11680</v>
      </c>
      <c r="G109" s="3">
        <v>11690</v>
      </c>
      <c r="H109" s="3">
        <v>11555</v>
      </c>
      <c r="I109" s="3">
        <v>11555</v>
      </c>
      <c r="J109" s="3">
        <v>11645</v>
      </c>
      <c r="K109" s="3">
        <v>11645</v>
      </c>
      <c r="L109" s="3">
        <v>12135</v>
      </c>
      <c r="M109" s="3">
        <v>12120</v>
      </c>
      <c r="N109" s="3">
        <v>12550</v>
      </c>
      <c r="O109" s="3">
        <v>12565</v>
      </c>
      <c r="P109" s="3">
        <v>12720</v>
      </c>
      <c r="Q109" s="3">
        <v>12720</v>
      </c>
      <c r="R109" s="3">
        <v>12505</v>
      </c>
      <c r="S109" s="3">
        <v>12495</v>
      </c>
      <c r="T109" s="3">
        <v>12385</v>
      </c>
      <c r="U109" s="3">
        <v>12370</v>
      </c>
      <c r="V109" s="3">
        <v>12815</v>
      </c>
      <c r="W109" s="3">
        <v>12825</v>
      </c>
      <c r="X109" s="3">
        <v>12580</v>
      </c>
      <c r="Y109" s="3">
        <v>12570</v>
      </c>
      <c r="Z109" s="3">
        <v>12635</v>
      </c>
      <c r="AA109" s="3">
        <v>12640</v>
      </c>
      <c r="AB109" s="3">
        <v>13320</v>
      </c>
      <c r="AC109" s="3">
        <v>13325</v>
      </c>
      <c r="AD109" s="3">
        <v>13165</v>
      </c>
      <c r="AE109" s="3">
        <v>13170</v>
      </c>
      <c r="AF109" s="3">
        <v>13785</v>
      </c>
      <c r="AG109" s="3">
        <v>13800</v>
      </c>
      <c r="AH109" s="3">
        <v>14285</v>
      </c>
      <c r="AI109" s="3">
        <v>14270</v>
      </c>
      <c r="AJ109" s="3">
        <v>13825</v>
      </c>
      <c r="AK109" s="3">
        <v>13815</v>
      </c>
      <c r="AL109" s="3">
        <v>13740</v>
      </c>
      <c r="AM109" s="3">
        <v>13750</v>
      </c>
      <c r="AN109" s="3">
        <v>13600</v>
      </c>
      <c r="AO109" s="3">
        <v>13590</v>
      </c>
      <c r="AP109" s="3">
        <v>13640</v>
      </c>
      <c r="AQ109" s="3">
        <v>13620</v>
      </c>
      <c r="AR109" s="4">
        <f t="shared" si="80"/>
        <v>1.6912402428447493E-2</v>
      </c>
      <c r="AS109" s="4">
        <f t="shared" si="52"/>
        <v>9.0909090909090384E-3</v>
      </c>
      <c r="AT109" s="4">
        <f t="shared" si="53"/>
        <v>2.9049295774647987E-2</v>
      </c>
      <c r="AU109" s="4">
        <f t="shared" si="54"/>
        <v>1.9100169779286968E-2</v>
      </c>
      <c r="AV109" s="4">
        <f t="shared" si="55"/>
        <v>3.8494439692045024E-3</v>
      </c>
      <c r="AW109" s="4">
        <f t="shared" si="56"/>
        <v>2.1922428330522825E-2</v>
      </c>
      <c r="AX109" s="4">
        <f t="shared" si="57"/>
        <v>3.7144036318613294E-2</v>
      </c>
      <c r="AY109" s="4">
        <f t="shared" si="58"/>
        <v>4.6948356807511304E-3</v>
      </c>
      <c r="AZ109" s="4">
        <f t="shared" si="59"/>
        <v>3.9856516540454079E-3</v>
      </c>
      <c r="BA109" s="4">
        <f t="shared" si="60"/>
        <v>4.0404040404040664E-4</v>
      </c>
      <c r="BB109" s="4">
        <f t="shared" si="61"/>
        <v>3.9724361572760492E-2</v>
      </c>
      <c r="BC109" s="4">
        <f t="shared" si="62"/>
        <v>5.1444400474871532E-3</v>
      </c>
      <c r="BD109" s="4">
        <f t="shared" si="63"/>
        <v>1.5576323987538943E-2</v>
      </c>
      <c r="BE109" s="4">
        <f t="shared" si="64"/>
        <v>2.776706517547245E-2</v>
      </c>
      <c r="BF109" s="4">
        <f t="shared" si="65"/>
        <v>6.1115355233001267E-3</v>
      </c>
      <c r="BG109" s="4">
        <f t="shared" si="66"/>
        <v>3.4870641169853833E-2</v>
      </c>
      <c r="BH109" s="4">
        <f t="shared" si="67"/>
        <v>2.5880661394680038E-2</v>
      </c>
      <c r="BI109" s="4">
        <f t="shared" si="68"/>
        <v>4.3243243243242802E-3</v>
      </c>
      <c r="BJ109" s="4">
        <f t="shared" si="69"/>
        <v>2.1865889212828726E-3</v>
      </c>
      <c r="BK109" s="4">
        <f t="shared" si="70"/>
        <v>6.9419071976616342E-3</v>
      </c>
      <c r="BL109" s="4">
        <f t="shared" si="71"/>
        <v>1.2263099219620877E-2</v>
      </c>
      <c r="BM109" s="4">
        <f t="shared" si="81"/>
        <v>1.5339743812272291E-2</v>
      </c>
      <c r="BN109" s="14">
        <f t="shared" si="82"/>
        <v>13661.396252994122</v>
      </c>
      <c r="BO109" s="15">
        <f t="shared" si="83"/>
        <v>13120.597913701471</v>
      </c>
      <c r="BP109" s="16">
        <v>13640</v>
      </c>
      <c r="BQ109" s="16">
        <v>13640</v>
      </c>
      <c r="BR109" s="16">
        <v>13620</v>
      </c>
      <c r="BS109" s="16">
        <v>13620</v>
      </c>
      <c r="BT109" s="16">
        <v>22708</v>
      </c>
      <c r="BU109" s="15">
        <f t="shared" si="72"/>
        <v>13626.666666666666</v>
      </c>
      <c r="BV109" s="15">
        <f t="shared" si="73"/>
        <v>309434346.66666663</v>
      </c>
      <c r="BW109" s="15">
        <f>SUM($BV$3:BV109)</f>
        <v>166941271700.00003</v>
      </c>
      <c r="BX109" s="15">
        <f>SUM($BT$3:BT109)</f>
        <v>12300623</v>
      </c>
      <c r="BY109" s="15">
        <f t="shared" si="74"/>
        <v>13571.773697966357</v>
      </c>
      <c r="BZ109" s="3">
        <v>107</v>
      </c>
      <c r="CA109" s="3">
        <f t="shared" si="75"/>
        <v>0</v>
      </c>
      <c r="CB109" s="3">
        <f t="shared" si="76"/>
        <v>0</v>
      </c>
      <c r="CC109" s="3">
        <f t="shared" si="77"/>
        <v>0</v>
      </c>
      <c r="CD109" s="6" t="str">
        <f t="shared" si="78"/>
        <v/>
      </c>
      <c r="CE109" s="6">
        <f t="shared" si="79"/>
        <v>0</v>
      </c>
    </row>
    <row r="110" spans="1:83" x14ac:dyDescent="0.3">
      <c r="A110" s="3" t="s">
        <v>150</v>
      </c>
      <c r="B110" s="3">
        <v>11725</v>
      </c>
      <c r="C110" s="3">
        <v>11720</v>
      </c>
      <c r="D110" s="3">
        <v>11445</v>
      </c>
      <c r="E110" s="3">
        <v>11455</v>
      </c>
      <c r="F110" s="3">
        <v>11690</v>
      </c>
      <c r="G110" s="3">
        <v>11685</v>
      </c>
      <c r="H110" s="3">
        <v>11555</v>
      </c>
      <c r="I110" s="3">
        <v>11540</v>
      </c>
      <c r="J110" s="3">
        <v>11650</v>
      </c>
      <c r="K110" s="3">
        <v>11650</v>
      </c>
      <c r="L110" s="3">
        <v>12120</v>
      </c>
      <c r="M110" s="3">
        <v>12105</v>
      </c>
      <c r="N110" s="3">
        <v>12565</v>
      </c>
      <c r="O110" s="3">
        <v>12570</v>
      </c>
      <c r="P110" s="3">
        <v>12720</v>
      </c>
      <c r="Q110" s="3">
        <v>12740</v>
      </c>
      <c r="R110" s="3">
        <v>12495</v>
      </c>
      <c r="S110" s="3">
        <v>12485</v>
      </c>
      <c r="T110" s="3">
        <v>12365</v>
      </c>
      <c r="U110" s="3">
        <v>12365</v>
      </c>
      <c r="V110" s="3">
        <v>12820</v>
      </c>
      <c r="W110" s="3">
        <v>12830</v>
      </c>
      <c r="X110" s="3">
        <v>12575</v>
      </c>
      <c r="Y110" s="3">
        <v>12580</v>
      </c>
      <c r="Z110" s="3">
        <v>12640</v>
      </c>
      <c r="AA110" s="3">
        <v>12640</v>
      </c>
      <c r="AB110" s="3">
        <v>13325</v>
      </c>
      <c r="AC110" s="3">
        <v>13320</v>
      </c>
      <c r="AD110" s="3">
        <v>13170</v>
      </c>
      <c r="AE110" s="3">
        <v>13165</v>
      </c>
      <c r="AF110" s="3">
        <v>13800</v>
      </c>
      <c r="AG110" s="3">
        <v>13780</v>
      </c>
      <c r="AH110" s="3">
        <v>14270</v>
      </c>
      <c r="AI110" s="3">
        <v>14270</v>
      </c>
      <c r="AJ110" s="3">
        <v>13815</v>
      </c>
      <c r="AK110" s="3">
        <v>13815</v>
      </c>
      <c r="AL110" s="3">
        <v>13750</v>
      </c>
      <c r="AM110" s="3">
        <v>13745</v>
      </c>
      <c r="AN110" s="3">
        <v>13595</v>
      </c>
      <c r="AO110" s="3">
        <v>13590</v>
      </c>
      <c r="AP110" s="3">
        <v>13620</v>
      </c>
      <c r="AQ110" s="3">
        <v>13640</v>
      </c>
      <c r="AR110" s="4">
        <f t="shared" si="80"/>
        <v>1.647875108412844E-2</v>
      </c>
      <c r="AS110" s="4">
        <f t="shared" si="52"/>
        <v>8.2251082251082464E-3</v>
      </c>
      <c r="AT110" s="4">
        <f t="shared" si="53"/>
        <v>2.8609154929577496E-2</v>
      </c>
      <c r="AU110" s="4">
        <f t="shared" si="54"/>
        <v>2.0373514431239359E-2</v>
      </c>
      <c r="AV110" s="4">
        <f t="shared" si="55"/>
        <v>3.4217279726261873E-3</v>
      </c>
      <c r="AW110" s="4">
        <f t="shared" si="56"/>
        <v>2.0657672849915709E-2</v>
      </c>
      <c r="AX110" s="4">
        <f t="shared" si="57"/>
        <v>3.755674783326457E-2</v>
      </c>
      <c r="AY110" s="4">
        <f t="shared" si="58"/>
        <v>3.129890453834161E-3</v>
      </c>
      <c r="AZ110" s="4">
        <f t="shared" si="59"/>
        <v>4.7827819848544895E-3</v>
      </c>
      <c r="BA110" s="4">
        <f t="shared" si="60"/>
        <v>8.0808080808081328E-4</v>
      </c>
      <c r="BB110" s="4">
        <f t="shared" si="61"/>
        <v>4.0129712201053991E-2</v>
      </c>
      <c r="BC110" s="4">
        <f t="shared" si="62"/>
        <v>4.3529877324891553E-3</v>
      </c>
      <c r="BD110" s="4">
        <f t="shared" si="63"/>
        <v>1.5576323987538943E-2</v>
      </c>
      <c r="BE110" s="4">
        <f t="shared" si="64"/>
        <v>2.7381411492479746E-2</v>
      </c>
      <c r="BF110" s="4">
        <f t="shared" si="65"/>
        <v>5.7295645530939243E-3</v>
      </c>
      <c r="BG110" s="4">
        <f t="shared" si="66"/>
        <v>3.3370828646419159E-2</v>
      </c>
      <c r="BH110" s="4">
        <f t="shared" si="67"/>
        <v>2.5880661394680038E-2</v>
      </c>
      <c r="BI110" s="4">
        <f t="shared" si="68"/>
        <v>4.3243243243242802E-3</v>
      </c>
      <c r="BJ110" s="4">
        <f t="shared" si="69"/>
        <v>1.8221574344023939E-3</v>
      </c>
      <c r="BK110" s="4">
        <f t="shared" si="70"/>
        <v>6.9419071976616342E-3</v>
      </c>
      <c r="BL110" s="4">
        <f t="shared" si="71"/>
        <v>1.3749535488665865E-2</v>
      </c>
      <c r="BM110" s="4">
        <f t="shared" si="81"/>
        <v>1.5127670003155522E-2</v>
      </c>
      <c r="BN110" s="14">
        <f t="shared" si="82"/>
        <v>13658.542799892457</v>
      </c>
      <c r="BO110" s="15">
        <f t="shared" si="83"/>
        <v>13123.423797207954</v>
      </c>
      <c r="BP110" s="16">
        <v>13620</v>
      </c>
      <c r="BQ110" s="16">
        <v>13645</v>
      </c>
      <c r="BR110" s="16">
        <v>13620</v>
      </c>
      <c r="BS110" s="16">
        <v>13640</v>
      </c>
      <c r="BT110" s="16">
        <v>22952</v>
      </c>
      <c r="BU110" s="15">
        <f t="shared" si="72"/>
        <v>13635</v>
      </c>
      <c r="BV110" s="15">
        <f t="shared" si="73"/>
        <v>312950520</v>
      </c>
      <c r="BW110" s="15">
        <f>SUM($BV$3:BV110)</f>
        <v>167254222220.00003</v>
      </c>
      <c r="BX110" s="15">
        <f>SUM($BT$3:BT110)</f>
        <v>12323575</v>
      </c>
      <c r="BY110" s="15">
        <f t="shared" si="74"/>
        <v>13571.89145357577</v>
      </c>
      <c r="BZ110" s="3">
        <v>108</v>
      </c>
      <c r="CA110" s="3">
        <f t="shared" si="75"/>
        <v>0</v>
      </c>
      <c r="CB110" s="3">
        <f t="shared" si="76"/>
        <v>0</v>
      </c>
      <c r="CC110" s="3">
        <f t="shared" si="77"/>
        <v>0</v>
      </c>
      <c r="CD110" s="6" t="str">
        <f t="shared" si="78"/>
        <v/>
      </c>
      <c r="CE110" s="6">
        <f t="shared" si="79"/>
        <v>0</v>
      </c>
    </row>
    <row r="111" spans="1:83" x14ac:dyDescent="0.3">
      <c r="A111" s="3" t="s">
        <v>151</v>
      </c>
      <c r="B111" s="3">
        <v>11715</v>
      </c>
      <c r="C111" s="3">
        <v>11720</v>
      </c>
      <c r="D111" s="3">
        <v>11450</v>
      </c>
      <c r="E111" s="3">
        <v>11450</v>
      </c>
      <c r="F111" s="3">
        <v>11685</v>
      </c>
      <c r="G111" s="3">
        <v>11680</v>
      </c>
      <c r="H111" s="3">
        <v>11535</v>
      </c>
      <c r="I111" s="3">
        <v>11535</v>
      </c>
      <c r="J111" s="3">
        <v>11650</v>
      </c>
      <c r="K111" s="3">
        <v>11645</v>
      </c>
      <c r="L111" s="3">
        <v>12105</v>
      </c>
      <c r="M111" s="3">
        <v>12105</v>
      </c>
      <c r="N111" s="3">
        <v>12570</v>
      </c>
      <c r="O111" s="3">
        <v>12580</v>
      </c>
      <c r="P111" s="3">
        <v>12740</v>
      </c>
      <c r="Q111" s="3">
        <v>12745</v>
      </c>
      <c r="R111" s="3">
        <v>12485</v>
      </c>
      <c r="S111" s="3">
        <v>12480</v>
      </c>
      <c r="T111" s="3">
        <v>12365</v>
      </c>
      <c r="U111" s="3">
        <v>12365</v>
      </c>
      <c r="V111" s="3">
        <v>12830</v>
      </c>
      <c r="W111" s="3">
        <v>12820</v>
      </c>
      <c r="X111" s="3">
        <v>12585</v>
      </c>
      <c r="Y111" s="3">
        <v>12565</v>
      </c>
      <c r="Z111" s="3">
        <v>12640</v>
      </c>
      <c r="AA111" s="3">
        <v>12640</v>
      </c>
      <c r="AB111" s="3">
        <v>13320</v>
      </c>
      <c r="AC111" s="3">
        <v>13320</v>
      </c>
      <c r="AD111" s="3">
        <v>13160</v>
      </c>
      <c r="AE111" s="3">
        <v>13160</v>
      </c>
      <c r="AF111" s="3">
        <v>13775</v>
      </c>
      <c r="AG111" s="3">
        <v>13785</v>
      </c>
      <c r="AH111" s="3">
        <v>14270</v>
      </c>
      <c r="AI111" s="3">
        <v>14255</v>
      </c>
      <c r="AJ111" s="3">
        <v>13810</v>
      </c>
      <c r="AK111" s="3">
        <v>13785</v>
      </c>
      <c r="AL111" s="3">
        <v>13745</v>
      </c>
      <c r="AM111" s="3">
        <v>13755</v>
      </c>
      <c r="AN111" s="3">
        <v>13590</v>
      </c>
      <c r="AO111" s="3">
        <v>13605</v>
      </c>
      <c r="AP111" s="3">
        <v>13640</v>
      </c>
      <c r="AQ111" s="3">
        <v>13655</v>
      </c>
      <c r="AR111" s="4">
        <f t="shared" si="80"/>
        <v>1.647875108412844E-2</v>
      </c>
      <c r="AS111" s="4">
        <f t="shared" si="52"/>
        <v>8.6580086580086979E-3</v>
      </c>
      <c r="AT111" s="4">
        <f t="shared" si="53"/>
        <v>2.8169014084507005E-2</v>
      </c>
      <c r="AU111" s="4">
        <f t="shared" si="54"/>
        <v>2.0797962648556823E-2</v>
      </c>
      <c r="AV111" s="4">
        <f t="shared" si="55"/>
        <v>3.8494439692045024E-3</v>
      </c>
      <c r="AW111" s="4">
        <f t="shared" si="56"/>
        <v>2.0657672849915709E-2</v>
      </c>
      <c r="AX111" s="4">
        <f t="shared" si="57"/>
        <v>3.8382170862567122E-2</v>
      </c>
      <c r="AY111" s="4">
        <f t="shared" si="58"/>
        <v>2.7386541471048353E-3</v>
      </c>
      <c r="AZ111" s="4">
        <f t="shared" si="59"/>
        <v>5.1813471502590858E-3</v>
      </c>
      <c r="BA111" s="4">
        <f t="shared" si="60"/>
        <v>8.0808080808081328E-4</v>
      </c>
      <c r="BB111" s="4">
        <f t="shared" si="61"/>
        <v>3.9319010944466992E-2</v>
      </c>
      <c r="BC111" s="4">
        <f t="shared" si="62"/>
        <v>5.5401662049860967E-3</v>
      </c>
      <c r="BD111" s="4">
        <f t="shared" si="63"/>
        <v>1.5576323987538943E-2</v>
      </c>
      <c r="BE111" s="4">
        <f t="shared" si="64"/>
        <v>2.7381411492479746E-2</v>
      </c>
      <c r="BF111" s="4">
        <f t="shared" si="65"/>
        <v>5.3475935828877219E-3</v>
      </c>
      <c r="BG111" s="4">
        <f t="shared" si="66"/>
        <v>3.3745781777277939E-2</v>
      </c>
      <c r="BH111" s="4">
        <f t="shared" si="67"/>
        <v>2.4802300503235175E-2</v>
      </c>
      <c r="BI111" s="4">
        <f t="shared" si="68"/>
        <v>6.4864864864865313E-3</v>
      </c>
      <c r="BJ111" s="4">
        <f t="shared" si="69"/>
        <v>2.5510204081633514E-3</v>
      </c>
      <c r="BK111" s="4">
        <f t="shared" si="70"/>
        <v>5.8458165875046042E-3</v>
      </c>
      <c r="BL111" s="4">
        <f t="shared" si="71"/>
        <v>1.4864362690449662E-2</v>
      </c>
      <c r="BM111" s="4">
        <f t="shared" si="81"/>
        <v>1.5264726067359926E-2</v>
      </c>
      <c r="BN111" s="14">
        <f t="shared" si="82"/>
        <v>13660.386889236328</v>
      </c>
      <c r="BO111" s="15">
        <f t="shared" si="83"/>
        <v>13121.597525152429</v>
      </c>
      <c r="BP111" s="16">
        <v>13640</v>
      </c>
      <c r="BQ111" s="16">
        <v>13655</v>
      </c>
      <c r="BR111" s="16">
        <v>13635</v>
      </c>
      <c r="BS111" s="16">
        <v>13655</v>
      </c>
      <c r="BT111" s="16">
        <v>24296</v>
      </c>
      <c r="BU111" s="15">
        <f t="shared" si="72"/>
        <v>13648.333333333334</v>
      </c>
      <c r="BV111" s="15">
        <f t="shared" si="73"/>
        <v>331599906.66666669</v>
      </c>
      <c r="BW111" s="15">
        <f>SUM($BV$3:BV111)</f>
        <v>167585822126.66669</v>
      </c>
      <c r="BX111" s="15">
        <f>SUM($BT$3:BT111)</f>
        <v>12347871</v>
      </c>
      <c r="BY111" s="15">
        <f t="shared" si="74"/>
        <v>13572.041862655245</v>
      </c>
      <c r="BZ111" s="3">
        <v>109</v>
      </c>
      <c r="CA111" s="3">
        <f t="shared" si="75"/>
        <v>0</v>
      </c>
      <c r="CB111" s="3">
        <f t="shared" si="76"/>
        <v>0</v>
      </c>
      <c r="CC111" s="3">
        <f t="shared" si="77"/>
        <v>0</v>
      </c>
      <c r="CD111" s="6" t="str">
        <f t="shared" si="78"/>
        <v/>
      </c>
      <c r="CE111" s="6">
        <f t="shared" si="79"/>
        <v>0</v>
      </c>
    </row>
    <row r="112" spans="1:83" x14ac:dyDescent="0.3">
      <c r="A112" s="3" t="s">
        <v>152</v>
      </c>
      <c r="B112" s="3">
        <v>11725</v>
      </c>
      <c r="C112" s="3">
        <v>11720</v>
      </c>
      <c r="D112" s="3">
        <v>11450</v>
      </c>
      <c r="E112" s="3">
        <v>11435</v>
      </c>
      <c r="F112" s="3">
        <v>11680</v>
      </c>
      <c r="G112" s="3">
        <v>11690</v>
      </c>
      <c r="H112" s="3">
        <v>11535</v>
      </c>
      <c r="I112" s="3">
        <v>11530</v>
      </c>
      <c r="J112" s="3">
        <v>11645</v>
      </c>
      <c r="K112" s="3">
        <v>11635</v>
      </c>
      <c r="L112" s="3">
        <v>12105</v>
      </c>
      <c r="M112" s="3">
        <v>12105</v>
      </c>
      <c r="N112" s="3">
        <v>12585</v>
      </c>
      <c r="O112" s="3">
        <v>12595</v>
      </c>
      <c r="P112" s="3">
        <v>12745</v>
      </c>
      <c r="Q112" s="3">
        <v>12740</v>
      </c>
      <c r="R112" s="3">
        <v>12480</v>
      </c>
      <c r="S112" s="3">
        <v>12470</v>
      </c>
      <c r="T112" s="3">
        <v>12365</v>
      </c>
      <c r="U112" s="3">
        <v>12380</v>
      </c>
      <c r="V112" s="3">
        <v>12820</v>
      </c>
      <c r="W112" s="3">
        <v>12835</v>
      </c>
      <c r="X112" s="3">
        <v>12565</v>
      </c>
      <c r="Y112" s="3">
        <v>12565</v>
      </c>
      <c r="Z112" s="3">
        <v>12645</v>
      </c>
      <c r="AA112" s="3">
        <v>12675</v>
      </c>
      <c r="AB112" s="3">
        <v>13315</v>
      </c>
      <c r="AC112" s="3">
        <v>13325</v>
      </c>
      <c r="AD112" s="3">
        <v>13165</v>
      </c>
      <c r="AE112" s="3">
        <v>13145</v>
      </c>
      <c r="AF112" s="3">
        <v>13790</v>
      </c>
      <c r="AG112" s="3">
        <v>13790</v>
      </c>
      <c r="AH112" s="3">
        <v>14255</v>
      </c>
      <c r="AI112" s="3">
        <v>14260</v>
      </c>
      <c r="AJ112" s="3">
        <v>13780</v>
      </c>
      <c r="AK112" s="3">
        <v>13760</v>
      </c>
      <c r="AL112" s="3">
        <v>13755</v>
      </c>
      <c r="AM112" s="3">
        <v>13770</v>
      </c>
      <c r="AN112" s="3">
        <v>13605</v>
      </c>
      <c r="AO112" s="3">
        <v>13605</v>
      </c>
      <c r="AP112" s="3">
        <v>13655</v>
      </c>
      <c r="AQ112" s="3">
        <v>13645</v>
      </c>
      <c r="AR112" s="4">
        <f t="shared" si="80"/>
        <v>1.647875108412844E-2</v>
      </c>
      <c r="AS112" s="4">
        <f t="shared" si="52"/>
        <v>9.9567099567099415E-3</v>
      </c>
      <c r="AT112" s="4">
        <f t="shared" si="53"/>
        <v>2.9049295774647987E-2</v>
      </c>
      <c r="AU112" s="4">
        <f t="shared" si="54"/>
        <v>2.1222410865874397E-2</v>
      </c>
      <c r="AV112" s="4">
        <f t="shared" si="55"/>
        <v>4.7048759623610215E-3</v>
      </c>
      <c r="AW112" s="4">
        <f t="shared" si="56"/>
        <v>2.0657672849915709E-2</v>
      </c>
      <c r="AX112" s="4">
        <f t="shared" si="57"/>
        <v>3.962030540652095E-2</v>
      </c>
      <c r="AY112" s="4">
        <f t="shared" si="58"/>
        <v>3.129890453834161E-3</v>
      </c>
      <c r="AZ112" s="4">
        <f t="shared" si="59"/>
        <v>5.9784774810681673E-3</v>
      </c>
      <c r="BA112" s="4">
        <f t="shared" si="60"/>
        <v>4.0404040404040664E-4</v>
      </c>
      <c r="BB112" s="4">
        <f t="shared" si="61"/>
        <v>4.053506282934749E-2</v>
      </c>
      <c r="BC112" s="4">
        <f t="shared" si="62"/>
        <v>5.5401662049860967E-3</v>
      </c>
      <c r="BD112" s="4">
        <f t="shared" si="63"/>
        <v>1.2850467289719614E-2</v>
      </c>
      <c r="BE112" s="4">
        <f t="shared" si="64"/>
        <v>2.776706517547245E-2</v>
      </c>
      <c r="BF112" s="4">
        <f t="shared" si="65"/>
        <v>4.2016806722688926E-3</v>
      </c>
      <c r="BG112" s="4">
        <f t="shared" si="66"/>
        <v>3.4120734908136496E-2</v>
      </c>
      <c r="BH112" s="4">
        <f t="shared" si="67"/>
        <v>2.5161754133716796E-2</v>
      </c>
      <c r="BI112" s="4">
        <f t="shared" si="68"/>
        <v>8.2882882882883147E-3</v>
      </c>
      <c r="BJ112" s="4">
        <f t="shared" si="69"/>
        <v>3.6443148688045657E-3</v>
      </c>
      <c r="BK112" s="4">
        <f t="shared" si="70"/>
        <v>5.8458165875046042E-3</v>
      </c>
      <c r="BL112" s="4">
        <f t="shared" si="71"/>
        <v>1.4121144555927057E-2</v>
      </c>
      <c r="BM112" s="4">
        <f t="shared" si="81"/>
        <v>1.5506290335979214E-2</v>
      </c>
      <c r="BN112" s="14">
        <f t="shared" si="82"/>
        <v>13663.637136470601</v>
      </c>
      <c r="BO112" s="15">
        <f t="shared" si="83"/>
        <v>13118.378681273078</v>
      </c>
      <c r="BP112" s="16">
        <v>13655</v>
      </c>
      <c r="BQ112" s="16">
        <v>13660</v>
      </c>
      <c r="BR112" s="16">
        <v>13640</v>
      </c>
      <c r="BS112" s="16">
        <v>13645</v>
      </c>
      <c r="BT112" s="16">
        <v>36071</v>
      </c>
      <c r="BU112" s="15">
        <f t="shared" si="72"/>
        <v>13648.333333333334</v>
      </c>
      <c r="BV112" s="15">
        <f t="shared" si="73"/>
        <v>492309031.66666669</v>
      </c>
      <c r="BW112" s="15">
        <f>SUM($BV$3:BV112)</f>
        <v>168078131158.33334</v>
      </c>
      <c r="BX112" s="15">
        <f>SUM($BT$3:BT112)</f>
        <v>12383942</v>
      </c>
      <c r="BY112" s="15">
        <f t="shared" si="74"/>
        <v>13572.264078621602</v>
      </c>
      <c r="BZ112" s="3">
        <v>110</v>
      </c>
      <c r="CA112" s="3">
        <f t="shared" si="75"/>
        <v>0</v>
      </c>
      <c r="CB112" s="3">
        <f t="shared" si="76"/>
        <v>0</v>
      </c>
      <c r="CC112" s="3">
        <f t="shared" si="77"/>
        <v>0</v>
      </c>
      <c r="CD112" s="6" t="str">
        <f t="shared" si="78"/>
        <v/>
      </c>
      <c r="CE112" s="6">
        <f t="shared" si="79"/>
        <v>0</v>
      </c>
    </row>
    <row r="113" spans="1:83" x14ac:dyDescent="0.3">
      <c r="A113" s="3" t="s">
        <v>153</v>
      </c>
      <c r="B113" s="3">
        <v>11720</v>
      </c>
      <c r="C113" s="3">
        <v>11725</v>
      </c>
      <c r="D113" s="3">
        <v>11440</v>
      </c>
      <c r="E113" s="3">
        <v>11445</v>
      </c>
      <c r="F113" s="3">
        <v>11685</v>
      </c>
      <c r="G113" s="3">
        <v>11690</v>
      </c>
      <c r="H113" s="3">
        <v>11530</v>
      </c>
      <c r="I113" s="3">
        <v>11545</v>
      </c>
      <c r="J113" s="3">
        <v>11635</v>
      </c>
      <c r="K113" s="3">
        <v>11640</v>
      </c>
      <c r="L113" s="3">
        <v>12105</v>
      </c>
      <c r="M113" s="3">
        <v>12100</v>
      </c>
      <c r="N113" s="3">
        <v>12595</v>
      </c>
      <c r="O113" s="3">
        <v>12580</v>
      </c>
      <c r="P113" s="3">
        <v>12740</v>
      </c>
      <c r="Q113" s="3">
        <v>12750</v>
      </c>
      <c r="R113" s="3">
        <v>12475</v>
      </c>
      <c r="S113" s="3">
        <v>12475</v>
      </c>
      <c r="T113" s="3">
        <v>12380</v>
      </c>
      <c r="U113" s="3">
        <v>12385</v>
      </c>
      <c r="V113" s="3">
        <v>12835</v>
      </c>
      <c r="W113" s="3">
        <v>12830</v>
      </c>
      <c r="X113" s="3">
        <v>12570</v>
      </c>
      <c r="Y113" s="3">
        <v>12580</v>
      </c>
      <c r="Z113" s="3">
        <v>12685</v>
      </c>
      <c r="AA113" s="3">
        <v>12685</v>
      </c>
      <c r="AB113" s="3">
        <v>13325</v>
      </c>
      <c r="AC113" s="3">
        <v>13325</v>
      </c>
      <c r="AD113" s="3">
        <v>13145</v>
      </c>
      <c r="AE113" s="3">
        <v>13125</v>
      </c>
      <c r="AF113" s="3">
        <v>13790</v>
      </c>
      <c r="AG113" s="3">
        <v>13800</v>
      </c>
      <c r="AH113" s="3">
        <v>14260</v>
      </c>
      <c r="AI113" s="3">
        <v>14260</v>
      </c>
      <c r="AJ113" s="3">
        <v>13755</v>
      </c>
      <c r="AK113" s="3">
        <v>13700</v>
      </c>
      <c r="AL113" s="3">
        <v>13765</v>
      </c>
      <c r="AM113" s="3">
        <v>13765</v>
      </c>
      <c r="AN113" s="3">
        <v>13605</v>
      </c>
      <c r="AO113" s="3">
        <v>13550</v>
      </c>
      <c r="AP113" s="3">
        <v>13640</v>
      </c>
      <c r="AQ113" s="3">
        <v>13625</v>
      </c>
      <c r="AR113" s="4">
        <f t="shared" si="80"/>
        <v>1.6912402428447493E-2</v>
      </c>
      <c r="AS113" s="4">
        <f t="shared" si="52"/>
        <v>9.0909090909090384E-3</v>
      </c>
      <c r="AT113" s="4">
        <f t="shared" si="53"/>
        <v>2.9049295774647987E-2</v>
      </c>
      <c r="AU113" s="4">
        <f t="shared" si="54"/>
        <v>1.9949066213921895E-2</v>
      </c>
      <c r="AV113" s="4">
        <f t="shared" si="55"/>
        <v>4.2771599657827064E-3</v>
      </c>
      <c r="AW113" s="4">
        <f t="shared" si="56"/>
        <v>2.0236087689713411E-2</v>
      </c>
      <c r="AX113" s="4">
        <f t="shared" si="57"/>
        <v>3.8382170862567122E-2</v>
      </c>
      <c r="AY113" s="4">
        <f t="shared" si="58"/>
        <v>2.3474178403756207E-3</v>
      </c>
      <c r="AZ113" s="4">
        <f t="shared" si="59"/>
        <v>5.579912315663571E-3</v>
      </c>
      <c r="BA113" s="4">
        <f t="shared" si="60"/>
        <v>8.0808080808081328E-4</v>
      </c>
      <c r="BB113" s="4">
        <f t="shared" si="61"/>
        <v>4.0129712201053991E-2</v>
      </c>
      <c r="BC113" s="4">
        <f t="shared" si="62"/>
        <v>4.3529877324891553E-3</v>
      </c>
      <c r="BD113" s="4">
        <f t="shared" si="63"/>
        <v>1.2071651090342694E-2</v>
      </c>
      <c r="BE113" s="4">
        <f t="shared" si="64"/>
        <v>2.776706517547245E-2</v>
      </c>
      <c r="BF113" s="4">
        <f t="shared" si="65"/>
        <v>2.673796791443861E-3</v>
      </c>
      <c r="BG113" s="4">
        <f t="shared" si="66"/>
        <v>3.4870641169853833E-2</v>
      </c>
      <c r="BH113" s="4">
        <f t="shared" si="67"/>
        <v>2.5161754133716796E-2</v>
      </c>
      <c r="BI113" s="4">
        <f t="shared" si="68"/>
        <v>1.2612612612612595E-2</v>
      </c>
      <c r="BJ113" s="4">
        <f t="shared" si="69"/>
        <v>3.2798833819243089E-3</v>
      </c>
      <c r="BK113" s="4">
        <f t="shared" si="70"/>
        <v>9.8648154914139363E-3</v>
      </c>
      <c r="BL113" s="4">
        <f t="shared" si="71"/>
        <v>1.263470828688229E-2</v>
      </c>
      <c r="BM113" s="4">
        <f t="shared" si="81"/>
        <v>1.5707321543357911E-2</v>
      </c>
      <c r="BN113" s="14">
        <f t="shared" si="82"/>
        <v>13666.342011365879</v>
      </c>
      <c r="BO113" s="15">
        <f t="shared" si="83"/>
        <v>13115.699940434757</v>
      </c>
      <c r="BP113" s="16">
        <v>13640</v>
      </c>
      <c r="BQ113" s="16">
        <v>13640</v>
      </c>
      <c r="BR113" s="16">
        <v>13605</v>
      </c>
      <c r="BS113" s="16">
        <v>13625</v>
      </c>
      <c r="BT113" s="16">
        <v>94111</v>
      </c>
      <c r="BU113" s="15">
        <f t="shared" si="72"/>
        <v>13623.333333333334</v>
      </c>
      <c r="BV113" s="15">
        <f t="shared" si="73"/>
        <v>1282105523.3333335</v>
      </c>
      <c r="BW113" s="15">
        <f>SUM($BV$3:BV113)</f>
        <v>169360236681.66669</v>
      </c>
      <c r="BX113" s="15">
        <f>SUM($BT$3:BT113)</f>
        <v>12478053</v>
      </c>
      <c r="BY113" s="15">
        <f t="shared" si="74"/>
        <v>13572.649249179074</v>
      </c>
      <c r="BZ113" s="3">
        <v>111</v>
      </c>
      <c r="CA113" s="3">
        <f t="shared" si="75"/>
        <v>0</v>
      </c>
      <c r="CB113" s="3">
        <f t="shared" si="76"/>
        <v>0</v>
      </c>
      <c r="CC113" s="3">
        <f t="shared" si="77"/>
        <v>0</v>
      </c>
      <c r="CD113" s="6" t="str">
        <f t="shared" si="78"/>
        <v/>
      </c>
      <c r="CE113" s="6">
        <f t="shared" si="79"/>
        <v>0</v>
      </c>
    </row>
    <row r="114" spans="1:83" x14ac:dyDescent="0.3">
      <c r="A114" s="3" t="s">
        <v>154</v>
      </c>
      <c r="B114" s="3">
        <v>11730</v>
      </c>
      <c r="C114" s="3">
        <v>11715</v>
      </c>
      <c r="D114" s="3">
        <v>11445</v>
      </c>
      <c r="E114" s="3">
        <v>11420</v>
      </c>
      <c r="F114" s="3">
        <v>11695</v>
      </c>
      <c r="G114" s="3">
        <v>11700</v>
      </c>
      <c r="H114" s="3">
        <v>11545</v>
      </c>
      <c r="I114" s="3">
        <v>11535</v>
      </c>
      <c r="J114" s="3">
        <v>11645</v>
      </c>
      <c r="K114" s="3">
        <v>11650</v>
      </c>
      <c r="L114" s="3">
        <v>12100</v>
      </c>
      <c r="M114" s="3">
        <v>12085</v>
      </c>
      <c r="N114" s="3">
        <v>12575</v>
      </c>
      <c r="O114" s="3">
        <v>12560</v>
      </c>
      <c r="P114" s="3">
        <v>12750</v>
      </c>
      <c r="Q114" s="3">
        <v>12745</v>
      </c>
      <c r="R114" s="3">
        <v>12475</v>
      </c>
      <c r="S114" s="3">
        <v>12475</v>
      </c>
      <c r="T114" s="3">
        <v>12385</v>
      </c>
      <c r="U114" s="3">
        <v>12385</v>
      </c>
      <c r="V114" s="3">
        <v>12830</v>
      </c>
      <c r="W114" s="3">
        <v>12835</v>
      </c>
      <c r="X114" s="3">
        <v>12575</v>
      </c>
      <c r="Y114" s="3">
        <v>12585</v>
      </c>
      <c r="Z114" s="3">
        <v>12685</v>
      </c>
      <c r="AA114" s="3">
        <v>12675</v>
      </c>
      <c r="AB114" s="3">
        <v>13325</v>
      </c>
      <c r="AC114" s="3">
        <v>13330</v>
      </c>
      <c r="AD114" s="3">
        <v>13125</v>
      </c>
      <c r="AE114" s="3">
        <v>13125</v>
      </c>
      <c r="AF114" s="3">
        <v>13800</v>
      </c>
      <c r="AG114" s="3">
        <v>13770</v>
      </c>
      <c r="AH114" s="3">
        <v>14260</v>
      </c>
      <c r="AI114" s="3">
        <v>14280</v>
      </c>
      <c r="AJ114" s="3">
        <v>13700</v>
      </c>
      <c r="AK114" s="3">
        <v>13680</v>
      </c>
      <c r="AL114" s="3">
        <v>13770</v>
      </c>
      <c r="AM114" s="3">
        <v>13780</v>
      </c>
      <c r="AN114" s="3">
        <v>13550</v>
      </c>
      <c r="AO114" s="3">
        <v>13545</v>
      </c>
      <c r="AP114" s="3">
        <v>13625</v>
      </c>
      <c r="AQ114" s="3">
        <v>13620</v>
      </c>
      <c r="AR114" s="4">
        <f t="shared" si="80"/>
        <v>1.6045099739809165E-2</v>
      </c>
      <c r="AS114" s="4">
        <f t="shared" si="52"/>
        <v>1.1255411255411296E-2</v>
      </c>
      <c r="AT114" s="4">
        <f t="shared" si="53"/>
        <v>2.9929577464788748E-2</v>
      </c>
      <c r="AU114" s="4">
        <f t="shared" si="54"/>
        <v>2.0797962648556823E-2</v>
      </c>
      <c r="AV114" s="4">
        <f t="shared" si="55"/>
        <v>3.4217279726261873E-3</v>
      </c>
      <c r="AW114" s="4">
        <f t="shared" si="56"/>
        <v>1.8971332209106295E-2</v>
      </c>
      <c r="AX114" s="4">
        <f t="shared" si="57"/>
        <v>3.6731324803962018E-2</v>
      </c>
      <c r="AY114" s="4">
        <f t="shared" si="58"/>
        <v>2.7386541471048353E-3</v>
      </c>
      <c r="AZ114" s="4">
        <f t="shared" si="59"/>
        <v>5.579912315663571E-3</v>
      </c>
      <c r="BA114" s="4">
        <f t="shared" si="60"/>
        <v>8.0808080808081328E-4</v>
      </c>
      <c r="BB114" s="4">
        <f t="shared" si="61"/>
        <v>4.053506282934749E-2</v>
      </c>
      <c r="BC114" s="4">
        <f t="shared" si="62"/>
        <v>3.9572615749901008E-3</v>
      </c>
      <c r="BD114" s="4">
        <f t="shared" si="63"/>
        <v>1.2850467289719614E-2</v>
      </c>
      <c r="BE114" s="4">
        <f t="shared" si="64"/>
        <v>2.8152718858465153E-2</v>
      </c>
      <c r="BF114" s="4">
        <f t="shared" si="65"/>
        <v>2.673796791443861E-3</v>
      </c>
      <c r="BG114" s="4">
        <f t="shared" si="66"/>
        <v>3.2620922384701823E-2</v>
      </c>
      <c r="BH114" s="4">
        <f t="shared" si="67"/>
        <v>2.6599568655643502E-2</v>
      </c>
      <c r="BI114" s="4">
        <f t="shared" si="68"/>
        <v>1.4054054054054022E-2</v>
      </c>
      <c r="BJ114" s="4">
        <f t="shared" si="69"/>
        <v>4.3731778425655232E-3</v>
      </c>
      <c r="BK114" s="4">
        <f t="shared" si="70"/>
        <v>1.0230179028132946E-2</v>
      </c>
      <c r="BL114" s="4">
        <f t="shared" si="71"/>
        <v>1.2263099219620877E-2</v>
      </c>
      <c r="BM114" s="4">
        <f t="shared" si="81"/>
        <v>1.5850370098848234E-2</v>
      </c>
      <c r="BN114" s="14">
        <f t="shared" si="82"/>
        <v>13668.266729680003</v>
      </c>
      <c r="BO114" s="15">
        <f t="shared" si="83"/>
        <v>13113.793818432847</v>
      </c>
      <c r="BP114" s="16">
        <v>13625</v>
      </c>
      <c r="BQ114" s="16">
        <v>13625</v>
      </c>
      <c r="BR114" s="16">
        <v>13615</v>
      </c>
      <c r="BS114" s="16">
        <v>13620</v>
      </c>
      <c r="BT114" s="16">
        <v>9436</v>
      </c>
      <c r="BU114" s="15">
        <f t="shared" si="72"/>
        <v>13620</v>
      </c>
      <c r="BV114" s="15">
        <f t="shared" si="73"/>
        <v>128518320</v>
      </c>
      <c r="BW114" s="15">
        <f>SUM($BV$3:BV114)</f>
        <v>169488755001.66669</v>
      </c>
      <c r="BX114" s="15">
        <f>SUM($BT$3:BT114)</f>
        <v>12487489</v>
      </c>
      <c r="BY114" s="15">
        <f t="shared" si="74"/>
        <v>13572.685029125287</v>
      </c>
      <c r="BZ114" s="3">
        <v>112</v>
      </c>
      <c r="CA114" s="3">
        <f t="shared" si="75"/>
        <v>0</v>
      </c>
      <c r="CB114" s="3">
        <f t="shared" si="76"/>
        <v>0</v>
      </c>
      <c r="CC114" s="3">
        <f t="shared" si="77"/>
        <v>0</v>
      </c>
      <c r="CD114" s="6" t="str">
        <f t="shared" si="78"/>
        <v/>
      </c>
      <c r="CE114" s="6">
        <f t="shared" si="79"/>
        <v>0</v>
      </c>
    </row>
    <row r="115" spans="1:83" x14ac:dyDescent="0.3">
      <c r="A115" s="3" t="s">
        <v>155</v>
      </c>
      <c r="B115" s="3">
        <v>11720</v>
      </c>
      <c r="C115" s="3">
        <v>11695</v>
      </c>
      <c r="D115" s="3">
        <v>11415</v>
      </c>
      <c r="E115" s="3">
        <v>11430</v>
      </c>
      <c r="F115" s="3">
        <v>11700</v>
      </c>
      <c r="G115" s="3">
        <v>11695</v>
      </c>
      <c r="H115" s="3">
        <v>11535</v>
      </c>
      <c r="I115" s="3">
        <v>11525</v>
      </c>
      <c r="J115" s="3">
        <v>11650</v>
      </c>
      <c r="K115" s="3">
        <v>11635</v>
      </c>
      <c r="L115" s="3">
        <v>12090</v>
      </c>
      <c r="M115" s="3">
        <v>12100</v>
      </c>
      <c r="N115" s="3">
        <v>12565</v>
      </c>
      <c r="O115" s="3">
        <v>12565</v>
      </c>
      <c r="P115" s="3">
        <v>12745</v>
      </c>
      <c r="Q115" s="3">
        <v>12745</v>
      </c>
      <c r="R115" s="3">
        <v>12475</v>
      </c>
      <c r="S115" s="3">
        <v>12475</v>
      </c>
      <c r="T115" s="3">
        <v>12390</v>
      </c>
      <c r="U115" s="3">
        <v>12395</v>
      </c>
      <c r="V115" s="3">
        <v>12835</v>
      </c>
      <c r="W115" s="3">
        <v>12835</v>
      </c>
      <c r="X115" s="3">
        <v>12585</v>
      </c>
      <c r="Y115" s="3">
        <v>12560</v>
      </c>
      <c r="Z115" s="3">
        <v>12680</v>
      </c>
      <c r="AA115" s="3">
        <v>12685</v>
      </c>
      <c r="AB115" s="3">
        <v>13325</v>
      </c>
      <c r="AC115" s="3">
        <v>13325</v>
      </c>
      <c r="AD115" s="3">
        <v>13130</v>
      </c>
      <c r="AE115" s="3">
        <v>13150</v>
      </c>
      <c r="AF115" s="3">
        <v>13780</v>
      </c>
      <c r="AG115" s="3">
        <v>13795</v>
      </c>
      <c r="AH115" s="3">
        <v>14280</v>
      </c>
      <c r="AI115" s="3">
        <v>14275</v>
      </c>
      <c r="AJ115" s="3">
        <v>13680</v>
      </c>
      <c r="AK115" s="3">
        <v>13670</v>
      </c>
      <c r="AL115" s="3">
        <v>13780</v>
      </c>
      <c r="AM115" s="3">
        <v>13785</v>
      </c>
      <c r="AN115" s="3">
        <v>13545</v>
      </c>
      <c r="AO115" s="3">
        <v>13540</v>
      </c>
      <c r="AP115" s="3">
        <v>13620</v>
      </c>
      <c r="AQ115" s="3">
        <v>13620</v>
      </c>
      <c r="AR115" s="4">
        <f t="shared" si="80"/>
        <v>1.4310494362532511E-2</v>
      </c>
      <c r="AS115" s="4">
        <f t="shared" si="52"/>
        <v>1.0389610389610393E-2</v>
      </c>
      <c r="AT115" s="4">
        <f t="shared" si="53"/>
        <v>2.9489436619718257E-2</v>
      </c>
      <c r="AU115" s="4">
        <f t="shared" si="54"/>
        <v>2.1646859083191861E-2</v>
      </c>
      <c r="AV115" s="4">
        <f t="shared" si="55"/>
        <v>4.7048759623610215E-3</v>
      </c>
      <c r="AW115" s="4">
        <f t="shared" si="56"/>
        <v>2.0236087689713411E-2</v>
      </c>
      <c r="AX115" s="4">
        <f t="shared" si="57"/>
        <v>3.7144036318613294E-2</v>
      </c>
      <c r="AY115" s="4">
        <f t="shared" si="58"/>
        <v>2.7386541471048353E-3</v>
      </c>
      <c r="AZ115" s="4">
        <f t="shared" si="59"/>
        <v>5.579912315663571E-3</v>
      </c>
      <c r="BA115" s="4">
        <f t="shared" si="60"/>
        <v>1.6161616161616266E-3</v>
      </c>
      <c r="BB115" s="4">
        <f t="shared" si="61"/>
        <v>4.053506282934749E-2</v>
      </c>
      <c r="BC115" s="4">
        <f t="shared" si="62"/>
        <v>5.9358923624851512E-3</v>
      </c>
      <c r="BD115" s="4">
        <f t="shared" si="63"/>
        <v>1.2071651090342694E-2</v>
      </c>
      <c r="BE115" s="4">
        <f t="shared" si="64"/>
        <v>2.776706517547245E-2</v>
      </c>
      <c r="BF115" s="4">
        <f t="shared" si="65"/>
        <v>4.583651642475095E-3</v>
      </c>
      <c r="BG115" s="4">
        <f t="shared" si="66"/>
        <v>3.4495688038995054E-2</v>
      </c>
      <c r="BH115" s="4">
        <f t="shared" si="67"/>
        <v>2.6240115025161659E-2</v>
      </c>
      <c r="BI115" s="4">
        <f t="shared" si="68"/>
        <v>1.4774774774774735E-2</v>
      </c>
      <c r="BJ115" s="4">
        <f t="shared" si="69"/>
        <v>4.737609329446002E-3</v>
      </c>
      <c r="BK115" s="4">
        <f t="shared" si="70"/>
        <v>1.0595542564852067E-2</v>
      </c>
      <c r="BL115" s="4">
        <f t="shared" si="71"/>
        <v>1.2263099219620877E-2</v>
      </c>
      <c r="BM115" s="4">
        <f t="shared" si="81"/>
        <v>1.634398694506398E-2</v>
      </c>
      <c r="BN115" s="14">
        <f t="shared" si="82"/>
        <v>13674.908344345835</v>
      </c>
      <c r="BO115" s="15">
        <f t="shared" si="83"/>
        <v>13107.216373957022</v>
      </c>
      <c r="BP115" s="16">
        <v>13620</v>
      </c>
      <c r="BQ115" s="16">
        <v>13625</v>
      </c>
      <c r="BR115" s="16">
        <v>13605</v>
      </c>
      <c r="BS115" s="16">
        <v>13620</v>
      </c>
      <c r="BT115" s="16">
        <v>35829</v>
      </c>
      <c r="BU115" s="15">
        <f t="shared" si="72"/>
        <v>13616.666666666666</v>
      </c>
      <c r="BV115" s="15">
        <f t="shared" si="73"/>
        <v>487871550</v>
      </c>
      <c r="BW115" s="15">
        <f>SUM($BV$3:BV115)</f>
        <v>169976626551.66669</v>
      </c>
      <c r="BX115" s="15">
        <f>SUM($BT$3:BT115)</f>
        <v>12523318</v>
      </c>
      <c r="BY115" s="15">
        <f t="shared" si="74"/>
        <v>13572.81085984295</v>
      </c>
      <c r="BZ115" s="3">
        <v>113</v>
      </c>
      <c r="CA115" s="3">
        <f t="shared" si="75"/>
        <v>0</v>
      </c>
      <c r="CB115" s="3">
        <f t="shared" si="76"/>
        <v>0</v>
      </c>
      <c r="CC115" s="3">
        <f t="shared" si="77"/>
        <v>0</v>
      </c>
      <c r="CD115" s="6" t="str">
        <f t="shared" si="78"/>
        <v/>
      </c>
      <c r="CE115" s="6">
        <f t="shared" si="79"/>
        <v>0</v>
      </c>
    </row>
    <row r="116" spans="1:83" x14ac:dyDescent="0.3">
      <c r="A116" s="3" t="s">
        <v>156</v>
      </c>
      <c r="B116" s="3">
        <v>11700</v>
      </c>
      <c r="C116" s="3">
        <v>11675</v>
      </c>
      <c r="D116" s="3">
        <v>11430</v>
      </c>
      <c r="E116" s="3">
        <v>11435</v>
      </c>
      <c r="F116" s="3">
        <v>11695</v>
      </c>
      <c r="G116" s="3">
        <v>11700</v>
      </c>
      <c r="H116" s="3">
        <v>11525</v>
      </c>
      <c r="I116" s="3">
        <v>11515</v>
      </c>
      <c r="J116" s="3">
        <v>11640</v>
      </c>
      <c r="K116" s="3">
        <v>11640</v>
      </c>
      <c r="L116" s="3">
        <v>12095</v>
      </c>
      <c r="M116" s="3">
        <v>12090</v>
      </c>
      <c r="N116" s="3">
        <v>12565</v>
      </c>
      <c r="O116" s="3">
        <v>12570</v>
      </c>
      <c r="P116" s="3">
        <v>12745</v>
      </c>
      <c r="Q116" s="3">
        <v>12740</v>
      </c>
      <c r="R116" s="3">
        <v>12475</v>
      </c>
      <c r="S116" s="3">
        <v>12470</v>
      </c>
      <c r="T116" s="3">
        <v>12395</v>
      </c>
      <c r="U116" s="3">
        <v>12400</v>
      </c>
      <c r="V116" s="3">
        <v>12840</v>
      </c>
      <c r="W116" s="3">
        <v>12825</v>
      </c>
      <c r="X116" s="3">
        <v>12565</v>
      </c>
      <c r="Y116" s="3">
        <v>12555</v>
      </c>
      <c r="Z116" s="3">
        <v>12685</v>
      </c>
      <c r="AA116" s="3">
        <v>12680</v>
      </c>
      <c r="AB116" s="3">
        <v>13325</v>
      </c>
      <c r="AC116" s="3">
        <v>13315</v>
      </c>
      <c r="AD116" s="3">
        <v>13150</v>
      </c>
      <c r="AE116" s="3">
        <v>13165</v>
      </c>
      <c r="AF116" s="3">
        <v>13790</v>
      </c>
      <c r="AG116" s="3">
        <v>13785</v>
      </c>
      <c r="AH116" s="3">
        <v>14275</v>
      </c>
      <c r="AI116" s="3">
        <v>14280</v>
      </c>
      <c r="AJ116" s="3">
        <v>13670</v>
      </c>
      <c r="AK116" s="3">
        <v>13675</v>
      </c>
      <c r="AL116" s="3">
        <v>13790</v>
      </c>
      <c r="AM116" s="3">
        <v>13765</v>
      </c>
      <c r="AN116" s="3">
        <v>13540</v>
      </c>
      <c r="AO116" s="3">
        <v>13560</v>
      </c>
      <c r="AP116" s="3">
        <v>13620</v>
      </c>
      <c r="AQ116" s="3">
        <v>13615</v>
      </c>
      <c r="AR116" s="4">
        <f t="shared" si="80"/>
        <v>1.2575888985255856E-2</v>
      </c>
      <c r="AS116" s="4">
        <f t="shared" si="52"/>
        <v>9.9567099567099415E-3</v>
      </c>
      <c r="AT116" s="4">
        <f t="shared" si="53"/>
        <v>2.9929577464788748E-2</v>
      </c>
      <c r="AU116" s="4">
        <f t="shared" si="54"/>
        <v>2.2495755517826788E-2</v>
      </c>
      <c r="AV116" s="4">
        <f t="shared" si="55"/>
        <v>4.2771599657827064E-3</v>
      </c>
      <c r="AW116" s="4">
        <f t="shared" si="56"/>
        <v>1.9392917369308593E-2</v>
      </c>
      <c r="AX116" s="4">
        <f t="shared" si="57"/>
        <v>3.755674783326457E-2</v>
      </c>
      <c r="AY116" s="4">
        <f t="shared" si="58"/>
        <v>3.129890453834161E-3</v>
      </c>
      <c r="AZ116" s="4">
        <f t="shared" si="59"/>
        <v>5.9784774810681673E-3</v>
      </c>
      <c r="BA116" s="4">
        <f t="shared" si="60"/>
        <v>2.0202020202020332E-3</v>
      </c>
      <c r="BB116" s="4">
        <f t="shared" si="61"/>
        <v>3.9724361572760492E-2</v>
      </c>
      <c r="BC116" s="4">
        <f t="shared" si="62"/>
        <v>6.3316185199842057E-3</v>
      </c>
      <c r="BD116" s="4">
        <f t="shared" si="63"/>
        <v>1.2461059190031154E-2</v>
      </c>
      <c r="BE116" s="4">
        <f t="shared" si="64"/>
        <v>2.6995757809487042E-2</v>
      </c>
      <c r="BF116" s="4">
        <f t="shared" si="65"/>
        <v>5.7295645530939243E-3</v>
      </c>
      <c r="BG116" s="4">
        <f t="shared" si="66"/>
        <v>3.3745781777277939E-2</v>
      </c>
      <c r="BH116" s="4">
        <f t="shared" si="67"/>
        <v>2.6599568655643502E-2</v>
      </c>
      <c r="BI116" s="4">
        <f t="shared" si="68"/>
        <v>1.4414414414414378E-2</v>
      </c>
      <c r="BJ116" s="4">
        <f t="shared" si="69"/>
        <v>3.2798833819243089E-3</v>
      </c>
      <c r="BK116" s="4">
        <f t="shared" si="70"/>
        <v>9.1340884179759163E-3</v>
      </c>
      <c r="BL116" s="4">
        <f t="shared" si="71"/>
        <v>1.1891490152359685E-2</v>
      </c>
      <c r="BM116" s="4">
        <f t="shared" si="81"/>
        <v>1.6221529720068701E-2</v>
      </c>
      <c r="BN116" s="14">
        <f t="shared" si="82"/>
        <v>13673.260682383525</v>
      </c>
      <c r="BO116" s="15">
        <f t="shared" si="83"/>
        <v>13108.848116480083</v>
      </c>
      <c r="BP116" s="16">
        <v>13620</v>
      </c>
      <c r="BQ116" s="16">
        <v>13625</v>
      </c>
      <c r="BR116" s="16">
        <v>13605</v>
      </c>
      <c r="BS116" s="16">
        <v>13615</v>
      </c>
      <c r="BT116" s="16">
        <v>10051</v>
      </c>
      <c r="BU116" s="15">
        <f t="shared" si="72"/>
        <v>13615</v>
      </c>
      <c r="BV116" s="15">
        <f t="shared" si="73"/>
        <v>136844365</v>
      </c>
      <c r="BW116" s="15">
        <f>SUM($BV$3:BV116)</f>
        <v>170113470916.66669</v>
      </c>
      <c r="BX116" s="15">
        <f>SUM($BT$3:BT116)</f>
        <v>12533369</v>
      </c>
      <c r="BY116" s="15">
        <f t="shared" si="74"/>
        <v>13572.844692968562</v>
      </c>
      <c r="BZ116" s="3">
        <v>114</v>
      </c>
      <c r="CA116" s="3">
        <f t="shared" si="75"/>
        <v>0</v>
      </c>
      <c r="CB116" s="3">
        <f t="shared" si="76"/>
        <v>0</v>
      </c>
      <c r="CC116" s="3">
        <f t="shared" si="77"/>
        <v>0</v>
      </c>
      <c r="CD116" s="6" t="str">
        <f t="shared" si="78"/>
        <v/>
      </c>
      <c r="CE116" s="6">
        <f t="shared" si="79"/>
        <v>0</v>
      </c>
    </row>
    <row r="117" spans="1:83" x14ac:dyDescent="0.3">
      <c r="A117" s="3" t="s">
        <v>157</v>
      </c>
      <c r="B117" s="3">
        <v>11680</v>
      </c>
      <c r="C117" s="3">
        <v>11685</v>
      </c>
      <c r="D117" s="3">
        <v>11430</v>
      </c>
      <c r="E117" s="3">
        <v>11430</v>
      </c>
      <c r="F117" s="3">
        <v>11700</v>
      </c>
      <c r="G117" s="3">
        <v>11685</v>
      </c>
      <c r="H117" s="3">
        <v>11515</v>
      </c>
      <c r="I117" s="3">
        <v>11510</v>
      </c>
      <c r="J117" s="3">
        <v>11640</v>
      </c>
      <c r="K117" s="3">
        <v>11650</v>
      </c>
      <c r="L117" s="3">
        <v>12085</v>
      </c>
      <c r="M117" s="3">
        <v>12080</v>
      </c>
      <c r="N117" s="3">
        <v>12570</v>
      </c>
      <c r="O117" s="3">
        <v>12565</v>
      </c>
      <c r="P117" s="3">
        <v>12745</v>
      </c>
      <c r="Q117" s="3">
        <v>12745</v>
      </c>
      <c r="R117" s="3">
        <v>12470</v>
      </c>
      <c r="S117" s="3">
        <v>12445</v>
      </c>
      <c r="T117" s="3">
        <v>12410</v>
      </c>
      <c r="U117" s="3">
        <v>12410</v>
      </c>
      <c r="V117" s="3">
        <v>12830</v>
      </c>
      <c r="W117" s="3">
        <v>12830</v>
      </c>
      <c r="X117" s="3">
        <v>12560</v>
      </c>
      <c r="Y117" s="3">
        <v>12555</v>
      </c>
      <c r="Z117" s="3">
        <v>12680</v>
      </c>
      <c r="AA117" s="3">
        <v>12665</v>
      </c>
      <c r="AB117" s="3">
        <v>13315</v>
      </c>
      <c r="AC117" s="3">
        <v>13305</v>
      </c>
      <c r="AD117" s="3">
        <v>13160</v>
      </c>
      <c r="AE117" s="3">
        <v>13165</v>
      </c>
      <c r="AF117" s="3">
        <v>13785</v>
      </c>
      <c r="AG117" s="3">
        <v>13785</v>
      </c>
      <c r="AH117" s="3">
        <v>14280</v>
      </c>
      <c r="AI117" s="3">
        <v>14270</v>
      </c>
      <c r="AJ117" s="3">
        <v>13670</v>
      </c>
      <c r="AK117" s="3">
        <v>13665</v>
      </c>
      <c r="AL117" s="3">
        <v>13770</v>
      </c>
      <c r="AM117" s="3">
        <v>13770</v>
      </c>
      <c r="AN117" s="3">
        <v>13560</v>
      </c>
      <c r="AO117" s="3">
        <v>13545</v>
      </c>
      <c r="AP117" s="3">
        <v>13615</v>
      </c>
      <c r="AQ117" s="3">
        <v>13615</v>
      </c>
      <c r="AR117" s="4">
        <f t="shared" si="80"/>
        <v>1.3443191673894184E-2</v>
      </c>
      <c r="AS117" s="4">
        <f t="shared" si="52"/>
        <v>1.0389610389610393E-2</v>
      </c>
      <c r="AT117" s="4">
        <f t="shared" si="53"/>
        <v>2.8609154929577496E-2</v>
      </c>
      <c r="AU117" s="4">
        <f t="shared" si="54"/>
        <v>2.2920203735144362E-2</v>
      </c>
      <c r="AV117" s="4">
        <f t="shared" si="55"/>
        <v>3.4217279726261873E-3</v>
      </c>
      <c r="AW117" s="4">
        <f t="shared" si="56"/>
        <v>1.8549747048903775E-2</v>
      </c>
      <c r="AX117" s="4">
        <f t="shared" si="57"/>
        <v>3.7144036318613294E-2</v>
      </c>
      <c r="AY117" s="4">
        <f t="shared" si="58"/>
        <v>2.7386541471048353E-3</v>
      </c>
      <c r="AZ117" s="4">
        <f t="shared" si="59"/>
        <v>7.9713033080909268E-3</v>
      </c>
      <c r="BA117" s="4">
        <f t="shared" si="60"/>
        <v>2.8282828282828465E-3</v>
      </c>
      <c r="BB117" s="4">
        <f t="shared" si="61"/>
        <v>4.0129712201053991E-2</v>
      </c>
      <c r="BC117" s="4">
        <f t="shared" si="62"/>
        <v>6.3316185199842057E-3</v>
      </c>
      <c r="BD117" s="4">
        <f t="shared" si="63"/>
        <v>1.3629283489096533E-2</v>
      </c>
      <c r="BE117" s="4">
        <f t="shared" si="64"/>
        <v>2.6224450443501635E-2</v>
      </c>
      <c r="BF117" s="4">
        <f t="shared" si="65"/>
        <v>5.7295645530939243E-3</v>
      </c>
      <c r="BG117" s="4">
        <f t="shared" si="66"/>
        <v>3.3745781777277939E-2</v>
      </c>
      <c r="BH117" s="4">
        <f t="shared" si="67"/>
        <v>2.5880661394680038E-2</v>
      </c>
      <c r="BI117" s="4">
        <f t="shared" si="68"/>
        <v>1.5135135135135092E-2</v>
      </c>
      <c r="BJ117" s="4">
        <f t="shared" si="69"/>
        <v>3.6443148688045657E-3</v>
      </c>
      <c r="BK117" s="4">
        <f t="shared" si="70"/>
        <v>1.0230179028132946E-2</v>
      </c>
      <c r="BL117" s="4">
        <f t="shared" si="71"/>
        <v>1.1891490152359685E-2</v>
      </c>
      <c r="BM117" s="4">
        <f t="shared" si="81"/>
        <v>1.6525927000918057E-2</v>
      </c>
      <c r="BN117" s="14">
        <f t="shared" si="82"/>
        <v>13677.356347797353</v>
      </c>
      <c r="BO117" s="15">
        <f t="shared" si="83"/>
        <v>13104.792022712767</v>
      </c>
      <c r="BP117" s="16">
        <v>13615</v>
      </c>
      <c r="BQ117" s="16">
        <v>13620</v>
      </c>
      <c r="BR117" s="16">
        <v>13610</v>
      </c>
      <c r="BS117" s="16">
        <v>13615</v>
      </c>
      <c r="BT117" s="16">
        <v>17242</v>
      </c>
      <c r="BU117" s="15">
        <f t="shared" si="72"/>
        <v>13615</v>
      </c>
      <c r="BV117" s="15">
        <f t="shared" si="73"/>
        <v>234749830</v>
      </c>
      <c r="BW117" s="15">
        <f>SUM($BV$3:BV117)</f>
        <v>170348220746.66669</v>
      </c>
      <c r="BX117" s="15">
        <f>SUM($BT$3:BT117)</f>
        <v>12550611</v>
      </c>
      <c r="BY117" s="15">
        <f t="shared" si="74"/>
        <v>13572.902605830639</v>
      </c>
      <c r="BZ117" s="3">
        <v>115</v>
      </c>
      <c r="CA117" s="3">
        <f t="shared" si="75"/>
        <v>0</v>
      </c>
      <c r="CB117" s="3">
        <f t="shared" si="76"/>
        <v>0</v>
      </c>
      <c r="CC117" s="3">
        <f t="shared" si="77"/>
        <v>0</v>
      </c>
      <c r="CD117" s="6" t="str">
        <f t="shared" si="78"/>
        <v/>
      </c>
      <c r="CE117" s="6">
        <f t="shared" si="79"/>
        <v>0</v>
      </c>
    </row>
    <row r="118" spans="1:83" x14ac:dyDescent="0.3">
      <c r="A118" s="3" t="s">
        <v>158</v>
      </c>
      <c r="B118" s="3">
        <v>11685</v>
      </c>
      <c r="C118" s="3">
        <v>11655</v>
      </c>
      <c r="D118" s="3">
        <v>11430</v>
      </c>
      <c r="E118" s="3">
        <v>11445</v>
      </c>
      <c r="F118" s="3">
        <v>11680</v>
      </c>
      <c r="G118" s="3">
        <v>11690</v>
      </c>
      <c r="H118" s="3">
        <v>11515</v>
      </c>
      <c r="I118" s="3">
        <v>11520</v>
      </c>
      <c r="J118" s="3">
        <v>11645</v>
      </c>
      <c r="K118" s="3">
        <v>11650</v>
      </c>
      <c r="L118" s="3">
        <v>12080</v>
      </c>
      <c r="M118" s="3">
        <v>12070</v>
      </c>
      <c r="N118" s="3">
        <v>12565</v>
      </c>
      <c r="O118" s="3">
        <v>12565</v>
      </c>
      <c r="P118" s="3">
        <v>12745</v>
      </c>
      <c r="Q118" s="3">
        <v>12740</v>
      </c>
      <c r="R118" s="3">
        <v>12445</v>
      </c>
      <c r="S118" s="3">
        <v>12450</v>
      </c>
      <c r="T118" s="3">
        <v>12410</v>
      </c>
      <c r="U118" s="3">
        <v>12410</v>
      </c>
      <c r="V118" s="3">
        <v>12835</v>
      </c>
      <c r="W118" s="3">
        <v>12840</v>
      </c>
      <c r="X118" s="3">
        <v>12555</v>
      </c>
      <c r="Y118" s="3">
        <v>12545</v>
      </c>
      <c r="Z118" s="3">
        <v>12660</v>
      </c>
      <c r="AA118" s="3">
        <v>12635</v>
      </c>
      <c r="AB118" s="3">
        <v>13305</v>
      </c>
      <c r="AC118" s="3">
        <v>13300</v>
      </c>
      <c r="AD118" s="3">
        <v>13165</v>
      </c>
      <c r="AE118" s="3">
        <v>13170</v>
      </c>
      <c r="AF118" s="3">
        <v>13780</v>
      </c>
      <c r="AG118" s="3">
        <v>13790</v>
      </c>
      <c r="AH118" s="3">
        <v>14270</v>
      </c>
      <c r="AI118" s="3">
        <v>14270</v>
      </c>
      <c r="AJ118" s="3">
        <v>13660</v>
      </c>
      <c r="AK118" s="3">
        <v>13685</v>
      </c>
      <c r="AL118" s="3">
        <v>13770</v>
      </c>
      <c r="AM118" s="3">
        <v>13790</v>
      </c>
      <c r="AN118" s="3">
        <v>13545</v>
      </c>
      <c r="AO118" s="3">
        <v>13545</v>
      </c>
      <c r="AP118" s="3">
        <v>13610</v>
      </c>
      <c r="AQ118" s="3">
        <v>13600</v>
      </c>
      <c r="AR118" s="4">
        <f t="shared" si="80"/>
        <v>1.0841283607979202E-2</v>
      </c>
      <c r="AS118" s="4">
        <f t="shared" si="52"/>
        <v>9.0909090909090384E-3</v>
      </c>
      <c r="AT118" s="4">
        <f t="shared" si="53"/>
        <v>2.9049295774647987E-2</v>
      </c>
      <c r="AU118" s="4">
        <f t="shared" si="54"/>
        <v>2.2071307300509324E-2</v>
      </c>
      <c r="AV118" s="4">
        <f t="shared" si="55"/>
        <v>3.4217279726261873E-3</v>
      </c>
      <c r="AW118" s="4">
        <f t="shared" si="56"/>
        <v>1.7706576728499179E-2</v>
      </c>
      <c r="AX118" s="4">
        <f t="shared" si="57"/>
        <v>3.7144036318613294E-2</v>
      </c>
      <c r="AY118" s="4">
        <f t="shared" si="58"/>
        <v>3.129890453834161E-3</v>
      </c>
      <c r="AZ118" s="4">
        <f t="shared" si="59"/>
        <v>7.5727381426863305E-3</v>
      </c>
      <c r="BA118" s="4">
        <f t="shared" si="60"/>
        <v>2.8282828282828465E-3</v>
      </c>
      <c r="BB118" s="4">
        <f t="shared" si="61"/>
        <v>4.0940413457640767E-2</v>
      </c>
      <c r="BC118" s="4">
        <f t="shared" si="62"/>
        <v>7.1230708349822036E-3</v>
      </c>
      <c r="BD118" s="4">
        <f t="shared" si="63"/>
        <v>1.5965732087227402E-2</v>
      </c>
      <c r="BE118" s="4">
        <f t="shared" si="64"/>
        <v>2.5838796760509153E-2</v>
      </c>
      <c r="BF118" s="4">
        <f t="shared" si="65"/>
        <v>6.1115355233001267E-3</v>
      </c>
      <c r="BG118" s="4">
        <f t="shared" si="66"/>
        <v>3.4120734908136496E-2</v>
      </c>
      <c r="BH118" s="4">
        <f t="shared" si="67"/>
        <v>2.5880661394680038E-2</v>
      </c>
      <c r="BI118" s="4">
        <f t="shared" si="68"/>
        <v>1.3693693693693665E-2</v>
      </c>
      <c r="BJ118" s="4">
        <f t="shared" si="69"/>
        <v>5.1020408163264808E-3</v>
      </c>
      <c r="BK118" s="4">
        <f t="shared" si="70"/>
        <v>1.0230179028132946E-2</v>
      </c>
      <c r="BL118" s="4">
        <f t="shared" si="71"/>
        <v>1.0776662950575888E-2</v>
      </c>
      <c r="BM118" s="4">
        <f t="shared" si="81"/>
        <v>1.683441473200328E-2</v>
      </c>
      <c r="BN118" s="14">
        <f t="shared" si="82"/>
        <v>13681.507050219103</v>
      </c>
      <c r="BO118" s="15">
        <f t="shared" si="83"/>
        <v>13100.681423696056</v>
      </c>
      <c r="BP118" s="16">
        <v>13610</v>
      </c>
      <c r="BQ118" s="16">
        <v>13610</v>
      </c>
      <c r="BR118" s="16">
        <v>13575</v>
      </c>
      <c r="BS118" s="16">
        <v>13600</v>
      </c>
      <c r="BT118" s="16">
        <v>209605</v>
      </c>
      <c r="BU118" s="15">
        <f t="shared" si="72"/>
        <v>13595</v>
      </c>
      <c r="BV118" s="15">
        <f t="shared" si="73"/>
        <v>2849579975</v>
      </c>
      <c r="BW118" s="15">
        <f>SUM($BV$3:BV118)</f>
        <v>173197800721.66669</v>
      </c>
      <c r="BX118" s="15">
        <f>SUM($BT$3:BT118)</f>
        <v>12760216</v>
      </c>
      <c r="BY118" s="15">
        <f t="shared" si="74"/>
        <v>13573.265587484309</v>
      </c>
      <c r="BZ118" s="3">
        <v>116</v>
      </c>
      <c r="CA118" s="3">
        <f t="shared" si="75"/>
        <v>0</v>
      </c>
      <c r="CB118" s="3">
        <f t="shared" si="76"/>
        <v>0</v>
      </c>
      <c r="CC118" s="3">
        <f t="shared" si="77"/>
        <v>0</v>
      </c>
      <c r="CD118" s="6" t="str">
        <f t="shared" si="78"/>
        <v/>
      </c>
      <c r="CE118" s="6">
        <f t="shared" si="79"/>
        <v>0</v>
      </c>
    </row>
    <row r="119" spans="1:83" x14ac:dyDescent="0.3">
      <c r="A119" s="3" t="s">
        <v>159</v>
      </c>
      <c r="B119" s="3">
        <v>11650</v>
      </c>
      <c r="C119" s="3">
        <v>11655</v>
      </c>
      <c r="D119" s="3">
        <v>11440</v>
      </c>
      <c r="E119" s="3">
        <v>11430</v>
      </c>
      <c r="F119" s="3">
        <v>11690</v>
      </c>
      <c r="G119" s="3">
        <v>11685</v>
      </c>
      <c r="H119" s="3">
        <v>11520</v>
      </c>
      <c r="I119" s="3">
        <v>11530</v>
      </c>
      <c r="J119" s="3">
        <v>11645</v>
      </c>
      <c r="K119" s="3">
        <v>11655</v>
      </c>
      <c r="L119" s="3">
        <v>12070</v>
      </c>
      <c r="M119" s="3">
        <v>12070</v>
      </c>
      <c r="N119" s="3">
        <v>12565</v>
      </c>
      <c r="O119" s="3">
        <v>12565</v>
      </c>
      <c r="P119" s="3">
        <v>12740</v>
      </c>
      <c r="Q119" s="3">
        <v>12740</v>
      </c>
      <c r="R119" s="3">
        <v>12455</v>
      </c>
      <c r="S119" s="3">
        <v>12445</v>
      </c>
      <c r="T119" s="3">
        <v>12415</v>
      </c>
      <c r="U119" s="3">
        <v>12420</v>
      </c>
      <c r="V119" s="3">
        <v>12840</v>
      </c>
      <c r="W119" s="3">
        <v>12835</v>
      </c>
      <c r="X119" s="3">
        <v>12545</v>
      </c>
      <c r="Y119" s="3">
        <v>12545</v>
      </c>
      <c r="Z119" s="3">
        <v>12640</v>
      </c>
      <c r="AA119" s="3">
        <v>12645</v>
      </c>
      <c r="AB119" s="3">
        <v>13300</v>
      </c>
      <c r="AC119" s="3">
        <v>13300</v>
      </c>
      <c r="AD119" s="3">
        <v>13165</v>
      </c>
      <c r="AE119" s="3">
        <v>13170</v>
      </c>
      <c r="AF119" s="3">
        <v>13785</v>
      </c>
      <c r="AG119" s="3">
        <v>13780</v>
      </c>
      <c r="AH119" s="3">
        <v>14270</v>
      </c>
      <c r="AI119" s="3">
        <v>14255</v>
      </c>
      <c r="AJ119" s="3">
        <v>13680</v>
      </c>
      <c r="AK119" s="3">
        <v>13680</v>
      </c>
      <c r="AL119" s="3">
        <v>13790</v>
      </c>
      <c r="AM119" s="3">
        <v>13775</v>
      </c>
      <c r="AN119" s="3">
        <v>13545</v>
      </c>
      <c r="AO119" s="3">
        <v>13545</v>
      </c>
      <c r="AP119" s="3">
        <v>13595</v>
      </c>
      <c r="AQ119" s="3">
        <v>13605</v>
      </c>
      <c r="AR119" s="4">
        <f t="shared" si="80"/>
        <v>1.0841283607979202E-2</v>
      </c>
      <c r="AS119" s="4">
        <f t="shared" si="52"/>
        <v>1.0389610389610393E-2</v>
      </c>
      <c r="AT119" s="4">
        <f t="shared" si="53"/>
        <v>2.8609154929577496E-2</v>
      </c>
      <c r="AU119" s="4">
        <f t="shared" si="54"/>
        <v>2.1222410865874397E-2</v>
      </c>
      <c r="AV119" s="4">
        <f t="shared" si="55"/>
        <v>2.9940119760478723E-3</v>
      </c>
      <c r="AW119" s="4">
        <f t="shared" si="56"/>
        <v>1.7706576728499179E-2</v>
      </c>
      <c r="AX119" s="4">
        <f t="shared" si="57"/>
        <v>3.7144036318613294E-2</v>
      </c>
      <c r="AY119" s="4">
        <f t="shared" si="58"/>
        <v>3.129890453834161E-3</v>
      </c>
      <c r="AZ119" s="4">
        <f t="shared" si="59"/>
        <v>7.9713033080909268E-3</v>
      </c>
      <c r="BA119" s="4">
        <f t="shared" si="60"/>
        <v>3.6363636363636598E-3</v>
      </c>
      <c r="BB119" s="4">
        <f t="shared" si="61"/>
        <v>4.053506282934749E-2</v>
      </c>
      <c r="BC119" s="4">
        <f t="shared" si="62"/>
        <v>7.1230708349822036E-3</v>
      </c>
      <c r="BD119" s="4">
        <f t="shared" si="63"/>
        <v>1.5186915887850483E-2</v>
      </c>
      <c r="BE119" s="4">
        <f t="shared" si="64"/>
        <v>2.5838796760509153E-2</v>
      </c>
      <c r="BF119" s="4">
        <f t="shared" si="65"/>
        <v>6.1115355233001267E-3</v>
      </c>
      <c r="BG119" s="4">
        <f t="shared" si="66"/>
        <v>3.3370828646419159E-2</v>
      </c>
      <c r="BH119" s="4">
        <f t="shared" si="67"/>
        <v>2.4802300503235175E-2</v>
      </c>
      <c r="BI119" s="4">
        <f t="shared" si="68"/>
        <v>1.4054054054054022E-2</v>
      </c>
      <c r="BJ119" s="4">
        <f t="shared" si="69"/>
        <v>4.0087463556850444E-3</v>
      </c>
      <c r="BK119" s="4">
        <f t="shared" si="70"/>
        <v>1.0230179028132946E-2</v>
      </c>
      <c r="BL119" s="4">
        <f t="shared" si="71"/>
        <v>1.1148272017837302E-2</v>
      </c>
      <c r="BM119" s="4">
        <f t="shared" si="81"/>
        <v>1.6653077438601276E-2</v>
      </c>
      <c r="BN119" s="14">
        <f t="shared" si="82"/>
        <v>13679.06715693638</v>
      </c>
      <c r="BO119" s="15">
        <f t="shared" si="83"/>
        <v>13103.097743130638</v>
      </c>
      <c r="BP119" s="16">
        <v>13595</v>
      </c>
      <c r="BQ119" s="16">
        <v>13605</v>
      </c>
      <c r="BR119" s="16">
        <v>13590</v>
      </c>
      <c r="BS119" s="16">
        <v>13605</v>
      </c>
      <c r="BT119" s="16">
        <v>48456</v>
      </c>
      <c r="BU119" s="15">
        <f t="shared" si="72"/>
        <v>13600</v>
      </c>
      <c r="BV119" s="15">
        <f t="shared" si="73"/>
        <v>659001600</v>
      </c>
      <c r="BW119" s="15">
        <f>SUM($BV$3:BV119)</f>
        <v>173856802321.66669</v>
      </c>
      <c r="BX119" s="15">
        <f>SUM($BT$3:BT119)</f>
        <v>12808672</v>
      </c>
      <c r="BY119" s="15">
        <f t="shared" si="74"/>
        <v>13573.366725423735</v>
      </c>
      <c r="BZ119" s="3">
        <v>117</v>
      </c>
      <c r="CA119" s="3">
        <f t="shared" si="75"/>
        <v>0</v>
      </c>
      <c r="CB119" s="3">
        <f t="shared" si="76"/>
        <v>0</v>
      </c>
      <c r="CC119" s="3">
        <f t="shared" si="77"/>
        <v>0</v>
      </c>
      <c r="CD119" s="6" t="str">
        <f t="shared" si="78"/>
        <v/>
      </c>
      <c r="CE119" s="6">
        <f t="shared" si="79"/>
        <v>0</v>
      </c>
    </row>
    <row r="120" spans="1:83" x14ac:dyDescent="0.3">
      <c r="A120" s="3" t="s">
        <v>160</v>
      </c>
      <c r="B120" s="3">
        <v>11655</v>
      </c>
      <c r="C120" s="3">
        <v>11640</v>
      </c>
      <c r="D120" s="3">
        <v>11430</v>
      </c>
      <c r="E120" s="3">
        <v>11435</v>
      </c>
      <c r="F120" s="3">
        <v>11685</v>
      </c>
      <c r="G120" s="3">
        <v>11685</v>
      </c>
      <c r="H120" s="3">
        <v>11535</v>
      </c>
      <c r="I120" s="3">
        <v>11540</v>
      </c>
      <c r="J120" s="3">
        <v>11650</v>
      </c>
      <c r="K120" s="3">
        <v>11650</v>
      </c>
      <c r="L120" s="3">
        <v>12065</v>
      </c>
      <c r="M120" s="3">
        <v>12070</v>
      </c>
      <c r="N120" s="3">
        <v>12565</v>
      </c>
      <c r="O120" s="3">
        <v>12575</v>
      </c>
      <c r="P120" s="3">
        <v>12740</v>
      </c>
      <c r="Q120" s="3">
        <v>12750</v>
      </c>
      <c r="R120" s="3">
        <v>12445</v>
      </c>
      <c r="S120" s="3">
        <v>12465</v>
      </c>
      <c r="T120" s="3">
        <v>12415</v>
      </c>
      <c r="U120" s="3">
        <v>12405</v>
      </c>
      <c r="V120" s="3">
        <v>12835</v>
      </c>
      <c r="W120" s="3">
        <v>12830</v>
      </c>
      <c r="X120" s="3">
        <v>12545</v>
      </c>
      <c r="Y120" s="3">
        <v>12560</v>
      </c>
      <c r="Z120" s="3">
        <v>12640</v>
      </c>
      <c r="AA120" s="3">
        <v>12645</v>
      </c>
      <c r="AB120" s="3">
        <v>13300</v>
      </c>
      <c r="AC120" s="3">
        <v>13300</v>
      </c>
      <c r="AD120" s="3">
        <v>13170</v>
      </c>
      <c r="AE120" s="3">
        <v>13155</v>
      </c>
      <c r="AF120" s="3">
        <v>13775</v>
      </c>
      <c r="AG120" s="3">
        <v>13770</v>
      </c>
      <c r="AH120" s="3">
        <v>14255</v>
      </c>
      <c r="AI120" s="3">
        <v>14260</v>
      </c>
      <c r="AJ120" s="3">
        <v>13680</v>
      </c>
      <c r="AK120" s="3">
        <v>13675</v>
      </c>
      <c r="AL120" s="3">
        <v>13770</v>
      </c>
      <c r="AM120" s="3">
        <v>13770</v>
      </c>
      <c r="AN120" s="3">
        <v>13545</v>
      </c>
      <c r="AO120" s="3">
        <v>13555</v>
      </c>
      <c r="AP120" s="3">
        <v>13605</v>
      </c>
      <c r="AQ120" s="3">
        <v>13580</v>
      </c>
      <c r="AR120" s="4">
        <f t="shared" si="80"/>
        <v>9.5403295750216E-3</v>
      </c>
      <c r="AS120" s="4">
        <f t="shared" si="52"/>
        <v>9.9567099567099415E-3</v>
      </c>
      <c r="AT120" s="4">
        <f t="shared" si="53"/>
        <v>2.8609154929577496E-2</v>
      </c>
      <c r="AU120" s="4">
        <f t="shared" si="54"/>
        <v>2.0373514431239359E-2</v>
      </c>
      <c r="AV120" s="4">
        <f t="shared" si="55"/>
        <v>3.4217279726261873E-3</v>
      </c>
      <c r="AW120" s="4">
        <f t="shared" si="56"/>
        <v>1.7706576728499179E-2</v>
      </c>
      <c r="AX120" s="4">
        <f t="shared" si="57"/>
        <v>3.7969459347915846E-2</v>
      </c>
      <c r="AY120" s="4">
        <f t="shared" si="58"/>
        <v>2.3474178403756207E-3</v>
      </c>
      <c r="AZ120" s="4">
        <f t="shared" si="59"/>
        <v>6.3770426464726526E-3</v>
      </c>
      <c r="BA120" s="4">
        <f t="shared" si="60"/>
        <v>2.4242424242424399E-3</v>
      </c>
      <c r="BB120" s="4">
        <f t="shared" si="61"/>
        <v>4.0129712201053991E-2</v>
      </c>
      <c r="BC120" s="4">
        <f t="shared" si="62"/>
        <v>5.9358923624851512E-3</v>
      </c>
      <c r="BD120" s="4">
        <f t="shared" si="63"/>
        <v>1.5186915887850483E-2</v>
      </c>
      <c r="BE120" s="4">
        <f t="shared" si="64"/>
        <v>2.5838796760509153E-2</v>
      </c>
      <c r="BF120" s="4">
        <f t="shared" si="65"/>
        <v>4.9656226126815195E-3</v>
      </c>
      <c r="BG120" s="4">
        <f t="shared" si="66"/>
        <v>3.2620922384701823E-2</v>
      </c>
      <c r="BH120" s="4">
        <f t="shared" si="67"/>
        <v>2.5161754133716796E-2</v>
      </c>
      <c r="BI120" s="4">
        <f t="shared" si="68"/>
        <v>1.4414414414414378E-2</v>
      </c>
      <c r="BJ120" s="4">
        <f t="shared" si="69"/>
        <v>3.6443148688045657E-3</v>
      </c>
      <c r="BK120" s="4">
        <f t="shared" si="70"/>
        <v>9.4994519546949263E-3</v>
      </c>
      <c r="BL120" s="4">
        <f t="shared" si="71"/>
        <v>9.2902266815311219E-3</v>
      </c>
      <c r="BM120" s="4">
        <f t="shared" si="81"/>
        <v>1.6179711417137095E-2</v>
      </c>
      <c r="BN120" s="14">
        <f t="shared" si="82"/>
        <v>13672.69801711758</v>
      </c>
      <c r="BO120" s="15">
        <f t="shared" si="83"/>
        <v>13109.405345366647</v>
      </c>
      <c r="BP120" s="16">
        <v>13605</v>
      </c>
      <c r="BQ120" s="16">
        <v>13605</v>
      </c>
      <c r="BR120" s="16">
        <v>13575</v>
      </c>
      <c r="BS120" s="16">
        <v>13580</v>
      </c>
      <c r="BT120" s="16">
        <v>45136</v>
      </c>
      <c r="BU120" s="15">
        <f t="shared" si="72"/>
        <v>13586.666666666666</v>
      </c>
      <c r="BV120" s="15">
        <f t="shared" si="73"/>
        <v>613247786.66666663</v>
      </c>
      <c r="BW120" s="15">
        <f>SUM($BV$3:BV120)</f>
        <v>174470050108.33334</v>
      </c>
      <c r="BX120" s="15">
        <f>SUM($BT$3:BT120)</f>
        <v>12853808</v>
      </c>
      <c r="BY120" s="15">
        <f t="shared" si="74"/>
        <v>13573.413428015523</v>
      </c>
      <c r="BZ120" s="3">
        <v>118</v>
      </c>
      <c r="CA120" s="3">
        <f t="shared" si="75"/>
        <v>0</v>
      </c>
      <c r="CB120" s="3">
        <f t="shared" si="76"/>
        <v>0</v>
      </c>
      <c r="CC120" s="3">
        <f t="shared" si="77"/>
        <v>0</v>
      </c>
      <c r="CD120" s="6" t="str">
        <f t="shared" si="78"/>
        <v/>
      </c>
      <c r="CE120" s="6">
        <f t="shared" si="79"/>
        <v>0</v>
      </c>
    </row>
    <row r="121" spans="1:83" x14ac:dyDescent="0.3">
      <c r="A121" s="3" t="s">
        <v>161</v>
      </c>
      <c r="B121" s="3">
        <v>11640</v>
      </c>
      <c r="C121" s="3">
        <v>11655</v>
      </c>
      <c r="D121" s="3">
        <v>11430</v>
      </c>
      <c r="E121" s="3">
        <v>11440</v>
      </c>
      <c r="F121" s="3">
        <v>11685</v>
      </c>
      <c r="G121" s="3">
        <v>11690</v>
      </c>
      <c r="H121" s="3">
        <v>11540</v>
      </c>
      <c r="I121" s="3">
        <v>11535</v>
      </c>
      <c r="J121" s="3">
        <v>11650</v>
      </c>
      <c r="K121" s="3">
        <v>11660</v>
      </c>
      <c r="L121" s="3">
        <v>12070</v>
      </c>
      <c r="M121" s="3">
        <v>12060</v>
      </c>
      <c r="N121" s="3">
        <v>12580</v>
      </c>
      <c r="O121" s="3">
        <v>12575</v>
      </c>
      <c r="P121" s="3">
        <v>12750</v>
      </c>
      <c r="Q121" s="3">
        <v>12755</v>
      </c>
      <c r="R121" s="3">
        <v>12460</v>
      </c>
      <c r="S121" s="3">
        <v>12465</v>
      </c>
      <c r="T121" s="3">
        <v>12405</v>
      </c>
      <c r="U121" s="3">
        <v>12420</v>
      </c>
      <c r="V121" s="3">
        <v>12830</v>
      </c>
      <c r="W121" s="3">
        <v>12825</v>
      </c>
      <c r="X121" s="3">
        <v>12560</v>
      </c>
      <c r="Y121" s="3">
        <v>12565</v>
      </c>
      <c r="Z121" s="3">
        <v>12645</v>
      </c>
      <c r="AA121" s="3">
        <v>12640</v>
      </c>
      <c r="AB121" s="3">
        <v>13305</v>
      </c>
      <c r="AC121" s="3">
        <v>13295</v>
      </c>
      <c r="AD121" s="3">
        <v>13155</v>
      </c>
      <c r="AE121" s="3">
        <v>13165</v>
      </c>
      <c r="AF121" s="3">
        <v>13770</v>
      </c>
      <c r="AG121" s="3">
        <v>13785</v>
      </c>
      <c r="AH121" s="3">
        <v>14255</v>
      </c>
      <c r="AI121" s="3">
        <v>14245</v>
      </c>
      <c r="AJ121" s="3">
        <v>13675</v>
      </c>
      <c r="AK121" s="3">
        <v>13660</v>
      </c>
      <c r="AL121" s="3">
        <v>13770</v>
      </c>
      <c r="AM121" s="3">
        <v>13750</v>
      </c>
      <c r="AN121" s="3">
        <v>13555</v>
      </c>
      <c r="AO121" s="3">
        <v>13535</v>
      </c>
      <c r="AP121" s="3">
        <v>13580</v>
      </c>
      <c r="AQ121" s="3">
        <v>13585</v>
      </c>
      <c r="AR121" s="4">
        <f t="shared" si="80"/>
        <v>1.0841283607979202E-2</v>
      </c>
      <c r="AS121" s="4">
        <f t="shared" si="52"/>
        <v>9.52380952380949E-3</v>
      </c>
      <c r="AT121" s="4">
        <f t="shared" si="53"/>
        <v>2.9049295774647987E-2</v>
      </c>
      <c r="AU121" s="4">
        <f t="shared" si="54"/>
        <v>2.0797962648556823E-2</v>
      </c>
      <c r="AV121" s="4">
        <f t="shared" si="55"/>
        <v>2.5662959794696683E-3</v>
      </c>
      <c r="AW121" s="4">
        <f t="shared" si="56"/>
        <v>1.6863406408094361E-2</v>
      </c>
      <c r="AX121" s="4">
        <f t="shared" si="57"/>
        <v>3.7969459347915846E-2</v>
      </c>
      <c r="AY121" s="4">
        <f t="shared" si="58"/>
        <v>1.9561815336462951E-3</v>
      </c>
      <c r="AZ121" s="4">
        <f t="shared" si="59"/>
        <v>6.3770426464726526E-3</v>
      </c>
      <c r="BA121" s="4">
        <f t="shared" si="60"/>
        <v>3.6363636363636598E-3</v>
      </c>
      <c r="BB121" s="4">
        <f t="shared" si="61"/>
        <v>3.9724361572760492E-2</v>
      </c>
      <c r="BC121" s="4">
        <f t="shared" si="62"/>
        <v>5.5401662049860967E-3</v>
      </c>
      <c r="BD121" s="4">
        <f t="shared" si="63"/>
        <v>1.5576323987538943E-2</v>
      </c>
      <c r="BE121" s="4">
        <f t="shared" si="64"/>
        <v>2.5453143077516449E-2</v>
      </c>
      <c r="BF121" s="4">
        <f t="shared" si="65"/>
        <v>5.7295645530939243E-3</v>
      </c>
      <c r="BG121" s="4">
        <f t="shared" si="66"/>
        <v>3.3745781777277939E-2</v>
      </c>
      <c r="BH121" s="4">
        <f t="shared" si="67"/>
        <v>2.4083393242271711E-2</v>
      </c>
      <c r="BI121" s="4">
        <f t="shared" si="68"/>
        <v>1.5495495495495448E-2</v>
      </c>
      <c r="BJ121" s="4">
        <f t="shared" si="69"/>
        <v>2.1865889212828726E-3</v>
      </c>
      <c r="BK121" s="4">
        <f t="shared" si="70"/>
        <v>1.0960906101571077E-2</v>
      </c>
      <c r="BL121" s="4">
        <f t="shared" si="71"/>
        <v>9.6618357487923134E-3</v>
      </c>
      <c r="BM121" s="4">
        <f t="shared" si="81"/>
        <v>1.6316769435585243E-2</v>
      </c>
      <c r="BN121" s="14">
        <f t="shared" si="82"/>
        <v>13674.5421327558</v>
      </c>
      <c r="BO121" s="15">
        <f t="shared" si="83"/>
        <v>13107.579047270827</v>
      </c>
      <c r="BP121" s="16">
        <v>13580</v>
      </c>
      <c r="BQ121" s="16">
        <v>13590</v>
      </c>
      <c r="BR121" s="16">
        <v>13565</v>
      </c>
      <c r="BS121" s="16">
        <v>13585</v>
      </c>
      <c r="BT121" s="16">
        <v>49644</v>
      </c>
      <c r="BU121" s="15">
        <f t="shared" si="72"/>
        <v>13580</v>
      </c>
      <c r="BV121" s="15">
        <f t="shared" si="73"/>
        <v>674165520</v>
      </c>
      <c r="BW121" s="15">
        <f>SUM($BV$3:BV121)</f>
        <v>175144215628.33334</v>
      </c>
      <c r="BX121" s="15">
        <f>SUM($BT$3:BT121)</f>
        <v>12903452</v>
      </c>
      <c r="BY121" s="15">
        <f t="shared" si="74"/>
        <v>13573.438768814216</v>
      </c>
      <c r="BZ121" s="3">
        <v>119</v>
      </c>
      <c r="CA121" s="3">
        <f t="shared" si="75"/>
        <v>0</v>
      </c>
      <c r="CB121" s="3">
        <f t="shared" si="76"/>
        <v>0</v>
      </c>
      <c r="CC121" s="3">
        <f t="shared" si="77"/>
        <v>0</v>
      </c>
      <c r="CD121" s="6" t="str">
        <f t="shared" si="78"/>
        <v/>
      </c>
      <c r="CE121" s="6">
        <f t="shared" si="79"/>
        <v>0</v>
      </c>
    </row>
    <row r="122" spans="1:83" x14ac:dyDescent="0.3">
      <c r="A122" s="3" t="s">
        <v>162</v>
      </c>
      <c r="B122" s="3">
        <v>11655</v>
      </c>
      <c r="C122" s="3">
        <v>11650</v>
      </c>
      <c r="D122" s="3">
        <v>11445</v>
      </c>
      <c r="E122" s="3">
        <v>11450</v>
      </c>
      <c r="F122" s="3">
        <v>11680</v>
      </c>
      <c r="G122" s="3">
        <v>11685</v>
      </c>
      <c r="H122" s="3">
        <v>11540</v>
      </c>
      <c r="I122" s="3">
        <v>11530</v>
      </c>
      <c r="J122" s="3">
        <v>11660</v>
      </c>
      <c r="K122" s="3">
        <v>11660</v>
      </c>
      <c r="L122" s="3">
        <v>12060</v>
      </c>
      <c r="M122" s="3">
        <v>12045</v>
      </c>
      <c r="N122" s="3">
        <v>12575</v>
      </c>
      <c r="O122" s="3">
        <v>12575</v>
      </c>
      <c r="P122" s="3">
        <v>12755</v>
      </c>
      <c r="Q122" s="3">
        <v>12750</v>
      </c>
      <c r="R122" s="3">
        <v>12465</v>
      </c>
      <c r="S122" s="3">
        <v>12450</v>
      </c>
      <c r="T122" s="3">
        <v>12415</v>
      </c>
      <c r="U122" s="3">
        <v>12425</v>
      </c>
      <c r="V122" s="3">
        <v>12820</v>
      </c>
      <c r="W122" s="3">
        <v>12810</v>
      </c>
      <c r="X122" s="3">
        <v>12565</v>
      </c>
      <c r="Y122" s="3">
        <v>12555</v>
      </c>
      <c r="Z122" s="3">
        <v>12635</v>
      </c>
      <c r="AA122" s="3">
        <v>12620</v>
      </c>
      <c r="AB122" s="3">
        <v>13295</v>
      </c>
      <c r="AC122" s="3">
        <v>13300</v>
      </c>
      <c r="AD122" s="3">
        <v>13165</v>
      </c>
      <c r="AE122" s="3">
        <v>13160</v>
      </c>
      <c r="AF122" s="3">
        <v>13785</v>
      </c>
      <c r="AG122" s="3">
        <v>13790</v>
      </c>
      <c r="AH122" s="3">
        <v>14245</v>
      </c>
      <c r="AI122" s="3">
        <v>14235</v>
      </c>
      <c r="AJ122" s="3">
        <v>13660</v>
      </c>
      <c r="AK122" s="3">
        <v>13655</v>
      </c>
      <c r="AL122" s="3">
        <v>13760</v>
      </c>
      <c r="AM122" s="3">
        <v>13770</v>
      </c>
      <c r="AN122" s="3">
        <v>13530</v>
      </c>
      <c r="AO122" s="3">
        <v>13540</v>
      </c>
      <c r="AP122" s="3">
        <v>13585</v>
      </c>
      <c r="AQ122" s="3">
        <v>13570</v>
      </c>
      <c r="AR122" s="4">
        <f t="shared" si="80"/>
        <v>1.0407632263659927E-2</v>
      </c>
      <c r="AS122" s="4">
        <f t="shared" si="52"/>
        <v>8.6580086580086979E-3</v>
      </c>
      <c r="AT122" s="4">
        <f t="shared" si="53"/>
        <v>2.8609154929577496E-2</v>
      </c>
      <c r="AU122" s="4">
        <f t="shared" si="54"/>
        <v>2.1222410865874397E-2</v>
      </c>
      <c r="AV122" s="4">
        <f t="shared" si="55"/>
        <v>2.5662959794696683E-3</v>
      </c>
      <c r="AW122" s="4">
        <f t="shared" si="56"/>
        <v>1.5598650927487245E-2</v>
      </c>
      <c r="AX122" s="4">
        <f t="shared" si="57"/>
        <v>3.7969459347915846E-2</v>
      </c>
      <c r="AY122" s="4">
        <f t="shared" si="58"/>
        <v>2.3474178403756207E-3</v>
      </c>
      <c r="AZ122" s="4">
        <f t="shared" si="59"/>
        <v>7.5727381426863305E-3</v>
      </c>
      <c r="BA122" s="4">
        <f t="shared" si="60"/>
        <v>4.0404040404040664E-3</v>
      </c>
      <c r="BB122" s="4">
        <f t="shared" si="61"/>
        <v>3.8508309687879994E-2</v>
      </c>
      <c r="BC122" s="4">
        <f t="shared" si="62"/>
        <v>6.3316185199842057E-3</v>
      </c>
      <c r="BD122" s="4">
        <f t="shared" si="63"/>
        <v>1.7133956386292781E-2</v>
      </c>
      <c r="BE122" s="4">
        <f t="shared" si="64"/>
        <v>2.5838796760509153E-2</v>
      </c>
      <c r="BF122" s="4">
        <f t="shared" si="65"/>
        <v>5.3475935828877219E-3</v>
      </c>
      <c r="BG122" s="4">
        <f t="shared" si="66"/>
        <v>3.4120734908136496E-2</v>
      </c>
      <c r="BH122" s="4">
        <f t="shared" si="67"/>
        <v>2.3364485981308469E-2</v>
      </c>
      <c r="BI122" s="4">
        <f t="shared" si="68"/>
        <v>1.5855855855855805E-2</v>
      </c>
      <c r="BJ122" s="4">
        <f t="shared" si="69"/>
        <v>3.6443148688045657E-3</v>
      </c>
      <c r="BK122" s="4">
        <f t="shared" si="70"/>
        <v>1.0595542564852067E-2</v>
      </c>
      <c r="BL122" s="4">
        <f t="shared" si="71"/>
        <v>8.5470085470085166E-3</v>
      </c>
      <c r="BM122" s="4">
        <f t="shared" si="81"/>
        <v>1.6619373463420937E-2</v>
      </c>
      <c r="BN122" s="14">
        <f t="shared" si="82"/>
        <v>13678.613669950329</v>
      </c>
      <c r="BO122" s="15">
        <f t="shared" si="83"/>
        <v>13103.546848599917</v>
      </c>
      <c r="BP122" s="16">
        <v>13585</v>
      </c>
      <c r="BQ122" s="16">
        <v>13585</v>
      </c>
      <c r="BR122" s="16">
        <v>13570</v>
      </c>
      <c r="BS122" s="16">
        <v>13570</v>
      </c>
      <c r="BT122" s="16">
        <v>21142</v>
      </c>
      <c r="BU122" s="15">
        <f t="shared" si="72"/>
        <v>13575</v>
      </c>
      <c r="BV122" s="15">
        <f t="shared" si="73"/>
        <v>287002650</v>
      </c>
      <c r="BW122" s="15">
        <f>SUM($BV$3:BV122)</f>
        <v>175431218278.33334</v>
      </c>
      <c r="BX122" s="15">
        <f>SUM($BT$3:BT122)</f>
        <v>12924594</v>
      </c>
      <c r="BY122" s="15">
        <f t="shared" si="74"/>
        <v>13573.441322670045</v>
      </c>
      <c r="BZ122" s="3">
        <v>120</v>
      </c>
      <c r="CA122" s="3">
        <f t="shared" si="75"/>
        <v>0</v>
      </c>
      <c r="CB122" s="3">
        <f t="shared" si="76"/>
        <v>0</v>
      </c>
      <c r="CC122" s="3">
        <f t="shared" si="77"/>
        <v>0</v>
      </c>
      <c r="CD122" s="3">
        <f t="shared" si="78"/>
        <v>0</v>
      </c>
      <c r="CE122" s="3">
        <f t="shared" si="79"/>
        <v>0</v>
      </c>
    </row>
    <row r="123" spans="1:83" x14ac:dyDescent="0.3">
      <c r="A123" s="3" t="s">
        <v>163</v>
      </c>
      <c r="B123" s="3">
        <v>11645</v>
      </c>
      <c r="C123" s="3">
        <v>11635</v>
      </c>
      <c r="D123" s="3">
        <v>11450</v>
      </c>
      <c r="E123" s="3">
        <v>11440</v>
      </c>
      <c r="F123" s="3">
        <v>11685</v>
      </c>
      <c r="G123" s="3">
        <v>11695</v>
      </c>
      <c r="H123" s="3">
        <v>11530</v>
      </c>
      <c r="I123" s="3">
        <v>11545</v>
      </c>
      <c r="J123" s="3">
        <v>11660</v>
      </c>
      <c r="K123" s="3">
        <v>11670</v>
      </c>
      <c r="L123" s="3">
        <v>12045</v>
      </c>
      <c r="M123" s="3">
        <v>12025</v>
      </c>
      <c r="N123" s="3">
        <v>12575</v>
      </c>
      <c r="O123" s="3">
        <v>12575</v>
      </c>
      <c r="P123" s="3">
        <v>12750</v>
      </c>
      <c r="Q123" s="3">
        <v>12755</v>
      </c>
      <c r="R123" s="3">
        <v>12450</v>
      </c>
      <c r="S123" s="3">
        <v>12470</v>
      </c>
      <c r="T123" s="3">
        <v>12420</v>
      </c>
      <c r="U123" s="3">
        <v>12410</v>
      </c>
      <c r="V123" s="3">
        <v>12815</v>
      </c>
      <c r="W123" s="3">
        <v>12815</v>
      </c>
      <c r="X123" s="3">
        <v>12555</v>
      </c>
      <c r="Y123" s="3">
        <v>12560</v>
      </c>
      <c r="Z123" s="3">
        <v>12620</v>
      </c>
      <c r="AA123" s="3">
        <v>12605</v>
      </c>
      <c r="AB123" s="3">
        <v>13295</v>
      </c>
      <c r="AC123" s="3">
        <v>13280</v>
      </c>
      <c r="AD123" s="3">
        <v>13160</v>
      </c>
      <c r="AE123" s="3">
        <v>13170</v>
      </c>
      <c r="AF123" s="3">
        <v>13790</v>
      </c>
      <c r="AG123" s="3">
        <v>13785</v>
      </c>
      <c r="AH123" s="3">
        <v>14235</v>
      </c>
      <c r="AI123" s="3">
        <v>14245</v>
      </c>
      <c r="AJ123" s="3">
        <v>13655</v>
      </c>
      <c r="AK123" s="3">
        <v>13615</v>
      </c>
      <c r="AL123" s="3">
        <v>13775</v>
      </c>
      <c r="AM123" s="3">
        <v>13770</v>
      </c>
      <c r="AN123" s="3">
        <v>13535</v>
      </c>
      <c r="AO123" s="3">
        <v>13535</v>
      </c>
      <c r="AP123" s="3">
        <v>13565</v>
      </c>
      <c r="AQ123" s="3">
        <v>13485</v>
      </c>
      <c r="AR123" s="4">
        <f t="shared" si="80"/>
        <v>9.1066782307025473E-3</v>
      </c>
      <c r="AS123" s="4">
        <f t="shared" si="52"/>
        <v>9.52380952380949E-3</v>
      </c>
      <c r="AT123" s="4">
        <f t="shared" si="53"/>
        <v>2.9489436619718257E-2</v>
      </c>
      <c r="AU123" s="4">
        <f t="shared" si="54"/>
        <v>1.9949066213921895E-2</v>
      </c>
      <c r="AV123" s="4">
        <f t="shared" si="55"/>
        <v>1.7108639863130382E-3</v>
      </c>
      <c r="AW123" s="4">
        <f t="shared" si="56"/>
        <v>1.3912310286677831E-2</v>
      </c>
      <c r="AX123" s="4">
        <f t="shared" si="57"/>
        <v>3.7969459347915846E-2</v>
      </c>
      <c r="AY123" s="4">
        <f t="shared" si="58"/>
        <v>1.9561815336462951E-3</v>
      </c>
      <c r="AZ123" s="4">
        <f t="shared" si="59"/>
        <v>5.9784774810681673E-3</v>
      </c>
      <c r="BA123" s="4">
        <f t="shared" si="60"/>
        <v>2.8282828282828465E-3</v>
      </c>
      <c r="BB123" s="4">
        <f t="shared" si="61"/>
        <v>3.8913660316173493E-2</v>
      </c>
      <c r="BC123" s="4">
        <f t="shared" si="62"/>
        <v>5.9358923624851512E-3</v>
      </c>
      <c r="BD123" s="4">
        <f t="shared" si="63"/>
        <v>1.8302180685358271E-2</v>
      </c>
      <c r="BE123" s="4">
        <f t="shared" si="64"/>
        <v>2.4296182028538338E-2</v>
      </c>
      <c r="BF123" s="4">
        <f t="shared" si="65"/>
        <v>6.1115355233001267E-3</v>
      </c>
      <c r="BG123" s="4">
        <f t="shared" si="66"/>
        <v>3.3745781777277939E-2</v>
      </c>
      <c r="BH123" s="4">
        <f t="shared" si="67"/>
        <v>2.4083393242271711E-2</v>
      </c>
      <c r="BI123" s="4">
        <f t="shared" si="68"/>
        <v>1.8738738738738769E-2</v>
      </c>
      <c r="BJ123" s="4">
        <f t="shared" si="69"/>
        <v>3.6443148688045657E-3</v>
      </c>
      <c r="BK123" s="4">
        <f t="shared" si="70"/>
        <v>1.0960906101571077E-2</v>
      </c>
      <c r="BL123" s="4">
        <f t="shared" si="71"/>
        <v>2.2296544035673715E-3</v>
      </c>
      <c r="BM123" s="4">
        <f t="shared" si="81"/>
        <v>1.6676070488245185E-2</v>
      </c>
      <c r="BN123" s="14">
        <f t="shared" si="82"/>
        <v>13679.376528419338</v>
      </c>
      <c r="BO123" s="15">
        <f t="shared" si="83"/>
        <v>13102.791360744133</v>
      </c>
      <c r="BP123" s="16">
        <v>13565</v>
      </c>
      <c r="BQ123" s="16">
        <v>13565</v>
      </c>
      <c r="BR123" s="16">
        <v>13450</v>
      </c>
      <c r="BS123" s="16">
        <v>13485</v>
      </c>
      <c r="BT123" s="16">
        <v>531693</v>
      </c>
      <c r="BU123" s="15">
        <f t="shared" si="72"/>
        <v>13500</v>
      </c>
      <c r="BV123" s="15">
        <f t="shared" si="73"/>
        <v>7177855500</v>
      </c>
      <c r="BW123" s="15">
        <f>SUM($BV$3:BV123)</f>
        <v>182609073778.33334</v>
      </c>
      <c r="BX123" s="15">
        <f>SUM($BT$3:BT123)</f>
        <v>13456287</v>
      </c>
      <c r="BY123" s="15">
        <f t="shared" si="74"/>
        <v>13570.539464440179</v>
      </c>
      <c r="BZ123" s="3">
        <v>121</v>
      </c>
      <c r="CA123" s="3">
        <f t="shared" si="75"/>
        <v>0</v>
      </c>
      <c r="CB123" s="3">
        <f t="shared" si="76"/>
        <v>0</v>
      </c>
      <c r="CC123" s="3">
        <f t="shared" si="77"/>
        <v>0</v>
      </c>
      <c r="CD123" s="3" t="str">
        <f t="shared" si="78"/>
        <v/>
      </c>
      <c r="CE123" s="3">
        <f t="shared" si="79"/>
        <v>0</v>
      </c>
    </row>
    <row r="124" spans="1:83" x14ac:dyDescent="0.3">
      <c r="A124" s="3" t="s">
        <v>164</v>
      </c>
      <c r="B124" s="3">
        <v>11640</v>
      </c>
      <c r="C124" s="3">
        <v>11650</v>
      </c>
      <c r="D124" s="3">
        <v>11445</v>
      </c>
      <c r="E124" s="3">
        <v>11440</v>
      </c>
      <c r="F124" s="3">
        <v>11690</v>
      </c>
      <c r="G124" s="3">
        <v>11705</v>
      </c>
      <c r="H124" s="3">
        <v>11540</v>
      </c>
      <c r="I124" s="3">
        <v>11550</v>
      </c>
      <c r="J124" s="3">
        <v>11670</v>
      </c>
      <c r="K124" s="3">
        <v>11675</v>
      </c>
      <c r="L124" s="3">
        <v>12025</v>
      </c>
      <c r="M124" s="3">
        <v>12000</v>
      </c>
      <c r="N124" s="3">
        <v>12580</v>
      </c>
      <c r="O124" s="3">
        <v>12570</v>
      </c>
      <c r="P124" s="3">
        <v>12760</v>
      </c>
      <c r="Q124" s="3">
        <v>12765</v>
      </c>
      <c r="R124" s="3">
        <v>12470</v>
      </c>
      <c r="S124" s="3">
        <v>12465</v>
      </c>
      <c r="T124" s="3">
        <v>12410</v>
      </c>
      <c r="U124" s="3">
        <v>12410</v>
      </c>
      <c r="V124" s="3">
        <v>12815</v>
      </c>
      <c r="W124" s="3">
        <v>12815</v>
      </c>
      <c r="X124" s="3">
        <v>12555</v>
      </c>
      <c r="Y124" s="3">
        <v>12555</v>
      </c>
      <c r="Z124" s="3">
        <v>12600</v>
      </c>
      <c r="AA124" s="3">
        <v>12615</v>
      </c>
      <c r="AB124" s="3">
        <v>13285</v>
      </c>
      <c r="AC124" s="3">
        <v>13295</v>
      </c>
      <c r="AD124" s="3">
        <v>13170</v>
      </c>
      <c r="AE124" s="3">
        <v>13170</v>
      </c>
      <c r="AF124" s="3">
        <v>13785</v>
      </c>
      <c r="AG124" s="3">
        <v>13795</v>
      </c>
      <c r="AH124" s="3">
        <v>14250</v>
      </c>
      <c r="AI124" s="3">
        <v>14245</v>
      </c>
      <c r="AJ124" s="3">
        <v>13615</v>
      </c>
      <c r="AK124" s="3">
        <v>13590</v>
      </c>
      <c r="AL124" s="3">
        <v>13765</v>
      </c>
      <c r="AM124" s="3">
        <v>13770</v>
      </c>
      <c r="AN124" s="3">
        <v>13535</v>
      </c>
      <c r="AO124" s="3">
        <v>13525</v>
      </c>
      <c r="AP124" s="3">
        <v>13485</v>
      </c>
      <c r="AQ124" s="3">
        <v>13490</v>
      </c>
      <c r="AR124" s="4">
        <f t="shared" si="80"/>
        <v>1.0407632263659927E-2</v>
      </c>
      <c r="AS124" s="4">
        <f t="shared" si="52"/>
        <v>9.52380952380949E-3</v>
      </c>
      <c r="AT124" s="4">
        <f t="shared" si="53"/>
        <v>3.0369718309859239E-2</v>
      </c>
      <c r="AU124" s="4">
        <f t="shared" si="54"/>
        <v>1.9524617996604432E-2</v>
      </c>
      <c r="AV124" s="4">
        <f t="shared" si="55"/>
        <v>1.2831479897348341E-3</v>
      </c>
      <c r="AW124" s="4">
        <f t="shared" si="56"/>
        <v>1.180438448566612E-2</v>
      </c>
      <c r="AX124" s="4">
        <f t="shared" si="57"/>
        <v>3.755674783326457E-2</v>
      </c>
      <c r="AY124" s="4">
        <f t="shared" si="58"/>
        <v>1.1737089201877549E-3</v>
      </c>
      <c r="AZ124" s="4">
        <f t="shared" si="59"/>
        <v>6.3770426464726526E-3</v>
      </c>
      <c r="BA124" s="4">
        <f t="shared" si="60"/>
        <v>2.8282828282828465E-3</v>
      </c>
      <c r="BB124" s="4">
        <f t="shared" si="61"/>
        <v>3.8913660316173493E-2</v>
      </c>
      <c r="BC124" s="4">
        <f t="shared" si="62"/>
        <v>6.3316185199842057E-3</v>
      </c>
      <c r="BD124" s="4">
        <f t="shared" si="63"/>
        <v>1.7523364485981352E-2</v>
      </c>
      <c r="BE124" s="4">
        <f t="shared" si="64"/>
        <v>2.5453143077516449E-2</v>
      </c>
      <c r="BF124" s="4">
        <f t="shared" si="65"/>
        <v>6.1115355233001267E-3</v>
      </c>
      <c r="BG124" s="4">
        <f t="shared" si="66"/>
        <v>3.4495688038995054E-2</v>
      </c>
      <c r="BH124" s="4">
        <f t="shared" si="67"/>
        <v>2.4083393242271711E-2</v>
      </c>
      <c r="BI124" s="4">
        <f t="shared" si="68"/>
        <v>2.0540540540540553E-2</v>
      </c>
      <c r="BJ124" s="4">
        <f t="shared" si="69"/>
        <v>3.6443148688045657E-3</v>
      </c>
      <c r="BK124" s="4">
        <f t="shared" si="70"/>
        <v>1.1691633175009097E-2</v>
      </c>
      <c r="BL124" s="4">
        <f t="shared" si="71"/>
        <v>2.6012634708287852E-3</v>
      </c>
      <c r="BM124" s="4">
        <f t="shared" si="81"/>
        <v>1.6908905286913172E-2</v>
      </c>
      <c r="BN124" s="14">
        <f t="shared" si="82"/>
        <v>13682.509320635416</v>
      </c>
      <c r="BO124" s="15">
        <f t="shared" si="83"/>
        <v>13099.688837051883</v>
      </c>
      <c r="BP124" s="16">
        <v>13485</v>
      </c>
      <c r="BQ124" s="16">
        <v>13495</v>
      </c>
      <c r="BR124" s="16">
        <v>13475</v>
      </c>
      <c r="BS124" s="16">
        <v>13490</v>
      </c>
      <c r="BT124" s="16">
        <v>82150</v>
      </c>
      <c r="BU124" s="15">
        <f t="shared" si="72"/>
        <v>13486.666666666666</v>
      </c>
      <c r="BV124" s="15">
        <f t="shared" si="73"/>
        <v>1107929666.6666665</v>
      </c>
      <c r="BW124" s="15">
        <f>SUM($BV$3:BV124)</f>
        <v>183717003445</v>
      </c>
      <c r="BX124" s="15">
        <f>SUM($BT$3:BT124)</f>
        <v>13538437</v>
      </c>
      <c r="BY124" s="15">
        <f t="shared" si="74"/>
        <v>13570.030531958748</v>
      </c>
      <c r="BZ124" s="3">
        <v>122</v>
      </c>
      <c r="CA124" s="3">
        <f t="shared" si="75"/>
        <v>0</v>
      </c>
      <c r="CB124" s="3">
        <f t="shared" si="76"/>
        <v>0</v>
      </c>
      <c r="CC124" s="3">
        <f t="shared" si="77"/>
        <v>0</v>
      </c>
      <c r="CD124" s="3" t="str">
        <f t="shared" si="78"/>
        <v/>
      </c>
      <c r="CE124" s="3">
        <f t="shared" si="79"/>
        <v>0</v>
      </c>
    </row>
    <row r="125" spans="1:83" x14ac:dyDescent="0.3">
      <c r="A125" s="3" t="s">
        <v>165</v>
      </c>
      <c r="B125" s="3">
        <v>11650</v>
      </c>
      <c r="C125" s="3">
        <v>11655</v>
      </c>
      <c r="D125" s="3">
        <v>11440</v>
      </c>
      <c r="E125" s="3">
        <v>11445</v>
      </c>
      <c r="F125" s="3">
        <v>11710</v>
      </c>
      <c r="G125" s="3">
        <v>11720</v>
      </c>
      <c r="H125" s="3">
        <v>11550</v>
      </c>
      <c r="I125" s="3">
        <v>11550</v>
      </c>
      <c r="J125" s="3">
        <v>11675</v>
      </c>
      <c r="K125" s="3">
        <v>11675</v>
      </c>
      <c r="L125" s="3">
        <v>11995</v>
      </c>
      <c r="M125" s="3">
        <v>11980</v>
      </c>
      <c r="N125" s="3">
        <v>12575</v>
      </c>
      <c r="O125" s="3">
        <v>12575</v>
      </c>
      <c r="P125" s="3">
        <v>12760</v>
      </c>
      <c r="Q125" s="3">
        <v>12755</v>
      </c>
      <c r="R125" s="3">
        <v>12465</v>
      </c>
      <c r="S125" s="3">
        <v>12465</v>
      </c>
      <c r="T125" s="3">
        <v>12410</v>
      </c>
      <c r="U125" s="3">
        <v>12405</v>
      </c>
      <c r="V125" s="3">
        <v>12815</v>
      </c>
      <c r="W125" s="3">
        <v>12815</v>
      </c>
      <c r="X125" s="3">
        <v>12555</v>
      </c>
      <c r="Y125" s="3">
        <v>12560</v>
      </c>
      <c r="Z125" s="3">
        <v>12610</v>
      </c>
      <c r="AA125" s="3">
        <v>12605</v>
      </c>
      <c r="AB125" s="3">
        <v>13290</v>
      </c>
      <c r="AC125" s="3">
        <v>13285</v>
      </c>
      <c r="AD125" s="3">
        <v>13160</v>
      </c>
      <c r="AE125" s="3">
        <v>13155</v>
      </c>
      <c r="AF125" s="3">
        <v>13800</v>
      </c>
      <c r="AG125" s="3">
        <v>13800</v>
      </c>
      <c r="AH125" s="3">
        <v>14245</v>
      </c>
      <c r="AI125" s="3">
        <v>14240</v>
      </c>
      <c r="AJ125" s="3">
        <v>13585</v>
      </c>
      <c r="AK125" s="3">
        <v>13590</v>
      </c>
      <c r="AL125" s="3">
        <v>13775</v>
      </c>
      <c r="AM125" s="3">
        <v>13775</v>
      </c>
      <c r="AN125" s="3">
        <v>13520</v>
      </c>
      <c r="AO125" s="3">
        <v>13525</v>
      </c>
      <c r="AP125" s="3">
        <v>13490</v>
      </c>
      <c r="AQ125" s="3">
        <v>13470</v>
      </c>
      <c r="AR125" s="4">
        <f t="shared" si="80"/>
        <v>1.0841283607979202E-2</v>
      </c>
      <c r="AS125" s="4">
        <f t="shared" si="52"/>
        <v>9.0909090909090384E-3</v>
      </c>
      <c r="AT125" s="4">
        <f t="shared" si="53"/>
        <v>3.1690140845070491E-2</v>
      </c>
      <c r="AU125" s="4">
        <f t="shared" si="54"/>
        <v>1.9524617996604432E-2</v>
      </c>
      <c r="AV125" s="4">
        <f t="shared" si="55"/>
        <v>1.2831479897348341E-3</v>
      </c>
      <c r="AW125" s="4">
        <f t="shared" si="56"/>
        <v>1.0118043844856706E-2</v>
      </c>
      <c r="AX125" s="4">
        <f t="shared" si="57"/>
        <v>3.7969459347915846E-2</v>
      </c>
      <c r="AY125" s="4">
        <f t="shared" si="58"/>
        <v>1.9561815336462951E-3</v>
      </c>
      <c r="AZ125" s="4">
        <f t="shared" si="59"/>
        <v>6.3770426464726526E-3</v>
      </c>
      <c r="BA125" s="4">
        <f t="shared" si="60"/>
        <v>2.4242424242424399E-3</v>
      </c>
      <c r="BB125" s="4">
        <f t="shared" si="61"/>
        <v>3.8913660316173493E-2</v>
      </c>
      <c r="BC125" s="4">
        <f t="shared" si="62"/>
        <v>5.9358923624851512E-3</v>
      </c>
      <c r="BD125" s="4">
        <f t="shared" si="63"/>
        <v>1.8302180685358271E-2</v>
      </c>
      <c r="BE125" s="4">
        <f t="shared" si="64"/>
        <v>2.4681835711531042E-2</v>
      </c>
      <c r="BF125" s="4">
        <f t="shared" si="65"/>
        <v>4.9656226126815195E-3</v>
      </c>
      <c r="BG125" s="4">
        <f t="shared" si="66"/>
        <v>3.4870641169853833E-2</v>
      </c>
      <c r="BH125" s="4">
        <f t="shared" si="67"/>
        <v>2.372393961179009E-2</v>
      </c>
      <c r="BI125" s="4">
        <f t="shared" si="68"/>
        <v>2.0540540540540553E-2</v>
      </c>
      <c r="BJ125" s="4">
        <f t="shared" si="69"/>
        <v>4.0087463556850444E-3</v>
      </c>
      <c r="BK125" s="4">
        <f t="shared" si="70"/>
        <v>1.1691633175009097E-2</v>
      </c>
      <c r="BL125" s="4">
        <f t="shared" si="71"/>
        <v>1.1148272017837968E-3</v>
      </c>
      <c r="BM125" s="4">
        <f t="shared" si="81"/>
        <v>1.6882972749527523E-2</v>
      </c>
      <c r="BN125" s="14">
        <f t="shared" si="82"/>
        <v>13682.160398344891</v>
      </c>
      <c r="BO125" s="15">
        <f t="shared" si="83"/>
        <v>13100.034388112545</v>
      </c>
      <c r="BP125" s="16">
        <v>13490</v>
      </c>
      <c r="BQ125" s="16">
        <v>13505</v>
      </c>
      <c r="BR125" s="16">
        <v>13470</v>
      </c>
      <c r="BS125" s="16">
        <v>13470</v>
      </c>
      <c r="BT125" s="16">
        <v>78708</v>
      </c>
      <c r="BU125" s="15">
        <f t="shared" si="72"/>
        <v>13481.666666666666</v>
      </c>
      <c r="BV125" s="15">
        <f t="shared" si="73"/>
        <v>1061115020</v>
      </c>
      <c r="BW125" s="15">
        <f>SUM($BV$3:BV125)</f>
        <v>184778118465</v>
      </c>
      <c r="BX125" s="15">
        <f>SUM($BT$3:BT125)</f>
        <v>13617145</v>
      </c>
      <c r="BY125" s="15">
        <f t="shared" si="74"/>
        <v>13569.519782964784</v>
      </c>
      <c r="BZ125" s="3">
        <v>123</v>
      </c>
      <c r="CA125" s="3">
        <f t="shared" si="75"/>
        <v>0</v>
      </c>
      <c r="CB125" s="3">
        <f t="shared" si="76"/>
        <v>0</v>
      </c>
      <c r="CC125" s="3">
        <f t="shared" si="77"/>
        <v>0</v>
      </c>
      <c r="CD125" s="3" t="str">
        <f t="shared" si="78"/>
        <v/>
      </c>
      <c r="CE125" s="3">
        <f t="shared" si="79"/>
        <v>0</v>
      </c>
    </row>
    <row r="126" spans="1:83" x14ac:dyDescent="0.3">
      <c r="A126" s="3" t="s">
        <v>166</v>
      </c>
      <c r="B126" s="3">
        <v>11650</v>
      </c>
      <c r="C126" s="3">
        <v>11650</v>
      </c>
      <c r="D126" s="3">
        <v>11445</v>
      </c>
      <c r="E126" s="3">
        <v>11445</v>
      </c>
      <c r="F126" s="3">
        <v>11720</v>
      </c>
      <c r="G126" s="3">
        <v>11715</v>
      </c>
      <c r="H126" s="3">
        <v>11550</v>
      </c>
      <c r="I126" s="3">
        <v>11545</v>
      </c>
      <c r="J126" s="3">
        <v>11675</v>
      </c>
      <c r="K126" s="3">
        <v>11660</v>
      </c>
      <c r="L126" s="3">
        <v>11975</v>
      </c>
      <c r="M126" s="3">
        <v>11985</v>
      </c>
      <c r="N126" s="3">
        <v>12570</v>
      </c>
      <c r="O126" s="3">
        <v>12555</v>
      </c>
      <c r="P126" s="3">
        <v>12755</v>
      </c>
      <c r="Q126" s="3">
        <v>12745</v>
      </c>
      <c r="R126" s="3">
        <v>12460</v>
      </c>
      <c r="S126" s="3">
        <v>12470</v>
      </c>
      <c r="T126" s="3">
        <v>12405</v>
      </c>
      <c r="U126" s="3">
        <v>12405</v>
      </c>
      <c r="V126" s="3">
        <v>12810</v>
      </c>
      <c r="W126" s="3">
        <v>12800</v>
      </c>
      <c r="X126" s="3">
        <v>12560</v>
      </c>
      <c r="Y126" s="3">
        <v>12575</v>
      </c>
      <c r="Z126" s="3">
        <v>12610</v>
      </c>
      <c r="AA126" s="3">
        <v>12630</v>
      </c>
      <c r="AB126" s="3">
        <v>13290</v>
      </c>
      <c r="AC126" s="3">
        <v>13290</v>
      </c>
      <c r="AD126" s="3">
        <v>13160</v>
      </c>
      <c r="AE126" s="3">
        <v>13170</v>
      </c>
      <c r="AF126" s="3">
        <v>13805</v>
      </c>
      <c r="AG126" s="3">
        <v>13805</v>
      </c>
      <c r="AH126" s="3">
        <v>14245</v>
      </c>
      <c r="AI126" s="3">
        <v>14240</v>
      </c>
      <c r="AJ126" s="3">
        <v>13590</v>
      </c>
      <c r="AK126" s="3">
        <v>13575</v>
      </c>
      <c r="AL126" s="3">
        <v>13775</v>
      </c>
      <c r="AM126" s="3">
        <v>13785</v>
      </c>
      <c r="AN126" s="3">
        <v>13525</v>
      </c>
      <c r="AO126" s="3">
        <v>13545</v>
      </c>
      <c r="AP126" s="3">
        <v>13470</v>
      </c>
      <c r="AQ126" s="3">
        <v>13490</v>
      </c>
      <c r="AR126" s="4">
        <f t="shared" si="80"/>
        <v>1.0407632263659927E-2</v>
      </c>
      <c r="AS126" s="4">
        <f t="shared" si="52"/>
        <v>9.0909090909090384E-3</v>
      </c>
      <c r="AT126" s="4">
        <f t="shared" si="53"/>
        <v>3.125E-2</v>
      </c>
      <c r="AU126" s="4">
        <f t="shared" si="54"/>
        <v>1.9949066213921895E-2</v>
      </c>
      <c r="AV126" s="4">
        <f t="shared" si="55"/>
        <v>2.5662959794696683E-3</v>
      </c>
      <c r="AW126" s="4">
        <f t="shared" si="56"/>
        <v>1.0539629005059004E-2</v>
      </c>
      <c r="AX126" s="4">
        <f t="shared" si="57"/>
        <v>3.6318613289310742E-2</v>
      </c>
      <c r="AY126" s="4">
        <f t="shared" si="58"/>
        <v>2.7386541471048353E-3</v>
      </c>
      <c r="AZ126" s="4">
        <f t="shared" si="59"/>
        <v>5.9784774810681673E-3</v>
      </c>
      <c r="BA126" s="4">
        <f t="shared" si="60"/>
        <v>2.4242424242424399E-3</v>
      </c>
      <c r="BB126" s="4">
        <f t="shared" si="61"/>
        <v>3.7697608431292995E-2</v>
      </c>
      <c r="BC126" s="4">
        <f t="shared" si="62"/>
        <v>4.7487138899880987E-3</v>
      </c>
      <c r="BD126" s="4">
        <f t="shared" si="63"/>
        <v>1.6355140186915862E-2</v>
      </c>
      <c r="BE126" s="4">
        <f t="shared" si="64"/>
        <v>2.5067489394523745E-2</v>
      </c>
      <c r="BF126" s="4">
        <f t="shared" si="65"/>
        <v>6.1115355233001267E-3</v>
      </c>
      <c r="BG126" s="4">
        <f t="shared" si="66"/>
        <v>3.5245594300712391E-2</v>
      </c>
      <c r="BH126" s="4">
        <f t="shared" si="67"/>
        <v>2.372393961179009E-2</v>
      </c>
      <c r="BI126" s="4">
        <f t="shared" si="68"/>
        <v>2.1621621621621623E-2</v>
      </c>
      <c r="BJ126" s="4">
        <f t="shared" si="69"/>
        <v>4.737609329446002E-3</v>
      </c>
      <c r="BK126" s="4">
        <f t="shared" si="70"/>
        <v>1.0230179028132946E-2</v>
      </c>
      <c r="BL126" s="4">
        <f t="shared" si="71"/>
        <v>2.6012634708287852E-3</v>
      </c>
      <c r="BM126" s="4">
        <f t="shared" si="81"/>
        <v>1.6642815618532147E-2</v>
      </c>
      <c r="BN126" s="14">
        <f t="shared" si="82"/>
        <v>13678.929084147348</v>
      </c>
      <c r="BO126" s="15">
        <f t="shared" si="83"/>
        <v>13103.234481883061</v>
      </c>
      <c r="BP126" s="16">
        <v>13470</v>
      </c>
      <c r="BQ126" s="16">
        <v>13490</v>
      </c>
      <c r="BR126" s="16">
        <v>13465</v>
      </c>
      <c r="BS126" s="16">
        <v>13490</v>
      </c>
      <c r="BT126" s="16">
        <v>75478</v>
      </c>
      <c r="BU126" s="15">
        <f t="shared" si="72"/>
        <v>13481.666666666666</v>
      </c>
      <c r="BV126" s="15">
        <f t="shared" si="73"/>
        <v>1017569236.6666666</v>
      </c>
      <c r="BW126" s="15">
        <f>SUM($BV$3:BV126)</f>
        <v>185795687701.66666</v>
      </c>
      <c r="BX126" s="15">
        <f>SUM($BT$3:BT126)</f>
        <v>13692623</v>
      </c>
      <c r="BY126" s="15">
        <f t="shared" si="74"/>
        <v>13569.035509242214</v>
      </c>
      <c r="BZ126" s="3">
        <v>124</v>
      </c>
      <c r="CA126" s="3">
        <f t="shared" si="75"/>
        <v>0</v>
      </c>
      <c r="CB126" s="3">
        <f t="shared" si="76"/>
        <v>0</v>
      </c>
      <c r="CC126" s="3">
        <f t="shared" si="77"/>
        <v>0</v>
      </c>
      <c r="CD126" s="3" t="str">
        <f t="shared" si="78"/>
        <v/>
      </c>
      <c r="CE126" s="3">
        <f t="shared" si="79"/>
        <v>0</v>
      </c>
    </row>
    <row r="127" spans="1:83" x14ac:dyDescent="0.3">
      <c r="A127" s="3" t="s">
        <v>167</v>
      </c>
      <c r="B127" s="3">
        <v>11650</v>
      </c>
      <c r="C127" s="3">
        <v>11655</v>
      </c>
      <c r="D127" s="3">
        <v>11445</v>
      </c>
      <c r="E127" s="3">
        <v>11450</v>
      </c>
      <c r="F127" s="3">
        <v>11715</v>
      </c>
      <c r="G127" s="3">
        <v>11700</v>
      </c>
      <c r="H127" s="3">
        <v>11545</v>
      </c>
      <c r="I127" s="3">
        <v>11555</v>
      </c>
      <c r="J127" s="3">
        <v>11660</v>
      </c>
      <c r="K127" s="3">
        <v>11660</v>
      </c>
      <c r="L127" s="3">
        <v>11985</v>
      </c>
      <c r="M127" s="3">
        <v>12010</v>
      </c>
      <c r="N127" s="3">
        <v>12555</v>
      </c>
      <c r="O127" s="3">
        <v>12530</v>
      </c>
      <c r="P127" s="3">
        <v>12745</v>
      </c>
      <c r="Q127" s="3">
        <v>12750</v>
      </c>
      <c r="R127" s="3">
        <v>12470</v>
      </c>
      <c r="S127" s="3">
        <v>12475</v>
      </c>
      <c r="T127" s="3">
        <v>12400</v>
      </c>
      <c r="U127" s="3">
        <v>12390</v>
      </c>
      <c r="V127" s="3">
        <v>12805</v>
      </c>
      <c r="W127" s="3">
        <v>12790</v>
      </c>
      <c r="X127" s="3">
        <v>12580</v>
      </c>
      <c r="Y127" s="3">
        <v>12595</v>
      </c>
      <c r="Z127" s="3">
        <v>12625</v>
      </c>
      <c r="AA127" s="3">
        <v>12635</v>
      </c>
      <c r="AB127" s="3">
        <v>13285</v>
      </c>
      <c r="AC127" s="3">
        <v>13295</v>
      </c>
      <c r="AD127" s="3">
        <v>13170</v>
      </c>
      <c r="AE127" s="3">
        <v>13175</v>
      </c>
      <c r="AF127" s="3">
        <v>13800</v>
      </c>
      <c r="AG127" s="3">
        <v>13815</v>
      </c>
      <c r="AH127" s="3">
        <v>14240</v>
      </c>
      <c r="AI127" s="3">
        <v>14230</v>
      </c>
      <c r="AJ127" s="3">
        <v>13575</v>
      </c>
      <c r="AK127" s="3">
        <v>13565</v>
      </c>
      <c r="AL127" s="3">
        <v>13785</v>
      </c>
      <c r="AM127" s="3">
        <v>13775</v>
      </c>
      <c r="AN127" s="3">
        <v>13545</v>
      </c>
      <c r="AO127" s="3">
        <v>13550</v>
      </c>
      <c r="AP127" s="3">
        <v>13485</v>
      </c>
      <c r="AQ127" s="3">
        <v>13490</v>
      </c>
      <c r="AR127" s="4">
        <f t="shared" si="80"/>
        <v>1.0841283607979202E-2</v>
      </c>
      <c r="AS127" s="4">
        <f t="shared" si="52"/>
        <v>8.6580086580086979E-3</v>
      </c>
      <c r="AT127" s="4">
        <f t="shared" si="53"/>
        <v>2.9929577464788748E-2</v>
      </c>
      <c r="AU127" s="4">
        <f t="shared" si="54"/>
        <v>1.9100169779286968E-2</v>
      </c>
      <c r="AV127" s="4">
        <f t="shared" si="55"/>
        <v>2.5662959794696683E-3</v>
      </c>
      <c r="AW127" s="4">
        <f t="shared" si="56"/>
        <v>1.2647554806070715E-2</v>
      </c>
      <c r="AX127" s="4">
        <f t="shared" si="57"/>
        <v>3.4255055716054583E-2</v>
      </c>
      <c r="AY127" s="4">
        <f t="shared" si="58"/>
        <v>2.3474178403756207E-3</v>
      </c>
      <c r="AZ127" s="4">
        <f t="shared" si="59"/>
        <v>5.579912315663571E-3</v>
      </c>
      <c r="BA127" s="4">
        <f t="shared" si="60"/>
        <v>1.2121212121212199E-3</v>
      </c>
      <c r="BB127" s="4">
        <f t="shared" si="61"/>
        <v>3.6886907174706218E-2</v>
      </c>
      <c r="BC127" s="4">
        <f t="shared" si="62"/>
        <v>3.1658092599921028E-3</v>
      </c>
      <c r="BD127" s="4">
        <f t="shared" si="63"/>
        <v>1.5965732087227402E-2</v>
      </c>
      <c r="BE127" s="4">
        <f t="shared" si="64"/>
        <v>2.5453143077516449E-2</v>
      </c>
      <c r="BF127" s="4">
        <f t="shared" si="65"/>
        <v>6.4935064935065512E-3</v>
      </c>
      <c r="BG127" s="4">
        <f t="shared" si="66"/>
        <v>3.5995500562429728E-2</v>
      </c>
      <c r="BH127" s="4">
        <f t="shared" si="67"/>
        <v>2.3005032350826848E-2</v>
      </c>
      <c r="BI127" s="4">
        <f t="shared" si="68"/>
        <v>2.2342342342342336E-2</v>
      </c>
      <c r="BJ127" s="4">
        <f t="shared" si="69"/>
        <v>4.0087463556850444E-3</v>
      </c>
      <c r="BK127" s="4">
        <f t="shared" si="70"/>
        <v>9.8648154914139363E-3</v>
      </c>
      <c r="BL127" s="4">
        <f t="shared" si="71"/>
        <v>2.6012634708287852E-3</v>
      </c>
      <c r="BM127" s="4">
        <f t="shared" si="81"/>
        <v>1.6184003019990116E-2</v>
      </c>
      <c r="BN127" s="14">
        <f t="shared" si="82"/>
        <v>13672.755760633965</v>
      </c>
      <c r="BO127" s="15">
        <f t="shared" si="83"/>
        <v>13109.348159758632</v>
      </c>
      <c r="BP127" s="16">
        <v>13485</v>
      </c>
      <c r="BQ127" s="16">
        <v>13505</v>
      </c>
      <c r="BR127" s="16">
        <v>13480</v>
      </c>
      <c r="BS127" s="16">
        <v>13490</v>
      </c>
      <c r="BT127" s="16">
        <v>52092</v>
      </c>
      <c r="BU127" s="15">
        <f t="shared" si="72"/>
        <v>13491.666666666666</v>
      </c>
      <c r="BV127" s="15">
        <f t="shared" si="73"/>
        <v>702807900</v>
      </c>
      <c r="BW127" s="15">
        <f>SUM($BV$3:BV127)</f>
        <v>186498495601.66666</v>
      </c>
      <c r="BX127" s="15">
        <f>SUM($BT$3:BT127)</f>
        <v>13744715</v>
      </c>
      <c r="BY127" s="15">
        <f t="shared" si="74"/>
        <v>13568.742283973634</v>
      </c>
      <c r="BZ127" s="3">
        <v>125</v>
      </c>
      <c r="CA127" s="3">
        <f t="shared" si="75"/>
        <v>0</v>
      </c>
      <c r="CB127" s="3">
        <f t="shared" si="76"/>
        <v>0</v>
      </c>
      <c r="CC127" s="3">
        <f t="shared" si="77"/>
        <v>0</v>
      </c>
      <c r="CD127" s="3" t="str">
        <f t="shared" si="78"/>
        <v/>
      </c>
      <c r="CE127" s="3">
        <f t="shared" si="79"/>
        <v>0</v>
      </c>
    </row>
    <row r="128" spans="1:83" x14ac:dyDescent="0.3">
      <c r="A128" s="3" t="s">
        <v>168</v>
      </c>
      <c r="B128" s="3">
        <v>11655</v>
      </c>
      <c r="C128" s="3">
        <v>11645</v>
      </c>
      <c r="D128" s="3">
        <v>11450</v>
      </c>
      <c r="E128" s="3">
        <v>11445</v>
      </c>
      <c r="F128" s="3">
        <v>11700</v>
      </c>
      <c r="G128" s="3">
        <v>11705</v>
      </c>
      <c r="H128" s="3">
        <v>11555</v>
      </c>
      <c r="I128" s="3">
        <v>11540</v>
      </c>
      <c r="J128" s="3">
        <v>11660</v>
      </c>
      <c r="K128" s="3">
        <v>11670</v>
      </c>
      <c r="L128" s="3">
        <v>12005</v>
      </c>
      <c r="M128" s="3">
        <v>12020</v>
      </c>
      <c r="N128" s="3">
        <v>12530</v>
      </c>
      <c r="O128" s="3">
        <v>12540</v>
      </c>
      <c r="P128" s="3">
        <v>12745</v>
      </c>
      <c r="Q128" s="3">
        <v>12740</v>
      </c>
      <c r="R128" s="3">
        <v>12480</v>
      </c>
      <c r="S128" s="3">
        <v>12480</v>
      </c>
      <c r="T128" s="3">
        <v>12390</v>
      </c>
      <c r="U128" s="3">
        <v>12395</v>
      </c>
      <c r="V128" s="3">
        <v>12790</v>
      </c>
      <c r="W128" s="3">
        <v>12785</v>
      </c>
      <c r="X128" s="3">
        <v>12590</v>
      </c>
      <c r="Y128" s="3">
        <v>12590</v>
      </c>
      <c r="Z128" s="3">
        <v>12635</v>
      </c>
      <c r="AA128" s="3">
        <v>12630</v>
      </c>
      <c r="AB128" s="3">
        <v>13290</v>
      </c>
      <c r="AC128" s="3">
        <v>13290</v>
      </c>
      <c r="AD128" s="3">
        <v>13175</v>
      </c>
      <c r="AE128" s="3">
        <v>13185</v>
      </c>
      <c r="AF128" s="3">
        <v>13810</v>
      </c>
      <c r="AG128" s="3">
        <v>13815</v>
      </c>
      <c r="AH128" s="3">
        <v>14230</v>
      </c>
      <c r="AI128" s="3">
        <v>14230</v>
      </c>
      <c r="AJ128" s="3">
        <v>13560</v>
      </c>
      <c r="AK128" s="3">
        <v>13540</v>
      </c>
      <c r="AL128" s="3">
        <v>13775</v>
      </c>
      <c r="AM128" s="3">
        <v>13775</v>
      </c>
      <c r="AN128" s="3">
        <v>13545</v>
      </c>
      <c r="AO128" s="3">
        <v>13545</v>
      </c>
      <c r="AP128" s="3">
        <v>13490</v>
      </c>
      <c r="AQ128" s="3">
        <v>13505</v>
      </c>
      <c r="AR128" s="4">
        <f t="shared" si="80"/>
        <v>9.9739809193408746E-3</v>
      </c>
      <c r="AS128" s="4">
        <f t="shared" si="52"/>
        <v>9.0909090909090384E-3</v>
      </c>
      <c r="AT128" s="4">
        <f t="shared" si="53"/>
        <v>3.0369718309859239E-2</v>
      </c>
      <c r="AU128" s="4">
        <f t="shared" si="54"/>
        <v>2.0373514431239359E-2</v>
      </c>
      <c r="AV128" s="4">
        <f t="shared" si="55"/>
        <v>1.7108639863130382E-3</v>
      </c>
      <c r="AW128" s="4">
        <f t="shared" si="56"/>
        <v>1.3490725126475533E-2</v>
      </c>
      <c r="AX128" s="4">
        <f t="shared" si="57"/>
        <v>3.5080478745356913E-2</v>
      </c>
      <c r="AY128" s="4">
        <f t="shared" si="58"/>
        <v>3.129890453834161E-3</v>
      </c>
      <c r="AZ128" s="4">
        <f t="shared" si="59"/>
        <v>5.1813471502590858E-3</v>
      </c>
      <c r="BA128" s="4">
        <f t="shared" si="60"/>
        <v>1.6161616161616266E-3</v>
      </c>
      <c r="BB128" s="4">
        <f t="shared" si="61"/>
        <v>3.6481556546412719E-2</v>
      </c>
      <c r="BC128" s="4">
        <f t="shared" si="62"/>
        <v>3.5615354174910463E-3</v>
      </c>
      <c r="BD128" s="4">
        <f t="shared" si="63"/>
        <v>1.6355140186915862E-2</v>
      </c>
      <c r="BE128" s="4">
        <f t="shared" si="64"/>
        <v>2.5067489394523745E-2</v>
      </c>
      <c r="BF128" s="4">
        <f t="shared" si="65"/>
        <v>7.257448433918956E-3</v>
      </c>
      <c r="BG128" s="4">
        <f t="shared" si="66"/>
        <v>3.5995500562429728E-2</v>
      </c>
      <c r="BH128" s="4">
        <f t="shared" si="67"/>
        <v>2.3005032350826848E-2</v>
      </c>
      <c r="BI128" s="4">
        <f t="shared" si="68"/>
        <v>2.414414414414412E-2</v>
      </c>
      <c r="BJ128" s="4">
        <f t="shared" si="69"/>
        <v>4.0087463556850444E-3</v>
      </c>
      <c r="BK128" s="4">
        <f t="shared" si="70"/>
        <v>1.0230179028132946E-2</v>
      </c>
      <c r="BL128" s="4">
        <f t="shared" si="71"/>
        <v>3.7160906726123599E-3</v>
      </c>
      <c r="BM128" s="4">
        <f t="shared" si="81"/>
        <v>1.6508189313292343E-2</v>
      </c>
      <c r="BN128" s="14">
        <f t="shared" si="82"/>
        <v>13677.117687210348</v>
      </c>
      <c r="BO128" s="15">
        <f t="shared" si="83"/>
        <v>13105.02837740038</v>
      </c>
      <c r="BP128" s="16">
        <v>13490</v>
      </c>
      <c r="BQ128" s="16">
        <v>13505</v>
      </c>
      <c r="BR128" s="16">
        <v>13485</v>
      </c>
      <c r="BS128" s="16">
        <v>13505</v>
      </c>
      <c r="BT128" s="16">
        <v>53136</v>
      </c>
      <c r="BU128" s="15">
        <f t="shared" si="72"/>
        <v>13498.333333333334</v>
      </c>
      <c r="BV128" s="15">
        <f t="shared" si="73"/>
        <v>717247440</v>
      </c>
      <c r="BW128" s="15">
        <f>SUM($BV$3:BV128)</f>
        <v>187215743041.66666</v>
      </c>
      <c r="BX128" s="15">
        <f>SUM($BT$3:BT128)</f>
        <v>13797851</v>
      </c>
      <c r="BY128" s="15">
        <f t="shared" si="74"/>
        <v>13568.471136676766</v>
      </c>
      <c r="BZ128" s="3">
        <v>126</v>
      </c>
      <c r="CA128" s="3">
        <f t="shared" si="75"/>
        <v>0</v>
      </c>
      <c r="CB128" s="3">
        <f t="shared" si="76"/>
        <v>0</v>
      </c>
      <c r="CC128" s="3">
        <f t="shared" si="77"/>
        <v>0</v>
      </c>
      <c r="CD128" s="3" t="str">
        <f t="shared" si="78"/>
        <v/>
      </c>
      <c r="CE128" s="3">
        <f t="shared" si="79"/>
        <v>0</v>
      </c>
    </row>
    <row r="129" spans="1:83" x14ac:dyDescent="0.3">
      <c r="A129" s="3" t="s">
        <v>169</v>
      </c>
      <c r="B129" s="3">
        <v>11640</v>
      </c>
      <c r="C129" s="3">
        <v>11640</v>
      </c>
      <c r="D129" s="3">
        <v>11445</v>
      </c>
      <c r="E129" s="3">
        <v>11455</v>
      </c>
      <c r="F129" s="3">
        <v>11705</v>
      </c>
      <c r="G129" s="3">
        <v>11705</v>
      </c>
      <c r="H129" s="3">
        <v>11540</v>
      </c>
      <c r="I129" s="3">
        <v>11540</v>
      </c>
      <c r="J129" s="3">
        <v>11665</v>
      </c>
      <c r="K129" s="3">
        <v>11680</v>
      </c>
      <c r="L129" s="3">
        <v>12015</v>
      </c>
      <c r="M129" s="3">
        <v>12025</v>
      </c>
      <c r="N129" s="3">
        <v>12540</v>
      </c>
      <c r="O129" s="3">
        <v>12540</v>
      </c>
      <c r="P129" s="3">
        <v>12740</v>
      </c>
      <c r="Q129" s="3">
        <v>12735</v>
      </c>
      <c r="R129" s="3">
        <v>12475</v>
      </c>
      <c r="S129" s="3">
        <v>12495</v>
      </c>
      <c r="T129" s="3">
        <v>12390</v>
      </c>
      <c r="U129" s="3">
        <v>12405</v>
      </c>
      <c r="V129" s="3">
        <v>12790</v>
      </c>
      <c r="W129" s="3">
        <v>12785</v>
      </c>
      <c r="X129" s="3">
        <v>12590</v>
      </c>
      <c r="Y129" s="3">
        <v>12590</v>
      </c>
      <c r="Z129" s="3">
        <v>12630</v>
      </c>
      <c r="AA129" s="3">
        <v>12635</v>
      </c>
      <c r="AB129" s="3">
        <v>13290</v>
      </c>
      <c r="AC129" s="3">
        <v>13280</v>
      </c>
      <c r="AD129" s="3">
        <v>13180</v>
      </c>
      <c r="AE129" s="3">
        <v>13205</v>
      </c>
      <c r="AF129" s="3">
        <v>13820</v>
      </c>
      <c r="AG129" s="3">
        <v>13845</v>
      </c>
      <c r="AH129" s="3">
        <v>14235</v>
      </c>
      <c r="AI129" s="3">
        <v>14240</v>
      </c>
      <c r="AJ129" s="3">
        <v>13540</v>
      </c>
      <c r="AK129" s="3">
        <v>13550</v>
      </c>
      <c r="AL129" s="3">
        <v>13775</v>
      </c>
      <c r="AM129" s="3">
        <v>13755</v>
      </c>
      <c r="AN129" s="3">
        <v>13545</v>
      </c>
      <c r="AO129" s="3">
        <v>13515</v>
      </c>
      <c r="AP129" s="3">
        <v>13505</v>
      </c>
      <c r="AQ129" s="3">
        <v>13500</v>
      </c>
      <c r="AR129" s="4">
        <f t="shared" si="80"/>
        <v>9.5403295750216E-3</v>
      </c>
      <c r="AS129" s="4">
        <f t="shared" si="52"/>
        <v>8.2251082251082464E-3</v>
      </c>
      <c r="AT129" s="4">
        <f t="shared" si="53"/>
        <v>3.0369718309859239E-2</v>
      </c>
      <c r="AU129" s="4">
        <f t="shared" si="54"/>
        <v>2.0373514431239359E-2</v>
      </c>
      <c r="AV129" s="4">
        <f t="shared" si="55"/>
        <v>8.5543199315651908E-4</v>
      </c>
      <c r="AW129" s="4">
        <f t="shared" si="56"/>
        <v>1.3912310286677831E-2</v>
      </c>
      <c r="AX129" s="4">
        <f t="shared" si="57"/>
        <v>3.5080478745356913E-2</v>
      </c>
      <c r="AY129" s="4">
        <f t="shared" si="58"/>
        <v>3.5211267605633756E-3</v>
      </c>
      <c r="AZ129" s="4">
        <f t="shared" si="59"/>
        <v>3.9856516540454079E-3</v>
      </c>
      <c r="BA129" s="4">
        <f t="shared" si="60"/>
        <v>2.4242424242424399E-3</v>
      </c>
      <c r="BB129" s="4">
        <f t="shared" si="61"/>
        <v>3.6481556546412719E-2</v>
      </c>
      <c r="BC129" s="4">
        <f t="shared" si="62"/>
        <v>3.5615354174910463E-3</v>
      </c>
      <c r="BD129" s="4">
        <f t="shared" si="63"/>
        <v>1.5965732087227402E-2</v>
      </c>
      <c r="BE129" s="4">
        <f t="shared" si="64"/>
        <v>2.4296182028538338E-2</v>
      </c>
      <c r="BF129" s="4">
        <f t="shared" si="65"/>
        <v>8.7853323147439877E-3</v>
      </c>
      <c r="BG129" s="4">
        <f t="shared" si="66"/>
        <v>3.8245219347581516E-2</v>
      </c>
      <c r="BH129" s="4">
        <f t="shared" si="67"/>
        <v>2.372393961179009E-2</v>
      </c>
      <c r="BI129" s="4">
        <f t="shared" si="68"/>
        <v>2.3423423423423406E-2</v>
      </c>
      <c r="BJ129" s="4">
        <f t="shared" si="69"/>
        <v>2.5510204081633514E-3</v>
      </c>
      <c r="BK129" s="4">
        <f t="shared" si="70"/>
        <v>1.2422360248447228E-2</v>
      </c>
      <c r="BL129" s="4">
        <f t="shared" si="71"/>
        <v>3.3444816053511683E-3</v>
      </c>
      <c r="BM129" s="4">
        <f t="shared" si="81"/>
        <v>1.674770007271623E-2</v>
      </c>
      <c r="BN129" s="14">
        <f t="shared" si="82"/>
        <v>13680.340304478397</v>
      </c>
      <c r="BO129" s="15">
        <f t="shared" si="83"/>
        <v>13101.836896531056</v>
      </c>
      <c r="BP129" s="16">
        <v>13505</v>
      </c>
      <c r="BQ129" s="16">
        <v>13515</v>
      </c>
      <c r="BR129" s="16">
        <v>13495</v>
      </c>
      <c r="BS129" s="16">
        <v>13500</v>
      </c>
      <c r="BT129" s="16">
        <v>60184</v>
      </c>
      <c r="BU129" s="15">
        <f t="shared" si="72"/>
        <v>13503.333333333334</v>
      </c>
      <c r="BV129" s="15">
        <f t="shared" si="73"/>
        <v>812684613.33333337</v>
      </c>
      <c r="BW129" s="15">
        <f>SUM($BV$3:BV129)</f>
        <v>188028427655</v>
      </c>
      <c r="BX129" s="15">
        <f>SUM($BT$3:BT129)</f>
        <v>13858035</v>
      </c>
      <c r="BY129" s="15">
        <f t="shared" si="74"/>
        <v>13568.188249993596</v>
      </c>
      <c r="BZ129" s="3">
        <v>127</v>
      </c>
      <c r="CA129" s="3">
        <f t="shared" si="75"/>
        <v>0</v>
      </c>
      <c r="CB129" s="3">
        <f t="shared" si="76"/>
        <v>0</v>
      </c>
      <c r="CC129" s="3">
        <f t="shared" si="77"/>
        <v>0</v>
      </c>
      <c r="CD129" s="3" t="str">
        <f t="shared" si="78"/>
        <v/>
      </c>
      <c r="CE129" s="3">
        <f t="shared" si="79"/>
        <v>0</v>
      </c>
    </row>
    <row r="130" spans="1:83" x14ac:dyDescent="0.3">
      <c r="A130" s="3" t="s">
        <v>170</v>
      </c>
      <c r="B130" s="3">
        <v>11640</v>
      </c>
      <c r="C130" s="3">
        <v>11625</v>
      </c>
      <c r="D130" s="3">
        <v>11450</v>
      </c>
      <c r="E130" s="3">
        <v>11455</v>
      </c>
      <c r="F130" s="3">
        <v>11700</v>
      </c>
      <c r="G130" s="3">
        <v>11690</v>
      </c>
      <c r="H130" s="3">
        <v>11540</v>
      </c>
      <c r="I130" s="3">
        <v>11550</v>
      </c>
      <c r="J130" s="3">
        <v>11680</v>
      </c>
      <c r="K130" s="3">
        <v>11680</v>
      </c>
      <c r="L130" s="3">
        <v>12020</v>
      </c>
      <c r="M130" s="3">
        <v>12025</v>
      </c>
      <c r="N130" s="3">
        <v>12540</v>
      </c>
      <c r="O130" s="3">
        <v>12535</v>
      </c>
      <c r="P130" s="3">
        <v>12735</v>
      </c>
      <c r="Q130" s="3">
        <v>12720</v>
      </c>
      <c r="R130" s="3">
        <v>12495</v>
      </c>
      <c r="S130" s="3">
        <v>12495</v>
      </c>
      <c r="T130" s="3">
        <v>12400</v>
      </c>
      <c r="U130" s="3">
        <v>12380</v>
      </c>
      <c r="V130" s="3">
        <v>12785</v>
      </c>
      <c r="W130" s="3">
        <v>12765</v>
      </c>
      <c r="X130" s="3">
        <v>12590</v>
      </c>
      <c r="Y130" s="3">
        <v>12575</v>
      </c>
      <c r="Z130" s="3">
        <v>12635</v>
      </c>
      <c r="AA130" s="3">
        <v>12625</v>
      </c>
      <c r="AB130" s="3">
        <v>13275</v>
      </c>
      <c r="AC130" s="3">
        <v>13235</v>
      </c>
      <c r="AD130" s="3">
        <v>13205</v>
      </c>
      <c r="AE130" s="3">
        <v>13210</v>
      </c>
      <c r="AF130" s="3">
        <v>13845</v>
      </c>
      <c r="AG130" s="3">
        <v>13850</v>
      </c>
      <c r="AH130" s="3">
        <v>14240</v>
      </c>
      <c r="AI130" s="3">
        <v>14235</v>
      </c>
      <c r="AJ130" s="3">
        <v>13545</v>
      </c>
      <c r="AK130" s="3">
        <v>13560</v>
      </c>
      <c r="AL130" s="3">
        <v>13750</v>
      </c>
      <c r="AM130" s="3">
        <v>13750</v>
      </c>
      <c r="AN130" s="3">
        <v>13515</v>
      </c>
      <c r="AO130" s="3">
        <v>13520</v>
      </c>
      <c r="AP130" s="3">
        <v>13500</v>
      </c>
      <c r="AQ130" s="3">
        <v>13505</v>
      </c>
      <c r="AR130" s="4">
        <f t="shared" si="80"/>
        <v>8.2393755420642201E-3</v>
      </c>
      <c r="AS130" s="4">
        <f t="shared" si="52"/>
        <v>8.2251082251082464E-3</v>
      </c>
      <c r="AT130" s="4">
        <f t="shared" si="53"/>
        <v>2.9049295774647987E-2</v>
      </c>
      <c r="AU130" s="4">
        <f t="shared" si="54"/>
        <v>1.9524617996604432E-2</v>
      </c>
      <c r="AV130" s="4">
        <f t="shared" si="55"/>
        <v>8.5543199315651908E-4</v>
      </c>
      <c r="AW130" s="4">
        <f t="shared" si="56"/>
        <v>1.3912310286677831E-2</v>
      </c>
      <c r="AX130" s="4">
        <f t="shared" si="57"/>
        <v>3.4667767230705637E-2</v>
      </c>
      <c r="AY130" s="4">
        <f t="shared" si="58"/>
        <v>4.6948356807511304E-3</v>
      </c>
      <c r="AZ130" s="4">
        <f t="shared" si="59"/>
        <v>3.9856516540454079E-3</v>
      </c>
      <c r="BA130" s="4">
        <f t="shared" si="60"/>
        <v>4.0404040404040664E-4</v>
      </c>
      <c r="BB130" s="4">
        <f t="shared" si="61"/>
        <v>3.4860154033238722E-2</v>
      </c>
      <c r="BC130" s="4">
        <f t="shared" si="62"/>
        <v>4.7487138899880987E-3</v>
      </c>
      <c r="BD130" s="4">
        <f t="shared" si="63"/>
        <v>1.6744548286604322E-2</v>
      </c>
      <c r="BE130" s="4">
        <f t="shared" si="64"/>
        <v>2.0825298881604226E-2</v>
      </c>
      <c r="BF130" s="4">
        <f t="shared" si="65"/>
        <v>9.1673032849504121E-3</v>
      </c>
      <c r="BG130" s="4">
        <f t="shared" si="66"/>
        <v>3.8620172478440296E-2</v>
      </c>
      <c r="BH130" s="4">
        <f t="shared" si="67"/>
        <v>2.3364485981308469E-2</v>
      </c>
      <c r="BI130" s="4">
        <f t="shared" si="68"/>
        <v>2.2702702702702693E-2</v>
      </c>
      <c r="BJ130" s="4">
        <f t="shared" si="69"/>
        <v>2.1865889212828726E-3</v>
      </c>
      <c r="BK130" s="4">
        <f t="shared" si="70"/>
        <v>1.2056996711728218E-2</v>
      </c>
      <c r="BL130" s="4">
        <f t="shared" si="71"/>
        <v>3.7160906726123599E-3</v>
      </c>
      <c r="BM130" s="4">
        <f t="shared" si="81"/>
        <v>1.6359232867242206E-2</v>
      </c>
      <c r="BN130" s="14">
        <f t="shared" si="82"/>
        <v>13675.113478228743</v>
      </c>
      <c r="BO130" s="15">
        <f t="shared" si="83"/>
        <v>13107.013222043997</v>
      </c>
      <c r="BP130" s="16">
        <v>13500</v>
      </c>
      <c r="BQ130" s="16">
        <v>13510</v>
      </c>
      <c r="BR130" s="16">
        <v>13490</v>
      </c>
      <c r="BS130" s="16">
        <v>13505</v>
      </c>
      <c r="BT130" s="16">
        <v>12847</v>
      </c>
      <c r="BU130" s="15">
        <f t="shared" si="72"/>
        <v>13501.666666666666</v>
      </c>
      <c r="BV130" s="15">
        <f t="shared" si="73"/>
        <v>173455911.66666666</v>
      </c>
      <c r="BW130" s="15">
        <f>SUM($BV$3:BV130)</f>
        <v>188201883566.66666</v>
      </c>
      <c r="BX130" s="15">
        <f>SUM($BT$3:BT130)</f>
        <v>13870882</v>
      </c>
      <c r="BY130" s="15">
        <f t="shared" si="74"/>
        <v>13568.126638714586</v>
      </c>
      <c r="BZ130" s="3">
        <v>128</v>
      </c>
      <c r="CA130" s="3">
        <f t="shared" si="75"/>
        <v>0</v>
      </c>
      <c r="CB130" s="3">
        <f t="shared" si="76"/>
        <v>0</v>
      </c>
      <c r="CC130" s="3">
        <f t="shared" si="77"/>
        <v>0</v>
      </c>
      <c r="CD130" s="3" t="str">
        <f t="shared" si="78"/>
        <v/>
      </c>
      <c r="CE130" s="3">
        <f t="shared" si="79"/>
        <v>0</v>
      </c>
    </row>
    <row r="131" spans="1:83" x14ac:dyDescent="0.3">
      <c r="A131" s="3" t="s">
        <v>171</v>
      </c>
      <c r="B131" s="3">
        <v>11625</v>
      </c>
      <c r="C131" s="3">
        <v>11605</v>
      </c>
      <c r="D131" s="3">
        <v>11455</v>
      </c>
      <c r="E131" s="3">
        <v>11460</v>
      </c>
      <c r="F131" s="3">
        <v>11690</v>
      </c>
      <c r="G131" s="3">
        <v>11695</v>
      </c>
      <c r="H131" s="3">
        <v>11555</v>
      </c>
      <c r="I131" s="3">
        <v>11540</v>
      </c>
      <c r="J131" s="3">
        <v>11675</v>
      </c>
      <c r="K131" s="3">
        <v>11680</v>
      </c>
      <c r="L131" s="3">
        <v>12025</v>
      </c>
      <c r="M131" s="3">
        <v>12020</v>
      </c>
      <c r="N131" s="3">
        <v>12540</v>
      </c>
      <c r="O131" s="3">
        <v>12530</v>
      </c>
      <c r="P131" s="3">
        <v>12715</v>
      </c>
      <c r="Q131" s="3">
        <v>12710</v>
      </c>
      <c r="R131" s="3">
        <v>12495</v>
      </c>
      <c r="S131" s="3">
        <v>12500</v>
      </c>
      <c r="T131" s="3">
        <v>12375</v>
      </c>
      <c r="U131" s="3">
        <v>12375</v>
      </c>
      <c r="V131" s="3">
        <v>12765</v>
      </c>
      <c r="W131" s="3">
        <v>12775</v>
      </c>
      <c r="X131" s="3">
        <v>12575</v>
      </c>
      <c r="Y131" s="3">
        <v>12575</v>
      </c>
      <c r="Z131" s="3">
        <v>12625</v>
      </c>
      <c r="AA131" s="3">
        <v>12625</v>
      </c>
      <c r="AB131" s="3">
        <v>13235</v>
      </c>
      <c r="AC131" s="3">
        <v>13245</v>
      </c>
      <c r="AD131" s="3">
        <v>13205</v>
      </c>
      <c r="AE131" s="3">
        <v>13205</v>
      </c>
      <c r="AF131" s="3">
        <v>13850</v>
      </c>
      <c r="AG131" s="3">
        <v>13850</v>
      </c>
      <c r="AH131" s="3">
        <v>14235</v>
      </c>
      <c r="AI131" s="3">
        <v>14240</v>
      </c>
      <c r="AJ131" s="3">
        <v>13560</v>
      </c>
      <c r="AK131" s="3">
        <v>13545</v>
      </c>
      <c r="AL131" s="3">
        <v>13750</v>
      </c>
      <c r="AM131" s="3">
        <v>13760</v>
      </c>
      <c r="AN131" s="3">
        <v>13515</v>
      </c>
      <c r="AO131" s="3">
        <v>13505</v>
      </c>
      <c r="AP131" s="3">
        <v>13505</v>
      </c>
      <c r="AQ131" s="3">
        <v>13505</v>
      </c>
      <c r="AR131" s="4">
        <f t="shared" si="80"/>
        <v>6.5047701647875655E-3</v>
      </c>
      <c r="AS131" s="4">
        <f t="shared" si="52"/>
        <v>7.7922077922077948E-3</v>
      </c>
      <c r="AT131" s="4">
        <f t="shared" si="53"/>
        <v>2.9489436619718257E-2</v>
      </c>
      <c r="AU131" s="4">
        <f t="shared" si="54"/>
        <v>2.0373514431239359E-2</v>
      </c>
      <c r="AV131" s="4">
        <f t="shared" si="55"/>
        <v>8.5543199315651908E-4</v>
      </c>
      <c r="AW131" s="4">
        <f t="shared" si="56"/>
        <v>1.3490725126475533E-2</v>
      </c>
      <c r="AX131" s="4">
        <f t="shared" si="57"/>
        <v>3.4255055716054583E-2</v>
      </c>
      <c r="AY131" s="4">
        <f t="shared" si="58"/>
        <v>5.4773082942096707E-3</v>
      </c>
      <c r="AZ131" s="4">
        <f t="shared" si="59"/>
        <v>3.5870864886409226E-3</v>
      </c>
      <c r="BA131" s="4">
        <f t="shared" si="60"/>
        <v>0</v>
      </c>
      <c r="BB131" s="4">
        <f t="shared" si="61"/>
        <v>3.567085528982572E-2</v>
      </c>
      <c r="BC131" s="4">
        <f t="shared" si="62"/>
        <v>4.7487138899880987E-3</v>
      </c>
      <c r="BD131" s="4">
        <f t="shared" si="63"/>
        <v>1.6744548286604322E-2</v>
      </c>
      <c r="BE131" s="4">
        <f t="shared" si="64"/>
        <v>2.1596606247589634E-2</v>
      </c>
      <c r="BF131" s="4">
        <f t="shared" si="65"/>
        <v>8.7853323147439877E-3</v>
      </c>
      <c r="BG131" s="4">
        <f t="shared" si="66"/>
        <v>3.8620172478440296E-2</v>
      </c>
      <c r="BH131" s="4">
        <f t="shared" si="67"/>
        <v>2.372393961179009E-2</v>
      </c>
      <c r="BI131" s="4">
        <f t="shared" si="68"/>
        <v>2.3783783783783763E-2</v>
      </c>
      <c r="BJ131" s="4">
        <f t="shared" si="69"/>
        <v>2.9154518950438302E-3</v>
      </c>
      <c r="BK131" s="4">
        <f t="shared" si="70"/>
        <v>1.3153087321885248E-2</v>
      </c>
      <c r="BL131" s="4">
        <f t="shared" si="71"/>
        <v>3.7160906726123599E-3</v>
      </c>
      <c r="BM131" s="4">
        <f t="shared" si="81"/>
        <v>1.6647281544185728E-2</v>
      </c>
      <c r="BN131" s="14">
        <f t="shared" si="82"/>
        <v>13678.98917317702</v>
      </c>
      <c r="BO131" s="15">
        <f t="shared" si="83"/>
        <v>13103.174973423726</v>
      </c>
      <c r="BP131" s="16">
        <v>13505</v>
      </c>
      <c r="BQ131" s="16">
        <v>13515</v>
      </c>
      <c r="BR131" s="16">
        <v>13505</v>
      </c>
      <c r="BS131" s="16">
        <v>13505</v>
      </c>
      <c r="BT131" s="16">
        <v>13479</v>
      </c>
      <c r="BU131" s="15">
        <f t="shared" si="72"/>
        <v>13508.333333333334</v>
      </c>
      <c r="BV131" s="15">
        <f t="shared" si="73"/>
        <v>182078825</v>
      </c>
      <c r="BW131" s="15">
        <f>SUM($BV$3:BV131)</f>
        <v>188383962391.66666</v>
      </c>
      <c r="BX131" s="15">
        <f>SUM($BT$3:BT131)</f>
        <v>13884361</v>
      </c>
      <c r="BY131" s="15">
        <f t="shared" si="74"/>
        <v>13568.068591105248</v>
      </c>
      <c r="BZ131" s="3">
        <v>129</v>
      </c>
      <c r="CA131" s="3">
        <f t="shared" si="75"/>
        <v>0</v>
      </c>
      <c r="CB131" s="3">
        <f t="shared" si="76"/>
        <v>0</v>
      </c>
      <c r="CC131" s="3">
        <f t="shared" si="77"/>
        <v>0</v>
      </c>
      <c r="CD131" s="3" t="str">
        <f t="shared" si="78"/>
        <v/>
      </c>
      <c r="CE131" s="3">
        <f t="shared" si="79"/>
        <v>0</v>
      </c>
    </row>
    <row r="132" spans="1:83" x14ac:dyDescent="0.3">
      <c r="A132" s="3" t="s">
        <v>172</v>
      </c>
      <c r="B132" s="3">
        <v>11605</v>
      </c>
      <c r="C132" s="3">
        <v>11605</v>
      </c>
      <c r="D132" s="3">
        <v>11465</v>
      </c>
      <c r="E132" s="3">
        <v>11480</v>
      </c>
      <c r="F132" s="3">
        <v>11690</v>
      </c>
      <c r="G132" s="3">
        <v>11690</v>
      </c>
      <c r="H132" s="3">
        <v>11540</v>
      </c>
      <c r="I132" s="3">
        <v>11530</v>
      </c>
      <c r="J132" s="3">
        <v>11675</v>
      </c>
      <c r="K132" s="3">
        <v>11685</v>
      </c>
      <c r="L132" s="3">
        <v>12025</v>
      </c>
      <c r="M132" s="3">
        <v>12020</v>
      </c>
      <c r="N132" s="3">
        <v>12530</v>
      </c>
      <c r="O132" s="3">
        <v>12530</v>
      </c>
      <c r="P132" s="3">
        <v>12710</v>
      </c>
      <c r="Q132" s="3">
        <v>12710</v>
      </c>
      <c r="R132" s="3">
        <v>12500</v>
      </c>
      <c r="S132" s="3">
        <v>12505</v>
      </c>
      <c r="T132" s="3">
        <v>12375</v>
      </c>
      <c r="U132" s="3">
        <v>12385</v>
      </c>
      <c r="V132" s="3">
        <v>12775</v>
      </c>
      <c r="W132" s="3">
        <v>12780</v>
      </c>
      <c r="X132" s="3">
        <v>12575</v>
      </c>
      <c r="Y132" s="3">
        <v>12575</v>
      </c>
      <c r="Z132" s="3">
        <v>12625</v>
      </c>
      <c r="AA132" s="3">
        <v>12640</v>
      </c>
      <c r="AB132" s="3">
        <v>13245</v>
      </c>
      <c r="AC132" s="3">
        <v>13270</v>
      </c>
      <c r="AD132" s="3">
        <v>13205</v>
      </c>
      <c r="AE132" s="3">
        <v>13220</v>
      </c>
      <c r="AF132" s="3">
        <v>13850</v>
      </c>
      <c r="AG132" s="3">
        <v>13860</v>
      </c>
      <c r="AH132" s="3">
        <v>14240</v>
      </c>
      <c r="AI132" s="3">
        <v>14255</v>
      </c>
      <c r="AJ132" s="3">
        <v>13545</v>
      </c>
      <c r="AK132" s="3">
        <v>13510</v>
      </c>
      <c r="AL132" s="3">
        <v>13755</v>
      </c>
      <c r="AM132" s="3">
        <v>13755</v>
      </c>
      <c r="AN132" s="3">
        <v>13500</v>
      </c>
      <c r="AO132" s="3">
        <v>13505</v>
      </c>
      <c r="AP132" s="3">
        <v>13510</v>
      </c>
      <c r="AQ132" s="3">
        <v>13495</v>
      </c>
      <c r="AR132" s="4">
        <f t="shared" si="80"/>
        <v>6.5047701647875655E-3</v>
      </c>
      <c r="AS132" s="4">
        <f t="shared" ref="AS132:AS195" si="84">ABS(E132/D$3-1)</f>
        <v>6.0606060606060996E-3</v>
      </c>
      <c r="AT132" s="4">
        <f t="shared" ref="AT132:AT195" si="85">ABS(G132/F$3-1)</f>
        <v>2.9049295774647987E-2</v>
      </c>
      <c r="AU132" s="4">
        <f t="shared" ref="AU132:AU195" si="86">ABS(I132/H$3-1)</f>
        <v>2.1222410865874397E-2</v>
      </c>
      <c r="AV132" s="4">
        <f t="shared" ref="AV132:AV195" si="87">ABS(K132/J$3-1)</f>
        <v>4.2771599657831505E-4</v>
      </c>
      <c r="AW132" s="4">
        <f t="shared" ref="AW132:AW195" si="88">ABS(M132/L$3-1)</f>
        <v>1.3490725126475533E-2</v>
      </c>
      <c r="AX132" s="4">
        <f t="shared" ref="AX132:AX195" si="89">ABS(O132/N$3-1)</f>
        <v>3.4255055716054583E-2</v>
      </c>
      <c r="AY132" s="4">
        <f t="shared" ref="AY132:AY195" si="90">ABS(Q132/P$3-1)</f>
        <v>5.4773082942096707E-3</v>
      </c>
      <c r="AZ132" s="4">
        <f t="shared" ref="AZ132:AZ195" si="91">ABS(S132/R$3-1)</f>
        <v>3.1885213232363263E-3</v>
      </c>
      <c r="BA132" s="4">
        <f t="shared" ref="BA132:BA195" si="92">ABS(U132/T$3-1)</f>
        <v>8.0808080808081328E-4</v>
      </c>
      <c r="BB132" s="4">
        <f t="shared" ref="BB132:BB195" si="93">ABS(W132/V$3-1)</f>
        <v>3.607620591811922E-2</v>
      </c>
      <c r="BC132" s="4">
        <f t="shared" ref="BC132:BC195" si="94">ABS(Y132/X$3-1)</f>
        <v>4.7487138899880987E-3</v>
      </c>
      <c r="BD132" s="4">
        <f t="shared" ref="BD132:BD195" si="95">ABS(AA132/Z$3-1)</f>
        <v>1.5576323987538943E-2</v>
      </c>
      <c r="BE132" s="4">
        <f t="shared" ref="BE132:BE195" si="96">ABS(AC132/AB$3-1)</f>
        <v>2.352487466255293E-2</v>
      </c>
      <c r="BF132" s="4">
        <f t="shared" ref="BF132:BF195" si="97">ABS(AE132/AD$3-1)</f>
        <v>9.931245225362817E-3</v>
      </c>
      <c r="BG132" s="4">
        <f t="shared" ref="BG132:BG195" si="98">ABS(AG132/AF$3-1)</f>
        <v>3.937007874015741E-2</v>
      </c>
      <c r="BH132" s="4">
        <f t="shared" ref="BH132:BH195" si="99">ABS(AI132/AH$3-1)</f>
        <v>2.4802300503235175E-2</v>
      </c>
      <c r="BI132" s="4">
        <f t="shared" ref="BI132:BI195" si="100">ABS(AK132/AJ$3-1)</f>
        <v>2.630630630630626E-2</v>
      </c>
      <c r="BJ132" s="4">
        <f t="shared" ref="BJ132:BJ195" si="101">ABS(AM132/AL$3-1)</f>
        <v>2.5510204081633514E-3</v>
      </c>
      <c r="BK132" s="4">
        <f t="shared" ref="BK132:BK195" si="102">ABS(AO132/AN$3-1)</f>
        <v>1.3153087321885248E-2</v>
      </c>
      <c r="BL132" s="4">
        <f t="shared" ref="BL132:BL195" si="103">ABS(AQ132/AP$3-1)</f>
        <v>2.9728725380899768E-3</v>
      </c>
      <c r="BM132" s="4">
        <f t="shared" si="81"/>
        <v>1.712636593606363E-2</v>
      </c>
      <c r="BN132" s="14">
        <f t="shared" si="82"/>
        <v>13685.435253669737</v>
      </c>
      <c r="BO132" s="15">
        <f t="shared" si="83"/>
        <v>13096.791173901953</v>
      </c>
      <c r="BP132" s="16">
        <v>13510</v>
      </c>
      <c r="BQ132" s="16">
        <v>13510</v>
      </c>
      <c r="BR132" s="16">
        <v>13490</v>
      </c>
      <c r="BS132" s="16">
        <v>13495</v>
      </c>
      <c r="BT132" s="16">
        <v>47407</v>
      </c>
      <c r="BU132" s="15">
        <f t="shared" ref="BU132:BU195" si="104">SUM(BQ132:BS132)/3</f>
        <v>13498.333333333334</v>
      </c>
      <c r="BV132" s="15">
        <f t="shared" ref="BV132:BV195" si="105">BU132*BT132</f>
        <v>639915488.33333337</v>
      </c>
      <c r="BW132" s="15">
        <f>SUM($BV$3:BV132)</f>
        <v>189023877880</v>
      </c>
      <c r="BX132" s="15">
        <f>SUM($BT$3:BT132)</f>
        <v>13931768</v>
      </c>
      <c r="BY132" s="15">
        <f t="shared" ref="BY132:BY195" si="106">BW132/BX132</f>
        <v>13567.831296070965</v>
      </c>
      <c r="BZ132" s="3">
        <v>130</v>
      </c>
      <c r="CA132" s="3">
        <f t="shared" ref="CA132:CA195" si="107">IF(AND(BS132&gt;BN132,BS132&gt;BY132), 1, 0)</f>
        <v>0</v>
      </c>
      <c r="CB132" s="3">
        <f t="shared" ref="CB132:CB195" si="108">IF(AND(BS132&lt;BO132, BS132&lt;BY132), -1, 0)</f>
        <v>0</v>
      </c>
      <c r="CC132" s="3">
        <f t="shared" ref="CC132:CC195" si="109">SUM(CA132:CB132)</f>
        <v>0</v>
      </c>
      <c r="CD132" s="3" t="str">
        <f t="shared" ref="CD132:CD195" si="110">IF(MOD(BZ132,$CD$2)=0,CC132,"")</f>
        <v/>
      </c>
      <c r="CE132" s="3">
        <f t="shared" ref="CE132:CE195" si="111">IF(OR(CD132=1, AND(CE131=1, CD132&lt;&gt;0)), 1, 0)</f>
        <v>0</v>
      </c>
    </row>
    <row r="133" spans="1:83" x14ac:dyDescent="0.3">
      <c r="A133" s="3" t="s">
        <v>173</v>
      </c>
      <c r="B133" s="3">
        <v>11605</v>
      </c>
      <c r="C133" s="3">
        <v>11605</v>
      </c>
      <c r="D133" s="3">
        <v>11480</v>
      </c>
      <c r="E133" s="3">
        <v>11470</v>
      </c>
      <c r="F133" s="3">
        <v>11690</v>
      </c>
      <c r="G133" s="3">
        <v>11700</v>
      </c>
      <c r="H133" s="3">
        <v>11535</v>
      </c>
      <c r="I133" s="3">
        <v>11530</v>
      </c>
      <c r="J133" s="3">
        <v>11685</v>
      </c>
      <c r="K133" s="3">
        <v>11685</v>
      </c>
      <c r="L133" s="3">
        <v>12015</v>
      </c>
      <c r="M133" s="3">
        <v>12020</v>
      </c>
      <c r="N133" s="3">
        <v>12530</v>
      </c>
      <c r="O133" s="3">
        <v>12540</v>
      </c>
      <c r="P133" s="3">
        <v>12715</v>
      </c>
      <c r="Q133" s="3">
        <v>12705</v>
      </c>
      <c r="R133" s="3">
        <v>12510</v>
      </c>
      <c r="S133" s="3">
        <v>12540</v>
      </c>
      <c r="T133" s="3">
        <v>12385</v>
      </c>
      <c r="U133" s="3">
        <v>12390</v>
      </c>
      <c r="V133" s="3">
        <v>12780</v>
      </c>
      <c r="W133" s="3">
        <v>12795</v>
      </c>
      <c r="X133" s="3">
        <v>12575</v>
      </c>
      <c r="Y133" s="3">
        <v>12565</v>
      </c>
      <c r="Z133" s="3">
        <v>12635</v>
      </c>
      <c r="AA133" s="3">
        <v>12630</v>
      </c>
      <c r="AB133" s="3">
        <v>13265</v>
      </c>
      <c r="AC133" s="3">
        <v>13295</v>
      </c>
      <c r="AD133" s="3">
        <v>13220</v>
      </c>
      <c r="AE133" s="3">
        <v>13210</v>
      </c>
      <c r="AF133" s="3">
        <v>13865</v>
      </c>
      <c r="AG133" s="3">
        <v>13855</v>
      </c>
      <c r="AH133" s="3">
        <v>14255</v>
      </c>
      <c r="AI133" s="3">
        <v>14250</v>
      </c>
      <c r="AJ133" s="3">
        <v>13500</v>
      </c>
      <c r="AK133" s="3">
        <v>13470</v>
      </c>
      <c r="AL133" s="3">
        <v>13755</v>
      </c>
      <c r="AM133" s="3">
        <v>13740</v>
      </c>
      <c r="AN133" s="3">
        <v>13505</v>
      </c>
      <c r="AO133" s="3">
        <v>13485</v>
      </c>
      <c r="AP133" s="3">
        <v>13495</v>
      </c>
      <c r="AQ133" s="3">
        <v>13480</v>
      </c>
      <c r="AR133" s="4">
        <f t="shared" ref="AR133:AR196" si="112">ABS(C133/B$3-1)</f>
        <v>6.5047701647875655E-3</v>
      </c>
      <c r="AS133" s="4">
        <f t="shared" si="84"/>
        <v>6.9264069264068917E-3</v>
      </c>
      <c r="AT133" s="4">
        <f t="shared" si="85"/>
        <v>2.9929577464788748E-2</v>
      </c>
      <c r="AU133" s="4">
        <f t="shared" si="86"/>
        <v>2.1222410865874397E-2</v>
      </c>
      <c r="AV133" s="4">
        <f t="shared" si="87"/>
        <v>4.2771599657831505E-4</v>
      </c>
      <c r="AW133" s="4">
        <f t="shared" si="88"/>
        <v>1.3490725126475533E-2</v>
      </c>
      <c r="AX133" s="4">
        <f t="shared" si="89"/>
        <v>3.5080478745356913E-2</v>
      </c>
      <c r="AY133" s="4">
        <f t="shared" si="90"/>
        <v>5.8685446009389963E-3</v>
      </c>
      <c r="AZ133" s="4">
        <f t="shared" si="91"/>
        <v>3.985651654045963E-4</v>
      </c>
      <c r="BA133" s="4">
        <f t="shared" si="92"/>
        <v>1.2121212121212199E-3</v>
      </c>
      <c r="BB133" s="4">
        <f t="shared" si="93"/>
        <v>3.7292257802999496E-2</v>
      </c>
      <c r="BC133" s="4">
        <f t="shared" si="94"/>
        <v>5.5401662049860967E-3</v>
      </c>
      <c r="BD133" s="4">
        <f t="shared" si="95"/>
        <v>1.6355140186915862E-2</v>
      </c>
      <c r="BE133" s="4">
        <f t="shared" si="96"/>
        <v>2.5453143077516449E-2</v>
      </c>
      <c r="BF133" s="4">
        <f t="shared" si="97"/>
        <v>9.1673032849504121E-3</v>
      </c>
      <c r="BG133" s="4">
        <f t="shared" si="98"/>
        <v>3.8995125609298853E-2</v>
      </c>
      <c r="BH133" s="4">
        <f t="shared" si="99"/>
        <v>2.4442846872753332E-2</v>
      </c>
      <c r="BI133" s="4">
        <f t="shared" si="100"/>
        <v>2.9189189189189224E-2</v>
      </c>
      <c r="BJ133" s="4">
        <f t="shared" si="101"/>
        <v>1.4577259475219151E-3</v>
      </c>
      <c r="BK133" s="4">
        <f t="shared" si="102"/>
        <v>1.4614541468761399E-2</v>
      </c>
      <c r="BL133" s="4">
        <f t="shared" si="103"/>
        <v>1.85804533630618E-3</v>
      </c>
      <c r="BM133" s="4">
        <f t="shared" ref="BM133:BM196" si="113">AVERAGE(AX133:BK133)</f>
        <v>1.7504796383479626E-2</v>
      </c>
      <c r="BN133" s="14">
        <f t="shared" ref="BN133:BN196" si="114">MAX($AP$3,$AO$383)*(1+BM133)</f>
        <v>13690.527035339717</v>
      </c>
      <c r="BO133" s="15">
        <f t="shared" ref="BO133:BO196" si="115">MIN($AP$3,$AO$383)*(1-BM133)</f>
        <v>13091.748588190134</v>
      </c>
      <c r="BP133" s="16">
        <v>13495</v>
      </c>
      <c r="BQ133" s="16">
        <v>13495</v>
      </c>
      <c r="BR133" s="16">
        <v>13480</v>
      </c>
      <c r="BS133" s="16">
        <v>13480</v>
      </c>
      <c r="BT133" s="16">
        <v>56311</v>
      </c>
      <c r="BU133" s="15">
        <f t="shared" si="104"/>
        <v>13485</v>
      </c>
      <c r="BV133" s="15">
        <f t="shared" si="105"/>
        <v>759353835</v>
      </c>
      <c r="BW133" s="15">
        <f>SUM($BV$3:BV133)</f>
        <v>189783231715</v>
      </c>
      <c r="BX133" s="15">
        <f>SUM($BT$3:BT133)</f>
        <v>13988079</v>
      </c>
      <c r="BY133" s="15">
        <f t="shared" si="106"/>
        <v>13567.497846916649</v>
      </c>
      <c r="BZ133" s="3">
        <v>131</v>
      </c>
      <c r="CA133" s="3">
        <f t="shared" si="107"/>
        <v>0</v>
      </c>
      <c r="CB133" s="3">
        <f t="shared" si="108"/>
        <v>0</v>
      </c>
      <c r="CC133" s="3">
        <f t="shared" si="109"/>
        <v>0</v>
      </c>
      <c r="CD133" s="3" t="str">
        <f t="shared" si="110"/>
        <v/>
      </c>
      <c r="CE133" s="3">
        <f t="shared" si="111"/>
        <v>0</v>
      </c>
    </row>
    <row r="134" spans="1:83" x14ac:dyDescent="0.3">
      <c r="A134" s="3" t="s">
        <v>174</v>
      </c>
      <c r="B134" s="3">
        <v>11605</v>
      </c>
      <c r="C134" s="3">
        <v>11615</v>
      </c>
      <c r="D134" s="3">
        <v>11470</v>
      </c>
      <c r="E134" s="3">
        <v>11470</v>
      </c>
      <c r="F134" s="3">
        <v>11700</v>
      </c>
      <c r="G134" s="3">
        <v>11710</v>
      </c>
      <c r="H134" s="3">
        <v>11525</v>
      </c>
      <c r="I134" s="3">
        <v>11530</v>
      </c>
      <c r="J134" s="3">
        <v>11685</v>
      </c>
      <c r="K134" s="3">
        <v>11695</v>
      </c>
      <c r="L134" s="3">
        <v>12015</v>
      </c>
      <c r="M134" s="3">
        <v>12015</v>
      </c>
      <c r="N134" s="3">
        <v>12545</v>
      </c>
      <c r="O134" s="3">
        <v>12540</v>
      </c>
      <c r="P134" s="3">
        <v>12710</v>
      </c>
      <c r="Q134" s="3">
        <v>12715</v>
      </c>
      <c r="R134" s="3">
        <v>12535</v>
      </c>
      <c r="S134" s="3">
        <v>12530</v>
      </c>
      <c r="T134" s="3">
        <v>12390</v>
      </c>
      <c r="U134" s="3">
        <v>12400</v>
      </c>
      <c r="V134" s="3">
        <v>12795</v>
      </c>
      <c r="W134" s="3">
        <v>12790</v>
      </c>
      <c r="X134" s="3">
        <v>12570</v>
      </c>
      <c r="Y134" s="3">
        <v>12595</v>
      </c>
      <c r="Z134" s="3">
        <v>12630</v>
      </c>
      <c r="AA134" s="3">
        <v>12630</v>
      </c>
      <c r="AB134" s="3">
        <v>13300</v>
      </c>
      <c r="AC134" s="3">
        <v>13295</v>
      </c>
      <c r="AD134" s="3">
        <v>13210</v>
      </c>
      <c r="AE134" s="3">
        <v>13210</v>
      </c>
      <c r="AF134" s="3">
        <v>13855</v>
      </c>
      <c r="AG134" s="3">
        <v>13860</v>
      </c>
      <c r="AH134" s="3">
        <v>14245</v>
      </c>
      <c r="AI134" s="3">
        <v>14250</v>
      </c>
      <c r="AJ134" s="3">
        <v>13475</v>
      </c>
      <c r="AK134" s="3">
        <v>13520</v>
      </c>
      <c r="AL134" s="3">
        <v>13745</v>
      </c>
      <c r="AM134" s="3">
        <v>13770</v>
      </c>
      <c r="AN134" s="3">
        <v>13485</v>
      </c>
      <c r="AO134" s="3">
        <v>13455</v>
      </c>
      <c r="AP134" s="3">
        <v>13480</v>
      </c>
      <c r="AQ134" s="3">
        <v>13475</v>
      </c>
      <c r="AR134" s="4">
        <f t="shared" si="112"/>
        <v>7.3720728534258928E-3</v>
      </c>
      <c r="AS134" s="4">
        <f t="shared" si="84"/>
        <v>6.9264069264068917E-3</v>
      </c>
      <c r="AT134" s="4">
        <f t="shared" si="85"/>
        <v>3.0809859154929509E-2</v>
      </c>
      <c r="AU134" s="4">
        <f t="shared" si="86"/>
        <v>2.1222410865874397E-2</v>
      </c>
      <c r="AV134" s="4">
        <f t="shared" si="87"/>
        <v>4.2771599657820403E-4</v>
      </c>
      <c r="AW134" s="4">
        <f t="shared" si="88"/>
        <v>1.3069139966273235E-2</v>
      </c>
      <c r="AX134" s="4">
        <f t="shared" si="89"/>
        <v>3.5080478745356913E-2</v>
      </c>
      <c r="AY134" s="4">
        <f t="shared" si="90"/>
        <v>5.0860719874804561E-3</v>
      </c>
      <c r="AZ134" s="4">
        <f t="shared" si="91"/>
        <v>1.1956954962136779E-3</v>
      </c>
      <c r="BA134" s="4">
        <f t="shared" si="92"/>
        <v>2.0202020202020332E-3</v>
      </c>
      <c r="BB134" s="4">
        <f t="shared" si="93"/>
        <v>3.6886907174706218E-2</v>
      </c>
      <c r="BC134" s="4">
        <f t="shared" si="94"/>
        <v>3.1658092599921028E-3</v>
      </c>
      <c r="BD134" s="4">
        <f t="shared" si="95"/>
        <v>1.6355140186915862E-2</v>
      </c>
      <c r="BE134" s="4">
        <f t="shared" si="96"/>
        <v>2.5453143077516449E-2</v>
      </c>
      <c r="BF134" s="4">
        <f t="shared" si="97"/>
        <v>9.1673032849504121E-3</v>
      </c>
      <c r="BG134" s="4">
        <f t="shared" si="98"/>
        <v>3.937007874015741E-2</v>
      </c>
      <c r="BH134" s="4">
        <f t="shared" si="99"/>
        <v>2.4442846872753332E-2</v>
      </c>
      <c r="BI134" s="4">
        <f t="shared" si="100"/>
        <v>2.5585585585585546E-2</v>
      </c>
      <c r="BJ134" s="4">
        <f t="shared" si="101"/>
        <v>3.6443148688045657E-3</v>
      </c>
      <c r="BK134" s="4">
        <f t="shared" si="102"/>
        <v>1.6806722689075682E-2</v>
      </c>
      <c r="BL134" s="4">
        <f t="shared" si="103"/>
        <v>1.4864362690449884E-3</v>
      </c>
      <c r="BM134" s="4">
        <f t="shared" si="113"/>
        <v>1.7447164284979333E-2</v>
      </c>
      <c r="BN134" s="14">
        <f t="shared" si="114"/>
        <v>13689.751595454398</v>
      </c>
      <c r="BO134" s="15">
        <f t="shared" si="115"/>
        <v>13092.516535902651</v>
      </c>
      <c r="BP134" s="16">
        <v>13480</v>
      </c>
      <c r="BQ134" s="16">
        <v>13480</v>
      </c>
      <c r="BR134" s="16">
        <v>13470</v>
      </c>
      <c r="BS134" s="16">
        <v>13475</v>
      </c>
      <c r="BT134" s="16">
        <v>29072</v>
      </c>
      <c r="BU134" s="15">
        <f t="shared" si="104"/>
        <v>13475</v>
      </c>
      <c r="BV134" s="15">
        <f t="shared" si="105"/>
        <v>391745200</v>
      </c>
      <c r="BW134" s="15">
        <f>SUM($BV$3:BV134)</f>
        <v>190174976915</v>
      </c>
      <c r="BX134" s="15">
        <f>SUM($BT$3:BT134)</f>
        <v>14017151</v>
      </c>
      <c r="BY134" s="15">
        <f t="shared" si="106"/>
        <v>13567.306003552363</v>
      </c>
      <c r="BZ134" s="3">
        <v>132</v>
      </c>
      <c r="CA134" s="3">
        <f t="shared" si="107"/>
        <v>0</v>
      </c>
      <c r="CB134" s="3">
        <f t="shared" si="108"/>
        <v>0</v>
      </c>
      <c r="CC134" s="3">
        <f t="shared" si="109"/>
        <v>0</v>
      </c>
      <c r="CD134" s="3" t="str">
        <f t="shared" si="110"/>
        <v/>
      </c>
      <c r="CE134" s="3">
        <f t="shared" si="111"/>
        <v>0</v>
      </c>
    </row>
    <row r="135" spans="1:83" x14ac:dyDescent="0.3">
      <c r="A135" s="3" t="s">
        <v>175</v>
      </c>
      <c r="B135" s="3">
        <v>11620</v>
      </c>
      <c r="C135" s="3">
        <v>11620</v>
      </c>
      <c r="D135" s="3">
        <v>11470</v>
      </c>
      <c r="E135" s="3">
        <v>11465</v>
      </c>
      <c r="F135" s="3">
        <v>11700</v>
      </c>
      <c r="G135" s="3">
        <v>11710</v>
      </c>
      <c r="H135" s="3">
        <v>11535</v>
      </c>
      <c r="I135" s="3">
        <v>11550</v>
      </c>
      <c r="J135" s="3">
        <v>11695</v>
      </c>
      <c r="K135" s="3">
        <v>11700</v>
      </c>
      <c r="L135" s="3">
        <v>12010</v>
      </c>
      <c r="M135" s="3">
        <v>12020</v>
      </c>
      <c r="N135" s="3">
        <v>12540</v>
      </c>
      <c r="O135" s="3">
        <v>12540</v>
      </c>
      <c r="P135" s="3">
        <v>12715</v>
      </c>
      <c r="Q135" s="3">
        <v>12715</v>
      </c>
      <c r="R135" s="3">
        <v>12530</v>
      </c>
      <c r="S135" s="3">
        <v>12525</v>
      </c>
      <c r="T135" s="3">
        <v>12395</v>
      </c>
      <c r="U135" s="3">
        <v>12390</v>
      </c>
      <c r="V135" s="3">
        <v>12790</v>
      </c>
      <c r="W135" s="3">
        <v>12790</v>
      </c>
      <c r="X135" s="3">
        <v>12595</v>
      </c>
      <c r="Y135" s="3">
        <v>12620</v>
      </c>
      <c r="Z135" s="3">
        <v>12625</v>
      </c>
      <c r="AA135" s="3">
        <v>12640</v>
      </c>
      <c r="AB135" s="3">
        <v>13295</v>
      </c>
      <c r="AC135" s="3">
        <v>13285</v>
      </c>
      <c r="AD135" s="3">
        <v>13205</v>
      </c>
      <c r="AE135" s="3">
        <v>13190</v>
      </c>
      <c r="AF135" s="3">
        <v>13855</v>
      </c>
      <c r="AG135" s="3">
        <v>13850</v>
      </c>
      <c r="AH135" s="3">
        <v>14250</v>
      </c>
      <c r="AI135" s="3">
        <v>14255</v>
      </c>
      <c r="AJ135" s="3">
        <v>13515</v>
      </c>
      <c r="AK135" s="3">
        <v>13540</v>
      </c>
      <c r="AL135" s="3">
        <v>13765</v>
      </c>
      <c r="AM135" s="3">
        <v>13790</v>
      </c>
      <c r="AN135" s="3">
        <v>13455</v>
      </c>
      <c r="AO135" s="3">
        <v>13450</v>
      </c>
      <c r="AP135" s="3">
        <v>13480</v>
      </c>
      <c r="AQ135" s="3">
        <v>13485</v>
      </c>
      <c r="AR135" s="4">
        <f t="shared" si="112"/>
        <v>7.8057241977449454E-3</v>
      </c>
      <c r="AS135" s="4">
        <f t="shared" si="84"/>
        <v>7.3593073593073433E-3</v>
      </c>
      <c r="AT135" s="4">
        <f t="shared" si="85"/>
        <v>3.0809859154929509E-2</v>
      </c>
      <c r="AU135" s="4">
        <f t="shared" si="86"/>
        <v>1.9524617996604432E-2</v>
      </c>
      <c r="AV135" s="4">
        <f t="shared" si="87"/>
        <v>8.554319931566301E-4</v>
      </c>
      <c r="AW135" s="4">
        <f t="shared" si="88"/>
        <v>1.3490725126475533E-2</v>
      </c>
      <c r="AX135" s="4">
        <f t="shared" si="89"/>
        <v>3.5080478745356913E-2</v>
      </c>
      <c r="AY135" s="4">
        <f t="shared" si="90"/>
        <v>5.0860719874804561E-3</v>
      </c>
      <c r="AZ135" s="4">
        <f t="shared" si="91"/>
        <v>1.5942606616181632E-3</v>
      </c>
      <c r="BA135" s="4">
        <f t="shared" si="92"/>
        <v>1.2121212121212199E-3</v>
      </c>
      <c r="BB135" s="4">
        <f t="shared" si="93"/>
        <v>3.6886907174706218E-2</v>
      </c>
      <c r="BC135" s="4">
        <f t="shared" si="94"/>
        <v>1.1871784724970524E-3</v>
      </c>
      <c r="BD135" s="4">
        <f t="shared" si="95"/>
        <v>1.5576323987538943E-2</v>
      </c>
      <c r="BE135" s="4">
        <f t="shared" si="96"/>
        <v>2.4681835711531042E-2</v>
      </c>
      <c r="BF135" s="4">
        <f t="shared" si="97"/>
        <v>7.6394194041253805E-3</v>
      </c>
      <c r="BG135" s="4">
        <f t="shared" si="98"/>
        <v>3.8620172478440296E-2</v>
      </c>
      <c r="BH135" s="4">
        <f t="shared" si="99"/>
        <v>2.4802300503235175E-2</v>
      </c>
      <c r="BI135" s="4">
        <f t="shared" si="100"/>
        <v>2.414414414414412E-2</v>
      </c>
      <c r="BJ135" s="4">
        <f t="shared" si="101"/>
        <v>5.1020408163264808E-3</v>
      </c>
      <c r="BK135" s="4">
        <f t="shared" si="102"/>
        <v>1.7172086225794692E-2</v>
      </c>
      <c r="BL135" s="4">
        <f t="shared" si="103"/>
        <v>2.2296544035673715E-3</v>
      </c>
      <c r="BM135" s="4">
        <f t="shared" si="113"/>
        <v>1.7056095823208297E-2</v>
      </c>
      <c r="BN135" s="14">
        <f t="shared" si="114"/>
        <v>13684.489769301266</v>
      </c>
      <c r="BO135" s="15">
        <f t="shared" si="115"/>
        <v>13097.727523155749</v>
      </c>
      <c r="BP135" s="16">
        <v>13480</v>
      </c>
      <c r="BQ135" s="16">
        <v>13490</v>
      </c>
      <c r="BR135" s="16">
        <v>13475</v>
      </c>
      <c r="BS135" s="16">
        <v>13485</v>
      </c>
      <c r="BT135" s="16">
        <v>21239</v>
      </c>
      <c r="BU135" s="15">
        <f t="shared" si="104"/>
        <v>13483.333333333334</v>
      </c>
      <c r="BV135" s="15">
        <f t="shared" si="105"/>
        <v>286372516.66666669</v>
      </c>
      <c r="BW135" s="15">
        <f>SUM($BV$3:BV135)</f>
        <v>190461349431.66666</v>
      </c>
      <c r="BX135" s="15">
        <f>SUM($BT$3:BT135)</f>
        <v>14038390</v>
      </c>
      <c r="BY135" s="15">
        <f t="shared" si="106"/>
        <v>13567.178959386843</v>
      </c>
      <c r="BZ135" s="3">
        <v>133</v>
      </c>
      <c r="CA135" s="3">
        <f t="shared" si="107"/>
        <v>0</v>
      </c>
      <c r="CB135" s="3">
        <f t="shared" si="108"/>
        <v>0</v>
      </c>
      <c r="CC135" s="3">
        <f t="shared" si="109"/>
        <v>0</v>
      </c>
      <c r="CD135" s="3" t="str">
        <f t="shared" si="110"/>
        <v/>
      </c>
      <c r="CE135" s="3">
        <f t="shared" si="111"/>
        <v>0</v>
      </c>
    </row>
    <row r="136" spans="1:83" x14ac:dyDescent="0.3">
      <c r="A136" s="3" t="s">
        <v>176</v>
      </c>
      <c r="B136" s="3">
        <v>11615</v>
      </c>
      <c r="C136" s="3">
        <v>11620</v>
      </c>
      <c r="D136" s="3">
        <v>11460</v>
      </c>
      <c r="E136" s="3">
        <v>11460</v>
      </c>
      <c r="F136" s="3">
        <v>11715</v>
      </c>
      <c r="G136" s="3">
        <v>11705</v>
      </c>
      <c r="H136" s="3">
        <v>11550</v>
      </c>
      <c r="I136" s="3">
        <v>11555</v>
      </c>
      <c r="J136" s="3">
        <v>11700</v>
      </c>
      <c r="K136" s="3">
        <v>11705</v>
      </c>
      <c r="L136" s="3">
        <v>12020</v>
      </c>
      <c r="M136" s="3">
        <v>12005</v>
      </c>
      <c r="N136" s="3">
        <v>12545</v>
      </c>
      <c r="O136" s="3">
        <v>12550</v>
      </c>
      <c r="P136" s="3">
        <v>12710</v>
      </c>
      <c r="Q136" s="3">
        <v>12710</v>
      </c>
      <c r="R136" s="3">
        <v>12525</v>
      </c>
      <c r="S136" s="3">
        <v>12515</v>
      </c>
      <c r="T136" s="3">
        <v>12385</v>
      </c>
      <c r="U136" s="3">
        <v>12385</v>
      </c>
      <c r="V136" s="3">
        <v>12795</v>
      </c>
      <c r="W136" s="3">
        <v>12810</v>
      </c>
      <c r="X136" s="3">
        <v>12625</v>
      </c>
      <c r="Y136" s="3">
        <v>12645</v>
      </c>
      <c r="Z136" s="3">
        <v>12640</v>
      </c>
      <c r="AA136" s="3">
        <v>12645</v>
      </c>
      <c r="AB136" s="3">
        <v>13290</v>
      </c>
      <c r="AC136" s="3">
        <v>13305</v>
      </c>
      <c r="AD136" s="3">
        <v>13185</v>
      </c>
      <c r="AE136" s="3">
        <v>13190</v>
      </c>
      <c r="AF136" s="3">
        <v>13850</v>
      </c>
      <c r="AG136" s="3">
        <v>13855</v>
      </c>
      <c r="AH136" s="3">
        <v>14260</v>
      </c>
      <c r="AI136" s="3">
        <v>14255</v>
      </c>
      <c r="AJ136" s="3">
        <v>13540</v>
      </c>
      <c r="AK136" s="3">
        <v>13540</v>
      </c>
      <c r="AL136" s="3">
        <v>13790</v>
      </c>
      <c r="AM136" s="3">
        <v>13805</v>
      </c>
      <c r="AN136" s="3">
        <v>13455</v>
      </c>
      <c r="AO136" s="3">
        <v>13445</v>
      </c>
      <c r="AP136" s="3">
        <v>13485</v>
      </c>
      <c r="AQ136" s="3">
        <v>13485</v>
      </c>
      <c r="AR136" s="4">
        <f t="shared" si="112"/>
        <v>7.8057241977449454E-3</v>
      </c>
      <c r="AS136" s="4">
        <f t="shared" si="84"/>
        <v>7.7922077922077948E-3</v>
      </c>
      <c r="AT136" s="4">
        <f t="shared" si="85"/>
        <v>3.0369718309859239E-2</v>
      </c>
      <c r="AU136" s="4">
        <f t="shared" si="86"/>
        <v>1.9100169779286968E-2</v>
      </c>
      <c r="AV136" s="4">
        <f t="shared" si="87"/>
        <v>1.2831479897348341E-3</v>
      </c>
      <c r="AW136" s="4">
        <f t="shared" si="88"/>
        <v>1.2225969645868418E-2</v>
      </c>
      <c r="AX136" s="4">
        <f t="shared" si="89"/>
        <v>3.5905901774659466E-2</v>
      </c>
      <c r="AY136" s="4">
        <f t="shared" si="90"/>
        <v>5.4773082942096707E-3</v>
      </c>
      <c r="AZ136" s="4">
        <f t="shared" si="91"/>
        <v>2.3913909924272447E-3</v>
      </c>
      <c r="BA136" s="4">
        <f t="shared" si="92"/>
        <v>8.0808080808081328E-4</v>
      </c>
      <c r="BB136" s="4">
        <f t="shared" si="93"/>
        <v>3.8508309687879994E-2</v>
      </c>
      <c r="BC136" s="4">
        <f t="shared" si="94"/>
        <v>7.9145231499810897E-4</v>
      </c>
      <c r="BD136" s="4">
        <f t="shared" si="95"/>
        <v>1.5186915887850483E-2</v>
      </c>
      <c r="BE136" s="4">
        <f t="shared" si="96"/>
        <v>2.6224450443501635E-2</v>
      </c>
      <c r="BF136" s="4">
        <f t="shared" si="97"/>
        <v>7.6394194041253805E-3</v>
      </c>
      <c r="BG136" s="4">
        <f t="shared" si="98"/>
        <v>3.8995125609298853E-2</v>
      </c>
      <c r="BH136" s="4">
        <f t="shared" si="99"/>
        <v>2.4802300503235175E-2</v>
      </c>
      <c r="BI136" s="4">
        <f t="shared" si="100"/>
        <v>2.414414414414412E-2</v>
      </c>
      <c r="BJ136" s="4">
        <f t="shared" si="101"/>
        <v>6.1953352769679171E-3</v>
      </c>
      <c r="BK136" s="4">
        <f t="shared" si="102"/>
        <v>1.7537449762513702E-2</v>
      </c>
      <c r="BL136" s="4">
        <f t="shared" si="103"/>
        <v>2.2296544035673715E-3</v>
      </c>
      <c r="BM136" s="4">
        <f t="shared" si="113"/>
        <v>1.7471970350278039E-2</v>
      </c>
      <c r="BN136" s="14">
        <f t="shared" si="114"/>
        <v>13690.085361062993</v>
      </c>
      <c r="BO136" s="15">
        <f t="shared" si="115"/>
        <v>13092.185995082546</v>
      </c>
      <c r="BP136" s="16">
        <v>13485</v>
      </c>
      <c r="BQ136" s="16">
        <v>13490</v>
      </c>
      <c r="BR136" s="16">
        <v>13485</v>
      </c>
      <c r="BS136" s="16">
        <v>13485</v>
      </c>
      <c r="BT136" s="16">
        <v>24432</v>
      </c>
      <c r="BU136" s="15">
        <f t="shared" si="104"/>
        <v>13486.666666666666</v>
      </c>
      <c r="BV136" s="15">
        <f t="shared" si="105"/>
        <v>329506240</v>
      </c>
      <c r="BW136" s="15">
        <f>SUM($BV$3:BV136)</f>
        <v>190790855671.66666</v>
      </c>
      <c r="BX136" s="15">
        <f>SUM($BT$3:BT136)</f>
        <v>14062822</v>
      </c>
      <c r="BY136" s="15">
        <f t="shared" si="106"/>
        <v>13567.039081605859</v>
      </c>
      <c r="BZ136" s="3">
        <v>134</v>
      </c>
      <c r="CA136" s="3">
        <f t="shared" si="107"/>
        <v>0</v>
      </c>
      <c r="CB136" s="3">
        <f t="shared" si="108"/>
        <v>0</v>
      </c>
      <c r="CC136" s="3">
        <f t="shared" si="109"/>
        <v>0</v>
      </c>
      <c r="CD136" s="3" t="str">
        <f t="shared" si="110"/>
        <v/>
      </c>
      <c r="CE136" s="3">
        <f t="shared" si="111"/>
        <v>0</v>
      </c>
    </row>
    <row r="137" spans="1:83" x14ac:dyDescent="0.3">
      <c r="A137" s="3" t="s">
        <v>177</v>
      </c>
      <c r="B137" s="3">
        <v>11620</v>
      </c>
      <c r="C137" s="3">
        <v>11615</v>
      </c>
      <c r="D137" s="3">
        <v>11460</v>
      </c>
      <c r="E137" s="3">
        <v>11455</v>
      </c>
      <c r="F137" s="3">
        <v>11705</v>
      </c>
      <c r="G137" s="3">
        <v>11685</v>
      </c>
      <c r="H137" s="3">
        <v>11555</v>
      </c>
      <c r="I137" s="3">
        <v>11550</v>
      </c>
      <c r="J137" s="3">
        <v>11705</v>
      </c>
      <c r="K137" s="3">
        <v>11705</v>
      </c>
      <c r="L137" s="3">
        <v>12005</v>
      </c>
      <c r="M137" s="3">
        <v>12000</v>
      </c>
      <c r="N137" s="3">
        <v>12550</v>
      </c>
      <c r="O137" s="3">
        <v>12560</v>
      </c>
      <c r="P137" s="3">
        <v>12710</v>
      </c>
      <c r="Q137" s="3">
        <v>12710</v>
      </c>
      <c r="R137" s="3">
        <v>12515</v>
      </c>
      <c r="S137" s="3">
        <v>12525</v>
      </c>
      <c r="T137" s="3">
        <v>12385</v>
      </c>
      <c r="U137" s="3">
        <v>12395</v>
      </c>
      <c r="V137" s="3">
        <v>12810</v>
      </c>
      <c r="W137" s="3">
        <v>12795</v>
      </c>
      <c r="X137" s="3">
        <v>12645</v>
      </c>
      <c r="Y137" s="3">
        <v>12630</v>
      </c>
      <c r="Z137" s="3">
        <v>12645</v>
      </c>
      <c r="AA137" s="3">
        <v>12660</v>
      </c>
      <c r="AB137" s="3">
        <v>13305</v>
      </c>
      <c r="AC137" s="3">
        <v>13315</v>
      </c>
      <c r="AD137" s="3">
        <v>13190</v>
      </c>
      <c r="AE137" s="3">
        <v>13190</v>
      </c>
      <c r="AF137" s="3">
        <v>13855</v>
      </c>
      <c r="AG137" s="3">
        <v>13845</v>
      </c>
      <c r="AH137" s="3">
        <v>14255</v>
      </c>
      <c r="AI137" s="3">
        <v>14260</v>
      </c>
      <c r="AJ137" s="3">
        <v>13540</v>
      </c>
      <c r="AK137" s="3">
        <v>13540</v>
      </c>
      <c r="AL137" s="3">
        <v>13805</v>
      </c>
      <c r="AM137" s="3">
        <v>13805</v>
      </c>
      <c r="AN137" s="3">
        <v>13440</v>
      </c>
      <c r="AO137" s="3">
        <v>13440</v>
      </c>
      <c r="AP137" s="3">
        <v>13485</v>
      </c>
      <c r="AQ137" s="3">
        <v>13485</v>
      </c>
      <c r="AR137" s="4">
        <f t="shared" si="112"/>
        <v>7.3720728534258928E-3</v>
      </c>
      <c r="AS137" s="4">
        <f t="shared" si="84"/>
        <v>8.2251082251082464E-3</v>
      </c>
      <c r="AT137" s="4">
        <f t="shared" si="85"/>
        <v>2.8609154929577496E-2</v>
      </c>
      <c r="AU137" s="4">
        <f t="shared" si="86"/>
        <v>1.9524617996604432E-2</v>
      </c>
      <c r="AV137" s="4">
        <f t="shared" si="87"/>
        <v>1.2831479897348341E-3</v>
      </c>
      <c r="AW137" s="4">
        <f t="shared" si="88"/>
        <v>1.180438448566612E-2</v>
      </c>
      <c r="AX137" s="4">
        <f t="shared" si="89"/>
        <v>3.6731324803962018E-2</v>
      </c>
      <c r="AY137" s="4">
        <f t="shared" si="90"/>
        <v>5.4773082942096707E-3</v>
      </c>
      <c r="AZ137" s="4">
        <f t="shared" si="91"/>
        <v>1.5942606616181632E-3</v>
      </c>
      <c r="BA137" s="4">
        <f t="shared" si="92"/>
        <v>1.6161616161616266E-3</v>
      </c>
      <c r="BB137" s="4">
        <f t="shared" si="93"/>
        <v>3.7292257802999496E-2</v>
      </c>
      <c r="BC137" s="4">
        <f t="shared" si="94"/>
        <v>3.9572615749905449E-4</v>
      </c>
      <c r="BD137" s="4">
        <f t="shared" si="95"/>
        <v>1.4018691588784993E-2</v>
      </c>
      <c r="BE137" s="4">
        <f t="shared" si="96"/>
        <v>2.6995757809487042E-2</v>
      </c>
      <c r="BF137" s="4">
        <f t="shared" si="97"/>
        <v>7.6394194041253805E-3</v>
      </c>
      <c r="BG137" s="4">
        <f t="shared" si="98"/>
        <v>3.8245219347581516E-2</v>
      </c>
      <c r="BH137" s="4">
        <f t="shared" si="99"/>
        <v>2.5161754133716796E-2</v>
      </c>
      <c r="BI137" s="4">
        <f t="shared" si="100"/>
        <v>2.414414414414412E-2</v>
      </c>
      <c r="BJ137" s="4">
        <f t="shared" si="101"/>
        <v>6.1953352769679171E-3</v>
      </c>
      <c r="BK137" s="4">
        <f t="shared" si="102"/>
        <v>1.7902813299232712E-2</v>
      </c>
      <c r="BL137" s="4">
        <f t="shared" si="103"/>
        <v>2.2296544035673715E-3</v>
      </c>
      <c r="BM137" s="4">
        <f t="shared" si="113"/>
        <v>1.7386441024320749E-2</v>
      </c>
      <c r="BN137" s="14">
        <f t="shared" si="114"/>
        <v>13688.934563982235</v>
      </c>
      <c r="BO137" s="15">
        <f t="shared" si="115"/>
        <v>13093.325673350926</v>
      </c>
      <c r="BP137" s="16">
        <v>13485</v>
      </c>
      <c r="BQ137" s="16">
        <v>13495</v>
      </c>
      <c r="BR137" s="16">
        <v>13485</v>
      </c>
      <c r="BS137" s="16">
        <v>13485</v>
      </c>
      <c r="BT137" s="16">
        <v>29668</v>
      </c>
      <c r="BU137" s="15">
        <f t="shared" si="104"/>
        <v>13488.333333333334</v>
      </c>
      <c r="BV137" s="15">
        <f t="shared" si="105"/>
        <v>400171873.33333337</v>
      </c>
      <c r="BW137" s="15">
        <f>SUM($BV$3:BV137)</f>
        <v>191191027545</v>
      </c>
      <c r="BX137" s="15">
        <f>SUM($BT$3:BT137)</f>
        <v>14092490</v>
      </c>
      <c r="BY137" s="15">
        <f t="shared" si="106"/>
        <v>13566.873387527683</v>
      </c>
      <c r="BZ137" s="3">
        <v>135</v>
      </c>
      <c r="CA137" s="3">
        <f t="shared" si="107"/>
        <v>0</v>
      </c>
      <c r="CB137" s="3">
        <f t="shared" si="108"/>
        <v>0</v>
      </c>
      <c r="CC137" s="3">
        <f t="shared" si="109"/>
        <v>0</v>
      </c>
      <c r="CD137" s="3">
        <f t="shared" si="110"/>
        <v>0</v>
      </c>
      <c r="CE137" s="3">
        <f t="shared" si="111"/>
        <v>0</v>
      </c>
    </row>
    <row r="138" spans="1:83" x14ac:dyDescent="0.3">
      <c r="A138" s="3" t="s">
        <v>178</v>
      </c>
      <c r="B138" s="3">
        <v>11615</v>
      </c>
      <c r="C138" s="3">
        <v>11620</v>
      </c>
      <c r="D138" s="3">
        <v>11450</v>
      </c>
      <c r="E138" s="3">
        <v>11445</v>
      </c>
      <c r="F138" s="3">
        <v>11695</v>
      </c>
      <c r="G138" s="3">
        <v>11685</v>
      </c>
      <c r="H138" s="3">
        <v>11550</v>
      </c>
      <c r="I138" s="3">
        <v>11555</v>
      </c>
      <c r="J138" s="3">
        <v>11705</v>
      </c>
      <c r="K138" s="3">
        <v>11720</v>
      </c>
      <c r="L138" s="3">
        <v>12000</v>
      </c>
      <c r="M138" s="3">
        <v>11985</v>
      </c>
      <c r="N138" s="3">
        <v>12560</v>
      </c>
      <c r="O138" s="3">
        <v>12565</v>
      </c>
      <c r="P138" s="3">
        <v>12715</v>
      </c>
      <c r="Q138" s="3">
        <v>12730</v>
      </c>
      <c r="R138" s="3">
        <v>12525</v>
      </c>
      <c r="S138" s="3">
        <v>12540</v>
      </c>
      <c r="T138" s="3">
        <v>12395</v>
      </c>
      <c r="U138" s="3">
        <v>12400</v>
      </c>
      <c r="V138" s="3">
        <v>12800</v>
      </c>
      <c r="W138" s="3">
        <v>12810</v>
      </c>
      <c r="X138" s="3">
        <v>12630</v>
      </c>
      <c r="Y138" s="3">
        <v>12610</v>
      </c>
      <c r="Z138" s="3">
        <v>12660</v>
      </c>
      <c r="AA138" s="3">
        <v>12660</v>
      </c>
      <c r="AB138" s="3">
        <v>13310</v>
      </c>
      <c r="AC138" s="3">
        <v>13305</v>
      </c>
      <c r="AD138" s="3">
        <v>13195</v>
      </c>
      <c r="AE138" s="3">
        <v>13180</v>
      </c>
      <c r="AF138" s="3">
        <v>13850</v>
      </c>
      <c r="AG138" s="3">
        <v>13855</v>
      </c>
      <c r="AH138" s="3">
        <v>14260</v>
      </c>
      <c r="AI138" s="3">
        <v>14265</v>
      </c>
      <c r="AJ138" s="3">
        <v>13535</v>
      </c>
      <c r="AK138" s="3">
        <v>13545</v>
      </c>
      <c r="AL138" s="3">
        <v>13810</v>
      </c>
      <c r="AM138" s="3">
        <v>13800</v>
      </c>
      <c r="AN138" s="3">
        <v>13435</v>
      </c>
      <c r="AO138" s="3">
        <v>13425</v>
      </c>
      <c r="AP138" s="3">
        <v>13485</v>
      </c>
      <c r="AQ138" s="3">
        <v>13475</v>
      </c>
      <c r="AR138" s="4">
        <f t="shared" si="112"/>
        <v>7.8057241977449454E-3</v>
      </c>
      <c r="AS138" s="4">
        <f t="shared" si="84"/>
        <v>9.0909090909090384E-3</v>
      </c>
      <c r="AT138" s="4">
        <f t="shared" si="85"/>
        <v>2.8609154929577496E-2</v>
      </c>
      <c r="AU138" s="4">
        <f t="shared" si="86"/>
        <v>1.9100169779286968E-2</v>
      </c>
      <c r="AV138" s="4">
        <f t="shared" si="87"/>
        <v>2.5662959794696683E-3</v>
      </c>
      <c r="AW138" s="4">
        <f t="shared" si="88"/>
        <v>1.0539629005059004E-2</v>
      </c>
      <c r="AX138" s="4">
        <f t="shared" si="89"/>
        <v>3.7144036318613294E-2</v>
      </c>
      <c r="AY138" s="4">
        <f t="shared" si="90"/>
        <v>3.9123630672925902E-3</v>
      </c>
      <c r="AZ138" s="4">
        <f t="shared" si="91"/>
        <v>3.985651654045963E-4</v>
      </c>
      <c r="BA138" s="4">
        <f t="shared" si="92"/>
        <v>2.0202020202020332E-3</v>
      </c>
      <c r="BB138" s="4">
        <f t="shared" si="93"/>
        <v>3.8508309687879994E-2</v>
      </c>
      <c r="BC138" s="4">
        <f t="shared" si="94"/>
        <v>1.9786307874950504E-3</v>
      </c>
      <c r="BD138" s="4">
        <f t="shared" si="95"/>
        <v>1.4018691588784993E-2</v>
      </c>
      <c r="BE138" s="4">
        <f t="shared" si="96"/>
        <v>2.6224450443501635E-2</v>
      </c>
      <c r="BF138" s="4">
        <f t="shared" si="97"/>
        <v>6.8754774637127536E-3</v>
      </c>
      <c r="BG138" s="4">
        <f t="shared" si="98"/>
        <v>3.8995125609298853E-2</v>
      </c>
      <c r="BH138" s="4">
        <f t="shared" si="99"/>
        <v>2.5521207764198417E-2</v>
      </c>
      <c r="BI138" s="4">
        <f t="shared" si="100"/>
        <v>2.3783783783783763E-2</v>
      </c>
      <c r="BJ138" s="4">
        <f t="shared" si="101"/>
        <v>5.8309037900874383E-3</v>
      </c>
      <c r="BK138" s="4">
        <f t="shared" si="102"/>
        <v>1.8998903909389853E-2</v>
      </c>
      <c r="BL138" s="4">
        <f t="shared" si="103"/>
        <v>1.4864362690449884E-3</v>
      </c>
      <c r="BM138" s="4">
        <f t="shared" si="113"/>
        <v>1.7443617957117519E-2</v>
      </c>
      <c r="BN138" s="14">
        <f t="shared" si="114"/>
        <v>13689.703879613016</v>
      </c>
      <c r="BO138" s="15">
        <f t="shared" si="115"/>
        <v>13092.563790721408</v>
      </c>
      <c r="BP138" s="16">
        <v>13485</v>
      </c>
      <c r="BQ138" s="16">
        <v>13485</v>
      </c>
      <c r="BR138" s="16">
        <v>13470</v>
      </c>
      <c r="BS138" s="16">
        <v>13475</v>
      </c>
      <c r="BT138" s="16">
        <v>37771</v>
      </c>
      <c r="BU138" s="15">
        <f t="shared" si="104"/>
        <v>13476.666666666666</v>
      </c>
      <c r="BV138" s="15">
        <f t="shared" si="105"/>
        <v>509027176.66666663</v>
      </c>
      <c r="BW138" s="15">
        <f>SUM($BV$3:BV138)</f>
        <v>191700054721.66666</v>
      </c>
      <c r="BX138" s="15">
        <f>SUM($BT$3:BT138)</f>
        <v>14130261</v>
      </c>
      <c r="BY138" s="15">
        <f t="shared" si="106"/>
        <v>13566.632259776847</v>
      </c>
      <c r="BZ138" s="3">
        <v>136</v>
      </c>
      <c r="CA138" s="3">
        <f t="shared" si="107"/>
        <v>0</v>
      </c>
      <c r="CB138" s="3">
        <f t="shared" si="108"/>
        <v>0</v>
      </c>
      <c r="CC138" s="3">
        <f t="shared" si="109"/>
        <v>0</v>
      </c>
      <c r="CD138" s="3" t="str">
        <f t="shared" si="110"/>
        <v/>
      </c>
      <c r="CE138" s="3">
        <f t="shared" si="111"/>
        <v>0</v>
      </c>
    </row>
    <row r="139" spans="1:83" x14ac:dyDescent="0.3">
      <c r="A139" s="3" t="s">
        <v>179</v>
      </c>
      <c r="B139" s="3">
        <v>11625</v>
      </c>
      <c r="C139" s="3">
        <v>11630</v>
      </c>
      <c r="D139" s="3">
        <v>11445</v>
      </c>
      <c r="E139" s="3">
        <v>11455</v>
      </c>
      <c r="F139" s="3">
        <v>11690</v>
      </c>
      <c r="G139" s="3">
        <v>11695</v>
      </c>
      <c r="H139" s="3">
        <v>11560</v>
      </c>
      <c r="I139" s="3">
        <v>11565</v>
      </c>
      <c r="J139" s="3">
        <v>11720</v>
      </c>
      <c r="K139" s="3">
        <v>11720</v>
      </c>
      <c r="L139" s="3">
        <v>11990</v>
      </c>
      <c r="M139" s="3">
        <v>11990</v>
      </c>
      <c r="N139" s="3">
        <v>12565</v>
      </c>
      <c r="O139" s="3">
        <v>12580</v>
      </c>
      <c r="P139" s="3">
        <v>12730</v>
      </c>
      <c r="Q139" s="3">
        <v>12735</v>
      </c>
      <c r="R139" s="3">
        <v>12540</v>
      </c>
      <c r="S139" s="3">
        <v>12550</v>
      </c>
      <c r="T139" s="3">
        <v>12405</v>
      </c>
      <c r="U139" s="3">
        <v>12400</v>
      </c>
      <c r="V139" s="3">
        <v>12810</v>
      </c>
      <c r="W139" s="3">
        <v>12810</v>
      </c>
      <c r="X139" s="3">
        <v>12605</v>
      </c>
      <c r="Y139" s="3">
        <v>12610</v>
      </c>
      <c r="Z139" s="3">
        <v>12660</v>
      </c>
      <c r="AA139" s="3">
        <v>12645</v>
      </c>
      <c r="AB139" s="3">
        <v>13310</v>
      </c>
      <c r="AC139" s="3">
        <v>13305</v>
      </c>
      <c r="AD139" s="3">
        <v>13180</v>
      </c>
      <c r="AE139" s="3">
        <v>13175</v>
      </c>
      <c r="AF139" s="3">
        <v>13855</v>
      </c>
      <c r="AG139" s="3">
        <v>13855</v>
      </c>
      <c r="AH139" s="3">
        <v>14260</v>
      </c>
      <c r="AI139" s="3">
        <v>14255</v>
      </c>
      <c r="AJ139" s="3">
        <v>13545</v>
      </c>
      <c r="AK139" s="3">
        <v>13580</v>
      </c>
      <c r="AL139" s="3">
        <v>13800</v>
      </c>
      <c r="AM139" s="3">
        <v>13785</v>
      </c>
      <c r="AN139" s="3">
        <v>13425</v>
      </c>
      <c r="AO139" s="3">
        <v>13440</v>
      </c>
      <c r="AP139" s="3">
        <v>13475</v>
      </c>
      <c r="AQ139" s="3">
        <v>13475</v>
      </c>
      <c r="AR139" s="4">
        <f t="shared" si="112"/>
        <v>8.6730268863832727E-3</v>
      </c>
      <c r="AS139" s="4">
        <f t="shared" si="84"/>
        <v>8.2251082251082464E-3</v>
      </c>
      <c r="AT139" s="4">
        <f t="shared" si="85"/>
        <v>2.9489436619718257E-2</v>
      </c>
      <c r="AU139" s="4">
        <f t="shared" si="86"/>
        <v>1.825127334465193E-2</v>
      </c>
      <c r="AV139" s="4">
        <f t="shared" si="87"/>
        <v>2.5662959794696683E-3</v>
      </c>
      <c r="AW139" s="4">
        <f t="shared" si="88"/>
        <v>1.0961214165261302E-2</v>
      </c>
      <c r="AX139" s="4">
        <f t="shared" si="89"/>
        <v>3.8382170862567122E-2</v>
      </c>
      <c r="AY139" s="4">
        <f t="shared" si="90"/>
        <v>3.5211267605633756E-3</v>
      </c>
      <c r="AZ139" s="4">
        <f t="shared" si="91"/>
        <v>3.985651654045963E-4</v>
      </c>
      <c r="BA139" s="4">
        <f t="shared" si="92"/>
        <v>2.0202020202020332E-3</v>
      </c>
      <c r="BB139" s="4">
        <f t="shared" si="93"/>
        <v>3.8508309687879994E-2</v>
      </c>
      <c r="BC139" s="4">
        <f t="shared" si="94"/>
        <v>1.9786307874950504E-3</v>
      </c>
      <c r="BD139" s="4">
        <f t="shared" si="95"/>
        <v>1.5186915887850483E-2</v>
      </c>
      <c r="BE139" s="4">
        <f t="shared" si="96"/>
        <v>2.6224450443501635E-2</v>
      </c>
      <c r="BF139" s="4">
        <f t="shared" si="97"/>
        <v>6.4935064935065512E-3</v>
      </c>
      <c r="BG139" s="4">
        <f t="shared" si="98"/>
        <v>3.8995125609298853E-2</v>
      </c>
      <c r="BH139" s="4">
        <f t="shared" si="99"/>
        <v>2.4802300503235175E-2</v>
      </c>
      <c r="BI139" s="4">
        <f t="shared" si="100"/>
        <v>2.1261261261261266E-2</v>
      </c>
      <c r="BJ139" s="4">
        <f t="shared" si="101"/>
        <v>4.737609329446002E-3</v>
      </c>
      <c r="BK139" s="4">
        <f t="shared" si="102"/>
        <v>1.7902813299232712E-2</v>
      </c>
      <c r="BL139" s="4">
        <f t="shared" si="103"/>
        <v>1.4864362690449884E-3</v>
      </c>
      <c r="BM139" s="4">
        <f t="shared" si="113"/>
        <v>1.7172356293674633E-2</v>
      </c>
      <c r="BN139" s="14">
        <f t="shared" si="114"/>
        <v>13686.054053931392</v>
      </c>
      <c r="BO139" s="15">
        <f t="shared" si="115"/>
        <v>13096.178352386785</v>
      </c>
      <c r="BP139" s="16">
        <v>13475</v>
      </c>
      <c r="BQ139" s="16">
        <v>13480</v>
      </c>
      <c r="BR139" s="16">
        <v>13470</v>
      </c>
      <c r="BS139" s="16">
        <v>13475</v>
      </c>
      <c r="BT139" s="16">
        <v>18907</v>
      </c>
      <c r="BU139" s="15">
        <f t="shared" si="104"/>
        <v>13475</v>
      </c>
      <c r="BV139" s="15">
        <f t="shared" si="105"/>
        <v>254771825</v>
      </c>
      <c r="BW139" s="15">
        <f>SUM($BV$3:BV139)</f>
        <v>191954826546.66666</v>
      </c>
      <c r="BX139" s="15">
        <f>SUM($BT$3:BT139)</f>
        <v>14149168</v>
      </c>
      <c r="BY139" s="15">
        <f t="shared" si="106"/>
        <v>13566.509815041185</v>
      </c>
      <c r="BZ139" s="3">
        <v>137</v>
      </c>
      <c r="CA139" s="3">
        <f t="shared" si="107"/>
        <v>0</v>
      </c>
      <c r="CB139" s="3">
        <f t="shared" si="108"/>
        <v>0</v>
      </c>
      <c r="CC139" s="3">
        <f t="shared" si="109"/>
        <v>0</v>
      </c>
      <c r="CD139" s="3" t="str">
        <f t="shared" si="110"/>
        <v/>
      </c>
      <c r="CE139" s="3">
        <f t="shared" si="111"/>
        <v>0</v>
      </c>
    </row>
    <row r="140" spans="1:83" x14ac:dyDescent="0.3">
      <c r="A140" s="3" t="s">
        <v>180</v>
      </c>
      <c r="B140" s="3">
        <v>11625</v>
      </c>
      <c r="C140" s="3">
        <v>11640</v>
      </c>
      <c r="D140" s="3">
        <v>11455</v>
      </c>
      <c r="E140" s="3">
        <v>11435</v>
      </c>
      <c r="F140" s="3">
        <v>11690</v>
      </c>
      <c r="G140" s="3">
        <v>11690</v>
      </c>
      <c r="H140" s="3">
        <v>11565</v>
      </c>
      <c r="I140" s="3">
        <v>11555</v>
      </c>
      <c r="J140" s="3">
        <v>11720</v>
      </c>
      <c r="K140" s="3">
        <v>11730</v>
      </c>
      <c r="L140" s="3">
        <v>11990</v>
      </c>
      <c r="M140" s="3">
        <v>12000</v>
      </c>
      <c r="N140" s="3">
        <v>12580</v>
      </c>
      <c r="O140" s="3">
        <v>12565</v>
      </c>
      <c r="P140" s="3">
        <v>12740</v>
      </c>
      <c r="Q140" s="3">
        <v>12730</v>
      </c>
      <c r="R140" s="3">
        <v>12545</v>
      </c>
      <c r="S140" s="3">
        <v>12555</v>
      </c>
      <c r="T140" s="3">
        <v>12395</v>
      </c>
      <c r="U140" s="3">
        <v>12390</v>
      </c>
      <c r="V140" s="3">
        <v>12810</v>
      </c>
      <c r="W140" s="3">
        <v>12810</v>
      </c>
      <c r="X140" s="3">
        <v>12615</v>
      </c>
      <c r="Y140" s="3">
        <v>12610</v>
      </c>
      <c r="Z140" s="3">
        <v>12645</v>
      </c>
      <c r="AA140" s="3">
        <v>12640</v>
      </c>
      <c r="AB140" s="3">
        <v>13305</v>
      </c>
      <c r="AC140" s="3">
        <v>13305</v>
      </c>
      <c r="AD140" s="3">
        <v>13175</v>
      </c>
      <c r="AE140" s="3">
        <v>13175</v>
      </c>
      <c r="AF140" s="3">
        <v>13855</v>
      </c>
      <c r="AG140" s="3">
        <v>13835</v>
      </c>
      <c r="AH140" s="3">
        <v>14260</v>
      </c>
      <c r="AI140" s="3">
        <v>14255</v>
      </c>
      <c r="AJ140" s="3">
        <v>13580</v>
      </c>
      <c r="AK140" s="3">
        <v>13595</v>
      </c>
      <c r="AL140" s="3">
        <v>13785</v>
      </c>
      <c r="AM140" s="3">
        <v>13790</v>
      </c>
      <c r="AN140" s="3">
        <v>13435</v>
      </c>
      <c r="AO140" s="3">
        <v>13440</v>
      </c>
      <c r="AP140" s="3">
        <v>13470</v>
      </c>
      <c r="AQ140" s="3">
        <v>13485</v>
      </c>
      <c r="AR140" s="4">
        <f t="shared" si="112"/>
        <v>9.5403295750216E-3</v>
      </c>
      <c r="AS140" s="4">
        <f t="shared" si="84"/>
        <v>9.9567099567099415E-3</v>
      </c>
      <c r="AT140" s="4">
        <f t="shared" si="85"/>
        <v>2.9049295774647987E-2</v>
      </c>
      <c r="AU140" s="4">
        <f t="shared" si="86"/>
        <v>1.9100169779286968E-2</v>
      </c>
      <c r="AV140" s="4">
        <f t="shared" si="87"/>
        <v>3.4217279726260763E-3</v>
      </c>
      <c r="AW140" s="4">
        <f t="shared" si="88"/>
        <v>1.180438448566612E-2</v>
      </c>
      <c r="AX140" s="4">
        <f t="shared" si="89"/>
        <v>3.7144036318613294E-2</v>
      </c>
      <c r="AY140" s="4">
        <f t="shared" si="90"/>
        <v>3.9123630672925902E-3</v>
      </c>
      <c r="AZ140" s="4">
        <f t="shared" si="91"/>
        <v>7.971303308091926E-4</v>
      </c>
      <c r="BA140" s="4">
        <f t="shared" si="92"/>
        <v>1.2121212121212199E-3</v>
      </c>
      <c r="BB140" s="4">
        <f t="shared" si="93"/>
        <v>3.8508309687879994E-2</v>
      </c>
      <c r="BC140" s="4">
        <f t="shared" si="94"/>
        <v>1.9786307874950504E-3</v>
      </c>
      <c r="BD140" s="4">
        <f t="shared" si="95"/>
        <v>1.5576323987538943E-2</v>
      </c>
      <c r="BE140" s="4">
        <f t="shared" si="96"/>
        <v>2.6224450443501635E-2</v>
      </c>
      <c r="BF140" s="4">
        <f t="shared" si="97"/>
        <v>6.4935064935065512E-3</v>
      </c>
      <c r="BG140" s="4">
        <f t="shared" si="98"/>
        <v>3.7495313085864179E-2</v>
      </c>
      <c r="BH140" s="4">
        <f t="shared" si="99"/>
        <v>2.4802300503235175E-2</v>
      </c>
      <c r="BI140" s="4">
        <f t="shared" si="100"/>
        <v>2.0180180180180196E-2</v>
      </c>
      <c r="BJ140" s="4">
        <f t="shared" si="101"/>
        <v>5.1020408163264808E-3</v>
      </c>
      <c r="BK140" s="4">
        <f t="shared" si="102"/>
        <v>1.7902813299232712E-2</v>
      </c>
      <c r="BL140" s="4">
        <f t="shared" si="103"/>
        <v>2.2296544035673715E-3</v>
      </c>
      <c r="BM140" s="4">
        <f t="shared" si="113"/>
        <v>1.6952108586685517E-2</v>
      </c>
      <c r="BN140" s="14">
        <f t="shared" si="114"/>
        <v>13683.090621033853</v>
      </c>
      <c r="BO140" s="15">
        <f t="shared" si="115"/>
        <v>13099.113153082415</v>
      </c>
      <c r="BP140" s="16">
        <v>13470</v>
      </c>
      <c r="BQ140" s="16">
        <v>13485</v>
      </c>
      <c r="BR140" s="16">
        <v>13470</v>
      </c>
      <c r="BS140" s="16">
        <v>13485</v>
      </c>
      <c r="BT140" s="16">
        <v>27243</v>
      </c>
      <c r="BU140" s="15">
        <f t="shared" si="104"/>
        <v>13480</v>
      </c>
      <c r="BV140" s="15">
        <f t="shared" si="105"/>
        <v>367235640</v>
      </c>
      <c r="BW140" s="15">
        <f>SUM($BV$3:BV140)</f>
        <v>192322062186.66666</v>
      </c>
      <c r="BX140" s="15">
        <f>SUM($BT$3:BT140)</f>
        <v>14176411</v>
      </c>
      <c r="BY140" s="15">
        <f t="shared" si="106"/>
        <v>13566.343567964181</v>
      </c>
      <c r="BZ140" s="3">
        <v>138</v>
      </c>
      <c r="CA140" s="3">
        <f t="shared" si="107"/>
        <v>0</v>
      </c>
      <c r="CB140" s="3">
        <f t="shared" si="108"/>
        <v>0</v>
      </c>
      <c r="CC140" s="3">
        <f t="shared" si="109"/>
        <v>0</v>
      </c>
      <c r="CD140" s="3" t="str">
        <f t="shared" si="110"/>
        <v/>
      </c>
      <c r="CE140" s="3">
        <f t="shared" si="111"/>
        <v>0</v>
      </c>
    </row>
    <row r="141" spans="1:83" x14ac:dyDescent="0.3">
      <c r="A141" s="3" t="s">
        <v>181</v>
      </c>
      <c r="B141" s="3">
        <v>11640</v>
      </c>
      <c r="C141" s="3">
        <v>11645</v>
      </c>
      <c r="D141" s="3">
        <v>11435</v>
      </c>
      <c r="E141" s="3">
        <v>11450</v>
      </c>
      <c r="F141" s="3">
        <v>11690</v>
      </c>
      <c r="G141" s="3">
        <v>11675</v>
      </c>
      <c r="H141" s="3">
        <v>11565</v>
      </c>
      <c r="I141" s="3">
        <v>11555</v>
      </c>
      <c r="J141" s="3">
        <v>11725</v>
      </c>
      <c r="K141" s="3">
        <v>11725</v>
      </c>
      <c r="L141" s="3">
        <v>11995</v>
      </c>
      <c r="M141" s="3">
        <v>11995</v>
      </c>
      <c r="N141" s="3">
        <v>12565</v>
      </c>
      <c r="O141" s="3">
        <v>12570</v>
      </c>
      <c r="P141" s="3">
        <v>12735</v>
      </c>
      <c r="Q141" s="3">
        <v>12740</v>
      </c>
      <c r="R141" s="3">
        <v>12560</v>
      </c>
      <c r="S141" s="3">
        <v>12575</v>
      </c>
      <c r="T141" s="3">
        <v>12390</v>
      </c>
      <c r="U141" s="3">
        <v>12375</v>
      </c>
      <c r="V141" s="3">
        <v>12810</v>
      </c>
      <c r="W141" s="3">
        <v>12805</v>
      </c>
      <c r="X141" s="3">
        <v>12610</v>
      </c>
      <c r="Y141" s="3">
        <v>12605</v>
      </c>
      <c r="Z141" s="3">
        <v>12640</v>
      </c>
      <c r="AA141" s="3">
        <v>12640</v>
      </c>
      <c r="AB141" s="3">
        <v>13300</v>
      </c>
      <c r="AC141" s="3">
        <v>13300</v>
      </c>
      <c r="AD141" s="3">
        <v>13175</v>
      </c>
      <c r="AE141" s="3">
        <v>13175</v>
      </c>
      <c r="AF141" s="3">
        <v>13835</v>
      </c>
      <c r="AG141" s="3">
        <v>13830</v>
      </c>
      <c r="AH141" s="3">
        <v>14255</v>
      </c>
      <c r="AI141" s="3">
        <v>14240</v>
      </c>
      <c r="AJ141" s="3">
        <v>13595</v>
      </c>
      <c r="AK141" s="3">
        <v>13595</v>
      </c>
      <c r="AL141" s="3">
        <v>13790</v>
      </c>
      <c r="AM141" s="3">
        <v>13790</v>
      </c>
      <c r="AN141" s="3">
        <v>13440</v>
      </c>
      <c r="AO141" s="3">
        <v>13420</v>
      </c>
      <c r="AP141" s="3">
        <v>13485</v>
      </c>
      <c r="AQ141" s="3">
        <v>13510</v>
      </c>
      <c r="AR141" s="4">
        <f t="shared" si="112"/>
        <v>9.9739809193408746E-3</v>
      </c>
      <c r="AS141" s="4">
        <f t="shared" si="84"/>
        <v>8.6580086580086979E-3</v>
      </c>
      <c r="AT141" s="4">
        <f t="shared" si="85"/>
        <v>2.7728873239436513E-2</v>
      </c>
      <c r="AU141" s="4">
        <f t="shared" si="86"/>
        <v>1.9100169779286968E-2</v>
      </c>
      <c r="AV141" s="4">
        <f t="shared" si="87"/>
        <v>2.9940119760478723E-3</v>
      </c>
      <c r="AW141" s="4">
        <f t="shared" si="88"/>
        <v>1.1382799325463822E-2</v>
      </c>
      <c r="AX141" s="4">
        <f t="shared" si="89"/>
        <v>3.755674783326457E-2</v>
      </c>
      <c r="AY141" s="4">
        <f t="shared" si="90"/>
        <v>3.129890453834161E-3</v>
      </c>
      <c r="AZ141" s="4">
        <f t="shared" si="91"/>
        <v>2.3913909924273558E-3</v>
      </c>
      <c r="BA141" s="4">
        <f t="shared" si="92"/>
        <v>0</v>
      </c>
      <c r="BB141" s="4">
        <f t="shared" si="93"/>
        <v>3.8102959059586494E-2</v>
      </c>
      <c r="BC141" s="4">
        <f t="shared" si="94"/>
        <v>2.3743569449941049E-3</v>
      </c>
      <c r="BD141" s="4">
        <f t="shared" si="95"/>
        <v>1.5576323987538943E-2</v>
      </c>
      <c r="BE141" s="4">
        <f t="shared" si="96"/>
        <v>2.5838796760509153E-2</v>
      </c>
      <c r="BF141" s="4">
        <f t="shared" si="97"/>
        <v>6.4935064935065512E-3</v>
      </c>
      <c r="BG141" s="4">
        <f t="shared" si="98"/>
        <v>3.7120359955005622E-2</v>
      </c>
      <c r="BH141" s="4">
        <f t="shared" si="99"/>
        <v>2.372393961179009E-2</v>
      </c>
      <c r="BI141" s="4">
        <f t="shared" si="100"/>
        <v>2.0180180180180196E-2</v>
      </c>
      <c r="BJ141" s="4">
        <f t="shared" si="101"/>
        <v>5.1020408163264808E-3</v>
      </c>
      <c r="BK141" s="4">
        <f t="shared" si="102"/>
        <v>1.9364267446108863E-2</v>
      </c>
      <c r="BL141" s="4">
        <f t="shared" si="103"/>
        <v>4.0876997398735515E-3</v>
      </c>
      <c r="BM141" s="4">
        <f t="shared" si="113"/>
        <v>1.692534003821947E-2</v>
      </c>
      <c r="BN141" s="14">
        <f t="shared" si="114"/>
        <v>13682.730450214243</v>
      </c>
      <c r="BO141" s="15">
        <f t="shared" si="115"/>
        <v>13099.469843990726</v>
      </c>
      <c r="BP141" s="16">
        <v>13485</v>
      </c>
      <c r="BQ141" s="16">
        <v>13510</v>
      </c>
      <c r="BR141" s="16">
        <v>13480</v>
      </c>
      <c r="BS141" s="16">
        <v>13510</v>
      </c>
      <c r="BT141" s="16">
        <v>19230</v>
      </c>
      <c r="BU141" s="15">
        <f t="shared" si="104"/>
        <v>13500</v>
      </c>
      <c r="BV141" s="15">
        <f t="shared" si="105"/>
        <v>259605000</v>
      </c>
      <c r="BW141" s="15">
        <f>SUM($BV$3:BV141)</f>
        <v>192581667186.66666</v>
      </c>
      <c r="BX141" s="15">
        <f>SUM($BT$3:BT141)</f>
        <v>14195641</v>
      </c>
      <c r="BY141" s="15">
        <f t="shared" si="106"/>
        <v>13566.253696234404</v>
      </c>
      <c r="BZ141" s="3">
        <v>139</v>
      </c>
      <c r="CA141" s="3">
        <f t="shared" si="107"/>
        <v>0</v>
      </c>
      <c r="CB141" s="3">
        <f t="shared" si="108"/>
        <v>0</v>
      </c>
      <c r="CC141" s="3">
        <f t="shared" si="109"/>
        <v>0</v>
      </c>
      <c r="CD141" s="3" t="str">
        <f t="shared" si="110"/>
        <v/>
      </c>
      <c r="CE141" s="3">
        <f t="shared" si="111"/>
        <v>0</v>
      </c>
    </row>
    <row r="142" spans="1:83" x14ac:dyDescent="0.3">
      <c r="A142" s="3" t="s">
        <v>182</v>
      </c>
      <c r="B142" s="3">
        <v>11645</v>
      </c>
      <c r="C142" s="3">
        <v>11655</v>
      </c>
      <c r="D142" s="3">
        <v>11450</v>
      </c>
      <c r="E142" s="3">
        <v>11465</v>
      </c>
      <c r="F142" s="3">
        <v>11680</v>
      </c>
      <c r="G142" s="3">
        <v>11685</v>
      </c>
      <c r="H142" s="3">
        <v>11555</v>
      </c>
      <c r="I142" s="3">
        <v>11560</v>
      </c>
      <c r="J142" s="3">
        <v>11720</v>
      </c>
      <c r="K142" s="3">
        <v>11715</v>
      </c>
      <c r="L142" s="3">
        <v>11990</v>
      </c>
      <c r="M142" s="3">
        <v>11960</v>
      </c>
      <c r="N142" s="3">
        <v>12575</v>
      </c>
      <c r="O142" s="3">
        <v>12575</v>
      </c>
      <c r="P142" s="3">
        <v>12740</v>
      </c>
      <c r="Q142" s="3">
        <v>12740</v>
      </c>
      <c r="R142" s="3">
        <v>12580</v>
      </c>
      <c r="S142" s="3">
        <v>12580</v>
      </c>
      <c r="T142" s="3">
        <v>12380</v>
      </c>
      <c r="U142" s="3">
        <v>12380</v>
      </c>
      <c r="V142" s="3">
        <v>12805</v>
      </c>
      <c r="W142" s="3">
        <v>12810</v>
      </c>
      <c r="X142" s="3">
        <v>12605</v>
      </c>
      <c r="Y142" s="3">
        <v>12595</v>
      </c>
      <c r="Z142" s="3">
        <v>12640</v>
      </c>
      <c r="AA142" s="3">
        <v>12655</v>
      </c>
      <c r="AB142" s="3">
        <v>13300</v>
      </c>
      <c r="AC142" s="3">
        <v>13295</v>
      </c>
      <c r="AD142" s="3">
        <v>13175</v>
      </c>
      <c r="AE142" s="3">
        <v>13175</v>
      </c>
      <c r="AF142" s="3">
        <v>13830</v>
      </c>
      <c r="AG142" s="3">
        <v>13845</v>
      </c>
      <c r="AH142" s="3">
        <v>14240</v>
      </c>
      <c r="AI142" s="3">
        <v>14240</v>
      </c>
      <c r="AJ142" s="3">
        <v>13595</v>
      </c>
      <c r="AK142" s="3">
        <v>13605</v>
      </c>
      <c r="AL142" s="3">
        <v>13795</v>
      </c>
      <c r="AM142" s="3">
        <v>13815</v>
      </c>
      <c r="AN142" s="3">
        <v>13420</v>
      </c>
      <c r="AO142" s="3">
        <v>13410</v>
      </c>
      <c r="AP142" s="3">
        <v>13510</v>
      </c>
      <c r="AQ142" s="3">
        <v>13525</v>
      </c>
      <c r="AR142" s="4">
        <f t="shared" si="112"/>
        <v>1.0841283607979202E-2</v>
      </c>
      <c r="AS142" s="4">
        <f t="shared" si="84"/>
        <v>7.3593073593073433E-3</v>
      </c>
      <c r="AT142" s="4">
        <f t="shared" si="85"/>
        <v>2.8609154929577496E-2</v>
      </c>
      <c r="AU142" s="4">
        <f t="shared" si="86"/>
        <v>1.8675721561969394E-2</v>
      </c>
      <c r="AV142" s="4">
        <f t="shared" si="87"/>
        <v>2.1385799828914642E-3</v>
      </c>
      <c r="AW142" s="4">
        <f t="shared" si="88"/>
        <v>8.4317032040472917E-3</v>
      </c>
      <c r="AX142" s="4">
        <f t="shared" si="89"/>
        <v>3.7969459347915846E-2</v>
      </c>
      <c r="AY142" s="4">
        <f t="shared" si="90"/>
        <v>3.129890453834161E-3</v>
      </c>
      <c r="AZ142" s="4">
        <f t="shared" si="91"/>
        <v>2.78995615783173E-3</v>
      </c>
      <c r="BA142" s="4">
        <f t="shared" si="92"/>
        <v>4.0404040404040664E-4</v>
      </c>
      <c r="BB142" s="4">
        <f t="shared" si="93"/>
        <v>3.8508309687879994E-2</v>
      </c>
      <c r="BC142" s="4">
        <f t="shared" si="94"/>
        <v>3.1658092599921028E-3</v>
      </c>
      <c r="BD142" s="4">
        <f t="shared" si="95"/>
        <v>1.4408099688473563E-2</v>
      </c>
      <c r="BE142" s="4">
        <f t="shared" si="96"/>
        <v>2.5453143077516449E-2</v>
      </c>
      <c r="BF142" s="4">
        <f t="shared" si="97"/>
        <v>6.4935064935065512E-3</v>
      </c>
      <c r="BG142" s="4">
        <f t="shared" si="98"/>
        <v>3.8245219347581516E-2</v>
      </c>
      <c r="BH142" s="4">
        <f t="shared" si="99"/>
        <v>2.372393961179009E-2</v>
      </c>
      <c r="BI142" s="4">
        <f t="shared" si="100"/>
        <v>1.9459459459459483E-2</v>
      </c>
      <c r="BJ142" s="4">
        <f t="shared" si="101"/>
        <v>6.9241982507288746E-3</v>
      </c>
      <c r="BK142" s="4">
        <f t="shared" si="102"/>
        <v>2.0094994519546994E-2</v>
      </c>
      <c r="BL142" s="4">
        <f t="shared" si="103"/>
        <v>5.2025269416573483E-3</v>
      </c>
      <c r="BM142" s="4">
        <f t="shared" si="113"/>
        <v>1.7197858982864127E-2</v>
      </c>
      <c r="BN142" s="14">
        <f t="shared" si="114"/>
        <v>13686.397192614437</v>
      </c>
      <c r="BO142" s="15">
        <f t="shared" si="115"/>
        <v>13095.838529053337</v>
      </c>
      <c r="BP142" s="16">
        <v>13510</v>
      </c>
      <c r="BQ142" s="16">
        <v>13530</v>
      </c>
      <c r="BR142" s="16">
        <v>13500</v>
      </c>
      <c r="BS142" s="16">
        <v>13525</v>
      </c>
      <c r="BT142" s="16">
        <v>43094</v>
      </c>
      <c r="BU142" s="15">
        <f t="shared" si="104"/>
        <v>13518.333333333334</v>
      </c>
      <c r="BV142" s="15">
        <f t="shared" si="105"/>
        <v>582559056.66666675</v>
      </c>
      <c r="BW142" s="15">
        <f>SUM($BV$3:BV142)</f>
        <v>193164226243.33331</v>
      </c>
      <c r="BX142" s="15">
        <f>SUM($BT$3:BT142)</f>
        <v>14238735</v>
      </c>
      <c r="BY142" s="15">
        <f t="shared" si="106"/>
        <v>13566.108663679275</v>
      </c>
      <c r="BZ142" s="3">
        <v>140</v>
      </c>
      <c r="CA142" s="3">
        <f t="shared" si="107"/>
        <v>0</v>
      </c>
      <c r="CB142" s="3">
        <f t="shared" si="108"/>
        <v>0</v>
      </c>
      <c r="CC142" s="3">
        <f t="shared" si="109"/>
        <v>0</v>
      </c>
      <c r="CD142" s="3" t="str">
        <f t="shared" si="110"/>
        <v/>
      </c>
      <c r="CE142" s="3">
        <f t="shared" si="111"/>
        <v>0</v>
      </c>
    </row>
    <row r="143" spans="1:83" x14ac:dyDescent="0.3">
      <c r="A143" s="3" t="s">
        <v>183</v>
      </c>
      <c r="B143" s="3">
        <v>11655</v>
      </c>
      <c r="C143" s="3">
        <v>11650</v>
      </c>
      <c r="D143" s="3">
        <v>11465</v>
      </c>
      <c r="E143" s="3">
        <v>11470</v>
      </c>
      <c r="F143" s="3">
        <v>11685</v>
      </c>
      <c r="G143" s="3">
        <v>11680</v>
      </c>
      <c r="H143" s="3">
        <v>11565</v>
      </c>
      <c r="I143" s="3">
        <v>11545</v>
      </c>
      <c r="J143" s="3">
        <v>11715</v>
      </c>
      <c r="K143" s="3">
        <v>11720</v>
      </c>
      <c r="L143" s="3">
        <v>11960</v>
      </c>
      <c r="M143" s="3">
        <v>11965</v>
      </c>
      <c r="N143" s="3">
        <v>12575</v>
      </c>
      <c r="O143" s="3">
        <v>12575</v>
      </c>
      <c r="P143" s="3">
        <v>12740</v>
      </c>
      <c r="Q143" s="3">
        <v>12740</v>
      </c>
      <c r="R143" s="3">
        <v>12580</v>
      </c>
      <c r="S143" s="3">
        <v>12585</v>
      </c>
      <c r="T143" s="3">
        <v>12380</v>
      </c>
      <c r="U143" s="3">
        <v>12380</v>
      </c>
      <c r="V143" s="3">
        <v>12810</v>
      </c>
      <c r="W143" s="3">
        <v>12810</v>
      </c>
      <c r="X143" s="3">
        <v>12600</v>
      </c>
      <c r="Y143" s="3">
        <v>12595</v>
      </c>
      <c r="Z143" s="3">
        <v>12655</v>
      </c>
      <c r="AA143" s="3">
        <v>12645</v>
      </c>
      <c r="AB143" s="3">
        <v>13290</v>
      </c>
      <c r="AC143" s="3">
        <v>13305</v>
      </c>
      <c r="AD143" s="3">
        <v>13180</v>
      </c>
      <c r="AE143" s="3">
        <v>13180</v>
      </c>
      <c r="AF143" s="3">
        <v>13840</v>
      </c>
      <c r="AG143" s="3">
        <v>13845</v>
      </c>
      <c r="AH143" s="3">
        <v>14240</v>
      </c>
      <c r="AI143" s="3">
        <v>14245</v>
      </c>
      <c r="AJ143" s="3">
        <v>13600</v>
      </c>
      <c r="AK143" s="3">
        <v>13565</v>
      </c>
      <c r="AL143" s="3">
        <v>13820</v>
      </c>
      <c r="AM143" s="3">
        <v>13805</v>
      </c>
      <c r="AN143" s="3">
        <v>13410</v>
      </c>
      <c r="AO143" s="3">
        <v>13420</v>
      </c>
      <c r="AP143" s="3">
        <v>13530</v>
      </c>
      <c r="AQ143" s="3">
        <v>13520</v>
      </c>
      <c r="AR143" s="4">
        <f t="shared" si="112"/>
        <v>1.0407632263659927E-2</v>
      </c>
      <c r="AS143" s="4">
        <f t="shared" si="84"/>
        <v>6.9264069264068917E-3</v>
      </c>
      <c r="AT143" s="4">
        <f t="shared" si="85"/>
        <v>2.8169014084507005E-2</v>
      </c>
      <c r="AU143" s="4">
        <f t="shared" si="86"/>
        <v>1.9949066213921895E-2</v>
      </c>
      <c r="AV143" s="4">
        <f t="shared" si="87"/>
        <v>2.5662959794696683E-3</v>
      </c>
      <c r="AW143" s="4">
        <f t="shared" si="88"/>
        <v>8.8532883642495896E-3</v>
      </c>
      <c r="AX143" s="4">
        <f t="shared" si="89"/>
        <v>3.7969459347915846E-2</v>
      </c>
      <c r="AY143" s="4">
        <f t="shared" si="90"/>
        <v>3.129890453834161E-3</v>
      </c>
      <c r="AZ143" s="4">
        <f t="shared" si="91"/>
        <v>3.1885213232363263E-3</v>
      </c>
      <c r="BA143" s="4">
        <f t="shared" si="92"/>
        <v>4.0404040404040664E-4</v>
      </c>
      <c r="BB143" s="4">
        <f t="shared" si="93"/>
        <v>3.8508309687879994E-2</v>
      </c>
      <c r="BC143" s="4">
        <f t="shared" si="94"/>
        <v>3.1658092599921028E-3</v>
      </c>
      <c r="BD143" s="4">
        <f t="shared" si="95"/>
        <v>1.5186915887850483E-2</v>
      </c>
      <c r="BE143" s="4">
        <f t="shared" si="96"/>
        <v>2.6224450443501635E-2</v>
      </c>
      <c r="BF143" s="4">
        <f t="shared" si="97"/>
        <v>6.8754774637127536E-3</v>
      </c>
      <c r="BG143" s="4">
        <f t="shared" si="98"/>
        <v>3.8245219347581516E-2</v>
      </c>
      <c r="BH143" s="4">
        <f t="shared" si="99"/>
        <v>2.4083393242271711E-2</v>
      </c>
      <c r="BI143" s="4">
        <f t="shared" si="100"/>
        <v>2.2342342342342336E-2</v>
      </c>
      <c r="BJ143" s="4">
        <f t="shared" si="101"/>
        <v>6.1953352769679171E-3</v>
      </c>
      <c r="BK143" s="4">
        <f t="shared" si="102"/>
        <v>1.9364267446108863E-2</v>
      </c>
      <c r="BL143" s="4">
        <f t="shared" si="103"/>
        <v>4.8309178743961567E-3</v>
      </c>
      <c r="BM143" s="4">
        <f t="shared" si="113"/>
        <v>1.7491673709088291E-2</v>
      </c>
      <c r="BN143" s="14">
        <f t="shared" si="114"/>
        <v>13690.350469755782</v>
      </c>
      <c r="BO143" s="15">
        <f t="shared" si="115"/>
        <v>13091.923447826399</v>
      </c>
      <c r="BP143" s="16">
        <v>13530</v>
      </c>
      <c r="BQ143" s="16">
        <v>13530</v>
      </c>
      <c r="BR143" s="16">
        <v>13505</v>
      </c>
      <c r="BS143" s="16">
        <v>13520</v>
      </c>
      <c r="BT143" s="16">
        <v>29742</v>
      </c>
      <c r="BU143" s="15">
        <f t="shared" si="104"/>
        <v>13518.333333333334</v>
      </c>
      <c r="BV143" s="15">
        <f t="shared" si="105"/>
        <v>402062270</v>
      </c>
      <c r="BW143" s="15">
        <f>SUM($BV$3:BV143)</f>
        <v>193566288513.33331</v>
      </c>
      <c r="BX143" s="15">
        <f>SUM($BT$3:BT143)</f>
        <v>14268477</v>
      </c>
      <c r="BY143" s="15">
        <f t="shared" si="106"/>
        <v>13566.009078147115</v>
      </c>
      <c r="BZ143" s="3">
        <v>141</v>
      </c>
      <c r="CA143" s="3">
        <f t="shared" si="107"/>
        <v>0</v>
      </c>
      <c r="CB143" s="3">
        <f t="shared" si="108"/>
        <v>0</v>
      </c>
      <c r="CC143" s="3">
        <f t="shared" si="109"/>
        <v>0</v>
      </c>
      <c r="CD143" s="3" t="str">
        <f t="shared" si="110"/>
        <v/>
      </c>
      <c r="CE143" s="3">
        <f t="shared" si="111"/>
        <v>0</v>
      </c>
    </row>
    <row r="144" spans="1:83" x14ac:dyDescent="0.3">
      <c r="A144" s="3" t="s">
        <v>184</v>
      </c>
      <c r="B144" s="3">
        <v>11655</v>
      </c>
      <c r="C144" s="3">
        <v>11640</v>
      </c>
      <c r="D144" s="3">
        <v>11470</v>
      </c>
      <c r="E144" s="3">
        <v>11475</v>
      </c>
      <c r="F144" s="3">
        <v>11675</v>
      </c>
      <c r="G144" s="3">
        <v>11675</v>
      </c>
      <c r="H144" s="3">
        <v>11545</v>
      </c>
      <c r="I144" s="3">
        <v>11540</v>
      </c>
      <c r="J144" s="3">
        <v>11720</v>
      </c>
      <c r="K144" s="3">
        <v>11715</v>
      </c>
      <c r="L144" s="3">
        <v>11970</v>
      </c>
      <c r="M144" s="3">
        <v>11980</v>
      </c>
      <c r="N144" s="3">
        <v>12575</v>
      </c>
      <c r="O144" s="3">
        <v>12580</v>
      </c>
      <c r="P144" s="3">
        <v>12740</v>
      </c>
      <c r="Q144" s="3">
        <v>12740</v>
      </c>
      <c r="R144" s="3">
        <v>12585</v>
      </c>
      <c r="S144" s="3">
        <v>12590</v>
      </c>
      <c r="T144" s="3">
        <v>12375</v>
      </c>
      <c r="U144" s="3">
        <v>12405</v>
      </c>
      <c r="V144" s="3">
        <v>12815</v>
      </c>
      <c r="W144" s="3">
        <v>12810</v>
      </c>
      <c r="X144" s="3">
        <v>12600</v>
      </c>
      <c r="Y144" s="3">
        <v>12590</v>
      </c>
      <c r="Z144" s="3">
        <v>12640</v>
      </c>
      <c r="AA144" s="3">
        <v>12640</v>
      </c>
      <c r="AB144" s="3">
        <v>13305</v>
      </c>
      <c r="AC144" s="3">
        <v>13300</v>
      </c>
      <c r="AD144" s="3">
        <v>13185</v>
      </c>
      <c r="AE144" s="3">
        <v>13185</v>
      </c>
      <c r="AF144" s="3">
        <v>13850</v>
      </c>
      <c r="AG144" s="3">
        <v>13855</v>
      </c>
      <c r="AH144" s="3">
        <v>14245</v>
      </c>
      <c r="AI144" s="3">
        <v>14250</v>
      </c>
      <c r="AJ144" s="3">
        <v>13560</v>
      </c>
      <c r="AK144" s="3">
        <v>13545</v>
      </c>
      <c r="AL144" s="3">
        <v>13805</v>
      </c>
      <c r="AM144" s="3">
        <v>13800</v>
      </c>
      <c r="AN144" s="3">
        <v>13415</v>
      </c>
      <c r="AO144" s="3">
        <v>13435</v>
      </c>
      <c r="AP144" s="3">
        <v>13520</v>
      </c>
      <c r="AQ144" s="3">
        <v>13530</v>
      </c>
      <c r="AR144" s="4">
        <f t="shared" si="112"/>
        <v>9.5403295750216E-3</v>
      </c>
      <c r="AS144" s="4">
        <f t="shared" si="84"/>
        <v>6.4935064935064402E-3</v>
      </c>
      <c r="AT144" s="4">
        <f t="shared" si="85"/>
        <v>2.7728873239436513E-2</v>
      </c>
      <c r="AU144" s="4">
        <f t="shared" si="86"/>
        <v>2.0373514431239359E-2</v>
      </c>
      <c r="AV144" s="4">
        <f t="shared" si="87"/>
        <v>2.1385799828914642E-3</v>
      </c>
      <c r="AW144" s="4">
        <f t="shared" si="88"/>
        <v>1.0118043844856706E-2</v>
      </c>
      <c r="AX144" s="4">
        <f t="shared" si="89"/>
        <v>3.8382170862567122E-2</v>
      </c>
      <c r="AY144" s="4">
        <f t="shared" si="90"/>
        <v>3.129890453834161E-3</v>
      </c>
      <c r="AZ144" s="4">
        <f t="shared" si="91"/>
        <v>3.5870864886409226E-3</v>
      </c>
      <c r="BA144" s="4">
        <f t="shared" si="92"/>
        <v>2.4242424242424399E-3</v>
      </c>
      <c r="BB144" s="4">
        <f t="shared" si="93"/>
        <v>3.8508309687879994E-2</v>
      </c>
      <c r="BC144" s="4">
        <f t="shared" si="94"/>
        <v>3.5615354174910463E-3</v>
      </c>
      <c r="BD144" s="4">
        <f t="shared" si="95"/>
        <v>1.5576323987538943E-2</v>
      </c>
      <c r="BE144" s="4">
        <f t="shared" si="96"/>
        <v>2.5838796760509153E-2</v>
      </c>
      <c r="BF144" s="4">
        <f t="shared" si="97"/>
        <v>7.257448433918956E-3</v>
      </c>
      <c r="BG144" s="4">
        <f t="shared" si="98"/>
        <v>3.8995125609298853E-2</v>
      </c>
      <c r="BH144" s="4">
        <f t="shared" si="99"/>
        <v>2.4442846872753332E-2</v>
      </c>
      <c r="BI144" s="4">
        <f t="shared" si="100"/>
        <v>2.3783783783783763E-2</v>
      </c>
      <c r="BJ144" s="4">
        <f t="shared" si="101"/>
        <v>5.8309037900874383E-3</v>
      </c>
      <c r="BK144" s="4">
        <f t="shared" si="102"/>
        <v>1.8268176835951722E-2</v>
      </c>
      <c r="BL144" s="4">
        <f t="shared" si="103"/>
        <v>5.5741360089185399E-3</v>
      </c>
      <c r="BM144" s="4">
        <f t="shared" si="113"/>
        <v>1.7827617243464131E-2</v>
      </c>
      <c r="BN144" s="14">
        <f t="shared" si="114"/>
        <v>13694.870590010811</v>
      </c>
      <c r="BO144" s="15">
        <f t="shared" si="115"/>
        <v>13087.447000230841</v>
      </c>
      <c r="BP144" s="16">
        <v>13520</v>
      </c>
      <c r="BQ144" s="16">
        <v>13535</v>
      </c>
      <c r="BR144" s="16">
        <v>13515</v>
      </c>
      <c r="BS144" s="16">
        <v>13530</v>
      </c>
      <c r="BT144" s="16">
        <v>34273</v>
      </c>
      <c r="BU144" s="15">
        <f t="shared" si="104"/>
        <v>13526.666666666666</v>
      </c>
      <c r="BV144" s="15">
        <f t="shared" si="105"/>
        <v>463599446.66666663</v>
      </c>
      <c r="BW144" s="15">
        <f>SUM($BV$3:BV144)</f>
        <v>194029887959.99997</v>
      </c>
      <c r="BX144" s="15">
        <f>SUM($BT$3:BT144)</f>
        <v>14302750</v>
      </c>
      <c r="BY144" s="15">
        <f t="shared" si="106"/>
        <v>13565.914803796471</v>
      </c>
      <c r="BZ144" s="3">
        <v>142</v>
      </c>
      <c r="CA144" s="3">
        <f t="shared" si="107"/>
        <v>0</v>
      </c>
      <c r="CB144" s="3">
        <f t="shared" si="108"/>
        <v>0</v>
      </c>
      <c r="CC144" s="3">
        <f t="shared" si="109"/>
        <v>0</v>
      </c>
      <c r="CD144" s="3" t="str">
        <f t="shared" si="110"/>
        <v/>
      </c>
      <c r="CE144" s="3">
        <f t="shared" si="111"/>
        <v>0</v>
      </c>
    </row>
    <row r="145" spans="1:83" x14ac:dyDescent="0.3">
      <c r="A145" s="3" t="s">
        <v>185</v>
      </c>
      <c r="B145" s="3">
        <v>11640</v>
      </c>
      <c r="C145" s="3">
        <v>11640</v>
      </c>
      <c r="D145" s="3">
        <v>11475</v>
      </c>
      <c r="E145" s="3">
        <v>11470</v>
      </c>
      <c r="F145" s="3">
        <v>11670</v>
      </c>
      <c r="G145" s="3">
        <v>11670</v>
      </c>
      <c r="H145" s="3">
        <v>11535</v>
      </c>
      <c r="I145" s="3">
        <v>11535</v>
      </c>
      <c r="J145" s="3">
        <v>11715</v>
      </c>
      <c r="K145" s="3">
        <v>11720</v>
      </c>
      <c r="L145" s="3">
        <v>11980</v>
      </c>
      <c r="M145" s="3">
        <v>11980</v>
      </c>
      <c r="N145" s="3">
        <v>12580</v>
      </c>
      <c r="O145" s="3">
        <v>12580</v>
      </c>
      <c r="P145" s="3">
        <v>12740</v>
      </c>
      <c r="Q145" s="3">
        <v>12750</v>
      </c>
      <c r="R145" s="3">
        <v>12590</v>
      </c>
      <c r="S145" s="3">
        <v>12565</v>
      </c>
      <c r="T145" s="3">
        <v>12410</v>
      </c>
      <c r="U145" s="3">
        <v>12385</v>
      </c>
      <c r="V145" s="3">
        <v>12815</v>
      </c>
      <c r="W145" s="3">
        <v>12830</v>
      </c>
      <c r="X145" s="3">
        <v>12595</v>
      </c>
      <c r="Y145" s="3">
        <v>12595</v>
      </c>
      <c r="Z145" s="3">
        <v>12645</v>
      </c>
      <c r="AA145" s="3">
        <v>12640</v>
      </c>
      <c r="AB145" s="3">
        <v>13300</v>
      </c>
      <c r="AC145" s="3">
        <v>13295</v>
      </c>
      <c r="AD145" s="3">
        <v>13185</v>
      </c>
      <c r="AE145" s="3">
        <v>13200</v>
      </c>
      <c r="AF145" s="3">
        <v>13855</v>
      </c>
      <c r="AG145" s="3">
        <v>13860</v>
      </c>
      <c r="AH145" s="3">
        <v>14250</v>
      </c>
      <c r="AI145" s="3">
        <v>14245</v>
      </c>
      <c r="AJ145" s="3">
        <v>13540</v>
      </c>
      <c r="AK145" s="3">
        <v>13565</v>
      </c>
      <c r="AL145" s="3">
        <v>13800</v>
      </c>
      <c r="AM145" s="3">
        <v>13795</v>
      </c>
      <c r="AN145" s="3">
        <v>13435</v>
      </c>
      <c r="AO145" s="3">
        <v>13450</v>
      </c>
      <c r="AP145" s="3">
        <v>13535</v>
      </c>
      <c r="AQ145" s="3">
        <v>13525</v>
      </c>
      <c r="AR145" s="4">
        <f t="shared" si="112"/>
        <v>9.5403295750216E-3</v>
      </c>
      <c r="AS145" s="4">
        <f t="shared" si="84"/>
        <v>6.9264069264068917E-3</v>
      </c>
      <c r="AT145" s="4">
        <f t="shared" si="85"/>
        <v>2.7288732394366244E-2</v>
      </c>
      <c r="AU145" s="4">
        <f t="shared" si="86"/>
        <v>2.0797962648556823E-2</v>
      </c>
      <c r="AV145" s="4">
        <f t="shared" si="87"/>
        <v>2.5662959794696683E-3</v>
      </c>
      <c r="AW145" s="4">
        <f t="shared" si="88"/>
        <v>1.0118043844856706E-2</v>
      </c>
      <c r="AX145" s="4">
        <f t="shared" si="89"/>
        <v>3.8382170862567122E-2</v>
      </c>
      <c r="AY145" s="4">
        <f t="shared" si="90"/>
        <v>2.3474178403756207E-3</v>
      </c>
      <c r="AZ145" s="4">
        <f t="shared" si="91"/>
        <v>1.5942606616181632E-3</v>
      </c>
      <c r="BA145" s="4">
        <f t="shared" si="92"/>
        <v>8.0808080808081328E-4</v>
      </c>
      <c r="BB145" s="4">
        <f t="shared" si="93"/>
        <v>4.0129712201053991E-2</v>
      </c>
      <c r="BC145" s="4">
        <f t="shared" si="94"/>
        <v>3.1658092599921028E-3</v>
      </c>
      <c r="BD145" s="4">
        <f t="shared" si="95"/>
        <v>1.5576323987538943E-2</v>
      </c>
      <c r="BE145" s="4">
        <f t="shared" si="96"/>
        <v>2.5453143077516449E-2</v>
      </c>
      <c r="BF145" s="4">
        <f t="shared" si="97"/>
        <v>8.4033613445377853E-3</v>
      </c>
      <c r="BG145" s="4">
        <f t="shared" si="98"/>
        <v>3.937007874015741E-2</v>
      </c>
      <c r="BH145" s="4">
        <f t="shared" si="99"/>
        <v>2.4083393242271711E-2</v>
      </c>
      <c r="BI145" s="4">
        <f t="shared" si="100"/>
        <v>2.2342342342342336E-2</v>
      </c>
      <c r="BJ145" s="4">
        <f t="shared" si="101"/>
        <v>5.4664723032069595E-3</v>
      </c>
      <c r="BK145" s="4">
        <f t="shared" si="102"/>
        <v>1.7172086225794692E-2</v>
      </c>
      <c r="BL145" s="4">
        <f t="shared" si="103"/>
        <v>5.2025269416573483E-3</v>
      </c>
      <c r="BM145" s="4">
        <f t="shared" si="113"/>
        <v>1.7449618064075294E-2</v>
      </c>
      <c r="BN145" s="14">
        <f t="shared" si="114"/>
        <v>13689.784611052133</v>
      </c>
      <c r="BO145" s="15">
        <f t="shared" si="115"/>
        <v>13092.483839296197</v>
      </c>
      <c r="BP145" s="16">
        <v>13535</v>
      </c>
      <c r="BQ145" s="16">
        <v>13535</v>
      </c>
      <c r="BR145" s="16">
        <v>13520</v>
      </c>
      <c r="BS145" s="16">
        <v>13525</v>
      </c>
      <c r="BT145" s="16">
        <v>12995</v>
      </c>
      <c r="BU145" s="15">
        <f t="shared" si="104"/>
        <v>13526.666666666666</v>
      </c>
      <c r="BV145" s="15">
        <f t="shared" si="105"/>
        <v>175779033.33333331</v>
      </c>
      <c r="BW145" s="15">
        <f>SUM($BV$3:BV145)</f>
        <v>194205666993.33331</v>
      </c>
      <c r="BX145" s="15">
        <f>SUM($BT$3:BT145)</f>
        <v>14315745</v>
      </c>
      <c r="BY145" s="15">
        <f t="shared" si="106"/>
        <v>13565.879176622195</v>
      </c>
      <c r="BZ145" s="3">
        <v>143</v>
      </c>
      <c r="CA145" s="3">
        <f t="shared" si="107"/>
        <v>0</v>
      </c>
      <c r="CB145" s="3">
        <f t="shared" si="108"/>
        <v>0</v>
      </c>
      <c r="CC145" s="3">
        <f t="shared" si="109"/>
        <v>0</v>
      </c>
      <c r="CD145" s="3" t="str">
        <f t="shared" si="110"/>
        <v/>
      </c>
      <c r="CE145" s="3">
        <f t="shared" si="111"/>
        <v>0</v>
      </c>
    </row>
    <row r="146" spans="1:83" x14ac:dyDescent="0.3">
      <c r="A146" s="3" t="s">
        <v>186</v>
      </c>
      <c r="B146" s="3">
        <v>11640</v>
      </c>
      <c r="C146" s="3">
        <v>11655</v>
      </c>
      <c r="D146" s="3">
        <v>11470</v>
      </c>
      <c r="E146" s="3">
        <v>11475</v>
      </c>
      <c r="F146" s="3">
        <v>11665</v>
      </c>
      <c r="G146" s="3">
        <v>11635</v>
      </c>
      <c r="H146" s="3">
        <v>11535</v>
      </c>
      <c r="I146" s="3">
        <v>11540</v>
      </c>
      <c r="J146" s="3">
        <v>11720</v>
      </c>
      <c r="K146" s="3">
        <v>11720</v>
      </c>
      <c r="L146" s="3">
        <v>11980</v>
      </c>
      <c r="M146" s="3">
        <v>11990</v>
      </c>
      <c r="N146" s="3">
        <v>12580</v>
      </c>
      <c r="O146" s="3">
        <v>12570</v>
      </c>
      <c r="P146" s="3">
        <v>12755</v>
      </c>
      <c r="Q146" s="3">
        <v>12775</v>
      </c>
      <c r="R146" s="3">
        <v>12565</v>
      </c>
      <c r="S146" s="3">
        <v>12580</v>
      </c>
      <c r="T146" s="3">
        <v>12390</v>
      </c>
      <c r="U146" s="3">
        <v>12385</v>
      </c>
      <c r="V146" s="3">
        <v>12825</v>
      </c>
      <c r="W146" s="3">
        <v>12820</v>
      </c>
      <c r="X146" s="3">
        <v>12600</v>
      </c>
      <c r="Y146" s="3">
        <v>12590</v>
      </c>
      <c r="Z146" s="3">
        <v>12640</v>
      </c>
      <c r="AA146" s="3">
        <v>12640</v>
      </c>
      <c r="AB146" s="3">
        <v>13300</v>
      </c>
      <c r="AC146" s="3">
        <v>13295</v>
      </c>
      <c r="AD146" s="3">
        <v>13200</v>
      </c>
      <c r="AE146" s="3">
        <v>13195</v>
      </c>
      <c r="AF146" s="3">
        <v>13865</v>
      </c>
      <c r="AG146" s="3">
        <v>13875</v>
      </c>
      <c r="AH146" s="3">
        <v>14245</v>
      </c>
      <c r="AI146" s="3">
        <v>14245</v>
      </c>
      <c r="AJ146" s="3">
        <v>13560</v>
      </c>
      <c r="AK146" s="3">
        <v>13540</v>
      </c>
      <c r="AL146" s="3">
        <v>13795</v>
      </c>
      <c r="AM146" s="3">
        <v>13790</v>
      </c>
      <c r="AN146" s="3">
        <v>13450</v>
      </c>
      <c r="AO146" s="3">
        <v>13450</v>
      </c>
      <c r="AP146" s="3">
        <v>13525</v>
      </c>
      <c r="AQ146" s="3">
        <v>13525</v>
      </c>
      <c r="AR146" s="4">
        <f t="shared" si="112"/>
        <v>1.0841283607979202E-2</v>
      </c>
      <c r="AS146" s="4">
        <f t="shared" si="84"/>
        <v>6.4935064935064402E-3</v>
      </c>
      <c r="AT146" s="4">
        <f t="shared" si="85"/>
        <v>2.4207746478873249E-2</v>
      </c>
      <c r="AU146" s="4">
        <f t="shared" si="86"/>
        <v>2.0373514431239359E-2</v>
      </c>
      <c r="AV146" s="4">
        <f t="shared" si="87"/>
        <v>2.5662959794696683E-3</v>
      </c>
      <c r="AW146" s="4">
        <f t="shared" si="88"/>
        <v>1.0961214165261302E-2</v>
      </c>
      <c r="AX146" s="4">
        <f t="shared" si="89"/>
        <v>3.755674783326457E-2</v>
      </c>
      <c r="AY146" s="4">
        <f t="shared" si="90"/>
        <v>3.9123630672921461E-4</v>
      </c>
      <c r="AZ146" s="4">
        <f t="shared" si="91"/>
        <v>2.78995615783173E-3</v>
      </c>
      <c r="BA146" s="4">
        <f t="shared" si="92"/>
        <v>8.0808080808081328E-4</v>
      </c>
      <c r="BB146" s="4">
        <f t="shared" si="93"/>
        <v>3.9319010944466992E-2</v>
      </c>
      <c r="BC146" s="4">
        <f t="shared" si="94"/>
        <v>3.5615354174910463E-3</v>
      </c>
      <c r="BD146" s="4">
        <f t="shared" si="95"/>
        <v>1.5576323987538943E-2</v>
      </c>
      <c r="BE146" s="4">
        <f t="shared" si="96"/>
        <v>2.5453143077516449E-2</v>
      </c>
      <c r="BF146" s="4">
        <f t="shared" si="97"/>
        <v>8.0213903743315829E-3</v>
      </c>
      <c r="BG146" s="4">
        <f t="shared" si="98"/>
        <v>4.0494938132733305E-2</v>
      </c>
      <c r="BH146" s="4">
        <f t="shared" si="99"/>
        <v>2.4083393242271711E-2</v>
      </c>
      <c r="BI146" s="4">
        <f t="shared" si="100"/>
        <v>2.414414414414412E-2</v>
      </c>
      <c r="BJ146" s="4">
        <f t="shared" si="101"/>
        <v>5.1020408163264808E-3</v>
      </c>
      <c r="BK146" s="4">
        <f t="shared" si="102"/>
        <v>1.7172086225794692E-2</v>
      </c>
      <c r="BL146" s="4">
        <f t="shared" si="103"/>
        <v>5.2025269416573483E-3</v>
      </c>
      <c r="BM146" s="4">
        <f t="shared" si="113"/>
        <v>1.7462430533465832E-2</v>
      </c>
      <c r="BN146" s="14">
        <f t="shared" si="114"/>
        <v>13689.957002827783</v>
      </c>
      <c r="BO146" s="15">
        <f t="shared" si="115"/>
        <v>13092.313113141567</v>
      </c>
      <c r="BP146" s="16">
        <v>13525</v>
      </c>
      <c r="BQ146" s="16">
        <v>13525</v>
      </c>
      <c r="BR146" s="16">
        <v>13520</v>
      </c>
      <c r="BS146" s="16">
        <v>13525</v>
      </c>
      <c r="BT146" s="16">
        <v>10823</v>
      </c>
      <c r="BU146" s="15">
        <f t="shared" si="104"/>
        <v>13523.333333333334</v>
      </c>
      <c r="BV146" s="15">
        <f t="shared" si="105"/>
        <v>146363036.66666669</v>
      </c>
      <c r="BW146" s="15">
        <f>SUM($BV$3:BV146)</f>
        <v>194352030029.99997</v>
      </c>
      <c r="BX146" s="15">
        <f>SUM($BT$3:BT146)</f>
        <v>14326568</v>
      </c>
      <c r="BY146" s="15">
        <f t="shared" si="106"/>
        <v>13565.847035382094</v>
      </c>
      <c r="BZ146" s="3">
        <v>144</v>
      </c>
      <c r="CA146" s="3">
        <f t="shared" si="107"/>
        <v>0</v>
      </c>
      <c r="CB146" s="3">
        <f t="shared" si="108"/>
        <v>0</v>
      </c>
      <c r="CC146" s="3">
        <f t="shared" si="109"/>
        <v>0</v>
      </c>
      <c r="CD146" s="3" t="str">
        <f t="shared" si="110"/>
        <v/>
      </c>
      <c r="CE146" s="3">
        <f t="shared" si="111"/>
        <v>0</v>
      </c>
    </row>
    <row r="147" spans="1:83" x14ac:dyDescent="0.3">
      <c r="A147" s="3" t="s">
        <v>187</v>
      </c>
      <c r="B147" s="3">
        <v>11655</v>
      </c>
      <c r="C147" s="3">
        <v>11650</v>
      </c>
      <c r="D147" s="3">
        <v>11480</v>
      </c>
      <c r="E147" s="3">
        <v>11475</v>
      </c>
      <c r="F147" s="3">
        <v>11640</v>
      </c>
      <c r="G147" s="3">
        <v>11655</v>
      </c>
      <c r="H147" s="3">
        <v>11540</v>
      </c>
      <c r="I147" s="3">
        <v>11535</v>
      </c>
      <c r="J147" s="3">
        <v>11715</v>
      </c>
      <c r="K147" s="3">
        <v>11715</v>
      </c>
      <c r="L147" s="3">
        <v>11990</v>
      </c>
      <c r="M147" s="3">
        <v>11995</v>
      </c>
      <c r="N147" s="3">
        <v>12575</v>
      </c>
      <c r="O147" s="3">
        <v>12575</v>
      </c>
      <c r="P147" s="3">
        <v>12775</v>
      </c>
      <c r="Q147" s="3">
        <v>12780</v>
      </c>
      <c r="R147" s="3">
        <v>12580</v>
      </c>
      <c r="S147" s="3">
        <v>12575</v>
      </c>
      <c r="T147" s="3">
        <v>12385</v>
      </c>
      <c r="U147" s="3">
        <v>12380</v>
      </c>
      <c r="V147" s="3">
        <v>12825</v>
      </c>
      <c r="W147" s="3">
        <v>12825</v>
      </c>
      <c r="X147" s="3">
        <v>12590</v>
      </c>
      <c r="Y147" s="3">
        <v>12580</v>
      </c>
      <c r="Z147" s="3">
        <v>12645</v>
      </c>
      <c r="AA147" s="3">
        <v>12640</v>
      </c>
      <c r="AB147" s="3">
        <v>13290</v>
      </c>
      <c r="AC147" s="3">
        <v>13290</v>
      </c>
      <c r="AD147" s="3">
        <v>13195</v>
      </c>
      <c r="AE147" s="3">
        <v>13200</v>
      </c>
      <c r="AF147" s="3">
        <v>13875</v>
      </c>
      <c r="AG147" s="3">
        <v>13880</v>
      </c>
      <c r="AH147" s="3">
        <v>14245</v>
      </c>
      <c r="AI147" s="3">
        <v>14255</v>
      </c>
      <c r="AJ147" s="3">
        <v>13535</v>
      </c>
      <c r="AK147" s="3">
        <v>13535</v>
      </c>
      <c r="AL147" s="3">
        <v>13790</v>
      </c>
      <c r="AM147" s="3">
        <v>13775</v>
      </c>
      <c r="AN147" s="3">
        <v>13450</v>
      </c>
      <c r="AO147" s="3">
        <v>13440</v>
      </c>
      <c r="AP147" s="3">
        <v>13520</v>
      </c>
      <c r="AQ147" s="3">
        <v>13510</v>
      </c>
      <c r="AR147" s="4">
        <f t="shared" si="112"/>
        <v>1.0407632263659927E-2</v>
      </c>
      <c r="AS147" s="4">
        <f t="shared" si="84"/>
        <v>6.4935064935064402E-3</v>
      </c>
      <c r="AT147" s="4">
        <f t="shared" si="85"/>
        <v>2.5968309859154992E-2</v>
      </c>
      <c r="AU147" s="4">
        <f t="shared" si="86"/>
        <v>2.0797962648556823E-2</v>
      </c>
      <c r="AV147" s="4">
        <f t="shared" si="87"/>
        <v>2.1385799828914642E-3</v>
      </c>
      <c r="AW147" s="4">
        <f t="shared" si="88"/>
        <v>1.1382799325463822E-2</v>
      </c>
      <c r="AX147" s="4">
        <f t="shared" si="89"/>
        <v>3.7969459347915846E-2</v>
      </c>
      <c r="AY147" s="4">
        <f t="shared" si="90"/>
        <v>0</v>
      </c>
      <c r="AZ147" s="4">
        <f t="shared" si="91"/>
        <v>2.3913909924273558E-3</v>
      </c>
      <c r="BA147" s="4">
        <f t="shared" si="92"/>
        <v>4.0404040404040664E-4</v>
      </c>
      <c r="BB147" s="4">
        <f t="shared" si="93"/>
        <v>3.9724361572760492E-2</v>
      </c>
      <c r="BC147" s="4">
        <f t="shared" si="94"/>
        <v>4.3529877324891553E-3</v>
      </c>
      <c r="BD147" s="4">
        <f t="shared" si="95"/>
        <v>1.5576323987538943E-2</v>
      </c>
      <c r="BE147" s="4">
        <f t="shared" si="96"/>
        <v>2.5067489394523745E-2</v>
      </c>
      <c r="BF147" s="4">
        <f t="shared" si="97"/>
        <v>8.4033613445377853E-3</v>
      </c>
      <c r="BG147" s="4">
        <f t="shared" si="98"/>
        <v>4.0869891263592084E-2</v>
      </c>
      <c r="BH147" s="4">
        <f t="shared" si="99"/>
        <v>2.4802300503235175E-2</v>
      </c>
      <c r="BI147" s="4">
        <f t="shared" si="100"/>
        <v>2.4504504504504476E-2</v>
      </c>
      <c r="BJ147" s="4">
        <f t="shared" si="101"/>
        <v>4.0087463556850444E-3</v>
      </c>
      <c r="BK147" s="4">
        <f t="shared" si="102"/>
        <v>1.7902813299232712E-2</v>
      </c>
      <c r="BL147" s="4">
        <f t="shared" si="103"/>
        <v>4.0876997398735515E-3</v>
      </c>
      <c r="BM147" s="4">
        <f t="shared" si="113"/>
        <v>1.7569833621605944E-2</v>
      </c>
      <c r="BN147" s="14">
        <f t="shared" si="114"/>
        <v>13691.402111378708</v>
      </c>
      <c r="BO147" s="15">
        <f t="shared" si="115"/>
        <v>13090.881966992101</v>
      </c>
      <c r="BP147" s="16">
        <v>13520</v>
      </c>
      <c r="BQ147" s="16">
        <v>13525</v>
      </c>
      <c r="BR147" s="16">
        <v>13510</v>
      </c>
      <c r="BS147" s="16">
        <v>13510</v>
      </c>
      <c r="BT147" s="16">
        <v>22571</v>
      </c>
      <c r="BU147" s="15">
        <f t="shared" si="104"/>
        <v>13515</v>
      </c>
      <c r="BV147" s="15">
        <f t="shared" si="105"/>
        <v>305047065</v>
      </c>
      <c r="BW147" s="15">
        <f>SUM($BV$3:BV147)</f>
        <v>194657077094.99997</v>
      </c>
      <c r="BX147" s="15">
        <f>SUM($BT$3:BT147)</f>
        <v>14349139</v>
      </c>
      <c r="BY147" s="15">
        <f t="shared" si="106"/>
        <v>13565.767053688724</v>
      </c>
      <c r="BZ147" s="3">
        <v>145</v>
      </c>
      <c r="CA147" s="3">
        <f t="shared" si="107"/>
        <v>0</v>
      </c>
      <c r="CB147" s="3">
        <f t="shared" si="108"/>
        <v>0</v>
      </c>
      <c r="CC147" s="3">
        <f t="shared" si="109"/>
        <v>0</v>
      </c>
      <c r="CD147" s="3" t="str">
        <f t="shared" si="110"/>
        <v/>
      </c>
      <c r="CE147" s="3">
        <f t="shared" si="111"/>
        <v>0</v>
      </c>
    </row>
    <row r="148" spans="1:83" x14ac:dyDescent="0.3">
      <c r="A148" s="3" t="s">
        <v>188</v>
      </c>
      <c r="B148" s="3">
        <v>11650</v>
      </c>
      <c r="C148" s="3">
        <v>11650</v>
      </c>
      <c r="D148" s="3">
        <v>11475</v>
      </c>
      <c r="E148" s="3">
        <v>11475</v>
      </c>
      <c r="F148" s="3">
        <v>11655</v>
      </c>
      <c r="G148" s="3">
        <v>11660</v>
      </c>
      <c r="H148" s="3">
        <v>11535</v>
      </c>
      <c r="I148" s="3">
        <v>11525</v>
      </c>
      <c r="J148" s="3">
        <v>11715</v>
      </c>
      <c r="K148" s="3">
        <v>11715</v>
      </c>
      <c r="L148" s="3">
        <v>11995</v>
      </c>
      <c r="M148" s="3">
        <v>12000</v>
      </c>
      <c r="N148" s="3">
        <v>12580</v>
      </c>
      <c r="O148" s="3">
        <v>12575</v>
      </c>
      <c r="P148" s="3">
        <v>12780</v>
      </c>
      <c r="Q148" s="3">
        <v>12785</v>
      </c>
      <c r="R148" s="3">
        <v>12575</v>
      </c>
      <c r="S148" s="3">
        <v>12575</v>
      </c>
      <c r="T148" s="3">
        <v>12385</v>
      </c>
      <c r="U148" s="3">
        <v>12390</v>
      </c>
      <c r="V148" s="3">
        <v>12830</v>
      </c>
      <c r="W148" s="3">
        <v>12830</v>
      </c>
      <c r="X148" s="3">
        <v>12580</v>
      </c>
      <c r="Y148" s="3">
        <v>12570</v>
      </c>
      <c r="Z148" s="3">
        <v>12640</v>
      </c>
      <c r="AA148" s="3">
        <v>12640</v>
      </c>
      <c r="AB148" s="3">
        <v>13290</v>
      </c>
      <c r="AC148" s="3">
        <v>13295</v>
      </c>
      <c r="AD148" s="3">
        <v>13205</v>
      </c>
      <c r="AE148" s="3">
        <v>13200</v>
      </c>
      <c r="AF148" s="3">
        <v>13875</v>
      </c>
      <c r="AG148" s="3">
        <v>13880</v>
      </c>
      <c r="AH148" s="3">
        <v>14255</v>
      </c>
      <c r="AI148" s="3">
        <v>14260</v>
      </c>
      <c r="AJ148" s="3">
        <v>13530</v>
      </c>
      <c r="AK148" s="3">
        <v>13550</v>
      </c>
      <c r="AL148" s="3">
        <v>13775</v>
      </c>
      <c r="AM148" s="3">
        <v>13770</v>
      </c>
      <c r="AN148" s="3">
        <v>13440</v>
      </c>
      <c r="AO148" s="3">
        <v>13445</v>
      </c>
      <c r="AP148" s="3">
        <v>13510</v>
      </c>
      <c r="AQ148" s="3">
        <v>13520</v>
      </c>
      <c r="AR148" s="4">
        <f t="shared" si="112"/>
        <v>1.0407632263659927E-2</v>
      </c>
      <c r="AS148" s="4">
        <f t="shared" si="84"/>
        <v>6.4935064935064402E-3</v>
      </c>
      <c r="AT148" s="4">
        <f t="shared" si="85"/>
        <v>2.6408450704225261E-2</v>
      </c>
      <c r="AU148" s="4">
        <f t="shared" si="86"/>
        <v>2.1646859083191861E-2</v>
      </c>
      <c r="AV148" s="4">
        <f t="shared" si="87"/>
        <v>2.1385799828914642E-3</v>
      </c>
      <c r="AW148" s="4">
        <f t="shared" si="88"/>
        <v>1.180438448566612E-2</v>
      </c>
      <c r="AX148" s="4">
        <f t="shared" si="89"/>
        <v>3.7969459347915846E-2</v>
      </c>
      <c r="AY148" s="4">
        <f t="shared" si="90"/>
        <v>3.9123630672932563E-4</v>
      </c>
      <c r="AZ148" s="4">
        <f t="shared" si="91"/>
        <v>2.3913909924273558E-3</v>
      </c>
      <c r="BA148" s="4">
        <f t="shared" si="92"/>
        <v>1.2121212121212199E-3</v>
      </c>
      <c r="BB148" s="4">
        <f t="shared" si="93"/>
        <v>4.0129712201053991E-2</v>
      </c>
      <c r="BC148" s="4">
        <f t="shared" si="94"/>
        <v>5.1444400474871532E-3</v>
      </c>
      <c r="BD148" s="4">
        <f t="shared" si="95"/>
        <v>1.5576323987538943E-2</v>
      </c>
      <c r="BE148" s="4">
        <f t="shared" si="96"/>
        <v>2.5453143077516449E-2</v>
      </c>
      <c r="BF148" s="4">
        <f t="shared" si="97"/>
        <v>8.4033613445377853E-3</v>
      </c>
      <c r="BG148" s="4">
        <f t="shared" si="98"/>
        <v>4.0869891263592084E-2</v>
      </c>
      <c r="BH148" s="4">
        <f t="shared" si="99"/>
        <v>2.5161754133716796E-2</v>
      </c>
      <c r="BI148" s="4">
        <f t="shared" si="100"/>
        <v>2.3423423423423406E-2</v>
      </c>
      <c r="BJ148" s="4">
        <f t="shared" si="101"/>
        <v>3.6443148688045657E-3</v>
      </c>
      <c r="BK148" s="4">
        <f t="shared" si="102"/>
        <v>1.7537449762513702E-2</v>
      </c>
      <c r="BL148" s="4">
        <f t="shared" si="103"/>
        <v>4.8309178743961567E-3</v>
      </c>
      <c r="BM148" s="4">
        <f t="shared" si="113"/>
        <v>1.7664858712098472E-2</v>
      </c>
      <c r="BN148" s="14">
        <f t="shared" si="114"/>
        <v>13692.680673971285</v>
      </c>
      <c r="BO148" s="15">
        <f t="shared" si="115"/>
        <v>13089.615757661288</v>
      </c>
      <c r="BP148" s="16">
        <v>13510</v>
      </c>
      <c r="BQ148" s="16">
        <v>13525</v>
      </c>
      <c r="BR148" s="16">
        <v>13510</v>
      </c>
      <c r="BS148" s="16">
        <v>13520</v>
      </c>
      <c r="BT148" s="16">
        <v>26155</v>
      </c>
      <c r="BU148" s="15">
        <f t="shared" si="104"/>
        <v>13518.333333333334</v>
      </c>
      <c r="BV148" s="15">
        <f t="shared" si="105"/>
        <v>353572008.33333337</v>
      </c>
      <c r="BW148" s="15">
        <f>SUM($BV$3:BV148)</f>
        <v>195010649103.33331</v>
      </c>
      <c r="BX148" s="15">
        <f>SUM($BT$3:BT148)</f>
        <v>14375294</v>
      </c>
      <c r="BY148" s="15">
        <f t="shared" si="106"/>
        <v>13565.680750830787</v>
      </c>
      <c r="BZ148" s="3">
        <v>146</v>
      </c>
      <c r="CA148" s="3">
        <f t="shared" si="107"/>
        <v>0</v>
      </c>
      <c r="CB148" s="3">
        <f t="shared" si="108"/>
        <v>0</v>
      </c>
      <c r="CC148" s="3">
        <f t="shared" si="109"/>
        <v>0</v>
      </c>
      <c r="CD148" s="3" t="str">
        <f t="shared" si="110"/>
        <v/>
      </c>
      <c r="CE148" s="3">
        <f t="shared" si="111"/>
        <v>0</v>
      </c>
    </row>
    <row r="149" spans="1:83" x14ac:dyDescent="0.3">
      <c r="A149" s="3" t="s">
        <v>189</v>
      </c>
      <c r="B149" s="3">
        <v>11645</v>
      </c>
      <c r="C149" s="3">
        <v>11635</v>
      </c>
      <c r="D149" s="3">
        <v>11470</v>
      </c>
      <c r="E149" s="3">
        <v>11460</v>
      </c>
      <c r="F149" s="3">
        <v>11655</v>
      </c>
      <c r="G149" s="3">
        <v>11655</v>
      </c>
      <c r="H149" s="3">
        <v>11525</v>
      </c>
      <c r="I149" s="3">
        <v>11530</v>
      </c>
      <c r="J149" s="3">
        <v>11720</v>
      </c>
      <c r="K149" s="3">
        <v>11725</v>
      </c>
      <c r="L149" s="3">
        <v>12000</v>
      </c>
      <c r="M149" s="3">
        <v>12005</v>
      </c>
      <c r="N149" s="3">
        <v>12570</v>
      </c>
      <c r="O149" s="3">
        <v>12565</v>
      </c>
      <c r="P149" s="3">
        <v>12785</v>
      </c>
      <c r="Q149" s="3">
        <v>12780</v>
      </c>
      <c r="R149" s="3">
        <v>12570</v>
      </c>
      <c r="S149" s="3">
        <v>12560</v>
      </c>
      <c r="T149" s="3">
        <v>12390</v>
      </c>
      <c r="U149" s="3">
        <v>12390</v>
      </c>
      <c r="V149" s="3">
        <v>12825</v>
      </c>
      <c r="W149" s="3">
        <v>12815</v>
      </c>
      <c r="X149" s="3">
        <v>12575</v>
      </c>
      <c r="Y149" s="3">
        <v>12570</v>
      </c>
      <c r="Z149" s="3">
        <v>12640</v>
      </c>
      <c r="AA149" s="3">
        <v>12640</v>
      </c>
      <c r="AB149" s="3">
        <v>13290</v>
      </c>
      <c r="AC149" s="3">
        <v>13290</v>
      </c>
      <c r="AD149" s="3">
        <v>13200</v>
      </c>
      <c r="AE149" s="3">
        <v>13205</v>
      </c>
      <c r="AF149" s="3">
        <v>13880</v>
      </c>
      <c r="AG149" s="3">
        <v>13865</v>
      </c>
      <c r="AH149" s="3">
        <v>14255</v>
      </c>
      <c r="AI149" s="3">
        <v>14250</v>
      </c>
      <c r="AJ149" s="3">
        <v>13550</v>
      </c>
      <c r="AK149" s="3">
        <v>13555</v>
      </c>
      <c r="AL149" s="3">
        <v>13770</v>
      </c>
      <c r="AM149" s="3">
        <v>13765</v>
      </c>
      <c r="AN149" s="3">
        <v>13445</v>
      </c>
      <c r="AO149" s="3">
        <v>13455</v>
      </c>
      <c r="AP149" s="3">
        <v>13520</v>
      </c>
      <c r="AQ149" s="3">
        <v>13525</v>
      </c>
      <c r="AR149" s="4">
        <f t="shared" si="112"/>
        <v>9.1066782307025473E-3</v>
      </c>
      <c r="AS149" s="4">
        <f t="shared" si="84"/>
        <v>7.7922077922077948E-3</v>
      </c>
      <c r="AT149" s="4">
        <f t="shared" si="85"/>
        <v>2.5968309859154992E-2</v>
      </c>
      <c r="AU149" s="4">
        <f t="shared" si="86"/>
        <v>2.1222410865874397E-2</v>
      </c>
      <c r="AV149" s="4">
        <f t="shared" si="87"/>
        <v>2.9940119760478723E-3</v>
      </c>
      <c r="AW149" s="4">
        <f t="shared" si="88"/>
        <v>1.2225969645868418E-2</v>
      </c>
      <c r="AX149" s="4">
        <f t="shared" si="89"/>
        <v>3.7144036318613294E-2</v>
      </c>
      <c r="AY149" s="4">
        <f t="shared" si="90"/>
        <v>0</v>
      </c>
      <c r="AZ149" s="4">
        <f t="shared" si="91"/>
        <v>1.1956954962135669E-3</v>
      </c>
      <c r="BA149" s="4">
        <f t="shared" si="92"/>
        <v>1.2121212121212199E-3</v>
      </c>
      <c r="BB149" s="4">
        <f t="shared" si="93"/>
        <v>3.8913660316173493E-2</v>
      </c>
      <c r="BC149" s="4">
        <f t="shared" si="94"/>
        <v>5.1444400474871532E-3</v>
      </c>
      <c r="BD149" s="4">
        <f t="shared" si="95"/>
        <v>1.5576323987538943E-2</v>
      </c>
      <c r="BE149" s="4">
        <f t="shared" si="96"/>
        <v>2.5067489394523745E-2</v>
      </c>
      <c r="BF149" s="4">
        <f t="shared" si="97"/>
        <v>8.7853323147439877E-3</v>
      </c>
      <c r="BG149" s="4">
        <f t="shared" si="98"/>
        <v>3.974503187101619E-2</v>
      </c>
      <c r="BH149" s="4">
        <f t="shared" si="99"/>
        <v>2.4442846872753332E-2</v>
      </c>
      <c r="BI149" s="4">
        <f t="shared" si="100"/>
        <v>2.306306306306305E-2</v>
      </c>
      <c r="BJ149" s="4">
        <f t="shared" si="101"/>
        <v>3.2798833819243089E-3</v>
      </c>
      <c r="BK149" s="4">
        <f t="shared" si="102"/>
        <v>1.6806722689075682E-2</v>
      </c>
      <c r="BL149" s="4">
        <f t="shared" si="103"/>
        <v>5.2025269416573483E-3</v>
      </c>
      <c r="BM149" s="4">
        <f t="shared" si="113"/>
        <v>1.716976049751771E-2</v>
      </c>
      <c r="BN149" s="14">
        <f t="shared" si="114"/>
        <v>13686.019127494099</v>
      </c>
      <c r="BO149" s="15">
        <f t="shared" si="115"/>
        <v>13096.212941370577</v>
      </c>
      <c r="BP149" s="16">
        <v>13520</v>
      </c>
      <c r="BQ149" s="16">
        <v>13525</v>
      </c>
      <c r="BR149" s="16">
        <v>13515</v>
      </c>
      <c r="BS149" s="16">
        <v>13525</v>
      </c>
      <c r="BT149" s="16">
        <v>16773</v>
      </c>
      <c r="BU149" s="15">
        <f t="shared" si="104"/>
        <v>13521.666666666666</v>
      </c>
      <c r="BV149" s="15">
        <f t="shared" si="105"/>
        <v>226798915</v>
      </c>
      <c r="BW149" s="15">
        <f>SUM($BV$3:BV149)</f>
        <v>195237448018.33331</v>
      </c>
      <c r="BX149" s="15">
        <f>SUM($BT$3:BT149)</f>
        <v>14392067</v>
      </c>
      <c r="BY149" s="15">
        <f t="shared" si="106"/>
        <v>13565.629455333505</v>
      </c>
      <c r="BZ149" s="3">
        <v>147</v>
      </c>
      <c r="CA149" s="3">
        <f t="shared" si="107"/>
        <v>0</v>
      </c>
      <c r="CB149" s="3">
        <f t="shared" si="108"/>
        <v>0</v>
      </c>
      <c r="CC149" s="3">
        <f t="shared" si="109"/>
        <v>0</v>
      </c>
      <c r="CD149" s="3" t="str">
        <f t="shared" si="110"/>
        <v/>
      </c>
      <c r="CE149" s="3">
        <f t="shared" si="111"/>
        <v>0</v>
      </c>
    </row>
    <row r="150" spans="1:83" x14ac:dyDescent="0.3">
      <c r="A150" s="3" t="s">
        <v>190</v>
      </c>
      <c r="B150" s="3">
        <v>11635</v>
      </c>
      <c r="C150" s="3">
        <v>11630</v>
      </c>
      <c r="D150" s="3">
        <v>11460</v>
      </c>
      <c r="E150" s="3">
        <v>11450</v>
      </c>
      <c r="F150" s="3">
        <v>11655</v>
      </c>
      <c r="G150" s="3">
        <v>11655</v>
      </c>
      <c r="H150" s="3">
        <v>11530</v>
      </c>
      <c r="I150" s="3">
        <v>11515</v>
      </c>
      <c r="J150" s="3">
        <v>11725</v>
      </c>
      <c r="K150" s="3">
        <v>11725</v>
      </c>
      <c r="L150" s="3">
        <v>12005</v>
      </c>
      <c r="M150" s="3">
        <v>12000</v>
      </c>
      <c r="N150" s="3">
        <v>12570</v>
      </c>
      <c r="O150" s="3">
        <v>12575</v>
      </c>
      <c r="P150" s="3">
        <v>12780</v>
      </c>
      <c r="Q150" s="3">
        <v>12780</v>
      </c>
      <c r="R150" s="3">
        <v>12560</v>
      </c>
      <c r="S150" s="3">
        <v>12560</v>
      </c>
      <c r="T150" s="3">
        <v>12390</v>
      </c>
      <c r="U150" s="3">
        <v>12385</v>
      </c>
      <c r="V150" s="3">
        <v>12815</v>
      </c>
      <c r="W150" s="3">
        <v>12820</v>
      </c>
      <c r="X150" s="3">
        <v>12570</v>
      </c>
      <c r="Y150" s="3">
        <v>12575</v>
      </c>
      <c r="Z150" s="3">
        <v>12645</v>
      </c>
      <c r="AA150" s="3">
        <v>12640</v>
      </c>
      <c r="AB150" s="3">
        <v>13290</v>
      </c>
      <c r="AC150" s="3">
        <v>13295</v>
      </c>
      <c r="AD150" s="3">
        <v>13205</v>
      </c>
      <c r="AE150" s="3">
        <v>13210</v>
      </c>
      <c r="AF150" s="3">
        <v>13865</v>
      </c>
      <c r="AG150" s="3">
        <v>13875</v>
      </c>
      <c r="AH150" s="3">
        <v>14250</v>
      </c>
      <c r="AI150" s="3">
        <v>14250</v>
      </c>
      <c r="AJ150" s="3">
        <v>13550</v>
      </c>
      <c r="AK150" s="3">
        <v>13545</v>
      </c>
      <c r="AL150" s="3">
        <v>13770</v>
      </c>
      <c r="AM150" s="3">
        <v>13765</v>
      </c>
      <c r="AN150" s="3">
        <v>13455</v>
      </c>
      <c r="AO150" s="3">
        <v>13460</v>
      </c>
      <c r="AP150" s="3">
        <v>13525</v>
      </c>
      <c r="AQ150" s="3">
        <v>13530</v>
      </c>
      <c r="AR150" s="4">
        <f t="shared" si="112"/>
        <v>8.6730268863832727E-3</v>
      </c>
      <c r="AS150" s="4">
        <f t="shared" si="84"/>
        <v>8.6580086580086979E-3</v>
      </c>
      <c r="AT150" s="4">
        <f t="shared" si="85"/>
        <v>2.5968309859154992E-2</v>
      </c>
      <c r="AU150" s="4">
        <f t="shared" si="86"/>
        <v>2.2495755517826788E-2</v>
      </c>
      <c r="AV150" s="4">
        <f t="shared" si="87"/>
        <v>2.9940119760478723E-3</v>
      </c>
      <c r="AW150" s="4">
        <f t="shared" si="88"/>
        <v>1.180438448566612E-2</v>
      </c>
      <c r="AX150" s="4">
        <f t="shared" si="89"/>
        <v>3.7969459347915846E-2</v>
      </c>
      <c r="AY150" s="4">
        <f t="shared" si="90"/>
        <v>0</v>
      </c>
      <c r="AZ150" s="4">
        <f t="shared" si="91"/>
        <v>1.1956954962135669E-3</v>
      </c>
      <c r="BA150" s="4">
        <f t="shared" si="92"/>
        <v>8.0808080808081328E-4</v>
      </c>
      <c r="BB150" s="4">
        <f t="shared" si="93"/>
        <v>3.9319010944466992E-2</v>
      </c>
      <c r="BC150" s="4">
        <f t="shared" si="94"/>
        <v>4.7487138899880987E-3</v>
      </c>
      <c r="BD150" s="4">
        <f t="shared" si="95"/>
        <v>1.5576323987538943E-2</v>
      </c>
      <c r="BE150" s="4">
        <f t="shared" si="96"/>
        <v>2.5453143077516449E-2</v>
      </c>
      <c r="BF150" s="4">
        <f t="shared" si="97"/>
        <v>9.1673032849504121E-3</v>
      </c>
      <c r="BG150" s="4">
        <f t="shared" si="98"/>
        <v>4.0494938132733305E-2</v>
      </c>
      <c r="BH150" s="4">
        <f t="shared" si="99"/>
        <v>2.4442846872753332E-2</v>
      </c>
      <c r="BI150" s="4">
        <f t="shared" si="100"/>
        <v>2.3783783783783763E-2</v>
      </c>
      <c r="BJ150" s="4">
        <f t="shared" si="101"/>
        <v>3.2798833819243089E-3</v>
      </c>
      <c r="BK150" s="4">
        <f t="shared" si="102"/>
        <v>1.6441359152356561E-2</v>
      </c>
      <c r="BL150" s="4">
        <f t="shared" si="103"/>
        <v>5.5741360089185399E-3</v>
      </c>
      <c r="BM150" s="4">
        <f t="shared" si="113"/>
        <v>1.7334324440015886E-2</v>
      </c>
      <c r="BN150" s="14">
        <f t="shared" si="114"/>
        <v>13688.233335340414</v>
      </c>
      <c r="BO150" s="15">
        <f t="shared" si="115"/>
        <v>13094.020126836787</v>
      </c>
      <c r="BP150" s="16">
        <v>13525</v>
      </c>
      <c r="BQ150" s="16">
        <v>13540</v>
      </c>
      <c r="BR150" s="16">
        <v>13525</v>
      </c>
      <c r="BS150" s="16">
        <v>13530</v>
      </c>
      <c r="BT150" s="16">
        <v>28054</v>
      </c>
      <c r="BU150" s="15">
        <f t="shared" si="104"/>
        <v>13531.666666666666</v>
      </c>
      <c r="BV150" s="15">
        <f t="shared" si="105"/>
        <v>379617376.66666663</v>
      </c>
      <c r="BW150" s="15">
        <f>SUM($BV$3:BV150)</f>
        <v>195617065394.99997</v>
      </c>
      <c r="BX150" s="15">
        <f>SUM($BT$3:BT150)</f>
        <v>14420121</v>
      </c>
      <c r="BY150" s="15">
        <f t="shared" si="106"/>
        <v>13565.563381541664</v>
      </c>
      <c r="BZ150" s="3">
        <v>148</v>
      </c>
      <c r="CA150" s="3">
        <f t="shared" si="107"/>
        <v>0</v>
      </c>
      <c r="CB150" s="3">
        <f t="shared" si="108"/>
        <v>0</v>
      </c>
      <c r="CC150" s="3">
        <f t="shared" si="109"/>
        <v>0</v>
      </c>
      <c r="CD150" s="3" t="str">
        <f t="shared" si="110"/>
        <v/>
      </c>
      <c r="CE150" s="3">
        <f t="shared" si="111"/>
        <v>0</v>
      </c>
    </row>
    <row r="151" spans="1:83" x14ac:dyDescent="0.3">
      <c r="A151" s="3" t="s">
        <v>191</v>
      </c>
      <c r="B151" s="3">
        <v>11635</v>
      </c>
      <c r="C151" s="3">
        <v>11645</v>
      </c>
      <c r="D151" s="3">
        <v>11455</v>
      </c>
      <c r="E151" s="3">
        <v>11455</v>
      </c>
      <c r="F151" s="3">
        <v>11660</v>
      </c>
      <c r="G151" s="3">
        <v>11655</v>
      </c>
      <c r="H151" s="3">
        <v>11515</v>
      </c>
      <c r="I151" s="3">
        <v>11515</v>
      </c>
      <c r="J151" s="3">
        <v>11720</v>
      </c>
      <c r="K151" s="3">
        <v>11735</v>
      </c>
      <c r="L151" s="3">
        <v>11995</v>
      </c>
      <c r="M151" s="3">
        <v>12000</v>
      </c>
      <c r="N151" s="3">
        <v>12575</v>
      </c>
      <c r="O151" s="3">
        <v>12575</v>
      </c>
      <c r="P151" s="3">
        <v>12780</v>
      </c>
      <c r="Q151" s="3">
        <v>12795</v>
      </c>
      <c r="R151" s="3">
        <v>12565</v>
      </c>
      <c r="S151" s="3">
        <v>12575</v>
      </c>
      <c r="T151" s="3">
        <v>12385</v>
      </c>
      <c r="U151" s="3">
        <v>12385</v>
      </c>
      <c r="V151" s="3">
        <v>12825</v>
      </c>
      <c r="W151" s="3">
        <v>12835</v>
      </c>
      <c r="X151" s="3">
        <v>12575</v>
      </c>
      <c r="Y151" s="3">
        <v>12575</v>
      </c>
      <c r="Z151" s="3">
        <v>12640</v>
      </c>
      <c r="AA151" s="3">
        <v>12655</v>
      </c>
      <c r="AB151" s="3">
        <v>13295</v>
      </c>
      <c r="AC151" s="3">
        <v>13290</v>
      </c>
      <c r="AD151" s="3">
        <v>13210</v>
      </c>
      <c r="AE151" s="3">
        <v>13200</v>
      </c>
      <c r="AF151" s="3">
        <v>13875</v>
      </c>
      <c r="AG151" s="3">
        <v>13870</v>
      </c>
      <c r="AH151" s="3">
        <v>14250</v>
      </c>
      <c r="AI151" s="3">
        <v>14250</v>
      </c>
      <c r="AJ151" s="3">
        <v>13550</v>
      </c>
      <c r="AK151" s="3">
        <v>13550</v>
      </c>
      <c r="AL151" s="3">
        <v>13765</v>
      </c>
      <c r="AM151" s="3">
        <v>13770</v>
      </c>
      <c r="AN151" s="3">
        <v>13460</v>
      </c>
      <c r="AO151" s="3">
        <v>13445</v>
      </c>
      <c r="AP151" s="3">
        <v>13530</v>
      </c>
      <c r="AQ151" s="3">
        <v>13525</v>
      </c>
      <c r="AR151" s="4">
        <f t="shared" si="112"/>
        <v>9.9739809193408746E-3</v>
      </c>
      <c r="AS151" s="4">
        <f t="shared" si="84"/>
        <v>8.2251082251082464E-3</v>
      </c>
      <c r="AT151" s="4">
        <f t="shared" si="85"/>
        <v>2.5968309859154992E-2</v>
      </c>
      <c r="AU151" s="4">
        <f t="shared" si="86"/>
        <v>2.2495755517826788E-2</v>
      </c>
      <c r="AV151" s="4">
        <f t="shared" si="87"/>
        <v>3.8494439692045024E-3</v>
      </c>
      <c r="AW151" s="4">
        <f t="shared" si="88"/>
        <v>1.180438448566612E-2</v>
      </c>
      <c r="AX151" s="4">
        <f t="shared" si="89"/>
        <v>3.7969459347915846E-2</v>
      </c>
      <c r="AY151" s="4">
        <f t="shared" si="90"/>
        <v>1.1737089201877549E-3</v>
      </c>
      <c r="AZ151" s="4">
        <f t="shared" si="91"/>
        <v>2.3913909924273558E-3</v>
      </c>
      <c r="BA151" s="4">
        <f t="shared" si="92"/>
        <v>8.0808080808081328E-4</v>
      </c>
      <c r="BB151" s="4">
        <f t="shared" si="93"/>
        <v>4.053506282934749E-2</v>
      </c>
      <c r="BC151" s="4">
        <f t="shared" si="94"/>
        <v>4.7487138899880987E-3</v>
      </c>
      <c r="BD151" s="4">
        <f t="shared" si="95"/>
        <v>1.4408099688473563E-2</v>
      </c>
      <c r="BE151" s="4">
        <f t="shared" si="96"/>
        <v>2.5067489394523745E-2</v>
      </c>
      <c r="BF151" s="4">
        <f t="shared" si="97"/>
        <v>8.4033613445377853E-3</v>
      </c>
      <c r="BG151" s="4">
        <f t="shared" si="98"/>
        <v>4.0119985001874747E-2</v>
      </c>
      <c r="BH151" s="4">
        <f t="shared" si="99"/>
        <v>2.4442846872753332E-2</v>
      </c>
      <c r="BI151" s="4">
        <f t="shared" si="100"/>
        <v>2.3423423423423406E-2</v>
      </c>
      <c r="BJ151" s="4">
        <f t="shared" si="101"/>
        <v>3.6443148688045657E-3</v>
      </c>
      <c r="BK151" s="4">
        <f t="shared" si="102"/>
        <v>1.7537449762513702E-2</v>
      </c>
      <c r="BL151" s="4">
        <f t="shared" si="103"/>
        <v>5.2025269416573483E-3</v>
      </c>
      <c r="BM151" s="4">
        <f t="shared" si="113"/>
        <v>1.7476670510346588E-2</v>
      </c>
      <c r="BN151" s="14">
        <f t="shared" si="114"/>
        <v>13690.148601716714</v>
      </c>
      <c r="BO151" s="15">
        <f t="shared" si="115"/>
        <v>13092.123365449632</v>
      </c>
      <c r="BP151" s="16">
        <v>13530</v>
      </c>
      <c r="BQ151" s="16">
        <v>13530</v>
      </c>
      <c r="BR151" s="16">
        <v>13525</v>
      </c>
      <c r="BS151" s="16">
        <v>13525</v>
      </c>
      <c r="BT151" s="16">
        <v>6345</v>
      </c>
      <c r="BU151" s="15">
        <f t="shared" si="104"/>
        <v>13526.666666666666</v>
      </c>
      <c r="BV151" s="15">
        <f t="shared" si="105"/>
        <v>85826700</v>
      </c>
      <c r="BW151" s="15">
        <f>SUM($BV$3:BV151)</f>
        <v>195702892094.99997</v>
      </c>
      <c r="BX151" s="15">
        <f>SUM($BT$3:BT151)</f>
        <v>14426466</v>
      </c>
      <c r="BY151" s="15">
        <f t="shared" si="106"/>
        <v>13565.546274118691</v>
      </c>
      <c r="BZ151" s="3">
        <v>149</v>
      </c>
      <c r="CA151" s="3">
        <f t="shared" si="107"/>
        <v>0</v>
      </c>
      <c r="CB151" s="3">
        <f t="shared" si="108"/>
        <v>0</v>
      </c>
      <c r="CC151" s="3">
        <f t="shared" si="109"/>
        <v>0</v>
      </c>
      <c r="CD151" s="3" t="str">
        <f t="shared" si="110"/>
        <v/>
      </c>
      <c r="CE151" s="3">
        <f t="shared" si="111"/>
        <v>0</v>
      </c>
    </row>
    <row r="152" spans="1:83" x14ac:dyDescent="0.3">
      <c r="A152" s="3" t="s">
        <v>192</v>
      </c>
      <c r="B152" s="3">
        <v>11645</v>
      </c>
      <c r="C152" s="3">
        <v>11650</v>
      </c>
      <c r="D152" s="3">
        <v>11450</v>
      </c>
      <c r="E152" s="3">
        <v>11460</v>
      </c>
      <c r="F152" s="3">
        <v>11655</v>
      </c>
      <c r="G152" s="3">
        <v>11655</v>
      </c>
      <c r="H152" s="3">
        <v>11510</v>
      </c>
      <c r="I152" s="3">
        <v>11515</v>
      </c>
      <c r="J152" s="3">
        <v>11735</v>
      </c>
      <c r="K152" s="3">
        <v>11730</v>
      </c>
      <c r="L152" s="3">
        <v>12000</v>
      </c>
      <c r="M152" s="3">
        <v>12000</v>
      </c>
      <c r="N152" s="3">
        <v>12580</v>
      </c>
      <c r="O152" s="3">
        <v>12575</v>
      </c>
      <c r="P152" s="3">
        <v>12790</v>
      </c>
      <c r="Q152" s="3">
        <v>12760</v>
      </c>
      <c r="R152" s="3">
        <v>12570</v>
      </c>
      <c r="S152" s="3">
        <v>12590</v>
      </c>
      <c r="T152" s="3">
        <v>12380</v>
      </c>
      <c r="U152" s="3">
        <v>12385</v>
      </c>
      <c r="V152" s="3">
        <v>12835</v>
      </c>
      <c r="W152" s="3">
        <v>12835</v>
      </c>
      <c r="X152" s="3">
        <v>12580</v>
      </c>
      <c r="Y152" s="3">
        <v>12595</v>
      </c>
      <c r="Z152" s="3">
        <v>12655</v>
      </c>
      <c r="AA152" s="3">
        <v>12650</v>
      </c>
      <c r="AB152" s="3">
        <v>13290</v>
      </c>
      <c r="AC152" s="3">
        <v>13300</v>
      </c>
      <c r="AD152" s="3">
        <v>13200</v>
      </c>
      <c r="AE152" s="3">
        <v>13200</v>
      </c>
      <c r="AF152" s="3">
        <v>13865</v>
      </c>
      <c r="AG152" s="3">
        <v>13865</v>
      </c>
      <c r="AH152" s="3">
        <v>14250</v>
      </c>
      <c r="AI152" s="3">
        <v>14245</v>
      </c>
      <c r="AJ152" s="3">
        <v>13550</v>
      </c>
      <c r="AK152" s="3">
        <v>13555</v>
      </c>
      <c r="AL152" s="3">
        <v>13770</v>
      </c>
      <c r="AM152" s="3">
        <v>13770</v>
      </c>
      <c r="AN152" s="3">
        <v>13445</v>
      </c>
      <c r="AO152" s="3">
        <v>13465</v>
      </c>
      <c r="AP152" s="3">
        <v>13525</v>
      </c>
      <c r="AQ152" s="3">
        <v>13530</v>
      </c>
      <c r="AR152" s="4">
        <f t="shared" si="112"/>
        <v>1.0407632263659927E-2</v>
      </c>
      <c r="AS152" s="4">
        <f t="shared" si="84"/>
        <v>7.7922077922077948E-3</v>
      </c>
      <c r="AT152" s="4">
        <f t="shared" si="85"/>
        <v>2.5968309859154992E-2</v>
      </c>
      <c r="AU152" s="4">
        <f t="shared" si="86"/>
        <v>2.2495755517826788E-2</v>
      </c>
      <c r="AV152" s="4">
        <f t="shared" si="87"/>
        <v>3.4217279726260763E-3</v>
      </c>
      <c r="AW152" s="4">
        <f t="shared" si="88"/>
        <v>1.180438448566612E-2</v>
      </c>
      <c r="AX152" s="4">
        <f t="shared" si="89"/>
        <v>3.7969459347915846E-2</v>
      </c>
      <c r="AY152" s="4">
        <f t="shared" si="90"/>
        <v>1.5649452269170805E-3</v>
      </c>
      <c r="AZ152" s="4">
        <f t="shared" si="91"/>
        <v>3.5870864886409226E-3</v>
      </c>
      <c r="BA152" s="4">
        <f t="shared" si="92"/>
        <v>8.0808080808081328E-4</v>
      </c>
      <c r="BB152" s="4">
        <f t="shared" si="93"/>
        <v>4.053506282934749E-2</v>
      </c>
      <c r="BC152" s="4">
        <f t="shared" si="94"/>
        <v>3.1658092599921028E-3</v>
      </c>
      <c r="BD152" s="4">
        <f t="shared" si="95"/>
        <v>1.4797507788162023E-2</v>
      </c>
      <c r="BE152" s="4">
        <f t="shared" si="96"/>
        <v>2.5838796760509153E-2</v>
      </c>
      <c r="BF152" s="4">
        <f t="shared" si="97"/>
        <v>8.4033613445377853E-3</v>
      </c>
      <c r="BG152" s="4">
        <f t="shared" si="98"/>
        <v>3.974503187101619E-2</v>
      </c>
      <c r="BH152" s="4">
        <f t="shared" si="99"/>
        <v>2.4083393242271711E-2</v>
      </c>
      <c r="BI152" s="4">
        <f t="shared" si="100"/>
        <v>2.306306306306305E-2</v>
      </c>
      <c r="BJ152" s="4">
        <f t="shared" si="101"/>
        <v>3.6443148688045657E-3</v>
      </c>
      <c r="BK152" s="4">
        <f t="shared" si="102"/>
        <v>1.6075995615637551E-2</v>
      </c>
      <c r="BL152" s="4">
        <f t="shared" si="103"/>
        <v>5.5741360089185399E-3</v>
      </c>
      <c r="BM152" s="4">
        <f t="shared" si="113"/>
        <v>1.7377279179635448E-2</v>
      </c>
      <c r="BN152" s="14">
        <f t="shared" si="114"/>
        <v>13688.811291361993</v>
      </c>
      <c r="BO152" s="15">
        <f t="shared" si="115"/>
        <v>13093.447754931358</v>
      </c>
      <c r="BP152" s="16">
        <v>13525</v>
      </c>
      <c r="BQ152" s="16">
        <v>13530</v>
      </c>
      <c r="BR152" s="16">
        <v>13520</v>
      </c>
      <c r="BS152" s="16">
        <v>13530</v>
      </c>
      <c r="BT152" s="16">
        <v>9248</v>
      </c>
      <c r="BU152" s="15">
        <f t="shared" si="104"/>
        <v>13526.666666666666</v>
      </c>
      <c r="BV152" s="15">
        <f t="shared" si="105"/>
        <v>125094613.33333333</v>
      </c>
      <c r="BW152" s="15">
        <f>SUM($BV$3:BV152)</f>
        <v>195827986708.33331</v>
      </c>
      <c r="BX152" s="15">
        <f>SUM($BT$3:BT152)</f>
        <v>14435714</v>
      </c>
      <c r="BY152" s="15">
        <f t="shared" si="106"/>
        <v>13565.521366545036</v>
      </c>
      <c r="BZ152" s="3">
        <v>150</v>
      </c>
      <c r="CA152" s="3">
        <f t="shared" si="107"/>
        <v>0</v>
      </c>
      <c r="CB152" s="3">
        <f t="shared" si="108"/>
        <v>0</v>
      </c>
      <c r="CC152" s="3">
        <f t="shared" si="109"/>
        <v>0</v>
      </c>
      <c r="CD152" s="3">
        <f t="shared" si="110"/>
        <v>0</v>
      </c>
      <c r="CE152" s="3">
        <f t="shared" si="111"/>
        <v>0</v>
      </c>
    </row>
    <row r="153" spans="1:83" x14ac:dyDescent="0.3">
      <c r="A153" s="3" t="s">
        <v>193</v>
      </c>
      <c r="B153" s="3">
        <v>11655</v>
      </c>
      <c r="C153" s="3">
        <v>11650</v>
      </c>
      <c r="D153" s="3">
        <v>11465</v>
      </c>
      <c r="E153" s="3">
        <v>11465</v>
      </c>
      <c r="F153" s="3">
        <v>11655</v>
      </c>
      <c r="G153" s="3">
        <v>11670</v>
      </c>
      <c r="H153" s="3">
        <v>11515</v>
      </c>
      <c r="I153" s="3">
        <v>11510</v>
      </c>
      <c r="J153" s="3">
        <v>11730</v>
      </c>
      <c r="K153" s="3">
        <v>11720</v>
      </c>
      <c r="L153" s="3">
        <v>12000</v>
      </c>
      <c r="M153" s="3">
        <v>11985</v>
      </c>
      <c r="N153" s="3">
        <v>12575</v>
      </c>
      <c r="O153" s="3">
        <v>12570</v>
      </c>
      <c r="P153" s="3">
        <v>12760</v>
      </c>
      <c r="Q153" s="3">
        <v>12785</v>
      </c>
      <c r="R153" s="3">
        <v>12595</v>
      </c>
      <c r="S153" s="3">
        <v>12590</v>
      </c>
      <c r="T153" s="3">
        <v>12385</v>
      </c>
      <c r="U153" s="3">
        <v>12390</v>
      </c>
      <c r="V153" s="3">
        <v>12835</v>
      </c>
      <c r="W153" s="3">
        <v>12825</v>
      </c>
      <c r="X153" s="3">
        <v>12595</v>
      </c>
      <c r="Y153" s="3">
        <v>12585</v>
      </c>
      <c r="Z153" s="3">
        <v>12650</v>
      </c>
      <c r="AA153" s="3">
        <v>12660</v>
      </c>
      <c r="AB153" s="3">
        <v>13295</v>
      </c>
      <c r="AC153" s="3">
        <v>13300</v>
      </c>
      <c r="AD153" s="3">
        <v>13200</v>
      </c>
      <c r="AE153" s="3">
        <v>13190</v>
      </c>
      <c r="AF153" s="3">
        <v>13870</v>
      </c>
      <c r="AG153" s="3">
        <v>13865</v>
      </c>
      <c r="AH153" s="3">
        <v>14245</v>
      </c>
      <c r="AI153" s="3">
        <v>14240</v>
      </c>
      <c r="AJ153" s="3">
        <v>13555</v>
      </c>
      <c r="AK153" s="3">
        <v>13580</v>
      </c>
      <c r="AL153" s="3">
        <v>13770</v>
      </c>
      <c r="AM153" s="3">
        <v>13755</v>
      </c>
      <c r="AN153" s="3">
        <v>13455</v>
      </c>
      <c r="AO153" s="3">
        <v>13455</v>
      </c>
      <c r="AP153" s="3">
        <v>13525</v>
      </c>
      <c r="AQ153" s="3">
        <v>13530</v>
      </c>
      <c r="AR153" s="4">
        <f t="shared" si="112"/>
        <v>1.0407632263659927E-2</v>
      </c>
      <c r="AS153" s="4">
        <f t="shared" si="84"/>
        <v>7.3593073593073433E-3</v>
      </c>
      <c r="AT153" s="4">
        <f t="shared" si="85"/>
        <v>2.7288732394366244E-2</v>
      </c>
      <c r="AU153" s="4">
        <f t="shared" si="86"/>
        <v>2.2920203735144362E-2</v>
      </c>
      <c r="AV153" s="4">
        <f t="shared" si="87"/>
        <v>2.5662959794696683E-3</v>
      </c>
      <c r="AW153" s="4">
        <f t="shared" si="88"/>
        <v>1.0539629005059004E-2</v>
      </c>
      <c r="AX153" s="4">
        <f t="shared" si="89"/>
        <v>3.755674783326457E-2</v>
      </c>
      <c r="AY153" s="4">
        <f t="shared" si="90"/>
        <v>3.9123630672932563E-4</v>
      </c>
      <c r="AZ153" s="4">
        <f t="shared" si="91"/>
        <v>3.5870864886409226E-3</v>
      </c>
      <c r="BA153" s="4">
        <f t="shared" si="92"/>
        <v>1.2121212121212199E-3</v>
      </c>
      <c r="BB153" s="4">
        <f t="shared" si="93"/>
        <v>3.9724361572760492E-2</v>
      </c>
      <c r="BC153" s="4">
        <f t="shared" si="94"/>
        <v>3.9572615749901008E-3</v>
      </c>
      <c r="BD153" s="4">
        <f t="shared" si="95"/>
        <v>1.4018691588784993E-2</v>
      </c>
      <c r="BE153" s="4">
        <f t="shared" si="96"/>
        <v>2.5838796760509153E-2</v>
      </c>
      <c r="BF153" s="4">
        <f t="shared" si="97"/>
        <v>7.6394194041253805E-3</v>
      </c>
      <c r="BG153" s="4">
        <f t="shared" si="98"/>
        <v>3.974503187101619E-2</v>
      </c>
      <c r="BH153" s="4">
        <f t="shared" si="99"/>
        <v>2.372393961179009E-2</v>
      </c>
      <c r="BI153" s="4">
        <f t="shared" si="100"/>
        <v>2.1261261261261266E-2</v>
      </c>
      <c r="BJ153" s="4">
        <f t="shared" si="101"/>
        <v>2.5510204081633514E-3</v>
      </c>
      <c r="BK153" s="4">
        <f t="shared" si="102"/>
        <v>1.6806722689075682E-2</v>
      </c>
      <c r="BL153" s="4">
        <f t="shared" si="103"/>
        <v>5.5741360089185399E-3</v>
      </c>
      <c r="BM153" s="4">
        <f t="shared" si="113"/>
        <v>1.700097847023091E-2</v>
      </c>
      <c r="BN153" s="14">
        <f t="shared" si="114"/>
        <v>13683.748165316958</v>
      </c>
      <c r="BO153" s="15">
        <f t="shared" si="115"/>
        <v>13098.461961884172</v>
      </c>
      <c r="BP153" s="16">
        <v>13525</v>
      </c>
      <c r="BQ153" s="16">
        <v>13530</v>
      </c>
      <c r="BR153" s="16">
        <v>13520</v>
      </c>
      <c r="BS153" s="16">
        <v>13530</v>
      </c>
      <c r="BT153" s="16">
        <v>4133</v>
      </c>
      <c r="BU153" s="15">
        <f t="shared" si="104"/>
        <v>13526.666666666666</v>
      </c>
      <c r="BV153" s="15">
        <f t="shared" si="105"/>
        <v>55905713.333333328</v>
      </c>
      <c r="BW153" s="15">
        <f>SUM($BV$3:BV153)</f>
        <v>195883892421.66666</v>
      </c>
      <c r="BX153" s="15">
        <f>SUM($BT$3:BT153)</f>
        <v>14439847</v>
      </c>
      <c r="BY153" s="15">
        <f t="shared" si="106"/>
        <v>13565.510245480209</v>
      </c>
      <c r="BZ153" s="3">
        <v>151</v>
      </c>
      <c r="CA153" s="3">
        <f t="shared" si="107"/>
        <v>0</v>
      </c>
      <c r="CB153" s="3">
        <f t="shared" si="108"/>
        <v>0</v>
      </c>
      <c r="CC153" s="3">
        <f t="shared" si="109"/>
        <v>0</v>
      </c>
      <c r="CD153" s="3" t="str">
        <f t="shared" si="110"/>
        <v/>
      </c>
      <c r="CE153" s="3">
        <f t="shared" si="111"/>
        <v>0</v>
      </c>
    </row>
    <row r="154" spans="1:83" x14ac:dyDescent="0.3">
      <c r="A154" s="3" t="s">
        <v>194</v>
      </c>
      <c r="B154" s="3">
        <v>11645</v>
      </c>
      <c r="C154" s="3">
        <v>11635</v>
      </c>
      <c r="D154" s="3">
        <v>11465</v>
      </c>
      <c r="E154" s="3">
        <v>11465</v>
      </c>
      <c r="F154" s="3">
        <v>11670</v>
      </c>
      <c r="G154" s="3">
        <v>11670</v>
      </c>
      <c r="H154" s="3">
        <v>11510</v>
      </c>
      <c r="I154" s="3">
        <v>11525</v>
      </c>
      <c r="J154" s="3">
        <v>11725</v>
      </c>
      <c r="K154" s="3">
        <v>11730</v>
      </c>
      <c r="L154" s="3">
        <v>11990</v>
      </c>
      <c r="M154" s="3">
        <v>12005</v>
      </c>
      <c r="N154" s="3">
        <v>12565</v>
      </c>
      <c r="O154" s="3">
        <v>12545</v>
      </c>
      <c r="P154" s="3">
        <v>12790</v>
      </c>
      <c r="Q154" s="3">
        <v>12780</v>
      </c>
      <c r="R154" s="3">
        <v>12590</v>
      </c>
      <c r="S154" s="3">
        <v>12585</v>
      </c>
      <c r="T154" s="3">
        <v>12390</v>
      </c>
      <c r="U154" s="3">
        <v>12390</v>
      </c>
      <c r="V154" s="3">
        <v>12820</v>
      </c>
      <c r="W154" s="3">
        <v>12820</v>
      </c>
      <c r="X154" s="3">
        <v>12585</v>
      </c>
      <c r="Y154" s="3">
        <v>12580</v>
      </c>
      <c r="Z154" s="3">
        <v>12660</v>
      </c>
      <c r="AA154" s="3">
        <v>12665</v>
      </c>
      <c r="AB154" s="3">
        <v>13300</v>
      </c>
      <c r="AC154" s="3">
        <v>13300</v>
      </c>
      <c r="AD154" s="3">
        <v>13195</v>
      </c>
      <c r="AE154" s="3">
        <v>13190</v>
      </c>
      <c r="AF154" s="3">
        <v>13865</v>
      </c>
      <c r="AG154" s="3">
        <v>13865</v>
      </c>
      <c r="AH154" s="3">
        <v>14240</v>
      </c>
      <c r="AI154" s="3">
        <v>14240</v>
      </c>
      <c r="AJ154" s="3">
        <v>13580</v>
      </c>
      <c r="AK154" s="3">
        <v>13575</v>
      </c>
      <c r="AL154" s="3">
        <v>13755</v>
      </c>
      <c r="AM154" s="3">
        <v>13760</v>
      </c>
      <c r="AN154" s="3">
        <v>13455</v>
      </c>
      <c r="AO154" s="3">
        <v>13455</v>
      </c>
      <c r="AP154" s="3">
        <v>13530</v>
      </c>
      <c r="AQ154" s="3">
        <v>13530</v>
      </c>
      <c r="AR154" s="4">
        <f t="shared" si="112"/>
        <v>9.1066782307025473E-3</v>
      </c>
      <c r="AS154" s="4">
        <f t="shared" si="84"/>
        <v>7.3593073593073433E-3</v>
      </c>
      <c r="AT154" s="4">
        <f t="shared" si="85"/>
        <v>2.7288732394366244E-2</v>
      </c>
      <c r="AU154" s="4">
        <f t="shared" si="86"/>
        <v>2.1646859083191861E-2</v>
      </c>
      <c r="AV154" s="4">
        <f t="shared" si="87"/>
        <v>3.4217279726260763E-3</v>
      </c>
      <c r="AW154" s="4">
        <f t="shared" si="88"/>
        <v>1.2225969645868418E-2</v>
      </c>
      <c r="AX154" s="4">
        <f t="shared" si="89"/>
        <v>3.5493190260008189E-2</v>
      </c>
      <c r="AY154" s="4">
        <f t="shared" si="90"/>
        <v>0</v>
      </c>
      <c r="AZ154" s="4">
        <f t="shared" si="91"/>
        <v>3.1885213232363263E-3</v>
      </c>
      <c r="BA154" s="4">
        <f t="shared" si="92"/>
        <v>1.2121212121212199E-3</v>
      </c>
      <c r="BB154" s="4">
        <f t="shared" si="93"/>
        <v>3.9319010944466992E-2</v>
      </c>
      <c r="BC154" s="4">
        <f t="shared" si="94"/>
        <v>4.3529877324891553E-3</v>
      </c>
      <c r="BD154" s="4">
        <f t="shared" si="95"/>
        <v>1.3629283489096533E-2</v>
      </c>
      <c r="BE154" s="4">
        <f t="shared" si="96"/>
        <v>2.5838796760509153E-2</v>
      </c>
      <c r="BF154" s="4">
        <f t="shared" si="97"/>
        <v>7.6394194041253805E-3</v>
      </c>
      <c r="BG154" s="4">
        <f t="shared" si="98"/>
        <v>3.974503187101619E-2</v>
      </c>
      <c r="BH154" s="4">
        <f t="shared" si="99"/>
        <v>2.372393961179009E-2</v>
      </c>
      <c r="BI154" s="4">
        <f t="shared" si="100"/>
        <v>2.1621621621621623E-2</v>
      </c>
      <c r="BJ154" s="4">
        <f t="shared" si="101"/>
        <v>2.9154518950438302E-3</v>
      </c>
      <c r="BK154" s="4">
        <f t="shared" si="102"/>
        <v>1.6806722689075682E-2</v>
      </c>
      <c r="BL154" s="4">
        <f t="shared" si="103"/>
        <v>5.5741360089185399E-3</v>
      </c>
      <c r="BM154" s="4">
        <f t="shared" si="113"/>
        <v>1.682043562961431E-2</v>
      </c>
      <c r="BN154" s="14">
        <f t="shared" si="114"/>
        <v>13681.318961396459</v>
      </c>
      <c r="BO154" s="15">
        <f t="shared" si="115"/>
        <v>13100.867695235389</v>
      </c>
      <c r="BP154" s="16">
        <v>13530</v>
      </c>
      <c r="BQ154" s="16">
        <v>13535</v>
      </c>
      <c r="BR154" s="16">
        <v>13525</v>
      </c>
      <c r="BS154" s="16">
        <v>13530</v>
      </c>
      <c r="BT154" s="16">
        <v>12971</v>
      </c>
      <c r="BU154" s="15">
        <f t="shared" si="104"/>
        <v>13530</v>
      </c>
      <c r="BV154" s="15">
        <f t="shared" si="105"/>
        <v>175497630</v>
      </c>
      <c r="BW154" s="15">
        <f>SUM($BV$3:BV154)</f>
        <v>196059390051.66666</v>
      </c>
      <c r="BX154" s="15">
        <f>SUM($BT$3:BT154)</f>
        <v>14452818</v>
      </c>
      <c r="BY154" s="15">
        <f t="shared" si="106"/>
        <v>13565.47837602789</v>
      </c>
      <c r="BZ154" s="3">
        <v>152</v>
      </c>
      <c r="CA154" s="3">
        <f t="shared" si="107"/>
        <v>0</v>
      </c>
      <c r="CB154" s="3">
        <f t="shared" si="108"/>
        <v>0</v>
      </c>
      <c r="CC154" s="3">
        <f t="shared" si="109"/>
        <v>0</v>
      </c>
      <c r="CD154" s="3" t="str">
        <f t="shared" si="110"/>
        <v/>
      </c>
      <c r="CE154" s="3">
        <f t="shared" si="111"/>
        <v>0</v>
      </c>
    </row>
    <row r="155" spans="1:83" x14ac:dyDescent="0.3">
      <c r="A155" s="3" t="s">
        <v>195</v>
      </c>
      <c r="B155" s="3">
        <v>11635</v>
      </c>
      <c r="C155" s="3">
        <v>11650</v>
      </c>
      <c r="D155" s="3">
        <v>11465</v>
      </c>
      <c r="E155" s="3">
        <v>11460</v>
      </c>
      <c r="F155" s="3">
        <v>11670</v>
      </c>
      <c r="G155" s="3">
        <v>11665</v>
      </c>
      <c r="H155" s="3">
        <v>11520</v>
      </c>
      <c r="I155" s="3">
        <v>11515</v>
      </c>
      <c r="J155" s="3">
        <v>11730</v>
      </c>
      <c r="K155" s="3">
        <v>11735</v>
      </c>
      <c r="L155" s="3">
        <v>12005</v>
      </c>
      <c r="M155" s="3">
        <v>12005</v>
      </c>
      <c r="N155" s="3">
        <v>12540</v>
      </c>
      <c r="O155" s="3">
        <v>12550</v>
      </c>
      <c r="P155" s="3">
        <v>12780</v>
      </c>
      <c r="Q155" s="3">
        <v>12790</v>
      </c>
      <c r="R155" s="3">
        <v>12590</v>
      </c>
      <c r="S155" s="3">
        <v>12590</v>
      </c>
      <c r="T155" s="3">
        <v>12385</v>
      </c>
      <c r="U155" s="3">
        <v>12385</v>
      </c>
      <c r="V155" s="3">
        <v>12820</v>
      </c>
      <c r="W155" s="3">
        <v>12830</v>
      </c>
      <c r="X155" s="3">
        <v>12580</v>
      </c>
      <c r="Y155" s="3">
        <v>12590</v>
      </c>
      <c r="Z155" s="3">
        <v>12665</v>
      </c>
      <c r="AA155" s="3">
        <v>12650</v>
      </c>
      <c r="AB155" s="3">
        <v>13295</v>
      </c>
      <c r="AC155" s="3">
        <v>13295</v>
      </c>
      <c r="AD155" s="3">
        <v>13185</v>
      </c>
      <c r="AE155" s="3">
        <v>13185</v>
      </c>
      <c r="AF155" s="3">
        <v>13860</v>
      </c>
      <c r="AG155" s="3">
        <v>13865</v>
      </c>
      <c r="AH155" s="3">
        <v>14235</v>
      </c>
      <c r="AI155" s="3">
        <v>14225</v>
      </c>
      <c r="AJ155" s="3">
        <v>13575</v>
      </c>
      <c r="AK155" s="3">
        <v>13565</v>
      </c>
      <c r="AL155" s="3">
        <v>13760</v>
      </c>
      <c r="AM155" s="3">
        <v>13760</v>
      </c>
      <c r="AN155" s="3">
        <v>13455</v>
      </c>
      <c r="AO155" s="3">
        <v>13450</v>
      </c>
      <c r="AP155" s="3">
        <v>13525</v>
      </c>
      <c r="AQ155" s="3">
        <v>13530</v>
      </c>
      <c r="AR155" s="4">
        <f t="shared" si="112"/>
        <v>1.0407632263659927E-2</v>
      </c>
      <c r="AS155" s="4">
        <f t="shared" si="84"/>
        <v>7.7922077922077948E-3</v>
      </c>
      <c r="AT155" s="4">
        <f t="shared" si="85"/>
        <v>2.6848591549295753E-2</v>
      </c>
      <c r="AU155" s="4">
        <f t="shared" si="86"/>
        <v>2.2495755517826788E-2</v>
      </c>
      <c r="AV155" s="4">
        <f t="shared" si="87"/>
        <v>3.8494439692045024E-3</v>
      </c>
      <c r="AW155" s="4">
        <f t="shared" si="88"/>
        <v>1.2225969645868418E-2</v>
      </c>
      <c r="AX155" s="4">
        <f t="shared" si="89"/>
        <v>3.5905901774659466E-2</v>
      </c>
      <c r="AY155" s="4">
        <f t="shared" si="90"/>
        <v>7.8247261345842922E-4</v>
      </c>
      <c r="AZ155" s="4">
        <f t="shared" si="91"/>
        <v>3.5870864886409226E-3</v>
      </c>
      <c r="BA155" s="4">
        <f t="shared" si="92"/>
        <v>8.0808080808081328E-4</v>
      </c>
      <c r="BB155" s="4">
        <f t="shared" si="93"/>
        <v>4.0129712201053991E-2</v>
      </c>
      <c r="BC155" s="4">
        <f t="shared" si="94"/>
        <v>3.5615354174910463E-3</v>
      </c>
      <c r="BD155" s="4">
        <f t="shared" si="95"/>
        <v>1.4797507788162023E-2</v>
      </c>
      <c r="BE155" s="4">
        <f t="shared" si="96"/>
        <v>2.5453143077516449E-2</v>
      </c>
      <c r="BF155" s="4">
        <f t="shared" si="97"/>
        <v>7.257448433918956E-3</v>
      </c>
      <c r="BG155" s="4">
        <f t="shared" si="98"/>
        <v>3.974503187101619E-2</v>
      </c>
      <c r="BH155" s="4">
        <f t="shared" si="99"/>
        <v>2.2645578720345005E-2</v>
      </c>
      <c r="BI155" s="4">
        <f t="shared" si="100"/>
        <v>2.2342342342342336E-2</v>
      </c>
      <c r="BJ155" s="4">
        <f t="shared" si="101"/>
        <v>2.9154518950438302E-3</v>
      </c>
      <c r="BK155" s="4">
        <f t="shared" si="102"/>
        <v>1.7172086225794692E-2</v>
      </c>
      <c r="BL155" s="4">
        <f t="shared" si="103"/>
        <v>5.5741360089185399E-3</v>
      </c>
      <c r="BM155" s="4">
        <f t="shared" si="113"/>
        <v>1.6935955689823153E-2</v>
      </c>
      <c r="BN155" s="14">
        <f t="shared" si="114"/>
        <v>13682.873283806572</v>
      </c>
      <c r="BO155" s="15">
        <f t="shared" si="115"/>
        <v>13099.328390433106</v>
      </c>
      <c r="BP155" s="16">
        <v>13525</v>
      </c>
      <c r="BQ155" s="16">
        <v>13535</v>
      </c>
      <c r="BR155" s="16">
        <v>13520</v>
      </c>
      <c r="BS155" s="16">
        <v>13530</v>
      </c>
      <c r="BT155" s="16">
        <v>17000</v>
      </c>
      <c r="BU155" s="15">
        <f t="shared" si="104"/>
        <v>13528.333333333334</v>
      </c>
      <c r="BV155" s="15">
        <f t="shared" si="105"/>
        <v>229981666.66666669</v>
      </c>
      <c r="BW155" s="15">
        <f>SUM($BV$3:BV155)</f>
        <v>196289371718.33331</v>
      </c>
      <c r="BX155" s="15">
        <f>SUM($BT$3:BT155)</f>
        <v>14469818</v>
      </c>
      <c r="BY155" s="15">
        <f t="shared" si="106"/>
        <v>13565.434735829664</v>
      </c>
      <c r="BZ155" s="3">
        <v>153</v>
      </c>
      <c r="CA155" s="3">
        <f t="shared" si="107"/>
        <v>0</v>
      </c>
      <c r="CB155" s="3">
        <f t="shared" si="108"/>
        <v>0</v>
      </c>
      <c r="CC155" s="3">
        <f t="shared" si="109"/>
        <v>0</v>
      </c>
      <c r="CD155" s="3" t="str">
        <f t="shared" si="110"/>
        <v/>
      </c>
      <c r="CE155" s="3">
        <f t="shared" si="111"/>
        <v>0</v>
      </c>
    </row>
    <row r="156" spans="1:83" x14ac:dyDescent="0.3">
      <c r="A156" s="3" t="s">
        <v>196</v>
      </c>
      <c r="B156" s="3">
        <v>11645</v>
      </c>
      <c r="C156" s="3">
        <v>11645</v>
      </c>
      <c r="D156" s="3">
        <v>11460</v>
      </c>
      <c r="E156" s="3">
        <v>11450</v>
      </c>
      <c r="F156" s="3">
        <v>11670</v>
      </c>
      <c r="G156" s="3">
        <v>11660</v>
      </c>
      <c r="H156" s="3">
        <v>11510</v>
      </c>
      <c r="I156" s="3">
        <v>11510</v>
      </c>
      <c r="J156" s="3">
        <v>11735</v>
      </c>
      <c r="K156" s="3">
        <v>11735</v>
      </c>
      <c r="L156" s="3">
        <v>12005</v>
      </c>
      <c r="M156" s="3">
        <v>12005</v>
      </c>
      <c r="N156" s="3">
        <v>12550</v>
      </c>
      <c r="O156" s="3">
        <v>12545</v>
      </c>
      <c r="P156" s="3">
        <v>12785</v>
      </c>
      <c r="Q156" s="3">
        <v>12790</v>
      </c>
      <c r="R156" s="3">
        <v>12590</v>
      </c>
      <c r="S156" s="3">
        <v>12605</v>
      </c>
      <c r="T156" s="3">
        <v>12385</v>
      </c>
      <c r="U156" s="3">
        <v>12395</v>
      </c>
      <c r="V156" s="3">
        <v>12825</v>
      </c>
      <c r="W156" s="3">
        <v>12830</v>
      </c>
      <c r="X156" s="3">
        <v>12590</v>
      </c>
      <c r="Y156" s="3">
        <v>12615</v>
      </c>
      <c r="Z156" s="3">
        <v>12655</v>
      </c>
      <c r="AA156" s="3">
        <v>12670</v>
      </c>
      <c r="AB156" s="3">
        <v>13295</v>
      </c>
      <c r="AC156" s="3">
        <v>13300</v>
      </c>
      <c r="AD156" s="3">
        <v>13185</v>
      </c>
      <c r="AE156" s="3">
        <v>13175</v>
      </c>
      <c r="AF156" s="3">
        <v>13865</v>
      </c>
      <c r="AG156" s="3">
        <v>13860</v>
      </c>
      <c r="AH156" s="3">
        <v>14225</v>
      </c>
      <c r="AI156" s="3">
        <v>14240</v>
      </c>
      <c r="AJ156" s="3">
        <v>13560</v>
      </c>
      <c r="AK156" s="3">
        <v>13565</v>
      </c>
      <c r="AL156" s="3">
        <v>13760</v>
      </c>
      <c r="AM156" s="3">
        <v>13760</v>
      </c>
      <c r="AN156" s="3">
        <v>13445</v>
      </c>
      <c r="AO156" s="3">
        <v>13445</v>
      </c>
      <c r="AP156" s="3">
        <v>13530</v>
      </c>
      <c r="AQ156" s="3">
        <v>13525</v>
      </c>
      <c r="AR156" s="4">
        <f t="shared" si="112"/>
        <v>9.9739809193408746E-3</v>
      </c>
      <c r="AS156" s="4">
        <f t="shared" si="84"/>
        <v>8.6580086580086979E-3</v>
      </c>
      <c r="AT156" s="4">
        <f t="shared" si="85"/>
        <v>2.6408450704225261E-2</v>
      </c>
      <c r="AU156" s="4">
        <f t="shared" si="86"/>
        <v>2.2920203735144362E-2</v>
      </c>
      <c r="AV156" s="4">
        <f t="shared" si="87"/>
        <v>3.8494439692045024E-3</v>
      </c>
      <c r="AW156" s="4">
        <f t="shared" si="88"/>
        <v>1.2225969645868418E-2</v>
      </c>
      <c r="AX156" s="4">
        <f t="shared" si="89"/>
        <v>3.5493190260008189E-2</v>
      </c>
      <c r="AY156" s="4">
        <f t="shared" si="90"/>
        <v>7.8247261345842922E-4</v>
      </c>
      <c r="AZ156" s="4">
        <f t="shared" si="91"/>
        <v>4.7827819848544895E-3</v>
      </c>
      <c r="BA156" s="4">
        <f t="shared" si="92"/>
        <v>1.6161616161616266E-3</v>
      </c>
      <c r="BB156" s="4">
        <f t="shared" si="93"/>
        <v>4.0129712201053991E-2</v>
      </c>
      <c r="BC156" s="4">
        <f t="shared" si="94"/>
        <v>1.5829046299959959E-3</v>
      </c>
      <c r="BD156" s="4">
        <f t="shared" si="95"/>
        <v>1.3239875389408073E-2</v>
      </c>
      <c r="BE156" s="4">
        <f t="shared" si="96"/>
        <v>2.5838796760509153E-2</v>
      </c>
      <c r="BF156" s="4">
        <f t="shared" si="97"/>
        <v>6.4935064935065512E-3</v>
      </c>
      <c r="BG156" s="4">
        <f t="shared" si="98"/>
        <v>3.937007874015741E-2</v>
      </c>
      <c r="BH156" s="4">
        <f t="shared" si="99"/>
        <v>2.372393961179009E-2</v>
      </c>
      <c r="BI156" s="4">
        <f t="shared" si="100"/>
        <v>2.2342342342342336E-2</v>
      </c>
      <c r="BJ156" s="4">
        <f t="shared" si="101"/>
        <v>2.9154518950438302E-3</v>
      </c>
      <c r="BK156" s="4">
        <f t="shared" si="102"/>
        <v>1.7537449762513702E-2</v>
      </c>
      <c r="BL156" s="4">
        <f t="shared" si="103"/>
        <v>5.2025269416573483E-3</v>
      </c>
      <c r="BM156" s="4">
        <f t="shared" si="113"/>
        <v>1.6846333164343134E-2</v>
      </c>
      <c r="BN156" s="14">
        <f t="shared" si="114"/>
        <v>13681.667412726238</v>
      </c>
      <c r="BO156" s="15">
        <f t="shared" si="115"/>
        <v>13100.522610585127</v>
      </c>
      <c r="BP156" s="16">
        <v>13530</v>
      </c>
      <c r="BQ156" s="16">
        <v>13530</v>
      </c>
      <c r="BR156" s="16">
        <v>13515</v>
      </c>
      <c r="BS156" s="16">
        <v>13525</v>
      </c>
      <c r="BT156" s="16">
        <v>6026</v>
      </c>
      <c r="BU156" s="15">
        <f t="shared" si="104"/>
        <v>13523.333333333334</v>
      </c>
      <c r="BV156" s="15">
        <f t="shared" si="105"/>
        <v>81491606.666666672</v>
      </c>
      <c r="BW156" s="15">
        <f>SUM($BV$3:BV156)</f>
        <v>196370863324.99997</v>
      </c>
      <c r="BX156" s="15">
        <f>SUM($BT$3:BT156)</f>
        <v>14475844</v>
      </c>
      <c r="BY156" s="15">
        <f t="shared" si="106"/>
        <v>13565.417209870455</v>
      </c>
      <c r="BZ156" s="3">
        <v>154</v>
      </c>
      <c r="CA156" s="3">
        <f t="shared" si="107"/>
        <v>0</v>
      </c>
      <c r="CB156" s="3">
        <f t="shared" si="108"/>
        <v>0</v>
      </c>
      <c r="CC156" s="3">
        <f t="shared" si="109"/>
        <v>0</v>
      </c>
      <c r="CD156" s="3" t="str">
        <f t="shared" si="110"/>
        <v/>
      </c>
      <c r="CE156" s="3">
        <f t="shared" si="111"/>
        <v>0</v>
      </c>
    </row>
    <row r="157" spans="1:83" x14ac:dyDescent="0.3">
      <c r="A157" s="3" t="s">
        <v>197</v>
      </c>
      <c r="B157" s="3">
        <v>11645</v>
      </c>
      <c r="C157" s="3">
        <v>11635</v>
      </c>
      <c r="D157" s="3">
        <v>11445</v>
      </c>
      <c r="E157" s="3">
        <v>11455</v>
      </c>
      <c r="F157" s="3">
        <v>11665</v>
      </c>
      <c r="G157" s="3">
        <v>11660</v>
      </c>
      <c r="H157" s="3">
        <v>11505</v>
      </c>
      <c r="I157" s="3">
        <v>11510</v>
      </c>
      <c r="J157" s="3">
        <v>11730</v>
      </c>
      <c r="K157" s="3">
        <v>11735</v>
      </c>
      <c r="L157" s="3">
        <v>12005</v>
      </c>
      <c r="M157" s="3">
        <v>12000</v>
      </c>
      <c r="N157" s="3">
        <v>12550</v>
      </c>
      <c r="O157" s="3">
        <v>12550</v>
      </c>
      <c r="P157" s="3">
        <v>12790</v>
      </c>
      <c r="Q157" s="3">
        <v>12780</v>
      </c>
      <c r="R157" s="3">
        <v>12605</v>
      </c>
      <c r="S157" s="3">
        <v>12605</v>
      </c>
      <c r="T157" s="3">
        <v>12395</v>
      </c>
      <c r="U157" s="3">
        <v>12395</v>
      </c>
      <c r="V157" s="3">
        <v>12830</v>
      </c>
      <c r="W157" s="3">
        <v>12840</v>
      </c>
      <c r="X157" s="3">
        <v>12610</v>
      </c>
      <c r="Y157" s="3">
        <v>12610</v>
      </c>
      <c r="Z157" s="3">
        <v>12670</v>
      </c>
      <c r="AA157" s="3">
        <v>12675</v>
      </c>
      <c r="AB157" s="3">
        <v>13300</v>
      </c>
      <c r="AC157" s="3">
        <v>13290</v>
      </c>
      <c r="AD157" s="3">
        <v>13175</v>
      </c>
      <c r="AE157" s="3">
        <v>13165</v>
      </c>
      <c r="AF157" s="3">
        <v>13860</v>
      </c>
      <c r="AG157" s="3">
        <v>13855</v>
      </c>
      <c r="AH157" s="3">
        <v>14240</v>
      </c>
      <c r="AI157" s="3">
        <v>14240</v>
      </c>
      <c r="AJ157" s="3">
        <v>13565</v>
      </c>
      <c r="AK157" s="3">
        <v>13580</v>
      </c>
      <c r="AL157" s="3">
        <v>13760</v>
      </c>
      <c r="AM157" s="3">
        <v>13755</v>
      </c>
      <c r="AN157" s="3">
        <v>13440</v>
      </c>
      <c r="AO157" s="3">
        <v>13475</v>
      </c>
      <c r="AP157" s="3">
        <v>13525</v>
      </c>
      <c r="AQ157" s="3">
        <v>13525</v>
      </c>
      <c r="AR157" s="4">
        <f t="shared" si="112"/>
        <v>9.1066782307025473E-3</v>
      </c>
      <c r="AS157" s="4">
        <f t="shared" si="84"/>
        <v>8.2251082251082464E-3</v>
      </c>
      <c r="AT157" s="4">
        <f t="shared" si="85"/>
        <v>2.6408450704225261E-2</v>
      </c>
      <c r="AU157" s="4">
        <f t="shared" si="86"/>
        <v>2.2920203735144362E-2</v>
      </c>
      <c r="AV157" s="4">
        <f t="shared" si="87"/>
        <v>3.8494439692045024E-3</v>
      </c>
      <c r="AW157" s="4">
        <f t="shared" si="88"/>
        <v>1.180438448566612E-2</v>
      </c>
      <c r="AX157" s="4">
        <f t="shared" si="89"/>
        <v>3.5905901774659466E-2</v>
      </c>
      <c r="AY157" s="4">
        <f t="shared" si="90"/>
        <v>0</v>
      </c>
      <c r="AZ157" s="4">
        <f t="shared" si="91"/>
        <v>4.7827819848544895E-3</v>
      </c>
      <c r="BA157" s="4">
        <f t="shared" si="92"/>
        <v>1.6161616161616266E-3</v>
      </c>
      <c r="BB157" s="4">
        <f t="shared" si="93"/>
        <v>4.0940413457640767E-2</v>
      </c>
      <c r="BC157" s="4">
        <f t="shared" si="94"/>
        <v>1.9786307874950504E-3</v>
      </c>
      <c r="BD157" s="4">
        <f t="shared" si="95"/>
        <v>1.2850467289719614E-2</v>
      </c>
      <c r="BE157" s="4">
        <f t="shared" si="96"/>
        <v>2.5067489394523745E-2</v>
      </c>
      <c r="BF157" s="4">
        <f t="shared" si="97"/>
        <v>5.7295645530939243E-3</v>
      </c>
      <c r="BG157" s="4">
        <f t="shared" si="98"/>
        <v>3.8995125609298853E-2</v>
      </c>
      <c r="BH157" s="4">
        <f t="shared" si="99"/>
        <v>2.372393961179009E-2</v>
      </c>
      <c r="BI157" s="4">
        <f t="shared" si="100"/>
        <v>2.1261261261261266E-2</v>
      </c>
      <c r="BJ157" s="4">
        <f t="shared" si="101"/>
        <v>2.5510204081633514E-3</v>
      </c>
      <c r="BK157" s="4">
        <f t="shared" si="102"/>
        <v>1.5345268542199531E-2</v>
      </c>
      <c r="BL157" s="4">
        <f t="shared" si="103"/>
        <v>5.2025269416573483E-3</v>
      </c>
      <c r="BM157" s="4">
        <f t="shared" si="113"/>
        <v>1.6482001877918699E-2</v>
      </c>
      <c r="BN157" s="14">
        <f t="shared" si="114"/>
        <v>13676.765335267395</v>
      </c>
      <c r="BO157" s="15">
        <f t="shared" si="115"/>
        <v>13105.377324976733</v>
      </c>
      <c r="BP157" s="16">
        <v>13525</v>
      </c>
      <c r="BQ157" s="16">
        <v>13530</v>
      </c>
      <c r="BR157" s="16">
        <v>13520</v>
      </c>
      <c r="BS157" s="16">
        <v>13525</v>
      </c>
      <c r="BT157" s="16">
        <v>3734</v>
      </c>
      <c r="BU157" s="15">
        <f t="shared" si="104"/>
        <v>13525</v>
      </c>
      <c r="BV157" s="15">
        <f t="shared" si="105"/>
        <v>50502350</v>
      </c>
      <c r="BW157" s="15">
        <f>SUM($BV$3:BV157)</f>
        <v>196421365674.99997</v>
      </c>
      <c r="BX157" s="15">
        <f>SUM($BT$3:BT157)</f>
        <v>14479578</v>
      </c>
      <c r="BY157" s="15">
        <f t="shared" si="106"/>
        <v>13565.406787062439</v>
      </c>
      <c r="BZ157" s="3">
        <v>155</v>
      </c>
      <c r="CA157" s="3">
        <f t="shared" si="107"/>
        <v>0</v>
      </c>
      <c r="CB157" s="3">
        <f t="shared" si="108"/>
        <v>0</v>
      </c>
      <c r="CC157" s="3">
        <f t="shared" si="109"/>
        <v>0</v>
      </c>
      <c r="CD157" s="3" t="str">
        <f t="shared" si="110"/>
        <v/>
      </c>
      <c r="CE157" s="3">
        <f t="shared" si="111"/>
        <v>0</v>
      </c>
    </row>
    <row r="158" spans="1:83" x14ac:dyDescent="0.3">
      <c r="A158" s="3" t="s">
        <v>198</v>
      </c>
      <c r="B158" s="3">
        <v>11635</v>
      </c>
      <c r="C158" s="3">
        <v>11635</v>
      </c>
      <c r="D158" s="3">
        <v>11455</v>
      </c>
      <c r="E158" s="3">
        <v>11465</v>
      </c>
      <c r="F158" s="3">
        <v>11665</v>
      </c>
      <c r="G158" s="3">
        <v>11655</v>
      </c>
      <c r="H158" s="3">
        <v>11505</v>
      </c>
      <c r="I158" s="3">
        <v>11500</v>
      </c>
      <c r="J158" s="3">
        <v>11735</v>
      </c>
      <c r="K158" s="3">
        <v>11730</v>
      </c>
      <c r="L158" s="3">
        <v>12000</v>
      </c>
      <c r="M158" s="3">
        <v>12005</v>
      </c>
      <c r="N158" s="3">
        <v>12550</v>
      </c>
      <c r="O158" s="3">
        <v>12540</v>
      </c>
      <c r="P158" s="3">
        <v>12775</v>
      </c>
      <c r="Q158" s="3">
        <v>12780</v>
      </c>
      <c r="R158" s="3">
        <v>12605</v>
      </c>
      <c r="S158" s="3">
        <v>12600</v>
      </c>
      <c r="T158" s="3">
        <v>12395</v>
      </c>
      <c r="U158" s="3">
        <v>12385</v>
      </c>
      <c r="V158" s="3">
        <v>12835</v>
      </c>
      <c r="W158" s="3">
        <v>12835</v>
      </c>
      <c r="X158" s="3">
        <v>12610</v>
      </c>
      <c r="Y158" s="3">
        <v>12615</v>
      </c>
      <c r="Z158" s="3">
        <v>12670</v>
      </c>
      <c r="AA158" s="3">
        <v>12680</v>
      </c>
      <c r="AB158" s="3">
        <v>13290</v>
      </c>
      <c r="AC158" s="3">
        <v>13290</v>
      </c>
      <c r="AD158" s="3">
        <v>13170</v>
      </c>
      <c r="AE158" s="3">
        <v>13140</v>
      </c>
      <c r="AF158" s="3">
        <v>13855</v>
      </c>
      <c r="AG158" s="3">
        <v>13860</v>
      </c>
      <c r="AH158" s="3">
        <v>14240</v>
      </c>
      <c r="AI158" s="3">
        <v>14245</v>
      </c>
      <c r="AJ158" s="3">
        <v>13580</v>
      </c>
      <c r="AK158" s="3">
        <v>13575</v>
      </c>
      <c r="AL158" s="3">
        <v>13755</v>
      </c>
      <c r="AM158" s="3">
        <v>13770</v>
      </c>
      <c r="AN158" s="3">
        <v>13475</v>
      </c>
      <c r="AO158" s="3">
        <v>13470</v>
      </c>
      <c r="AP158" s="3">
        <v>13525</v>
      </c>
      <c r="AQ158" s="3">
        <v>13525</v>
      </c>
      <c r="AR158" s="4">
        <f t="shared" si="112"/>
        <v>9.1066782307025473E-3</v>
      </c>
      <c r="AS158" s="4">
        <f t="shared" si="84"/>
        <v>7.3593073593073433E-3</v>
      </c>
      <c r="AT158" s="4">
        <f t="shared" si="85"/>
        <v>2.5968309859154992E-2</v>
      </c>
      <c r="AU158" s="4">
        <f t="shared" si="86"/>
        <v>2.3769100169779289E-2</v>
      </c>
      <c r="AV158" s="4">
        <f t="shared" si="87"/>
        <v>3.4217279726260763E-3</v>
      </c>
      <c r="AW158" s="4">
        <f t="shared" si="88"/>
        <v>1.2225969645868418E-2</v>
      </c>
      <c r="AX158" s="4">
        <f t="shared" si="89"/>
        <v>3.5080478745356913E-2</v>
      </c>
      <c r="AY158" s="4">
        <f t="shared" si="90"/>
        <v>0</v>
      </c>
      <c r="AZ158" s="4">
        <f t="shared" si="91"/>
        <v>4.3842168194498932E-3</v>
      </c>
      <c r="BA158" s="4">
        <f t="shared" si="92"/>
        <v>8.0808080808081328E-4</v>
      </c>
      <c r="BB158" s="4">
        <f t="shared" si="93"/>
        <v>4.053506282934749E-2</v>
      </c>
      <c r="BC158" s="4">
        <f t="shared" si="94"/>
        <v>1.5829046299959959E-3</v>
      </c>
      <c r="BD158" s="4">
        <f t="shared" si="95"/>
        <v>1.2461059190031154E-2</v>
      </c>
      <c r="BE158" s="4">
        <f t="shared" si="96"/>
        <v>2.5067489394523745E-2</v>
      </c>
      <c r="BF158" s="4">
        <f t="shared" si="97"/>
        <v>3.8197097020626902E-3</v>
      </c>
      <c r="BG158" s="4">
        <f t="shared" si="98"/>
        <v>3.937007874015741E-2</v>
      </c>
      <c r="BH158" s="4">
        <f t="shared" si="99"/>
        <v>2.4083393242271711E-2</v>
      </c>
      <c r="BI158" s="4">
        <f t="shared" si="100"/>
        <v>2.1621621621621623E-2</v>
      </c>
      <c r="BJ158" s="4">
        <f t="shared" si="101"/>
        <v>3.6443148688045657E-3</v>
      </c>
      <c r="BK158" s="4">
        <f t="shared" si="102"/>
        <v>1.5710632078918541E-2</v>
      </c>
      <c r="BL158" s="4">
        <f t="shared" si="103"/>
        <v>5.2025269416573483E-3</v>
      </c>
      <c r="BM158" s="4">
        <f t="shared" si="113"/>
        <v>1.6297788762187324E-2</v>
      </c>
      <c r="BN158" s="14">
        <f t="shared" si="114"/>
        <v>13674.286747795231</v>
      </c>
      <c r="BO158" s="15">
        <f t="shared" si="115"/>
        <v>13107.831964743853</v>
      </c>
      <c r="BP158" s="16">
        <v>13525</v>
      </c>
      <c r="BQ158" s="16">
        <v>13525</v>
      </c>
      <c r="BR158" s="16">
        <v>13525</v>
      </c>
      <c r="BS158" s="16">
        <v>13525</v>
      </c>
      <c r="BT158" s="16">
        <v>7335</v>
      </c>
      <c r="BU158" s="15">
        <f t="shared" si="104"/>
        <v>13525</v>
      </c>
      <c r="BV158" s="15">
        <f t="shared" si="105"/>
        <v>99205875</v>
      </c>
      <c r="BW158" s="15">
        <f>SUM($BV$3:BV158)</f>
        <v>196520571549.99997</v>
      </c>
      <c r="BX158" s="15">
        <f>SUM($BT$3:BT158)</f>
        <v>14486913</v>
      </c>
      <c r="BY158" s="15">
        <f t="shared" si="106"/>
        <v>13565.386328336477</v>
      </c>
      <c r="BZ158" s="3">
        <v>156</v>
      </c>
      <c r="CA158" s="3">
        <f t="shared" si="107"/>
        <v>0</v>
      </c>
      <c r="CB158" s="3">
        <f t="shared" si="108"/>
        <v>0</v>
      </c>
      <c r="CC158" s="3">
        <f t="shared" si="109"/>
        <v>0</v>
      </c>
      <c r="CD158" s="3" t="str">
        <f t="shared" si="110"/>
        <v/>
      </c>
      <c r="CE158" s="3">
        <f t="shared" si="111"/>
        <v>0</v>
      </c>
    </row>
    <row r="159" spans="1:83" x14ac:dyDescent="0.3">
      <c r="A159" s="3" t="s">
        <v>199</v>
      </c>
      <c r="B159" s="3">
        <v>11635</v>
      </c>
      <c r="C159" s="3">
        <v>11635</v>
      </c>
      <c r="D159" s="3">
        <v>11465</v>
      </c>
      <c r="E159" s="3">
        <v>11470</v>
      </c>
      <c r="F159" s="3">
        <v>11655</v>
      </c>
      <c r="G159" s="3">
        <v>11660</v>
      </c>
      <c r="H159" s="3">
        <v>11500</v>
      </c>
      <c r="I159" s="3">
        <v>11470</v>
      </c>
      <c r="J159" s="3">
        <v>11735</v>
      </c>
      <c r="K159" s="3">
        <v>11740</v>
      </c>
      <c r="L159" s="3">
        <v>12005</v>
      </c>
      <c r="M159" s="3">
        <v>11990</v>
      </c>
      <c r="N159" s="3">
        <v>12545</v>
      </c>
      <c r="O159" s="3">
        <v>12560</v>
      </c>
      <c r="P159" s="3">
        <v>12780</v>
      </c>
      <c r="Q159" s="3">
        <v>12785</v>
      </c>
      <c r="R159" s="3">
        <v>12600</v>
      </c>
      <c r="S159" s="3">
        <v>12590</v>
      </c>
      <c r="T159" s="3">
        <v>12385</v>
      </c>
      <c r="U159" s="3">
        <v>12375</v>
      </c>
      <c r="V159" s="3">
        <v>12835</v>
      </c>
      <c r="W159" s="3">
        <v>12835</v>
      </c>
      <c r="X159" s="3">
        <v>12615</v>
      </c>
      <c r="Y159" s="3">
        <v>12610</v>
      </c>
      <c r="Z159" s="3">
        <v>12675</v>
      </c>
      <c r="AA159" s="3">
        <v>12675</v>
      </c>
      <c r="AB159" s="3">
        <v>13290</v>
      </c>
      <c r="AC159" s="3">
        <v>13285</v>
      </c>
      <c r="AD159" s="3">
        <v>13140</v>
      </c>
      <c r="AE159" s="3">
        <v>13130</v>
      </c>
      <c r="AF159" s="3">
        <v>13855</v>
      </c>
      <c r="AG159" s="3">
        <v>13855</v>
      </c>
      <c r="AH159" s="3">
        <v>14245</v>
      </c>
      <c r="AI159" s="3">
        <v>14240</v>
      </c>
      <c r="AJ159" s="3">
        <v>13575</v>
      </c>
      <c r="AK159" s="3">
        <v>13590</v>
      </c>
      <c r="AL159" s="3">
        <v>13770</v>
      </c>
      <c r="AM159" s="3">
        <v>13765</v>
      </c>
      <c r="AN159" s="3">
        <v>13470</v>
      </c>
      <c r="AO159" s="3">
        <v>13450</v>
      </c>
      <c r="AP159" s="3">
        <v>13525</v>
      </c>
      <c r="AQ159" s="3">
        <v>13520</v>
      </c>
      <c r="AR159" s="4">
        <f t="shared" si="112"/>
        <v>9.1066782307025473E-3</v>
      </c>
      <c r="AS159" s="4">
        <f t="shared" si="84"/>
        <v>6.9264069264068917E-3</v>
      </c>
      <c r="AT159" s="4">
        <f t="shared" si="85"/>
        <v>2.6408450704225261E-2</v>
      </c>
      <c r="AU159" s="4">
        <f t="shared" si="86"/>
        <v>2.6315789473684181E-2</v>
      </c>
      <c r="AV159" s="4">
        <f t="shared" si="87"/>
        <v>4.2771599657827064E-3</v>
      </c>
      <c r="AW159" s="4">
        <f t="shared" si="88"/>
        <v>1.0961214165261302E-2</v>
      </c>
      <c r="AX159" s="4">
        <f t="shared" si="89"/>
        <v>3.6731324803962018E-2</v>
      </c>
      <c r="AY159" s="4">
        <f t="shared" si="90"/>
        <v>3.9123630672932563E-4</v>
      </c>
      <c r="AZ159" s="4">
        <f t="shared" si="91"/>
        <v>3.5870864886409226E-3</v>
      </c>
      <c r="BA159" s="4">
        <f t="shared" si="92"/>
        <v>0</v>
      </c>
      <c r="BB159" s="4">
        <f t="shared" si="93"/>
        <v>4.053506282934749E-2</v>
      </c>
      <c r="BC159" s="4">
        <f t="shared" si="94"/>
        <v>1.9786307874950504E-3</v>
      </c>
      <c r="BD159" s="4">
        <f t="shared" si="95"/>
        <v>1.2850467289719614E-2</v>
      </c>
      <c r="BE159" s="4">
        <f t="shared" si="96"/>
        <v>2.4681835711531042E-2</v>
      </c>
      <c r="BF159" s="4">
        <f t="shared" si="97"/>
        <v>3.0557677616500634E-3</v>
      </c>
      <c r="BG159" s="4">
        <f t="shared" si="98"/>
        <v>3.8995125609298853E-2</v>
      </c>
      <c r="BH159" s="4">
        <f t="shared" si="99"/>
        <v>2.372393961179009E-2</v>
      </c>
      <c r="BI159" s="4">
        <f t="shared" si="100"/>
        <v>2.0540540540540553E-2</v>
      </c>
      <c r="BJ159" s="4">
        <f t="shared" si="101"/>
        <v>3.2798833819243089E-3</v>
      </c>
      <c r="BK159" s="4">
        <f t="shared" si="102"/>
        <v>1.7172086225794692E-2</v>
      </c>
      <c r="BL159" s="4">
        <f t="shared" si="103"/>
        <v>4.8309178743961567E-3</v>
      </c>
      <c r="BM159" s="4">
        <f t="shared" si="113"/>
        <v>1.6251641953458858E-2</v>
      </c>
      <c r="BN159" s="14">
        <f t="shared" si="114"/>
        <v>13673.66584248379</v>
      </c>
      <c r="BO159" s="15">
        <f t="shared" si="115"/>
        <v>13108.446870970161</v>
      </c>
      <c r="BP159" s="16">
        <v>13525</v>
      </c>
      <c r="BQ159" s="16">
        <v>13525</v>
      </c>
      <c r="BR159" s="16">
        <v>13520</v>
      </c>
      <c r="BS159" s="16">
        <v>13520</v>
      </c>
      <c r="BT159" s="16">
        <v>5838</v>
      </c>
      <c r="BU159" s="15">
        <f t="shared" si="104"/>
        <v>13521.666666666666</v>
      </c>
      <c r="BV159" s="15">
        <f t="shared" si="105"/>
        <v>78939490</v>
      </c>
      <c r="BW159" s="15">
        <f>SUM($BV$3:BV159)</f>
        <v>196599511039.99997</v>
      </c>
      <c r="BX159" s="15">
        <f>SUM($BT$3:BT159)</f>
        <v>14492751</v>
      </c>
      <c r="BY159" s="15">
        <f t="shared" si="106"/>
        <v>13565.368717091736</v>
      </c>
      <c r="BZ159" s="3">
        <v>157</v>
      </c>
      <c r="CA159" s="3">
        <f t="shared" si="107"/>
        <v>0</v>
      </c>
      <c r="CB159" s="3">
        <f t="shared" si="108"/>
        <v>0</v>
      </c>
      <c r="CC159" s="3">
        <f t="shared" si="109"/>
        <v>0</v>
      </c>
      <c r="CD159" s="3" t="str">
        <f t="shared" si="110"/>
        <v/>
      </c>
      <c r="CE159" s="3">
        <f t="shared" si="111"/>
        <v>0</v>
      </c>
    </row>
    <row r="160" spans="1:83" x14ac:dyDescent="0.3">
      <c r="A160" s="3" t="s">
        <v>200</v>
      </c>
      <c r="B160" s="3">
        <v>11630</v>
      </c>
      <c r="C160" s="3">
        <v>11630</v>
      </c>
      <c r="D160" s="3">
        <v>11465</v>
      </c>
      <c r="E160" s="3">
        <v>11475</v>
      </c>
      <c r="F160" s="3">
        <v>11665</v>
      </c>
      <c r="G160" s="3">
        <v>11670</v>
      </c>
      <c r="H160" s="3">
        <v>11465</v>
      </c>
      <c r="I160" s="3">
        <v>11445</v>
      </c>
      <c r="J160" s="3">
        <v>11740</v>
      </c>
      <c r="K160" s="3">
        <v>11735</v>
      </c>
      <c r="L160" s="3">
        <v>11990</v>
      </c>
      <c r="M160" s="3">
        <v>12005</v>
      </c>
      <c r="N160" s="3">
        <v>12560</v>
      </c>
      <c r="O160" s="3">
        <v>12550</v>
      </c>
      <c r="P160" s="3">
        <v>12785</v>
      </c>
      <c r="Q160" s="3">
        <v>12775</v>
      </c>
      <c r="R160" s="3">
        <v>12595</v>
      </c>
      <c r="S160" s="3">
        <v>12595</v>
      </c>
      <c r="T160" s="3">
        <v>12375</v>
      </c>
      <c r="U160" s="3">
        <v>12375</v>
      </c>
      <c r="V160" s="3">
        <v>12840</v>
      </c>
      <c r="W160" s="3">
        <v>12835</v>
      </c>
      <c r="X160" s="3">
        <v>12615</v>
      </c>
      <c r="Y160" s="3">
        <v>12615</v>
      </c>
      <c r="Z160" s="3">
        <v>12670</v>
      </c>
      <c r="AA160" s="3">
        <v>12670</v>
      </c>
      <c r="AB160" s="3">
        <v>13290</v>
      </c>
      <c r="AC160" s="3">
        <v>13280</v>
      </c>
      <c r="AD160" s="3">
        <v>13135</v>
      </c>
      <c r="AE160" s="3">
        <v>13140</v>
      </c>
      <c r="AF160" s="3">
        <v>13855</v>
      </c>
      <c r="AG160" s="3">
        <v>13860</v>
      </c>
      <c r="AH160" s="3">
        <v>14235</v>
      </c>
      <c r="AI160" s="3">
        <v>14240</v>
      </c>
      <c r="AJ160" s="3">
        <v>13590</v>
      </c>
      <c r="AK160" s="3">
        <v>13580</v>
      </c>
      <c r="AL160" s="3">
        <v>13765</v>
      </c>
      <c r="AM160" s="3">
        <v>13770</v>
      </c>
      <c r="AN160" s="3">
        <v>13450</v>
      </c>
      <c r="AO160" s="3">
        <v>13440</v>
      </c>
      <c r="AP160" s="3">
        <v>13520</v>
      </c>
      <c r="AQ160" s="3">
        <v>13515</v>
      </c>
      <c r="AR160" s="4">
        <f t="shared" si="112"/>
        <v>8.6730268863832727E-3</v>
      </c>
      <c r="AS160" s="4">
        <f t="shared" si="84"/>
        <v>6.4935064935064402E-3</v>
      </c>
      <c r="AT160" s="4">
        <f t="shared" si="85"/>
        <v>2.7288732394366244E-2</v>
      </c>
      <c r="AU160" s="4">
        <f t="shared" si="86"/>
        <v>2.843803056027161E-2</v>
      </c>
      <c r="AV160" s="4">
        <f t="shared" si="87"/>
        <v>3.8494439692045024E-3</v>
      </c>
      <c r="AW160" s="4">
        <f t="shared" si="88"/>
        <v>1.2225969645868418E-2</v>
      </c>
      <c r="AX160" s="4">
        <f t="shared" si="89"/>
        <v>3.5905901774659466E-2</v>
      </c>
      <c r="AY160" s="4">
        <f t="shared" si="90"/>
        <v>3.9123630672921461E-4</v>
      </c>
      <c r="AZ160" s="4">
        <f t="shared" si="91"/>
        <v>3.9856516540455189E-3</v>
      </c>
      <c r="BA160" s="4">
        <f t="shared" si="92"/>
        <v>0</v>
      </c>
      <c r="BB160" s="4">
        <f t="shared" si="93"/>
        <v>4.053506282934749E-2</v>
      </c>
      <c r="BC160" s="4">
        <f t="shared" si="94"/>
        <v>1.5829046299959959E-3</v>
      </c>
      <c r="BD160" s="4">
        <f t="shared" si="95"/>
        <v>1.3239875389408073E-2</v>
      </c>
      <c r="BE160" s="4">
        <f t="shared" si="96"/>
        <v>2.4296182028538338E-2</v>
      </c>
      <c r="BF160" s="4">
        <f t="shared" si="97"/>
        <v>3.8197097020626902E-3</v>
      </c>
      <c r="BG160" s="4">
        <f t="shared" si="98"/>
        <v>3.937007874015741E-2</v>
      </c>
      <c r="BH160" s="4">
        <f t="shared" si="99"/>
        <v>2.372393961179009E-2</v>
      </c>
      <c r="BI160" s="4">
        <f t="shared" si="100"/>
        <v>2.1261261261261266E-2</v>
      </c>
      <c r="BJ160" s="4">
        <f t="shared" si="101"/>
        <v>3.6443148688045657E-3</v>
      </c>
      <c r="BK160" s="4">
        <f t="shared" si="102"/>
        <v>1.7902813299232712E-2</v>
      </c>
      <c r="BL160" s="4">
        <f t="shared" si="103"/>
        <v>4.4593088071349651E-3</v>
      </c>
      <c r="BM160" s="4">
        <f t="shared" si="113"/>
        <v>1.6404209435430916E-2</v>
      </c>
      <c r="BN160" s="14">
        <f t="shared" si="114"/>
        <v>13675.718637953722</v>
      </c>
      <c r="BO160" s="15">
        <f t="shared" si="115"/>
        <v>13106.413909272884</v>
      </c>
      <c r="BP160" s="16">
        <v>13520</v>
      </c>
      <c r="BQ160" s="16">
        <v>13525</v>
      </c>
      <c r="BR160" s="16">
        <v>13510</v>
      </c>
      <c r="BS160" s="16">
        <v>13515</v>
      </c>
      <c r="BT160" s="16">
        <v>33249</v>
      </c>
      <c r="BU160" s="15">
        <f t="shared" si="104"/>
        <v>13516.666666666666</v>
      </c>
      <c r="BV160" s="15">
        <f t="shared" si="105"/>
        <v>449415650</v>
      </c>
      <c r="BW160" s="15">
        <f>SUM($BV$3:BV160)</f>
        <v>197048926689.99997</v>
      </c>
      <c r="BX160" s="15">
        <f>SUM($BT$3:BT160)</f>
        <v>14526000</v>
      </c>
      <c r="BY160" s="15">
        <f t="shared" si="106"/>
        <v>13565.257241498002</v>
      </c>
      <c r="BZ160" s="3">
        <v>158</v>
      </c>
      <c r="CA160" s="3">
        <f t="shared" si="107"/>
        <v>0</v>
      </c>
      <c r="CB160" s="3">
        <f t="shared" si="108"/>
        <v>0</v>
      </c>
      <c r="CC160" s="3">
        <f t="shared" si="109"/>
        <v>0</v>
      </c>
      <c r="CD160" s="3" t="str">
        <f t="shared" si="110"/>
        <v/>
      </c>
      <c r="CE160" s="3">
        <f t="shared" si="111"/>
        <v>0</v>
      </c>
    </row>
    <row r="161" spans="1:83" x14ac:dyDescent="0.3">
      <c r="A161" s="3" t="s">
        <v>201</v>
      </c>
      <c r="B161" s="3">
        <v>11625</v>
      </c>
      <c r="C161" s="3">
        <v>11625</v>
      </c>
      <c r="D161" s="3">
        <v>11475</v>
      </c>
      <c r="E161" s="3">
        <v>11485</v>
      </c>
      <c r="F161" s="3">
        <v>11670</v>
      </c>
      <c r="G161" s="3">
        <v>11675</v>
      </c>
      <c r="H161" s="3">
        <v>11440</v>
      </c>
      <c r="I161" s="3">
        <v>11435</v>
      </c>
      <c r="J161" s="3">
        <v>11735</v>
      </c>
      <c r="K161" s="3">
        <v>11740</v>
      </c>
      <c r="L161" s="3">
        <v>12005</v>
      </c>
      <c r="M161" s="3">
        <v>12015</v>
      </c>
      <c r="N161" s="3">
        <v>12550</v>
      </c>
      <c r="O161" s="3">
        <v>12550</v>
      </c>
      <c r="P161" s="3">
        <v>12775</v>
      </c>
      <c r="Q161" s="3">
        <v>12780</v>
      </c>
      <c r="R161" s="3">
        <v>12595</v>
      </c>
      <c r="S161" s="3">
        <v>12595</v>
      </c>
      <c r="T161" s="3">
        <v>12370</v>
      </c>
      <c r="U161" s="3">
        <v>12370</v>
      </c>
      <c r="V161" s="3">
        <v>12835</v>
      </c>
      <c r="W161" s="3">
        <v>12830</v>
      </c>
      <c r="X161" s="3">
        <v>12615</v>
      </c>
      <c r="Y161" s="3">
        <v>12610</v>
      </c>
      <c r="Z161" s="3">
        <v>12665</v>
      </c>
      <c r="AA161" s="3">
        <v>12660</v>
      </c>
      <c r="AB161" s="3">
        <v>13285</v>
      </c>
      <c r="AC161" s="3">
        <v>13285</v>
      </c>
      <c r="AD161" s="3">
        <v>13140</v>
      </c>
      <c r="AE161" s="3">
        <v>13145</v>
      </c>
      <c r="AF161" s="3">
        <v>13860</v>
      </c>
      <c r="AG161" s="3">
        <v>13855</v>
      </c>
      <c r="AH161" s="3">
        <v>14240</v>
      </c>
      <c r="AI161" s="3">
        <v>14245</v>
      </c>
      <c r="AJ161" s="3">
        <v>13575</v>
      </c>
      <c r="AK161" s="3">
        <v>13570</v>
      </c>
      <c r="AL161" s="3">
        <v>13770</v>
      </c>
      <c r="AM161" s="3">
        <v>13780</v>
      </c>
      <c r="AN161" s="3">
        <v>13435</v>
      </c>
      <c r="AO161" s="3">
        <v>13430</v>
      </c>
      <c r="AP161" s="3">
        <v>13515</v>
      </c>
      <c r="AQ161" s="3">
        <v>13530</v>
      </c>
      <c r="AR161" s="4">
        <f t="shared" si="112"/>
        <v>8.2393755420642201E-3</v>
      </c>
      <c r="AS161" s="4">
        <f t="shared" si="84"/>
        <v>5.6277056277056481E-3</v>
      </c>
      <c r="AT161" s="4">
        <f t="shared" si="85"/>
        <v>2.7728873239436513E-2</v>
      </c>
      <c r="AU161" s="4">
        <f t="shared" si="86"/>
        <v>2.9286926994906648E-2</v>
      </c>
      <c r="AV161" s="4">
        <f t="shared" si="87"/>
        <v>4.2771599657827064E-3</v>
      </c>
      <c r="AW161" s="4">
        <f t="shared" si="88"/>
        <v>1.3069139966273235E-2</v>
      </c>
      <c r="AX161" s="4">
        <f t="shared" si="89"/>
        <v>3.5905901774659466E-2</v>
      </c>
      <c r="AY161" s="4">
        <f t="shared" si="90"/>
        <v>0</v>
      </c>
      <c r="AZ161" s="4">
        <f t="shared" si="91"/>
        <v>3.9856516540455189E-3</v>
      </c>
      <c r="BA161" s="4">
        <f t="shared" si="92"/>
        <v>4.0404040404040664E-4</v>
      </c>
      <c r="BB161" s="4">
        <f t="shared" si="93"/>
        <v>4.0129712201053991E-2</v>
      </c>
      <c r="BC161" s="4">
        <f t="shared" si="94"/>
        <v>1.9786307874950504E-3</v>
      </c>
      <c r="BD161" s="4">
        <f t="shared" si="95"/>
        <v>1.4018691588784993E-2</v>
      </c>
      <c r="BE161" s="4">
        <f t="shared" si="96"/>
        <v>2.4681835711531042E-2</v>
      </c>
      <c r="BF161" s="4">
        <f t="shared" si="97"/>
        <v>4.2016806722688926E-3</v>
      </c>
      <c r="BG161" s="4">
        <f t="shared" si="98"/>
        <v>3.8995125609298853E-2</v>
      </c>
      <c r="BH161" s="4">
        <f t="shared" si="99"/>
        <v>2.4083393242271711E-2</v>
      </c>
      <c r="BI161" s="4">
        <f t="shared" si="100"/>
        <v>2.198198198198198E-2</v>
      </c>
      <c r="BJ161" s="4">
        <f t="shared" si="101"/>
        <v>4.3731778425655232E-3</v>
      </c>
      <c r="BK161" s="4">
        <f t="shared" si="102"/>
        <v>1.8633540372670843E-2</v>
      </c>
      <c r="BL161" s="4">
        <f t="shared" si="103"/>
        <v>5.5741360089185399E-3</v>
      </c>
      <c r="BM161" s="4">
        <f t="shared" si="113"/>
        <v>1.6669525988762018E-2</v>
      </c>
      <c r="BN161" s="14">
        <f t="shared" si="114"/>
        <v>13679.288472178792</v>
      </c>
      <c r="BO161" s="15">
        <f t="shared" si="115"/>
        <v>13102.878566199746</v>
      </c>
      <c r="BP161" s="16">
        <v>13515</v>
      </c>
      <c r="BQ161" s="16">
        <v>13530</v>
      </c>
      <c r="BR161" s="16">
        <v>13515</v>
      </c>
      <c r="BS161" s="16">
        <v>13530</v>
      </c>
      <c r="BT161" s="16">
        <v>7769</v>
      </c>
      <c r="BU161" s="15">
        <f t="shared" si="104"/>
        <v>13525</v>
      </c>
      <c r="BV161" s="15">
        <f t="shared" si="105"/>
        <v>105075725</v>
      </c>
      <c r="BW161" s="15">
        <f>SUM($BV$3:BV161)</f>
        <v>197154002414.99997</v>
      </c>
      <c r="BX161" s="15">
        <f>SUM($BT$3:BT161)</f>
        <v>14533769</v>
      </c>
      <c r="BY161" s="15">
        <f t="shared" si="106"/>
        <v>13565.235722062183</v>
      </c>
      <c r="BZ161" s="3">
        <v>159</v>
      </c>
      <c r="CA161" s="3">
        <f t="shared" si="107"/>
        <v>0</v>
      </c>
      <c r="CB161" s="3">
        <f t="shared" si="108"/>
        <v>0</v>
      </c>
      <c r="CC161" s="3">
        <f t="shared" si="109"/>
        <v>0</v>
      </c>
      <c r="CD161" s="3" t="str">
        <f t="shared" si="110"/>
        <v/>
      </c>
      <c r="CE161" s="3">
        <f t="shared" si="111"/>
        <v>0</v>
      </c>
    </row>
    <row r="162" spans="1:83" x14ac:dyDescent="0.3">
      <c r="A162" s="3" t="s">
        <v>202</v>
      </c>
      <c r="B162" s="3">
        <v>11630</v>
      </c>
      <c r="C162" s="3">
        <v>11615</v>
      </c>
      <c r="D162" s="3">
        <v>11485</v>
      </c>
      <c r="E162" s="3">
        <v>11485</v>
      </c>
      <c r="F162" s="3">
        <v>11675</v>
      </c>
      <c r="G162" s="3">
        <v>11675</v>
      </c>
      <c r="H162" s="3">
        <v>11430</v>
      </c>
      <c r="I162" s="3">
        <v>11435</v>
      </c>
      <c r="J162" s="3">
        <v>11740</v>
      </c>
      <c r="K162" s="3">
        <v>11740</v>
      </c>
      <c r="L162" s="3">
        <v>12010</v>
      </c>
      <c r="M162" s="3">
        <v>12015</v>
      </c>
      <c r="N162" s="3">
        <v>12555</v>
      </c>
      <c r="O162" s="3">
        <v>12560</v>
      </c>
      <c r="P162" s="3">
        <v>12780</v>
      </c>
      <c r="Q162" s="3">
        <v>12790</v>
      </c>
      <c r="R162" s="3">
        <v>12600</v>
      </c>
      <c r="S162" s="3">
        <v>12595</v>
      </c>
      <c r="T162" s="3">
        <v>12370</v>
      </c>
      <c r="U162" s="3">
        <v>12365</v>
      </c>
      <c r="V162" s="3">
        <v>12835</v>
      </c>
      <c r="W162" s="3">
        <v>12835</v>
      </c>
      <c r="X162" s="3">
        <v>12615</v>
      </c>
      <c r="Y162" s="3">
        <v>12615</v>
      </c>
      <c r="Z162" s="3">
        <v>12665</v>
      </c>
      <c r="AA162" s="3">
        <v>12675</v>
      </c>
      <c r="AB162" s="3">
        <v>13290</v>
      </c>
      <c r="AC162" s="3">
        <v>13295</v>
      </c>
      <c r="AD162" s="3">
        <v>13145</v>
      </c>
      <c r="AE162" s="3">
        <v>13150</v>
      </c>
      <c r="AF162" s="3">
        <v>13855</v>
      </c>
      <c r="AG162" s="3">
        <v>13855</v>
      </c>
      <c r="AH162" s="3">
        <v>14240</v>
      </c>
      <c r="AI162" s="3">
        <v>14240</v>
      </c>
      <c r="AJ162" s="3">
        <v>13570</v>
      </c>
      <c r="AK162" s="3">
        <v>13565</v>
      </c>
      <c r="AL162" s="3">
        <v>13780</v>
      </c>
      <c r="AM162" s="3">
        <v>13775</v>
      </c>
      <c r="AN162" s="3">
        <v>13430</v>
      </c>
      <c r="AO162" s="3">
        <v>13435</v>
      </c>
      <c r="AP162" s="3">
        <v>13525</v>
      </c>
      <c r="AQ162" s="3">
        <v>13525</v>
      </c>
      <c r="AR162" s="4">
        <f t="shared" si="112"/>
        <v>7.3720728534258928E-3</v>
      </c>
      <c r="AS162" s="4">
        <f t="shared" si="84"/>
        <v>5.6277056277056481E-3</v>
      </c>
      <c r="AT162" s="4">
        <f t="shared" si="85"/>
        <v>2.7728873239436513E-2</v>
      </c>
      <c r="AU162" s="4">
        <f t="shared" si="86"/>
        <v>2.9286926994906648E-2</v>
      </c>
      <c r="AV162" s="4">
        <f t="shared" si="87"/>
        <v>4.2771599657827064E-3</v>
      </c>
      <c r="AW162" s="4">
        <f t="shared" si="88"/>
        <v>1.3069139966273235E-2</v>
      </c>
      <c r="AX162" s="4">
        <f t="shared" si="89"/>
        <v>3.6731324803962018E-2</v>
      </c>
      <c r="AY162" s="4">
        <f t="shared" si="90"/>
        <v>7.8247261345842922E-4</v>
      </c>
      <c r="AZ162" s="4">
        <f t="shared" si="91"/>
        <v>3.9856516540455189E-3</v>
      </c>
      <c r="BA162" s="4">
        <f t="shared" si="92"/>
        <v>8.0808080808081328E-4</v>
      </c>
      <c r="BB162" s="4">
        <f t="shared" si="93"/>
        <v>4.053506282934749E-2</v>
      </c>
      <c r="BC162" s="4">
        <f t="shared" si="94"/>
        <v>1.5829046299959959E-3</v>
      </c>
      <c r="BD162" s="4">
        <f t="shared" si="95"/>
        <v>1.2850467289719614E-2</v>
      </c>
      <c r="BE162" s="4">
        <f t="shared" si="96"/>
        <v>2.5453143077516449E-2</v>
      </c>
      <c r="BF162" s="4">
        <f t="shared" si="97"/>
        <v>4.583651642475095E-3</v>
      </c>
      <c r="BG162" s="4">
        <f t="shared" si="98"/>
        <v>3.8995125609298853E-2</v>
      </c>
      <c r="BH162" s="4">
        <f t="shared" si="99"/>
        <v>2.372393961179009E-2</v>
      </c>
      <c r="BI162" s="4">
        <f t="shared" si="100"/>
        <v>2.2342342342342336E-2</v>
      </c>
      <c r="BJ162" s="4">
        <f t="shared" si="101"/>
        <v>4.0087463556850444E-3</v>
      </c>
      <c r="BK162" s="4">
        <f t="shared" si="102"/>
        <v>1.8268176835951722E-2</v>
      </c>
      <c r="BL162" s="4">
        <f t="shared" si="103"/>
        <v>5.2025269416573483E-3</v>
      </c>
      <c r="BM162" s="4">
        <f t="shared" si="113"/>
        <v>1.6760792150262105E-2</v>
      </c>
      <c r="BN162" s="14">
        <f t="shared" si="114"/>
        <v>13680.516458381777</v>
      </c>
      <c r="BO162" s="15">
        <f t="shared" si="115"/>
        <v>13101.662444597756</v>
      </c>
      <c r="BP162" s="16">
        <v>13525</v>
      </c>
      <c r="BQ162" s="16">
        <v>13530</v>
      </c>
      <c r="BR162" s="16">
        <v>13520</v>
      </c>
      <c r="BS162" s="16">
        <v>13525</v>
      </c>
      <c r="BT162" s="16">
        <v>30246</v>
      </c>
      <c r="BU162" s="15">
        <f t="shared" si="104"/>
        <v>13525</v>
      </c>
      <c r="BV162" s="15">
        <f t="shared" si="105"/>
        <v>409077150</v>
      </c>
      <c r="BW162" s="15">
        <f>SUM($BV$3:BV162)</f>
        <v>197563079564.99997</v>
      </c>
      <c r="BX162" s="15">
        <f>SUM($BT$3:BT162)</f>
        <v>14564015</v>
      </c>
      <c r="BY162" s="15">
        <f t="shared" si="106"/>
        <v>13565.152162024</v>
      </c>
      <c r="BZ162" s="3">
        <v>160</v>
      </c>
      <c r="CA162" s="3">
        <f t="shared" si="107"/>
        <v>0</v>
      </c>
      <c r="CB162" s="3">
        <f t="shared" si="108"/>
        <v>0</v>
      </c>
      <c r="CC162" s="3">
        <f t="shared" si="109"/>
        <v>0</v>
      </c>
      <c r="CD162" s="3" t="str">
        <f t="shared" si="110"/>
        <v/>
      </c>
      <c r="CE162" s="3">
        <f t="shared" si="111"/>
        <v>0</v>
      </c>
    </row>
    <row r="163" spans="1:83" x14ac:dyDescent="0.3">
      <c r="A163" s="3" t="s">
        <v>203</v>
      </c>
      <c r="B163" s="3">
        <v>11615</v>
      </c>
      <c r="C163" s="3">
        <v>11625</v>
      </c>
      <c r="D163" s="3">
        <v>11485</v>
      </c>
      <c r="E163" s="3">
        <v>11490</v>
      </c>
      <c r="F163" s="3">
        <v>11670</v>
      </c>
      <c r="G163" s="3">
        <v>11665</v>
      </c>
      <c r="H163" s="3">
        <v>11435</v>
      </c>
      <c r="I163" s="3">
        <v>11445</v>
      </c>
      <c r="J163" s="3">
        <v>11745</v>
      </c>
      <c r="K163" s="3">
        <v>11735</v>
      </c>
      <c r="L163" s="3">
        <v>12015</v>
      </c>
      <c r="M163" s="3">
        <v>12015</v>
      </c>
      <c r="N163" s="3">
        <v>12560</v>
      </c>
      <c r="O163" s="3">
        <v>12555</v>
      </c>
      <c r="P163" s="3">
        <v>12790</v>
      </c>
      <c r="Q163" s="3">
        <v>12775</v>
      </c>
      <c r="R163" s="3">
        <v>12600</v>
      </c>
      <c r="S163" s="3">
        <v>12585</v>
      </c>
      <c r="T163" s="3">
        <v>12360</v>
      </c>
      <c r="U163" s="3">
        <v>12360</v>
      </c>
      <c r="V163" s="3">
        <v>12830</v>
      </c>
      <c r="W163" s="3">
        <v>12840</v>
      </c>
      <c r="X163" s="3">
        <v>12620</v>
      </c>
      <c r="Y163" s="3">
        <v>12605</v>
      </c>
      <c r="Z163" s="3">
        <v>12675</v>
      </c>
      <c r="AA163" s="3">
        <v>12680</v>
      </c>
      <c r="AB163" s="3">
        <v>13290</v>
      </c>
      <c r="AC163" s="3">
        <v>13285</v>
      </c>
      <c r="AD163" s="3">
        <v>13145</v>
      </c>
      <c r="AE163" s="3">
        <v>13135</v>
      </c>
      <c r="AF163" s="3">
        <v>13850</v>
      </c>
      <c r="AG163" s="3">
        <v>13845</v>
      </c>
      <c r="AH163" s="3">
        <v>14245</v>
      </c>
      <c r="AI163" s="3">
        <v>14240</v>
      </c>
      <c r="AJ163" s="3">
        <v>13565</v>
      </c>
      <c r="AK163" s="3">
        <v>13565</v>
      </c>
      <c r="AL163" s="3">
        <v>13770</v>
      </c>
      <c r="AM163" s="3">
        <v>13750</v>
      </c>
      <c r="AN163" s="3">
        <v>13430</v>
      </c>
      <c r="AO163" s="3">
        <v>13425</v>
      </c>
      <c r="AP163" s="3">
        <v>13520</v>
      </c>
      <c r="AQ163" s="3">
        <v>13530</v>
      </c>
      <c r="AR163" s="4">
        <f t="shared" si="112"/>
        <v>8.2393755420642201E-3</v>
      </c>
      <c r="AS163" s="4">
        <f t="shared" si="84"/>
        <v>5.1948051948051965E-3</v>
      </c>
      <c r="AT163" s="4">
        <f t="shared" si="85"/>
        <v>2.6848591549295753E-2</v>
      </c>
      <c r="AU163" s="4">
        <f t="shared" si="86"/>
        <v>2.843803056027161E-2</v>
      </c>
      <c r="AV163" s="4">
        <f t="shared" si="87"/>
        <v>3.8494439692045024E-3</v>
      </c>
      <c r="AW163" s="4">
        <f t="shared" si="88"/>
        <v>1.3069139966273235E-2</v>
      </c>
      <c r="AX163" s="4">
        <f t="shared" si="89"/>
        <v>3.6318613289310742E-2</v>
      </c>
      <c r="AY163" s="4">
        <f t="shared" si="90"/>
        <v>3.9123630672921461E-4</v>
      </c>
      <c r="AZ163" s="4">
        <f t="shared" si="91"/>
        <v>3.1885213232363263E-3</v>
      </c>
      <c r="BA163" s="4">
        <f t="shared" si="92"/>
        <v>1.2121212121212199E-3</v>
      </c>
      <c r="BB163" s="4">
        <f t="shared" si="93"/>
        <v>4.0940413457640767E-2</v>
      </c>
      <c r="BC163" s="4">
        <f t="shared" si="94"/>
        <v>2.3743569449941049E-3</v>
      </c>
      <c r="BD163" s="4">
        <f t="shared" si="95"/>
        <v>1.2461059190031154E-2</v>
      </c>
      <c r="BE163" s="4">
        <f t="shared" si="96"/>
        <v>2.4681835711531042E-2</v>
      </c>
      <c r="BF163" s="4">
        <f t="shared" si="97"/>
        <v>3.4377387318564878E-3</v>
      </c>
      <c r="BG163" s="4">
        <f t="shared" si="98"/>
        <v>3.8245219347581516E-2</v>
      </c>
      <c r="BH163" s="4">
        <f t="shared" si="99"/>
        <v>2.372393961179009E-2</v>
      </c>
      <c r="BI163" s="4">
        <f t="shared" si="100"/>
        <v>2.2342342342342336E-2</v>
      </c>
      <c r="BJ163" s="4">
        <f t="shared" si="101"/>
        <v>2.1865889212828726E-3</v>
      </c>
      <c r="BK163" s="4">
        <f t="shared" si="102"/>
        <v>1.8998903909389853E-2</v>
      </c>
      <c r="BL163" s="4">
        <f t="shared" si="103"/>
        <v>5.5741360089185399E-3</v>
      </c>
      <c r="BM163" s="4">
        <f t="shared" si="113"/>
        <v>1.6464492164274123E-2</v>
      </c>
      <c r="BN163" s="14">
        <f t="shared" si="114"/>
        <v>13676.529742070306</v>
      </c>
      <c r="BO163" s="15">
        <f t="shared" si="115"/>
        <v>13105.610641911047</v>
      </c>
      <c r="BP163" s="16">
        <v>13520</v>
      </c>
      <c r="BQ163" s="16">
        <v>13530</v>
      </c>
      <c r="BR163" s="16">
        <v>13520</v>
      </c>
      <c r="BS163" s="16">
        <v>13530</v>
      </c>
      <c r="BT163" s="16">
        <v>9658</v>
      </c>
      <c r="BU163" s="15">
        <f t="shared" si="104"/>
        <v>13526.666666666666</v>
      </c>
      <c r="BV163" s="15">
        <f t="shared" si="105"/>
        <v>130640546.66666666</v>
      </c>
      <c r="BW163" s="15">
        <f>SUM($BV$3:BV163)</f>
        <v>197693720111.66663</v>
      </c>
      <c r="BX163" s="15">
        <f>SUM($BT$3:BT163)</f>
        <v>14573673</v>
      </c>
      <c r="BY163" s="15">
        <f t="shared" si="106"/>
        <v>13565.126657615183</v>
      </c>
      <c r="BZ163" s="3">
        <v>161</v>
      </c>
      <c r="CA163" s="3">
        <f t="shared" si="107"/>
        <v>0</v>
      </c>
      <c r="CB163" s="3">
        <f t="shared" si="108"/>
        <v>0</v>
      </c>
      <c r="CC163" s="3">
        <f t="shared" si="109"/>
        <v>0</v>
      </c>
      <c r="CD163" s="3" t="str">
        <f t="shared" si="110"/>
        <v/>
      </c>
      <c r="CE163" s="3">
        <f t="shared" si="111"/>
        <v>0</v>
      </c>
    </row>
    <row r="164" spans="1:83" x14ac:dyDescent="0.3">
      <c r="A164" s="3" t="s">
        <v>204</v>
      </c>
      <c r="B164" s="3">
        <v>11620</v>
      </c>
      <c r="C164" s="3">
        <v>11620</v>
      </c>
      <c r="D164" s="3">
        <v>11490</v>
      </c>
      <c r="E164" s="3">
        <v>11485</v>
      </c>
      <c r="F164" s="3">
        <v>11665</v>
      </c>
      <c r="G164" s="3">
        <v>11665</v>
      </c>
      <c r="H164" s="3">
        <v>11440</v>
      </c>
      <c r="I164" s="3">
        <v>11445</v>
      </c>
      <c r="J164" s="3">
        <v>11740</v>
      </c>
      <c r="K164" s="3">
        <v>11720</v>
      </c>
      <c r="L164" s="3">
        <v>12020</v>
      </c>
      <c r="M164" s="3">
        <v>12025</v>
      </c>
      <c r="N164" s="3">
        <v>12550</v>
      </c>
      <c r="O164" s="3">
        <v>12555</v>
      </c>
      <c r="P164" s="3">
        <v>12780</v>
      </c>
      <c r="Q164" s="3">
        <v>12785</v>
      </c>
      <c r="R164" s="3">
        <v>12585</v>
      </c>
      <c r="S164" s="3">
        <v>12595</v>
      </c>
      <c r="T164" s="3">
        <v>12360</v>
      </c>
      <c r="U164" s="3">
        <v>12360</v>
      </c>
      <c r="V164" s="3">
        <v>12840</v>
      </c>
      <c r="W164" s="3">
        <v>12825</v>
      </c>
      <c r="X164" s="3">
        <v>12600</v>
      </c>
      <c r="Y164" s="3">
        <v>12605</v>
      </c>
      <c r="Z164" s="3">
        <v>12675</v>
      </c>
      <c r="AA164" s="3">
        <v>12680</v>
      </c>
      <c r="AB164" s="3">
        <v>13290</v>
      </c>
      <c r="AC164" s="3">
        <v>13280</v>
      </c>
      <c r="AD164" s="3">
        <v>13140</v>
      </c>
      <c r="AE164" s="3">
        <v>13135</v>
      </c>
      <c r="AF164" s="3">
        <v>13850</v>
      </c>
      <c r="AG164" s="3">
        <v>13845</v>
      </c>
      <c r="AH164" s="3">
        <v>14240</v>
      </c>
      <c r="AI164" s="3">
        <v>14245</v>
      </c>
      <c r="AJ164" s="3">
        <v>13565</v>
      </c>
      <c r="AK164" s="3">
        <v>13560</v>
      </c>
      <c r="AL164" s="3">
        <v>13765</v>
      </c>
      <c r="AM164" s="3">
        <v>13750</v>
      </c>
      <c r="AN164" s="3">
        <v>13420</v>
      </c>
      <c r="AO164" s="3">
        <v>13420</v>
      </c>
      <c r="AP164" s="3">
        <v>13530</v>
      </c>
      <c r="AQ164" s="3">
        <v>13515</v>
      </c>
      <c r="AR164" s="4">
        <f t="shared" si="112"/>
        <v>7.8057241977449454E-3</v>
      </c>
      <c r="AS164" s="4">
        <f t="shared" si="84"/>
        <v>5.6277056277056481E-3</v>
      </c>
      <c r="AT164" s="4">
        <f t="shared" si="85"/>
        <v>2.6848591549295753E-2</v>
      </c>
      <c r="AU164" s="4">
        <f t="shared" si="86"/>
        <v>2.843803056027161E-2</v>
      </c>
      <c r="AV164" s="4">
        <f t="shared" si="87"/>
        <v>2.5662959794696683E-3</v>
      </c>
      <c r="AW164" s="4">
        <f t="shared" si="88"/>
        <v>1.3912310286677831E-2</v>
      </c>
      <c r="AX164" s="4">
        <f t="shared" si="89"/>
        <v>3.6318613289310742E-2</v>
      </c>
      <c r="AY164" s="4">
        <f t="shared" si="90"/>
        <v>3.9123630672932563E-4</v>
      </c>
      <c r="AZ164" s="4">
        <f t="shared" si="91"/>
        <v>3.9856516540455189E-3</v>
      </c>
      <c r="BA164" s="4">
        <f t="shared" si="92"/>
        <v>1.2121212121212199E-3</v>
      </c>
      <c r="BB164" s="4">
        <f t="shared" si="93"/>
        <v>3.9724361572760492E-2</v>
      </c>
      <c r="BC164" s="4">
        <f t="shared" si="94"/>
        <v>2.3743569449941049E-3</v>
      </c>
      <c r="BD164" s="4">
        <f t="shared" si="95"/>
        <v>1.2461059190031154E-2</v>
      </c>
      <c r="BE164" s="4">
        <f t="shared" si="96"/>
        <v>2.4296182028538338E-2</v>
      </c>
      <c r="BF164" s="4">
        <f t="shared" si="97"/>
        <v>3.4377387318564878E-3</v>
      </c>
      <c r="BG164" s="4">
        <f t="shared" si="98"/>
        <v>3.8245219347581516E-2</v>
      </c>
      <c r="BH164" s="4">
        <f t="shared" si="99"/>
        <v>2.4083393242271711E-2</v>
      </c>
      <c r="BI164" s="4">
        <f t="shared" si="100"/>
        <v>2.2702702702702693E-2</v>
      </c>
      <c r="BJ164" s="4">
        <f t="shared" si="101"/>
        <v>2.1865889212828726E-3</v>
      </c>
      <c r="BK164" s="4">
        <f t="shared" si="102"/>
        <v>1.9364267446108863E-2</v>
      </c>
      <c r="BL164" s="4">
        <f t="shared" si="103"/>
        <v>4.4593088071349651E-3</v>
      </c>
      <c r="BM164" s="4">
        <f t="shared" si="113"/>
        <v>1.6484535185023932E-2</v>
      </c>
      <c r="BN164" s="14">
        <f t="shared" si="114"/>
        <v>13676.799420914498</v>
      </c>
      <c r="BO164" s="15">
        <f t="shared" si="115"/>
        <v>13105.343568659557</v>
      </c>
      <c r="BP164" s="16">
        <v>13530</v>
      </c>
      <c r="BQ164" s="16">
        <v>13530</v>
      </c>
      <c r="BR164" s="16">
        <v>13515</v>
      </c>
      <c r="BS164" s="16">
        <v>13515</v>
      </c>
      <c r="BT164" s="16">
        <v>9041</v>
      </c>
      <c r="BU164" s="15">
        <f t="shared" si="104"/>
        <v>13520</v>
      </c>
      <c r="BV164" s="15">
        <f t="shared" si="105"/>
        <v>122234320</v>
      </c>
      <c r="BW164" s="15">
        <f>SUM($BV$3:BV164)</f>
        <v>197815954431.66663</v>
      </c>
      <c r="BX164" s="15">
        <f>SUM($BT$3:BT164)</f>
        <v>14582714</v>
      </c>
      <c r="BY164" s="15">
        <f t="shared" si="106"/>
        <v>13565.098679962222</v>
      </c>
      <c r="BZ164" s="3">
        <v>162</v>
      </c>
      <c r="CA164" s="3">
        <f t="shared" si="107"/>
        <v>0</v>
      </c>
      <c r="CB164" s="3">
        <f t="shared" si="108"/>
        <v>0</v>
      </c>
      <c r="CC164" s="3">
        <f t="shared" si="109"/>
        <v>0</v>
      </c>
      <c r="CD164" s="3" t="str">
        <f t="shared" si="110"/>
        <v/>
      </c>
      <c r="CE164" s="3">
        <f t="shared" si="111"/>
        <v>0</v>
      </c>
    </row>
    <row r="165" spans="1:83" x14ac:dyDescent="0.3">
      <c r="A165" s="3" t="s">
        <v>205</v>
      </c>
      <c r="B165" s="3">
        <v>11625</v>
      </c>
      <c r="C165" s="3">
        <v>11625</v>
      </c>
      <c r="D165" s="3">
        <v>11485</v>
      </c>
      <c r="E165" s="3">
        <v>11475</v>
      </c>
      <c r="F165" s="3">
        <v>11665</v>
      </c>
      <c r="G165" s="3">
        <v>11675</v>
      </c>
      <c r="H165" s="3">
        <v>11450</v>
      </c>
      <c r="I165" s="3">
        <v>11440</v>
      </c>
      <c r="J165" s="3">
        <v>11720</v>
      </c>
      <c r="K165" s="3">
        <v>11730</v>
      </c>
      <c r="L165" s="3">
        <v>12025</v>
      </c>
      <c r="M165" s="3">
        <v>12025</v>
      </c>
      <c r="N165" s="3">
        <v>12555</v>
      </c>
      <c r="O165" s="3">
        <v>12550</v>
      </c>
      <c r="P165" s="3">
        <v>12785</v>
      </c>
      <c r="Q165" s="3">
        <v>12790</v>
      </c>
      <c r="R165" s="3">
        <v>12595</v>
      </c>
      <c r="S165" s="3">
        <v>12590</v>
      </c>
      <c r="T165" s="3">
        <v>12355</v>
      </c>
      <c r="U165" s="3">
        <v>12350</v>
      </c>
      <c r="V165" s="3">
        <v>12825</v>
      </c>
      <c r="W165" s="3">
        <v>12820</v>
      </c>
      <c r="X165" s="3">
        <v>12605</v>
      </c>
      <c r="Y165" s="3">
        <v>12590</v>
      </c>
      <c r="Z165" s="3">
        <v>12680</v>
      </c>
      <c r="AA165" s="3">
        <v>12680</v>
      </c>
      <c r="AB165" s="3">
        <v>13280</v>
      </c>
      <c r="AC165" s="3">
        <v>13285</v>
      </c>
      <c r="AD165" s="3">
        <v>13135</v>
      </c>
      <c r="AE165" s="3">
        <v>13150</v>
      </c>
      <c r="AF165" s="3">
        <v>13845</v>
      </c>
      <c r="AG165" s="3">
        <v>13835</v>
      </c>
      <c r="AH165" s="3">
        <v>14245</v>
      </c>
      <c r="AI165" s="3">
        <v>14245</v>
      </c>
      <c r="AJ165" s="3">
        <v>13565</v>
      </c>
      <c r="AK165" s="3">
        <v>13565</v>
      </c>
      <c r="AL165" s="3">
        <v>13760</v>
      </c>
      <c r="AM165" s="3">
        <v>13750</v>
      </c>
      <c r="AN165" s="3">
        <v>13420</v>
      </c>
      <c r="AO165" s="3">
        <v>13415</v>
      </c>
      <c r="AP165" s="3">
        <v>13515</v>
      </c>
      <c r="AQ165" s="3">
        <v>13510</v>
      </c>
      <c r="AR165" s="4">
        <f t="shared" si="112"/>
        <v>8.2393755420642201E-3</v>
      </c>
      <c r="AS165" s="4">
        <f t="shared" si="84"/>
        <v>6.4935064935064402E-3</v>
      </c>
      <c r="AT165" s="4">
        <f t="shared" si="85"/>
        <v>2.7728873239436513E-2</v>
      </c>
      <c r="AU165" s="4">
        <f t="shared" si="86"/>
        <v>2.8862478777589184E-2</v>
      </c>
      <c r="AV165" s="4">
        <f t="shared" si="87"/>
        <v>3.4217279726260763E-3</v>
      </c>
      <c r="AW165" s="4">
        <f t="shared" si="88"/>
        <v>1.3912310286677831E-2</v>
      </c>
      <c r="AX165" s="4">
        <f t="shared" si="89"/>
        <v>3.5905901774659466E-2</v>
      </c>
      <c r="AY165" s="4">
        <f t="shared" si="90"/>
        <v>7.8247261345842922E-4</v>
      </c>
      <c r="AZ165" s="4">
        <f t="shared" si="91"/>
        <v>3.5870864886409226E-3</v>
      </c>
      <c r="BA165" s="4">
        <f t="shared" si="92"/>
        <v>2.0202020202020332E-3</v>
      </c>
      <c r="BB165" s="4">
        <f t="shared" si="93"/>
        <v>3.9319010944466992E-2</v>
      </c>
      <c r="BC165" s="4">
        <f t="shared" si="94"/>
        <v>3.5615354174910463E-3</v>
      </c>
      <c r="BD165" s="4">
        <f t="shared" si="95"/>
        <v>1.2461059190031154E-2</v>
      </c>
      <c r="BE165" s="4">
        <f t="shared" si="96"/>
        <v>2.4681835711531042E-2</v>
      </c>
      <c r="BF165" s="4">
        <f t="shared" si="97"/>
        <v>4.583651642475095E-3</v>
      </c>
      <c r="BG165" s="4">
        <f t="shared" si="98"/>
        <v>3.7495313085864179E-2</v>
      </c>
      <c r="BH165" s="4">
        <f t="shared" si="99"/>
        <v>2.4083393242271711E-2</v>
      </c>
      <c r="BI165" s="4">
        <f t="shared" si="100"/>
        <v>2.2342342342342336E-2</v>
      </c>
      <c r="BJ165" s="4">
        <f t="shared" si="101"/>
        <v>2.1865889212828726E-3</v>
      </c>
      <c r="BK165" s="4">
        <f t="shared" si="102"/>
        <v>1.9729630982827873E-2</v>
      </c>
      <c r="BL165" s="4">
        <f t="shared" si="103"/>
        <v>4.0876997398735515E-3</v>
      </c>
      <c r="BM165" s="4">
        <f t="shared" si="113"/>
        <v>1.6624287455538938E-2</v>
      </c>
      <c r="BN165" s="14">
        <f t="shared" si="114"/>
        <v>13678.679787714276</v>
      </c>
      <c r="BO165" s="15">
        <f t="shared" si="115"/>
        <v>13103.481369654945</v>
      </c>
      <c r="BP165" s="16">
        <v>13515</v>
      </c>
      <c r="BQ165" s="16">
        <v>13515</v>
      </c>
      <c r="BR165" s="16">
        <v>13510</v>
      </c>
      <c r="BS165" s="16">
        <v>13510</v>
      </c>
      <c r="BT165" s="16">
        <v>8200</v>
      </c>
      <c r="BU165" s="15">
        <f t="shared" si="104"/>
        <v>13511.666666666666</v>
      </c>
      <c r="BV165" s="15">
        <f t="shared" si="105"/>
        <v>110795666.66666666</v>
      </c>
      <c r="BW165" s="15">
        <f>SUM($BV$3:BV165)</f>
        <v>197926750098.33328</v>
      </c>
      <c r="BX165" s="15">
        <f>SUM($BT$3:BT165)</f>
        <v>14590914</v>
      </c>
      <c r="BY165" s="15">
        <f t="shared" si="106"/>
        <v>13565.068651513762</v>
      </c>
      <c r="BZ165" s="3">
        <v>163</v>
      </c>
      <c r="CA165" s="3">
        <f t="shared" si="107"/>
        <v>0</v>
      </c>
      <c r="CB165" s="3">
        <f t="shared" si="108"/>
        <v>0</v>
      </c>
      <c r="CC165" s="3">
        <f t="shared" si="109"/>
        <v>0</v>
      </c>
      <c r="CD165" s="3" t="str">
        <f t="shared" si="110"/>
        <v/>
      </c>
      <c r="CE165" s="3">
        <f t="shared" si="111"/>
        <v>0</v>
      </c>
    </row>
    <row r="166" spans="1:83" x14ac:dyDescent="0.3">
      <c r="A166" s="3" t="s">
        <v>206</v>
      </c>
      <c r="B166" s="3">
        <v>11625</v>
      </c>
      <c r="C166" s="3">
        <v>11645</v>
      </c>
      <c r="D166" s="3">
        <v>11475</v>
      </c>
      <c r="E166" s="3">
        <v>11475</v>
      </c>
      <c r="F166" s="3">
        <v>11675</v>
      </c>
      <c r="G166" s="3">
        <v>11665</v>
      </c>
      <c r="H166" s="3">
        <v>11435</v>
      </c>
      <c r="I166" s="3">
        <v>11450</v>
      </c>
      <c r="J166" s="3">
        <v>11730</v>
      </c>
      <c r="K166" s="3">
        <v>11735</v>
      </c>
      <c r="L166" s="3">
        <v>12020</v>
      </c>
      <c r="M166" s="3">
        <v>12005</v>
      </c>
      <c r="N166" s="3">
        <v>12550</v>
      </c>
      <c r="O166" s="3">
        <v>12545</v>
      </c>
      <c r="P166" s="3">
        <v>12790</v>
      </c>
      <c r="Q166" s="3">
        <v>12795</v>
      </c>
      <c r="R166" s="3">
        <v>12590</v>
      </c>
      <c r="S166" s="3">
        <v>12580</v>
      </c>
      <c r="T166" s="3">
        <v>12350</v>
      </c>
      <c r="U166" s="3">
        <v>12340</v>
      </c>
      <c r="V166" s="3">
        <v>12820</v>
      </c>
      <c r="W166" s="3">
        <v>12820</v>
      </c>
      <c r="X166" s="3">
        <v>12595</v>
      </c>
      <c r="Y166" s="3">
        <v>12605</v>
      </c>
      <c r="Z166" s="3">
        <v>12680</v>
      </c>
      <c r="AA166" s="3">
        <v>12680</v>
      </c>
      <c r="AB166" s="3">
        <v>13285</v>
      </c>
      <c r="AC166" s="3">
        <v>13275</v>
      </c>
      <c r="AD166" s="3">
        <v>13145</v>
      </c>
      <c r="AE166" s="3">
        <v>13145</v>
      </c>
      <c r="AF166" s="3">
        <v>13835</v>
      </c>
      <c r="AG166" s="3">
        <v>13835</v>
      </c>
      <c r="AH166" s="3">
        <v>14250</v>
      </c>
      <c r="AI166" s="3">
        <v>14245</v>
      </c>
      <c r="AJ166" s="3">
        <v>13565</v>
      </c>
      <c r="AK166" s="3">
        <v>13575</v>
      </c>
      <c r="AL166" s="3">
        <v>13755</v>
      </c>
      <c r="AM166" s="3">
        <v>13755</v>
      </c>
      <c r="AN166" s="3">
        <v>13415</v>
      </c>
      <c r="AO166" s="3">
        <v>13410</v>
      </c>
      <c r="AP166" s="3">
        <v>13510</v>
      </c>
      <c r="AQ166" s="3">
        <v>13510</v>
      </c>
      <c r="AR166" s="4">
        <f t="shared" si="112"/>
        <v>9.9739809193408746E-3</v>
      </c>
      <c r="AS166" s="4">
        <f t="shared" si="84"/>
        <v>6.4935064935064402E-3</v>
      </c>
      <c r="AT166" s="4">
        <f t="shared" si="85"/>
        <v>2.6848591549295753E-2</v>
      </c>
      <c r="AU166" s="4">
        <f t="shared" si="86"/>
        <v>2.8013582342954146E-2</v>
      </c>
      <c r="AV166" s="4">
        <f t="shared" si="87"/>
        <v>3.8494439692045024E-3</v>
      </c>
      <c r="AW166" s="4">
        <f t="shared" si="88"/>
        <v>1.2225969645868418E-2</v>
      </c>
      <c r="AX166" s="4">
        <f t="shared" si="89"/>
        <v>3.5493190260008189E-2</v>
      </c>
      <c r="AY166" s="4">
        <f t="shared" si="90"/>
        <v>1.1737089201877549E-3</v>
      </c>
      <c r="AZ166" s="4">
        <f t="shared" si="91"/>
        <v>2.78995615783173E-3</v>
      </c>
      <c r="BA166" s="4">
        <f t="shared" si="92"/>
        <v>2.8282828282828465E-3</v>
      </c>
      <c r="BB166" s="4">
        <f t="shared" si="93"/>
        <v>3.9319010944466992E-2</v>
      </c>
      <c r="BC166" s="4">
        <f t="shared" si="94"/>
        <v>2.3743569449941049E-3</v>
      </c>
      <c r="BD166" s="4">
        <f t="shared" si="95"/>
        <v>1.2461059190031154E-2</v>
      </c>
      <c r="BE166" s="4">
        <f t="shared" si="96"/>
        <v>2.3910528345545634E-2</v>
      </c>
      <c r="BF166" s="4">
        <f t="shared" si="97"/>
        <v>4.2016806722688926E-3</v>
      </c>
      <c r="BG166" s="4">
        <f t="shared" si="98"/>
        <v>3.7495313085864179E-2</v>
      </c>
      <c r="BH166" s="4">
        <f t="shared" si="99"/>
        <v>2.4083393242271711E-2</v>
      </c>
      <c r="BI166" s="4">
        <f t="shared" si="100"/>
        <v>2.1621621621621623E-2</v>
      </c>
      <c r="BJ166" s="4">
        <f t="shared" si="101"/>
        <v>2.5510204081633514E-3</v>
      </c>
      <c r="BK166" s="4">
        <f t="shared" si="102"/>
        <v>2.0094994519546994E-2</v>
      </c>
      <c r="BL166" s="4">
        <f t="shared" si="103"/>
        <v>4.0876997398735515E-3</v>
      </c>
      <c r="BM166" s="4">
        <f t="shared" si="113"/>
        <v>1.6457008367220367E-2</v>
      </c>
      <c r="BN166" s="14">
        <f t="shared" si="114"/>
        <v>13676.42904758095</v>
      </c>
      <c r="BO166" s="15">
        <f t="shared" si="115"/>
        <v>13105.710363506789</v>
      </c>
      <c r="BP166" s="16">
        <v>13510</v>
      </c>
      <c r="BQ166" s="16">
        <v>13515</v>
      </c>
      <c r="BR166" s="16">
        <v>13510</v>
      </c>
      <c r="BS166" s="16">
        <v>13510</v>
      </c>
      <c r="BT166" s="16">
        <v>5201</v>
      </c>
      <c r="BU166" s="15">
        <f t="shared" si="104"/>
        <v>13511.666666666666</v>
      </c>
      <c r="BV166" s="15">
        <f t="shared" si="105"/>
        <v>70274178.333333328</v>
      </c>
      <c r="BW166" s="15">
        <f>SUM($BV$3:BV166)</f>
        <v>197997024276.66663</v>
      </c>
      <c r="BX166" s="15">
        <f>SUM($BT$3:BT166)</f>
        <v>14596115</v>
      </c>
      <c r="BY166" s="15">
        <f t="shared" si="106"/>
        <v>13565.049622907645</v>
      </c>
      <c r="BZ166" s="3">
        <v>164</v>
      </c>
      <c r="CA166" s="3">
        <f t="shared" si="107"/>
        <v>0</v>
      </c>
      <c r="CB166" s="3">
        <f t="shared" si="108"/>
        <v>0</v>
      </c>
      <c r="CC166" s="3">
        <f t="shared" si="109"/>
        <v>0</v>
      </c>
      <c r="CD166" s="3" t="str">
        <f t="shared" si="110"/>
        <v/>
      </c>
      <c r="CE166" s="3">
        <f t="shared" si="111"/>
        <v>0</v>
      </c>
    </row>
    <row r="167" spans="1:83" x14ac:dyDescent="0.3">
      <c r="A167" s="3" t="s">
        <v>207</v>
      </c>
      <c r="B167" s="3">
        <v>11650</v>
      </c>
      <c r="C167" s="3">
        <v>11640</v>
      </c>
      <c r="D167" s="3">
        <v>11480</v>
      </c>
      <c r="E167" s="3">
        <v>11495</v>
      </c>
      <c r="F167" s="3">
        <v>11665</v>
      </c>
      <c r="G167" s="3">
        <v>11670</v>
      </c>
      <c r="H167" s="3">
        <v>11450</v>
      </c>
      <c r="I167" s="3">
        <v>11460</v>
      </c>
      <c r="J167" s="3">
        <v>11735</v>
      </c>
      <c r="K167" s="3">
        <v>11745</v>
      </c>
      <c r="L167" s="3">
        <v>12005</v>
      </c>
      <c r="M167" s="3">
        <v>12005</v>
      </c>
      <c r="N167" s="3">
        <v>12545</v>
      </c>
      <c r="O167" s="3">
        <v>12545</v>
      </c>
      <c r="P167" s="3">
        <v>12795</v>
      </c>
      <c r="Q167" s="3">
        <v>12800</v>
      </c>
      <c r="R167" s="3">
        <v>12575</v>
      </c>
      <c r="S167" s="3">
        <v>12585</v>
      </c>
      <c r="T167" s="3">
        <v>12340</v>
      </c>
      <c r="U167" s="3">
        <v>12325</v>
      </c>
      <c r="V167" s="3">
        <v>12820</v>
      </c>
      <c r="W167" s="3">
        <v>12825</v>
      </c>
      <c r="X167" s="3">
        <v>12605</v>
      </c>
      <c r="Y167" s="3">
        <v>12600</v>
      </c>
      <c r="Z167" s="3">
        <v>12680</v>
      </c>
      <c r="AA167" s="3">
        <v>12680</v>
      </c>
      <c r="AB167" s="3">
        <v>13280</v>
      </c>
      <c r="AC167" s="3">
        <v>13275</v>
      </c>
      <c r="AD167" s="3">
        <v>13145</v>
      </c>
      <c r="AE167" s="3">
        <v>13150</v>
      </c>
      <c r="AF167" s="3">
        <v>13835</v>
      </c>
      <c r="AG167" s="3">
        <v>13835</v>
      </c>
      <c r="AH167" s="3">
        <v>14245</v>
      </c>
      <c r="AI167" s="3">
        <v>14245</v>
      </c>
      <c r="AJ167" s="3">
        <v>13570</v>
      </c>
      <c r="AK167" s="3">
        <v>13585</v>
      </c>
      <c r="AL167" s="3">
        <v>13755</v>
      </c>
      <c r="AM167" s="3">
        <v>13740</v>
      </c>
      <c r="AN167" s="3">
        <v>13410</v>
      </c>
      <c r="AO167" s="3">
        <v>13415</v>
      </c>
      <c r="AP167" s="3">
        <v>13510</v>
      </c>
      <c r="AQ167" s="3">
        <v>13510</v>
      </c>
      <c r="AR167" s="4">
        <f t="shared" si="112"/>
        <v>9.5403295750216E-3</v>
      </c>
      <c r="AS167" s="4">
        <f t="shared" si="84"/>
        <v>4.761904761904745E-3</v>
      </c>
      <c r="AT167" s="4">
        <f t="shared" si="85"/>
        <v>2.7288732394366244E-2</v>
      </c>
      <c r="AU167" s="4">
        <f t="shared" si="86"/>
        <v>2.7164685908319219E-2</v>
      </c>
      <c r="AV167" s="4">
        <f t="shared" si="87"/>
        <v>4.7048759623609104E-3</v>
      </c>
      <c r="AW167" s="4">
        <f t="shared" si="88"/>
        <v>1.2225969645868418E-2</v>
      </c>
      <c r="AX167" s="4">
        <f t="shared" si="89"/>
        <v>3.5493190260008189E-2</v>
      </c>
      <c r="AY167" s="4">
        <f t="shared" si="90"/>
        <v>1.5649452269170805E-3</v>
      </c>
      <c r="AZ167" s="4">
        <f t="shared" si="91"/>
        <v>3.1885213232363263E-3</v>
      </c>
      <c r="BA167" s="4">
        <f t="shared" si="92"/>
        <v>4.0404040404040664E-3</v>
      </c>
      <c r="BB167" s="4">
        <f t="shared" si="93"/>
        <v>3.9724361572760492E-2</v>
      </c>
      <c r="BC167" s="4">
        <f t="shared" si="94"/>
        <v>2.7700831024930483E-3</v>
      </c>
      <c r="BD167" s="4">
        <f t="shared" si="95"/>
        <v>1.2461059190031154E-2</v>
      </c>
      <c r="BE167" s="4">
        <f t="shared" si="96"/>
        <v>2.3910528345545634E-2</v>
      </c>
      <c r="BF167" s="4">
        <f t="shared" si="97"/>
        <v>4.583651642475095E-3</v>
      </c>
      <c r="BG167" s="4">
        <f t="shared" si="98"/>
        <v>3.7495313085864179E-2</v>
      </c>
      <c r="BH167" s="4">
        <f t="shared" si="99"/>
        <v>2.4083393242271711E-2</v>
      </c>
      <c r="BI167" s="4">
        <f t="shared" si="100"/>
        <v>2.0900900900900909E-2</v>
      </c>
      <c r="BJ167" s="4">
        <f t="shared" si="101"/>
        <v>1.4577259475219151E-3</v>
      </c>
      <c r="BK167" s="4">
        <f t="shared" si="102"/>
        <v>1.9729630982827873E-2</v>
      </c>
      <c r="BL167" s="4">
        <f t="shared" si="103"/>
        <v>4.0876997398735515E-3</v>
      </c>
      <c r="BM167" s="4">
        <f t="shared" si="113"/>
        <v>1.6528836347375547E-2</v>
      </c>
      <c r="BN167" s="14">
        <f t="shared" si="114"/>
        <v>13677.395493053937</v>
      </c>
      <c r="BO167" s="15">
        <f t="shared" si="115"/>
        <v>13104.753255671221</v>
      </c>
      <c r="BP167" s="16">
        <v>13510</v>
      </c>
      <c r="BQ167" s="16">
        <v>13510</v>
      </c>
      <c r="BR167" s="16">
        <v>13490</v>
      </c>
      <c r="BS167" s="16">
        <v>13510</v>
      </c>
      <c r="BT167" s="16">
        <v>51555</v>
      </c>
      <c r="BU167" s="15">
        <f t="shared" si="104"/>
        <v>13503.333333333334</v>
      </c>
      <c r="BV167" s="15">
        <f t="shared" si="105"/>
        <v>696164350</v>
      </c>
      <c r="BW167" s="15">
        <f>SUM($BV$3:BV167)</f>
        <v>198693188626.66663</v>
      </c>
      <c r="BX167" s="15">
        <f>SUM($BT$3:BT167)</f>
        <v>14647670</v>
      </c>
      <c r="BY167" s="15">
        <f t="shared" si="106"/>
        <v>13564.832401785856</v>
      </c>
      <c r="BZ167" s="3">
        <v>165</v>
      </c>
      <c r="CA167" s="3">
        <f t="shared" si="107"/>
        <v>0</v>
      </c>
      <c r="CB167" s="3">
        <f t="shared" si="108"/>
        <v>0</v>
      </c>
      <c r="CC167" s="3">
        <f t="shared" si="109"/>
        <v>0</v>
      </c>
      <c r="CD167" s="3">
        <f t="shared" si="110"/>
        <v>0</v>
      </c>
      <c r="CE167" s="3">
        <f t="shared" si="111"/>
        <v>0</v>
      </c>
    </row>
    <row r="168" spans="1:83" x14ac:dyDescent="0.3">
      <c r="A168" s="3" t="s">
        <v>208</v>
      </c>
      <c r="B168" s="3">
        <v>11640</v>
      </c>
      <c r="C168" s="3">
        <v>11640</v>
      </c>
      <c r="D168" s="3">
        <v>11495</v>
      </c>
      <c r="E168" s="3">
        <v>11495</v>
      </c>
      <c r="F168" s="3">
        <v>11670</v>
      </c>
      <c r="G168" s="3">
        <v>11670</v>
      </c>
      <c r="H168" s="3">
        <v>11460</v>
      </c>
      <c r="I168" s="3">
        <v>11465</v>
      </c>
      <c r="J168" s="3">
        <v>11745</v>
      </c>
      <c r="K168" s="3">
        <v>11740</v>
      </c>
      <c r="L168" s="3">
        <v>12010</v>
      </c>
      <c r="M168" s="3">
        <v>12000</v>
      </c>
      <c r="N168" s="3">
        <v>12545</v>
      </c>
      <c r="O168" s="3">
        <v>12545</v>
      </c>
      <c r="P168" s="3">
        <v>12800</v>
      </c>
      <c r="Q168" s="3">
        <v>12785</v>
      </c>
      <c r="R168" s="3">
        <v>12585</v>
      </c>
      <c r="S168" s="3">
        <v>12585</v>
      </c>
      <c r="T168" s="3">
        <v>12325</v>
      </c>
      <c r="U168" s="3">
        <v>12355</v>
      </c>
      <c r="V168" s="3">
        <v>12825</v>
      </c>
      <c r="W168" s="3">
        <v>12815</v>
      </c>
      <c r="X168" s="3">
        <v>12595</v>
      </c>
      <c r="Y168" s="3">
        <v>12580</v>
      </c>
      <c r="Z168" s="3">
        <v>12680</v>
      </c>
      <c r="AA168" s="3">
        <v>12685</v>
      </c>
      <c r="AB168" s="3">
        <v>13275</v>
      </c>
      <c r="AC168" s="3">
        <v>13275</v>
      </c>
      <c r="AD168" s="3">
        <v>13145</v>
      </c>
      <c r="AE168" s="3">
        <v>13150</v>
      </c>
      <c r="AF168" s="3">
        <v>13830</v>
      </c>
      <c r="AG168" s="3">
        <v>13830</v>
      </c>
      <c r="AH168" s="3">
        <v>14245</v>
      </c>
      <c r="AI168" s="3">
        <v>14250</v>
      </c>
      <c r="AJ168" s="3">
        <v>13585</v>
      </c>
      <c r="AK168" s="3">
        <v>13590</v>
      </c>
      <c r="AL168" s="3">
        <v>13740</v>
      </c>
      <c r="AM168" s="3">
        <v>13750</v>
      </c>
      <c r="AN168" s="3">
        <v>13415</v>
      </c>
      <c r="AO168" s="3">
        <v>13430</v>
      </c>
      <c r="AP168" s="3">
        <v>13505</v>
      </c>
      <c r="AQ168" s="3">
        <v>13495</v>
      </c>
      <c r="AR168" s="4">
        <f t="shared" si="112"/>
        <v>9.5403295750216E-3</v>
      </c>
      <c r="AS168" s="4">
        <f t="shared" si="84"/>
        <v>4.761904761904745E-3</v>
      </c>
      <c r="AT168" s="4">
        <f t="shared" si="85"/>
        <v>2.7288732394366244E-2</v>
      </c>
      <c r="AU168" s="4">
        <f t="shared" si="86"/>
        <v>2.6740237691001645E-2</v>
      </c>
      <c r="AV168" s="4">
        <f t="shared" si="87"/>
        <v>4.2771599657827064E-3</v>
      </c>
      <c r="AW168" s="4">
        <f t="shared" si="88"/>
        <v>1.180438448566612E-2</v>
      </c>
      <c r="AX168" s="4">
        <f t="shared" si="89"/>
        <v>3.5493190260008189E-2</v>
      </c>
      <c r="AY168" s="4">
        <f t="shared" si="90"/>
        <v>3.9123630672932563E-4</v>
      </c>
      <c r="AZ168" s="4">
        <f t="shared" si="91"/>
        <v>3.1885213232363263E-3</v>
      </c>
      <c r="BA168" s="4">
        <f t="shared" si="92"/>
        <v>1.6161616161616266E-3</v>
      </c>
      <c r="BB168" s="4">
        <f t="shared" si="93"/>
        <v>3.8913660316173493E-2</v>
      </c>
      <c r="BC168" s="4">
        <f t="shared" si="94"/>
        <v>4.3529877324891553E-3</v>
      </c>
      <c r="BD168" s="4">
        <f t="shared" si="95"/>
        <v>1.2071651090342694E-2</v>
      </c>
      <c r="BE168" s="4">
        <f t="shared" si="96"/>
        <v>2.3910528345545634E-2</v>
      </c>
      <c r="BF168" s="4">
        <f t="shared" si="97"/>
        <v>4.583651642475095E-3</v>
      </c>
      <c r="BG168" s="4">
        <f t="shared" si="98"/>
        <v>3.7120359955005622E-2</v>
      </c>
      <c r="BH168" s="4">
        <f t="shared" si="99"/>
        <v>2.4442846872753332E-2</v>
      </c>
      <c r="BI168" s="4">
        <f t="shared" si="100"/>
        <v>2.0540540540540553E-2</v>
      </c>
      <c r="BJ168" s="4">
        <f t="shared" si="101"/>
        <v>2.1865889212828726E-3</v>
      </c>
      <c r="BK168" s="4">
        <f t="shared" si="102"/>
        <v>1.8633540372670843E-2</v>
      </c>
      <c r="BL168" s="4">
        <f t="shared" si="103"/>
        <v>2.9728725380899768E-3</v>
      </c>
      <c r="BM168" s="4">
        <f t="shared" si="113"/>
        <v>1.6246104663958198E-2</v>
      </c>
      <c r="BN168" s="14">
        <f t="shared" si="114"/>
        <v>13673.591338253556</v>
      </c>
      <c r="BO168" s="15">
        <f t="shared" si="115"/>
        <v>13108.520655352757</v>
      </c>
      <c r="BP168" s="16">
        <v>13505</v>
      </c>
      <c r="BQ168" s="16">
        <v>13505</v>
      </c>
      <c r="BR168" s="16">
        <v>13495</v>
      </c>
      <c r="BS168" s="16">
        <v>13495</v>
      </c>
      <c r="BT168" s="16">
        <v>2422</v>
      </c>
      <c r="BU168" s="15">
        <f t="shared" si="104"/>
        <v>13498.333333333334</v>
      </c>
      <c r="BV168" s="15">
        <f t="shared" si="105"/>
        <v>32692963.333333336</v>
      </c>
      <c r="BW168" s="15">
        <f>SUM($BV$3:BV168)</f>
        <v>198725881589.99997</v>
      </c>
      <c r="BX168" s="15">
        <f>SUM($BT$3:BT168)</f>
        <v>14650092</v>
      </c>
      <c r="BY168" s="15">
        <f t="shared" si="106"/>
        <v>13564.821407947471</v>
      </c>
      <c r="BZ168" s="3">
        <v>166</v>
      </c>
      <c r="CA168" s="3">
        <f t="shared" si="107"/>
        <v>0</v>
      </c>
      <c r="CB168" s="3">
        <f t="shared" si="108"/>
        <v>0</v>
      </c>
      <c r="CC168" s="3">
        <f t="shared" si="109"/>
        <v>0</v>
      </c>
      <c r="CD168" s="3" t="str">
        <f t="shared" si="110"/>
        <v/>
      </c>
      <c r="CE168" s="3">
        <f t="shared" si="111"/>
        <v>0</v>
      </c>
    </row>
    <row r="169" spans="1:83" x14ac:dyDescent="0.3">
      <c r="A169" s="3" t="s">
        <v>209</v>
      </c>
      <c r="B169" s="3">
        <v>11640</v>
      </c>
      <c r="C169" s="3">
        <v>11645</v>
      </c>
      <c r="D169" s="3">
        <v>11500</v>
      </c>
      <c r="E169" s="3">
        <v>11495</v>
      </c>
      <c r="F169" s="3">
        <v>11665</v>
      </c>
      <c r="G169" s="3">
        <v>11670</v>
      </c>
      <c r="H169" s="3">
        <v>11465</v>
      </c>
      <c r="I169" s="3">
        <v>11465</v>
      </c>
      <c r="J169" s="3">
        <v>11735</v>
      </c>
      <c r="K169" s="3">
        <v>11735</v>
      </c>
      <c r="L169" s="3">
        <v>12000</v>
      </c>
      <c r="M169" s="3">
        <v>12010</v>
      </c>
      <c r="N169" s="3">
        <v>12545</v>
      </c>
      <c r="O169" s="3">
        <v>12540</v>
      </c>
      <c r="P169" s="3">
        <v>12785</v>
      </c>
      <c r="Q169" s="3">
        <v>12780</v>
      </c>
      <c r="R169" s="3">
        <v>12590</v>
      </c>
      <c r="S169" s="3">
        <v>12585</v>
      </c>
      <c r="T169" s="3">
        <v>12360</v>
      </c>
      <c r="U169" s="3">
        <v>12365</v>
      </c>
      <c r="V169" s="3">
        <v>12810</v>
      </c>
      <c r="W169" s="3">
        <v>12815</v>
      </c>
      <c r="X169" s="3">
        <v>12580</v>
      </c>
      <c r="Y169" s="3">
        <v>12575</v>
      </c>
      <c r="Z169" s="3">
        <v>12685</v>
      </c>
      <c r="AA169" s="3">
        <v>12685</v>
      </c>
      <c r="AB169" s="3">
        <v>13275</v>
      </c>
      <c r="AC169" s="3">
        <v>13275</v>
      </c>
      <c r="AD169" s="3">
        <v>13155</v>
      </c>
      <c r="AE169" s="3">
        <v>13155</v>
      </c>
      <c r="AF169" s="3">
        <v>13830</v>
      </c>
      <c r="AG169" s="3">
        <v>13815</v>
      </c>
      <c r="AH169" s="3">
        <v>14250</v>
      </c>
      <c r="AI169" s="3">
        <v>14250</v>
      </c>
      <c r="AJ169" s="3">
        <v>13590</v>
      </c>
      <c r="AK169" s="3">
        <v>13660</v>
      </c>
      <c r="AL169" s="3">
        <v>13750</v>
      </c>
      <c r="AM169" s="3">
        <v>13745</v>
      </c>
      <c r="AN169" s="3">
        <v>13430</v>
      </c>
      <c r="AO169" s="3">
        <v>13425</v>
      </c>
      <c r="AP169" s="3">
        <v>13495</v>
      </c>
      <c r="AQ169" s="3">
        <v>13480</v>
      </c>
      <c r="AR169" s="4">
        <f t="shared" si="112"/>
        <v>9.9739809193408746E-3</v>
      </c>
      <c r="AS169" s="4">
        <f t="shared" si="84"/>
        <v>4.761904761904745E-3</v>
      </c>
      <c r="AT169" s="4">
        <f t="shared" si="85"/>
        <v>2.7288732394366244E-2</v>
      </c>
      <c r="AU169" s="4">
        <f t="shared" si="86"/>
        <v>2.6740237691001645E-2</v>
      </c>
      <c r="AV169" s="4">
        <f t="shared" si="87"/>
        <v>3.8494439692045024E-3</v>
      </c>
      <c r="AW169" s="4">
        <f t="shared" si="88"/>
        <v>1.2647554806070715E-2</v>
      </c>
      <c r="AX169" s="4">
        <f t="shared" si="89"/>
        <v>3.5080478745356913E-2</v>
      </c>
      <c r="AY169" s="4">
        <f t="shared" si="90"/>
        <v>0</v>
      </c>
      <c r="AZ169" s="4">
        <f t="shared" si="91"/>
        <v>3.1885213232363263E-3</v>
      </c>
      <c r="BA169" s="4">
        <f t="shared" si="92"/>
        <v>8.0808080808081328E-4</v>
      </c>
      <c r="BB169" s="4">
        <f t="shared" si="93"/>
        <v>3.8913660316173493E-2</v>
      </c>
      <c r="BC169" s="4">
        <f t="shared" si="94"/>
        <v>4.7487138899880987E-3</v>
      </c>
      <c r="BD169" s="4">
        <f t="shared" si="95"/>
        <v>1.2071651090342694E-2</v>
      </c>
      <c r="BE169" s="4">
        <f t="shared" si="96"/>
        <v>2.3910528345545634E-2</v>
      </c>
      <c r="BF169" s="4">
        <f t="shared" si="97"/>
        <v>4.9656226126815195E-3</v>
      </c>
      <c r="BG169" s="4">
        <f t="shared" si="98"/>
        <v>3.5995500562429728E-2</v>
      </c>
      <c r="BH169" s="4">
        <f t="shared" si="99"/>
        <v>2.4442846872753332E-2</v>
      </c>
      <c r="BI169" s="4">
        <f t="shared" si="100"/>
        <v>1.5495495495495448E-2</v>
      </c>
      <c r="BJ169" s="4">
        <f t="shared" si="101"/>
        <v>1.8221574344023939E-3</v>
      </c>
      <c r="BK169" s="4">
        <f t="shared" si="102"/>
        <v>1.8998903909389853E-2</v>
      </c>
      <c r="BL169" s="4">
        <f t="shared" si="103"/>
        <v>1.85804533630618E-3</v>
      </c>
      <c r="BM169" s="4">
        <f t="shared" si="113"/>
        <v>1.5745868671848302E-2</v>
      </c>
      <c r="BN169" s="14">
        <f t="shared" si="114"/>
        <v>13666.86066297972</v>
      </c>
      <c r="BO169" s="15">
        <f t="shared" si="115"/>
        <v>13115.186299947622</v>
      </c>
      <c r="BP169" s="16">
        <v>13495</v>
      </c>
      <c r="BQ169" s="16">
        <v>13495</v>
      </c>
      <c r="BR169" s="16">
        <v>13470</v>
      </c>
      <c r="BS169" s="16">
        <v>13480</v>
      </c>
      <c r="BT169" s="16">
        <v>26797</v>
      </c>
      <c r="BU169" s="15">
        <f t="shared" si="104"/>
        <v>13481.666666666666</v>
      </c>
      <c r="BV169" s="15">
        <f t="shared" si="105"/>
        <v>361268221.66666663</v>
      </c>
      <c r="BW169" s="15">
        <f>SUM($BV$3:BV169)</f>
        <v>199087149811.66663</v>
      </c>
      <c r="BX169" s="15">
        <f>SUM($BT$3:BT169)</f>
        <v>14676889</v>
      </c>
      <c r="BY169" s="15">
        <f t="shared" si="106"/>
        <v>13564.669584383082</v>
      </c>
      <c r="BZ169" s="3">
        <v>167</v>
      </c>
      <c r="CA169" s="3">
        <f t="shared" si="107"/>
        <v>0</v>
      </c>
      <c r="CB169" s="3">
        <f t="shared" si="108"/>
        <v>0</v>
      </c>
      <c r="CC169" s="3">
        <f t="shared" si="109"/>
        <v>0</v>
      </c>
      <c r="CD169" s="3" t="str">
        <f t="shared" si="110"/>
        <v/>
      </c>
      <c r="CE169" s="3">
        <f t="shared" si="111"/>
        <v>0</v>
      </c>
    </row>
    <row r="170" spans="1:83" x14ac:dyDescent="0.3">
      <c r="A170" s="3" t="s">
        <v>210</v>
      </c>
      <c r="B170" s="3">
        <v>11645</v>
      </c>
      <c r="C170" s="3">
        <v>11655</v>
      </c>
      <c r="D170" s="3">
        <v>11495</v>
      </c>
      <c r="E170" s="3">
        <v>11480</v>
      </c>
      <c r="F170" s="3">
        <v>11670</v>
      </c>
      <c r="G170" s="3">
        <v>11675</v>
      </c>
      <c r="H170" s="3">
        <v>11460</v>
      </c>
      <c r="I170" s="3">
        <v>11465</v>
      </c>
      <c r="J170" s="3">
        <v>11735</v>
      </c>
      <c r="K170" s="3">
        <v>11745</v>
      </c>
      <c r="L170" s="3">
        <v>12005</v>
      </c>
      <c r="M170" s="3">
        <v>12005</v>
      </c>
      <c r="N170" s="3">
        <v>12535</v>
      </c>
      <c r="O170" s="3">
        <v>12530</v>
      </c>
      <c r="P170" s="3">
        <v>12780</v>
      </c>
      <c r="Q170" s="3">
        <v>12775</v>
      </c>
      <c r="R170" s="3">
        <v>12590</v>
      </c>
      <c r="S170" s="3">
        <v>12585</v>
      </c>
      <c r="T170" s="3">
        <v>12365</v>
      </c>
      <c r="U170" s="3">
        <v>12370</v>
      </c>
      <c r="V170" s="3">
        <v>12815</v>
      </c>
      <c r="W170" s="3">
        <v>12815</v>
      </c>
      <c r="X170" s="3">
        <v>12575</v>
      </c>
      <c r="Y170" s="3">
        <v>12575</v>
      </c>
      <c r="Z170" s="3">
        <v>12685</v>
      </c>
      <c r="AA170" s="3">
        <v>12680</v>
      </c>
      <c r="AB170" s="3">
        <v>13275</v>
      </c>
      <c r="AC170" s="3">
        <v>13275</v>
      </c>
      <c r="AD170" s="3">
        <v>13155</v>
      </c>
      <c r="AE170" s="3">
        <v>13155</v>
      </c>
      <c r="AF170" s="3">
        <v>13815</v>
      </c>
      <c r="AG170" s="3">
        <v>13845</v>
      </c>
      <c r="AH170" s="3">
        <v>14250</v>
      </c>
      <c r="AI170" s="3">
        <v>14255</v>
      </c>
      <c r="AJ170" s="3">
        <v>13665</v>
      </c>
      <c r="AK170" s="3">
        <v>13645</v>
      </c>
      <c r="AL170" s="3">
        <v>13745</v>
      </c>
      <c r="AM170" s="3">
        <v>13765</v>
      </c>
      <c r="AN170" s="3">
        <v>13425</v>
      </c>
      <c r="AO170" s="3">
        <v>13415</v>
      </c>
      <c r="AP170" s="3">
        <v>13475</v>
      </c>
      <c r="AQ170" s="3">
        <v>13475</v>
      </c>
      <c r="AR170" s="4">
        <f t="shared" si="112"/>
        <v>1.0841283607979202E-2</v>
      </c>
      <c r="AS170" s="4">
        <f t="shared" si="84"/>
        <v>6.0606060606060996E-3</v>
      </c>
      <c r="AT170" s="4">
        <f t="shared" si="85"/>
        <v>2.7728873239436513E-2</v>
      </c>
      <c r="AU170" s="4">
        <f t="shared" si="86"/>
        <v>2.6740237691001645E-2</v>
      </c>
      <c r="AV170" s="4">
        <f t="shared" si="87"/>
        <v>4.7048759623609104E-3</v>
      </c>
      <c r="AW170" s="4">
        <f t="shared" si="88"/>
        <v>1.2225969645868418E-2</v>
      </c>
      <c r="AX170" s="4">
        <f t="shared" si="89"/>
        <v>3.4255055716054583E-2</v>
      </c>
      <c r="AY170" s="4">
        <f t="shared" si="90"/>
        <v>3.9123630672921461E-4</v>
      </c>
      <c r="AZ170" s="4">
        <f t="shared" si="91"/>
        <v>3.1885213232363263E-3</v>
      </c>
      <c r="BA170" s="4">
        <f t="shared" si="92"/>
        <v>4.0404040404040664E-4</v>
      </c>
      <c r="BB170" s="4">
        <f t="shared" si="93"/>
        <v>3.8913660316173493E-2</v>
      </c>
      <c r="BC170" s="4">
        <f t="shared" si="94"/>
        <v>4.7487138899880987E-3</v>
      </c>
      <c r="BD170" s="4">
        <f t="shared" si="95"/>
        <v>1.2461059190031154E-2</v>
      </c>
      <c r="BE170" s="4">
        <f t="shared" si="96"/>
        <v>2.3910528345545634E-2</v>
      </c>
      <c r="BF170" s="4">
        <f t="shared" si="97"/>
        <v>4.9656226126815195E-3</v>
      </c>
      <c r="BG170" s="4">
        <f t="shared" si="98"/>
        <v>3.8245219347581516E-2</v>
      </c>
      <c r="BH170" s="4">
        <f t="shared" si="99"/>
        <v>2.4802300503235175E-2</v>
      </c>
      <c r="BI170" s="4">
        <f t="shared" si="100"/>
        <v>1.6576576576576629E-2</v>
      </c>
      <c r="BJ170" s="4">
        <f t="shared" si="101"/>
        <v>3.2798833819243089E-3</v>
      </c>
      <c r="BK170" s="4">
        <f t="shared" si="102"/>
        <v>1.9729630982827873E-2</v>
      </c>
      <c r="BL170" s="4">
        <f t="shared" si="103"/>
        <v>1.4864362690449884E-3</v>
      </c>
      <c r="BM170" s="4">
        <f t="shared" si="113"/>
        <v>1.6133717778330423E-2</v>
      </c>
      <c r="BN170" s="14">
        <f t="shared" si="114"/>
        <v>13672.079172707437</v>
      </c>
      <c r="BO170" s="15">
        <f t="shared" si="115"/>
        <v>13110.018210603748</v>
      </c>
      <c r="BP170" s="16">
        <v>13475</v>
      </c>
      <c r="BQ170" s="16">
        <v>13480</v>
      </c>
      <c r="BR170" s="16">
        <v>13470</v>
      </c>
      <c r="BS170" s="16">
        <v>13475</v>
      </c>
      <c r="BT170" s="16">
        <v>24429</v>
      </c>
      <c r="BU170" s="15">
        <f t="shared" si="104"/>
        <v>13475</v>
      </c>
      <c r="BV170" s="15">
        <f t="shared" si="105"/>
        <v>329180775</v>
      </c>
      <c r="BW170" s="15">
        <f>SUM($BV$3:BV170)</f>
        <v>199416330586.66663</v>
      </c>
      <c r="BX170" s="15">
        <f>SUM($BT$3:BT170)</f>
        <v>14701318</v>
      </c>
      <c r="BY170" s="15">
        <f t="shared" si="106"/>
        <v>13564.520581533345</v>
      </c>
      <c r="BZ170" s="3">
        <v>168</v>
      </c>
      <c r="CA170" s="3">
        <f t="shared" si="107"/>
        <v>0</v>
      </c>
      <c r="CB170" s="3">
        <f t="shared" si="108"/>
        <v>0</v>
      </c>
      <c r="CC170" s="3">
        <f t="shared" si="109"/>
        <v>0</v>
      </c>
      <c r="CD170" s="3" t="str">
        <f t="shared" si="110"/>
        <v/>
      </c>
      <c r="CE170" s="3">
        <f t="shared" si="111"/>
        <v>0</v>
      </c>
    </row>
    <row r="171" spans="1:83" x14ac:dyDescent="0.3">
      <c r="A171" s="3" t="s">
        <v>211</v>
      </c>
      <c r="B171" s="3">
        <v>11650</v>
      </c>
      <c r="C171" s="3">
        <v>11660</v>
      </c>
      <c r="D171" s="3">
        <v>11480</v>
      </c>
      <c r="E171" s="3">
        <v>11485</v>
      </c>
      <c r="F171" s="3">
        <v>11680</v>
      </c>
      <c r="G171" s="3">
        <v>11680</v>
      </c>
      <c r="H171" s="3">
        <v>11465</v>
      </c>
      <c r="I171" s="3">
        <v>11475</v>
      </c>
      <c r="J171" s="3">
        <v>11745</v>
      </c>
      <c r="K171" s="3">
        <v>11730</v>
      </c>
      <c r="L171" s="3">
        <v>12005</v>
      </c>
      <c r="M171" s="3">
        <v>12000</v>
      </c>
      <c r="N171" s="3">
        <v>12530</v>
      </c>
      <c r="O171" s="3">
        <v>12535</v>
      </c>
      <c r="P171" s="3">
        <v>12775</v>
      </c>
      <c r="Q171" s="3">
        <v>12765</v>
      </c>
      <c r="R171" s="3">
        <v>12590</v>
      </c>
      <c r="S171" s="3">
        <v>12575</v>
      </c>
      <c r="T171" s="3">
        <v>12370</v>
      </c>
      <c r="U171" s="3">
        <v>12375</v>
      </c>
      <c r="V171" s="3">
        <v>12815</v>
      </c>
      <c r="W171" s="3">
        <v>12820</v>
      </c>
      <c r="X171" s="3">
        <v>12580</v>
      </c>
      <c r="Y171" s="3">
        <v>12575</v>
      </c>
      <c r="Z171" s="3">
        <v>12680</v>
      </c>
      <c r="AA171" s="3">
        <v>12675</v>
      </c>
      <c r="AB171" s="3">
        <v>13275</v>
      </c>
      <c r="AC171" s="3">
        <v>13265</v>
      </c>
      <c r="AD171" s="3">
        <v>13155</v>
      </c>
      <c r="AE171" s="3">
        <v>13155</v>
      </c>
      <c r="AF171" s="3">
        <v>13845</v>
      </c>
      <c r="AG171" s="3">
        <v>13860</v>
      </c>
      <c r="AH171" s="3">
        <v>14260</v>
      </c>
      <c r="AI171" s="3">
        <v>14260</v>
      </c>
      <c r="AJ171" s="3">
        <v>13645</v>
      </c>
      <c r="AK171" s="3">
        <v>13655</v>
      </c>
      <c r="AL171" s="3">
        <v>13760</v>
      </c>
      <c r="AM171" s="3">
        <v>13760</v>
      </c>
      <c r="AN171" s="3">
        <v>13415</v>
      </c>
      <c r="AO171" s="3">
        <v>13405</v>
      </c>
      <c r="AP171" s="3">
        <v>13480</v>
      </c>
      <c r="AQ171" s="3">
        <v>13480</v>
      </c>
      <c r="AR171" s="4">
        <f t="shared" si="112"/>
        <v>1.1274934952298254E-2</v>
      </c>
      <c r="AS171" s="4">
        <f t="shared" si="84"/>
        <v>5.6277056277056481E-3</v>
      </c>
      <c r="AT171" s="4">
        <f t="shared" si="85"/>
        <v>2.8169014084507005E-2</v>
      </c>
      <c r="AU171" s="4">
        <f t="shared" si="86"/>
        <v>2.5891341256366718E-2</v>
      </c>
      <c r="AV171" s="4">
        <f t="shared" si="87"/>
        <v>3.4217279726260763E-3</v>
      </c>
      <c r="AW171" s="4">
        <f t="shared" si="88"/>
        <v>1.180438448566612E-2</v>
      </c>
      <c r="AX171" s="4">
        <f t="shared" si="89"/>
        <v>3.4667767230705637E-2</v>
      </c>
      <c r="AY171" s="4">
        <f t="shared" si="90"/>
        <v>1.1737089201877549E-3</v>
      </c>
      <c r="AZ171" s="4">
        <f t="shared" si="91"/>
        <v>2.3913909924273558E-3</v>
      </c>
      <c r="BA171" s="4">
        <f t="shared" si="92"/>
        <v>0</v>
      </c>
      <c r="BB171" s="4">
        <f t="shared" si="93"/>
        <v>3.9319010944466992E-2</v>
      </c>
      <c r="BC171" s="4">
        <f t="shared" si="94"/>
        <v>4.7487138899880987E-3</v>
      </c>
      <c r="BD171" s="4">
        <f t="shared" si="95"/>
        <v>1.2850467289719614E-2</v>
      </c>
      <c r="BE171" s="4">
        <f t="shared" si="96"/>
        <v>2.3139220979560449E-2</v>
      </c>
      <c r="BF171" s="4">
        <f t="shared" si="97"/>
        <v>4.9656226126815195E-3</v>
      </c>
      <c r="BG171" s="4">
        <f t="shared" si="98"/>
        <v>3.937007874015741E-2</v>
      </c>
      <c r="BH171" s="4">
        <f t="shared" si="99"/>
        <v>2.5161754133716796E-2</v>
      </c>
      <c r="BI171" s="4">
        <f t="shared" si="100"/>
        <v>1.5855855855855805E-2</v>
      </c>
      <c r="BJ171" s="4">
        <f t="shared" si="101"/>
        <v>2.9154518950438302E-3</v>
      </c>
      <c r="BK171" s="4">
        <f t="shared" si="102"/>
        <v>2.0460358056266004E-2</v>
      </c>
      <c r="BL171" s="4">
        <f t="shared" si="103"/>
        <v>1.85804533630618E-3</v>
      </c>
      <c r="BM171" s="4">
        <f t="shared" si="113"/>
        <v>1.6215671538626946E-2</v>
      </c>
      <c r="BN171" s="14">
        <f t="shared" si="114"/>
        <v>13673.181860552226</v>
      </c>
      <c r="BO171" s="15">
        <f t="shared" si="115"/>
        <v>13108.926176747796</v>
      </c>
      <c r="BP171" s="16">
        <v>13480</v>
      </c>
      <c r="BQ171" s="16">
        <v>13480</v>
      </c>
      <c r="BR171" s="16">
        <v>13475</v>
      </c>
      <c r="BS171" s="16">
        <v>13480</v>
      </c>
      <c r="BT171" s="16">
        <v>16816</v>
      </c>
      <c r="BU171" s="15">
        <f t="shared" si="104"/>
        <v>13478.333333333334</v>
      </c>
      <c r="BV171" s="15">
        <f t="shared" si="105"/>
        <v>226651653.33333334</v>
      </c>
      <c r="BW171" s="15">
        <f>SUM($BV$3:BV171)</f>
        <v>199642982239.99997</v>
      </c>
      <c r="BX171" s="15">
        <f>SUM($BT$3:BT171)</f>
        <v>14718134</v>
      </c>
      <c r="BY171" s="15">
        <f t="shared" si="106"/>
        <v>13564.422109487519</v>
      </c>
      <c r="BZ171" s="3">
        <v>169</v>
      </c>
      <c r="CA171" s="3">
        <f t="shared" si="107"/>
        <v>0</v>
      </c>
      <c r="CB171" s="3">
        <f t="shared" si="108"/>
        <v>0</v>
      </c>
      <c r="CC171" s="3">
        <f t="shared" si="109"/>
        <v>0</v>
      </c>
      <c r="CD171" s="3" t="str">
        <f t="shared" si="110"/>
        <v/>
      </c>
      <c r="CE171" s="3">
        <f t="shared" si="111"/>
        <v>0</v>
      </c>
    </row>
    <row r="172" spans="1:83" x14ac:dyDescent="0.3">
      <c r="A172" s="3" t="s">
        <v>212</v>
      </c>
      <c r="B172" s="3">
        <v>11660</v>
      </c>
      <c r="C172" s="3">
        <v>11670</v>
      </c>
      <c r="D172" s="3">
        <v>11490</v>
      </c>
      <c r="E172" s="3">
        <v>11480</v>
      </c>
      <c r="F172" s="3">
        <v>11685</v>
      </c>
      <c r="G172" s="3">
        <v>11675</v>
      </c>
      <c r="H172" s="3">
        <v>11470</v>
      </c>
      <c r="I172" s="3">
        <v>11475</v>
      </c>
      <c r="J172" s="3">
        <v>11725</v>
      </c>
      <c r="K172" s="3">
        <v>11735</v>
      </c>
      <c r="L172" s="3">
        <v>11995</v>
      </c>
      <c r="M172" s="3">
        <v>12000</v>
      </c>
      <c r="N172" s="3">
        <v>12535</v>
      </c>
      <c r="O172" s="3">
        <v>12545</v>
      </c>
      <c r="P172" s="3">
        <v>12765</v>
      </c>
      <c r="Q172" s="3">
        <v>12750</v>
      </c>
      <c r="R172" s="3">
        <v>12575</v>
      </c>
      <c r="S172" s="3">
        <v>12570</v>
      </c>
      <c r="T172" s="3">
        <v>12375</v>
      </c>
      <c r="U172" s="3">
        <v>12370</v>
      </c>
      <c r="V172" s="3">
        <v>12825</v>
      </c>
      <c r="W172" s="3">
        <v>12820</v>
      </c>
      <c r="X172" s="3">
        <v>12575</v>
      </c>
      <c r="Y172" s="3">
        <v>12570</v>
      </c>
      <c r="Z172" s="3">
        <v>12680</v>
      </c>
      <c r="AA172" s="3">
        <v>12690</v>
      </c>
      <c r="AB172" s="3">
        <v>13265</v>
      </c>
      <c r="AC172" s="3">
        <v>13270</v>
      </c>
      <c r="AD172" s="3">
        <v>13155</v>
      </c>
      <c r="AE172" s="3">
        <v>13155</v>
      </c>
      <c r="AF172" s="3">
        <v>13860</v>
      </c>
      <c r="AG172" s="3">
        <v>13855</v>
      </c>
      <c r="AH172" s="3">
        <v>14260</v>
      </c>
      <c r="AI172" s="3">
        <v>14260</v>
      </c>
      <c r="AJ172" s="3">
        <v>13660</v>
      </c>
      <c r="AK172" s="3">
        <v>13640</v>
      </c>
      <c r="AL172" s="3">
        <v>13760</v>
      </c>
      <c r="AM172" s="3">
        <v>13765</v>
      </c>
      <c r="AN172" s="3">
        <v>13410</v>
      </c>
      <c r="AO172" s="3">
        <v>13420</v>
      </c>
      <c r="AP172" s="3">
        <v>13485</v>
      </c>
      <c r="AQ172" s="3">
        <v>13495</v>
      </c>
      <c r="AR172" s="4">
        <f t="shared" si="112"/>
        <v>1.2142237640936582E-2</v>
      </c>
      <c r="AS172" s="4">
        <f t="shared" si="84"/>
        <v>6.0606060606060996E-3</v>
      </c>
      <c r="AT172" s="4">
        <f t="shared" si="85"/>
        <v>2.7728873239436513E-2</v>
      </c>
      <c r="AU172" s="4">
        <f t="shared" si="86"/>
        <v>2.5891341256366718E-2</v>
      </c>
      <c r="AV172" s="4">
        <f t="shared" si="87"/>
        <v>3.8494439692045024E-3</v>
      </c>
      <c r="AW172" s="4">
        <f t="shared" si="88"/>
        <v>1.180438448566612E-2</v>
      </c>
      <c r="AX172" s="4">
        <f t="shared" si="89"/>
        <v>3.5493190260008189E-2</v>
      </c>
      <c r="AY172" s="4">
        <f t="shared" si="90"/>
        <v>2.3474178403756207E-3</v>
      </c>
      <c r="AZ172" s="4">
        <f t="shared" si="91"/>
        <v>1.9928258270227595E-3</v>
      </c>
      <c r="BA172" s="4">
        <f t="shared" si="92"/>
        <v>4.0404040404040664E-4</v>
      </c>
      <c r="BB172" s="4">
        <f t="shared" si="93"/>
        <v>3.9319010944466992E-2</v>
      </c>
      <c r="BC172" s="4">
        <f t="shared" si="94"/>
        <v>5.1444400474871532E-3</v>
      </c>
      <c r="BD172" s="4">
        <f t="shared" si="95"/>
        <v>1.1682242990654235E-2</v>
      </c>
      <c r="BE172" s="4">
        <f t="shared" si="96"/>
        <v>2.352487466255293E-2</v>
      </c>
      <c r="BF172" s="4">
        <f t="shared" si="97"/>
        <v>4.9656226126815195E-3</v>
      </c>
      <c r="BG172" s="4">
        <f t="shared" si="98"/>
        <v>3.8995125609298853E-2</v>
      </c>
      <c r="BH172" s="4">
        <f t="shared" si="99"/>
        <v>2.5161754133716796E-2</v>
      </c>
      <c r="BI172" s="4">
        <f t="shared" si="100"/>
        <v>1.6936936936936986E-2</v>
      </c>
      <c r="BJ172" s="4">
        <f t="shared" si="101"/>
        <v>3.2798833819243089E-3</v>
      </c>
      <c r="BK172" s="4">
        <f t="shared" si="102"/>
        <v>1.9364267446108863E-2</v>
      </c>
      <c r="BL172" s="4">
        <f t="shared" si="103"/>
        <v>2.9728725380899768E-3</v>
      </c>
      <c r="BM172" s="4">
        <f t="shared" si="113"/>
        <v>1.6329402364091115E-2</v>
      </c>
      <c r="BN172" s="14">
        <f t="shared" si="114"/>
        <v>13674.712108808848</v>
      </c>
      <c r="BO172" s="15">
        <f t="shared" si="115"/>
        <v>13107.410713498486</v>
      </c>
      <c r="BP172" s="16">
        <v>13485</v>
      </c>
      <c r="BQ172" s="16">
        <v>13495</v>
      </c>
      <c r="BR172" s="16">
        <v>13480</v>
      </c>
      <c r="BS172" s="16">
        <v>13495</v>
      </c>
      <c r="BT172" s="16">
        <v>15674</v>
      </c>
      <c r="BU172" s="15">
        <f t="shared" si="104"/>
        <v>13490</v>
      </c>
      <c r="BV172" s="15">
        <f t="shared" si="105"/>
        <v>211442260</v>
      </c>
      <c r="BW172" s="15">
        <f>SUM($BV$3:BV172)</f>
        <v>199854424499.99997</v>
      </c>
      <c r="BX172" s="15">
        <f>SUM($BT$3:BT172)</f>
        <v>14733808</v>
      </c>
      <c r="BY172" s="15">
        <f t="shared" si="106"/>
        <v>13564.34293836325</v>
      </c>
      <c r="BZ172" s="3">
        <v>170</v>
      </c>
      <c r="CA172" s="3">
        <f t="shared" si="107"/>
        <v>0</v>
      </c>
      <c r="CB172" s="3">
        <f t="shared" si="108"/>
        <v>0</v>
      </c>
      <c r="CC172" s="3">
        <f t="shared" si="109"/>
        <v>0</v>
      </c>
      <c r="CD172" s="3" t="str">
        <f t="shared" si="110"/>
        <v/>
      </c>
      <c r="CE172" s="3">
        <f t="shared" si="111"/>
        <v>0</v>
      </c>
    </row>
    <row r="173" spans="1:83" x14ac:dyDescent="0.3">
      <c r="A173" s="3" t="s">
        <v>213</v>
      </c>
      <c r="B173" s="3">
        <v>11675</v>
      </c>
      <c r="C173" s="3">
        <v>11665</v>
      </c>
      <c r="D173" s="3">
        <v>11475</v>
      </c>
      <c r="E173" s="3">
        <v>11480</v>
      </c>
      <c r="F173" s="3">
        <v>11670</v>
      </c>
      <c r="G173" s="3">
        <v>11655</v>
      </c>
      <c r="H173" s="3">
        <v>11475</v>
      </c>
      <c r="I173" s="3">
        <v>11470</v>
      </c>
      <c r="J173" s="3">
        <v>11740</v>
      </c>
      <c r="K173" s="3">
        <v>11730</v>
      </c>
      <c r="L173" s="3">
        <v>12000</v>
      </c>
      <c r="M173" s="3">
        <v>11985</v>
      </c>
      <c r="N173" s="3">
        <v>12545</v>
      </c>
      <c r="O173" s="3">
        <v>12555</v>
      </c>
      <c r="P173" s="3">
        <v>12750</v>
      </c>
      <c r="Q173" s="3">
        <v>12770</v>
      </c>
      <c r="R173" s="3">
        <v>12575</v>
      </c>
      <c r="S173" s="3">
        <v>12565</v>
      </c>
      <c r="T173" s="3">
        <v>12375</v>
      </c>
      <c r="U173" s="3">
        <v>12365</v>
      </c>
      <c r="V173" s="3">
        <v>12820</v>
      </c>
      <c r="W173" s="3">
        <v>12830</v>
      </c>
      <c r="X173" s="3">
        <v>12575</v>
      </c>
      <c r="Y173" s="3">
        <v>12570</v>
      </c>
      <c r="Z173" s="3">
        <v>12695</v>
      </c>
      <c r="AA173" s="3">
        <v>12690</v>
      </c>
      <c r="AB173" s="3">
        <v>13270</v>
      </c>
      <c r="AC173" s="3">
        <v>13265</v>
      </c>
      <c r="AD173" s="3">
        <v>13150</v>
      </c>
      <c r="AE173" s="3">
        <v>13145</v>
      </c>
      <c r="AF173" s="3">
        <v>13855</v>
      </c>
      <c r="AG173" s="3">
        <v>13865</v>
      </c>
      <c r="AH173" s="3">
        <v>14260</v>
      </c>
      <c r="AI173" s="3">
        <v>14260</v>
      </c>
      <c r="AJ173" s="3">
        <v>13640</v>
      </c>
      <c r="AK173" s="3">
        <v>13640</v>
      </c>
      <c r="AL173" s="3">
        <v>13765</v>
      </c>
      <c r="AM173" s="3">
        <v>13765</v>
      </c>
      <c r="AN173" s="3">
        <v>13420</v>
      </c>
      <c r="AO173" s="3">
        <v>13410</v>
      </c>
      <c r="AP173" s="3">
        <v>13500</v>
      </c>
      <c r="AQ173" s="3">
        <v>13505</v>
      </c>
      <c r="AR173" s="4">
        <f t="shared" si="112"/>
        <v>1.1708586296617529E-2</v>
      </c>
      <c r="AS173" s="4">
        <f t="shared" si="84"/>
        <v>6.0606060606060996E-3</v>
      </c>
      <c r="AT173" s="4">
        <f t="shared" si="85"/>
        <v>2.5968309859154992E-2</v>
      </c>
      <c r="AU173" s="4">
        <f t="shared" si="86"/>
        <v>2.6315789473684181E-2</v>
      </c>
      <c r="AV173" s="4">
        <f t="shared" si="87"/>
        <v>3.4217279726260763E-3</v>
      </c>
      <c r="AW173" s="4">
        <f t="shared" si="88"/>
        <v>1.0539629005059004E-2</v>
      </c>
      <c r="AX173" s="4">
        <f t="shared" si="89"/>
        <v>3.6318613289310742E-2</v>
      </c>
      <c r="AY173" s="4">
        <f t="shared" si="90"/>
        <v>7.8247261345854024E-4</v>
      </c>
      <c r="AZ173" s="4">
        <f t="shared" si="91"/>
        <v>1.5942606616181632E-3</v>
      </c>
      <c r="BA173" s="4">
        <f t="shared" si="92"/>
        <v>8.0808080808081328E-4</v>
      </c>
      <c r="BB173" s="4">
        <f t="shared" si="93"/>
        <v>4.0129712201053991E-2</v>
      </c>
      <c r="BC173" s="4">
        <f t="shared" si="94"/>
        <v>5.1444400474871532E-3</v>
      </c>
      <c r="BD173" s="4">
        <f t="shared" si="95"/>
        <v>1.1682242990654235E-2</v>
      </c>
      <c r="BE173" s="4">
        <f t="shared" si="96"/>
        <v>2.3139220979560449E-2</v>
      </c>
      <c r="BF173" s="4">
        <f t="shared" si="97"/>
        <v>4.2016806722688926E-3</v>
      </c>
      <c r="BG173" s="4">
        <f t="shared" si="98"/>
        <v>3.974503187101619E-2</v>
      </c>
      <c r="BH173" s="4">
        <f t="shared" si="99"/>
        <v>2.5161754133716796E-2</v>
      </c>
      <c r="BI173" s="4">
        <f t="shared" si="100"/>
        <v>1.6936936936936986E-2</v>
      </c>
      <c r="BJ173" s="4">
        <f t="shared" si="101"/>
        <v>3.2798833819243089E-3</v>
      </c>
      <c r="BK173" s="4">
        <f t="shared" si="102"/>
        <v>2.0094994519546994E-2</v>
      </c>
      <c r="BL173" s="4">
        <f t="shared" si="103"/>
        <v>3.7160906726123599E-3</v>
      </c>
      <c r="BM173" s="4">
        <f t="shared" si="113"/>
        <v>1.6358523221902448E-2</v>
      </c>
      <c r="BN173" s="14">
        <f t="shared" si="114"/>
        <v>13675.103929950696</v>
      </c>
      <c r="BO173" s="15">
        <f t="shared" si="115"/>
        <v>13107.02267806815</v>
      </c>
      <c r="BP173" s="16">
        <v>13500</v>
      </c>
      <c r="BQ173" s="16">
        <v>13510</v>
      </c>
      <c r="BR173" s="16">
        <v>13495</v>
      </c>
      <c r="BS173" s="16">
        <v>13505</v>
      </c>
      <c r="BT173" s="16">
        <v>24112</v>
      </c>
      <c r="BU173" s="15">
        <f t="shared" si="104"/>
        <v>13503.333333333334</v>
      </c>
      <c r="BV173" s="15">
        <f t="shared" si="105"/>
        <v>325592373.33333337</v>
      </c>
      <c r="BW173" s="15">
        <f>SUM($BV$3:BV173)</f>
        <v>200180016873.33331</v>
      </c>
      <c r="BX173" s="15">
        <f>SUM($BT$3:BT173)</f>
        <v>14757920</v>
      </c>
      <c r="BY173" s="15">
        <f t="shared" si="106"/>
        <v>13564.243258760944</v>
      </c>
      <c r="BZ173" s="3">
        <v>171</v>
      </c>
      <c r="CA173" s="3">
        <f t="shared" si="107"/>
        <v>0</v>
      </c>
      <c r="CB173" s="3">
        <f t="shared" si="108"/>
        <v>0</v>
      </c>
      <c r="CC173" s="3">
        <f t="shared" si="109"/>
        <v>0</v>
      </c>
      <c r="CD173" s="3" t="str">
        <f t="shared" si="110"/>
        <v/>
      </c>
      <c r="CE173" s="3">
        <f t="shared" si="111"/>
        <v>0</v>
      </c>
    </row>
    <row r="174" spans="1:83" x14ac:dyDescent="0.3">
      <c r="A174" s="3" t="s">
        <v>214</v>
      </c>
      <c r="B174" s="3">
        <v>11665</v>
      </c>
      <c r="C174" s="3">
        <v>11665</v>
      </c>
      <c r="D174" s="3">
        <v>11480</v>
      </c>
      <c r="E174" s="3">
        <v>11470</v>
      </c>
      <c r="F174" s="3">
        <v>11655</v>
      </c>
      <c r="G174" s="3">
        <v>11655</v>
      </c>
      <c r="H174" s="3">
        <v>11470</v>
      </c>
      <c r="I174" s="3">
        <v>11470</v>
      </c>
      <c r="J174" s="3">
        <v>11730</v>
      </c>
      <c r="K174" s="3">
        <v>11725</v>
      </c>
      <c r="L174" s="3">
        <v>11985</v>
      </c>
      <c r="M174" s="3">
        <v>12000</v>
      </c>
      <c r="N174" s="3">
        <v>12550</v>
      </c>
      <c r="O174" s="3">
        <v>12555</v>
      </c>
      <c r="P174" s="3">
        <v>12770</v>
      </c>
      <c r="Q174" s="3">
        <v>12770</v>
      </c>
      <c r="R174" s="3">
        <v>12565</v>
      </c>
      <c r="S174" s="3">
        <v>12565</v>
      </c>
      <c r="T174" s="3">
        <v>12360</v>
      </c>
      <c r="U174" s="3">
        <v>12350</v>
      </c>
      <c r="V174" s="3">
        <v>12825</v>
      </c>
      <c r="W174" s="3">
        <v>12815</v>
      </c>
      <c r="X174" s="3">
        <v>12565</v>
      </c>
      <c r="Y174" s="3">
        <v>12570</v>
      </c>
      <c r="Z174" s="3">
        <v>12690</v>
      </c>
      <c r="AA174" s="3">
        <v>12695</v>
      </c>
      <c r="AB174" s="3">
        <v>13260</v>
      </c>
      <c r="AC174" s="3">
        <v>13260</v>
      </c>
      <c r="AD174" s="3">
        <v>13150</v>
      </c>
      <c r="AE174" s="3">
        <v>13150</v>
      </c>
      <c r="AF174" s="3">
        <v>13860</v>
      </c>
      <c r="AG174" s="3">
        <v>13865</v>
      </c>
      <c r="AH174" s="3">
        <v>14260</v>
      </c>
      <c r="AI174" s="3">
        <v>14260</v>
      </c>
      <c r="AJ174" s="3">
        <v>13640</v>
      </c>
      <c r="AK174" s="3">
        <v>13635</v>
      </c>
      <c r="AL174" s="3">
        <v>13770</v>
      </c>
      <c r="AM174" s="3">
        <v>13755</v>
      </c>
      <c r="AN174" s="3">
        <v>13405</v>
      </c>
      <c r="AO174" s="3">
        <v>13385</v>
      </c>
      <c r="AP174" s="3">
        <v>13505</v>
      </c>
      <c r="AQ174" s="3">
        <v>13495</v>
      </c>
      <c r="AR174" s="4">
        <f t="shared" si="112"/>
        <v>1.1708586296617529E-2</v>
      </c>
      <c r="AS174" s="4">
        <f t="shared" si="84"/>
        <v>6.9264069264068917E-3</v>
      </c>
      <c r="AT174" s="4">
        <f t="shared" si="85"/>
        <v>2.5968309859154992E-2</v>
      </c>
      <c r="AU174" s="4">
        <f t="shared" si="86"/>
        <v>2.6315789473684181E-2</v>
      </c>
      <c r="AV174" s="4">
        <f t="shared" si="87"/>
        <v>2.9940119760478723E-3</v>
      </c>
      <c r="AW174" s="4">
        <f t="shared" si="88"/>
        <v>1.180438448566612E-2</v>
      </c>
      <c r="AX174" s="4">
        <f t="shared" si="89"/>
        <v>3.6318613289310742E-2</v>
      </c>
      <c r="AY174" s="4">
        <f t="shared" si="90"/>
        <v>7.8247261345854024E-4</v>
      </c>
      <c r="AZ174" s="4">
        <f t="shared" si="91"/>
        <v>1.5942606616181632E-3</v>
      </c>
      <c r="BA174" s="4">
        <f t="shared" si="92"/>
        <v>2.0202020202020332E-3</v>
      </c>
      <c r="BB174" s="4">
        <f t="shared" si="93"/>
        <v>3.8913660316173493E-2</v>
      </c>
      <c r="BC174" s="4">
        <f t="shared" si="94"/>
        <v>5.1444400474871532E-3</v>
      </c>
      <c r="BD174" s="4">
        <f t="shared" si="95"/>
        <v>1.1292834890965775E-2</v>
      </c>
      <c r="BE174" s="4">
        <f t="shared" si="96"/>
        <v>2.2753567296567745E-2</v>
      </c>
      <c r="BF174" s="4">
        <f t="shared" si="97"/>
        <v>4.583651642475095E-3</v>
      </c>
      <c r="BG174" s="4">
        <f t="shared" si="98"/>
        <v>3.974503187101619E-2</v>
      </c>
      <c r="BH174" s="4">
        <f t="shared" si="99"/>
        <v>2.5161754133716796E-2</v>
      </c>
      <c r="BI174" s="4">
        <f t="shared" si="100"/>
        <v>1.7297297297297343E-2</v>
      </c>
      <c r="BJ174" s="4">
        <f t="shared" si="101"/>
        <v>2.5510204081633514E-3</v>
      </c>
      <c r="BK174" s="4">
        <f t="shared" si="102"/>
        <v>2.1921812203142155E-2</v>
      </c>
      <c r="BL174" s="4">
        <f t="shared" si="103"/>
        <v>2.9728725380899768E-3</v>
      </c>
      <c r="BM174" s="4">
        <f t="shared" si="113"/>
        <v>1.6434329906542471E-2</v>
      </c>
      <c r="BN174" s="14">
        <f t="shared" si="114"/>
        <v>13676.123908892527</v>
      </c>
      <c r="BO174" s="15">
        <f t="shared" si="115"/>
        <v>13106.012553995322</v>
      </c>
      <c r="BP174" s="16">
        <v>13505</v>
      </c>
      <c r="BQ174" s="16">
        <v>13510</v>
      </c>
      <c r="BR174" s="16">
        <v>13495</v>
      </c>
      <c r="BS174" s="16">
        <v>13495</v>
      </c>
      <c r="BT174" s="16">
        <v>24565</v>
      </c>
      <c r="BU174" s="15">
        <f t="shared" si="104"/>
        <v>13500</v>
      </c>
      <c r="BV174" s="15">
        <f t="shared" si="105"/>
        <v>331627500</v>
      </c>
      <c r="BW174" s="15">
        <f>SUM($BV$3:BV174)</f>
        <v>200511644373.33331</v>
      </c>
      <c r="BX174" s="15">
        <f>SUM($BT$3:BT174)</f>
        <v>14782485</v>
      </c>
      <c r="BY174" s="15">
        <f t="shared" si="106"/>
        <v>13564.136501632393</v>
      </c>
      <c r="BZ174" s="3">
        <v>172</v>
      </c>
      <c r="CA174" s="3">
        <f t="shared" si="107"/>
        <v>0</v>
      </c>
      <c r="CB174" s="3">
        <f t="shared" si="108"/>
        <v>0</v>
      </c>
      <c r="CC174" s="3">
        <f t="shared" si="109"/>
        <v>0</v>
      </c>
      <c r="CD174" s="3" t="str">
        <f t="shared" si="110"/>
        <v/>
      </c>
      <c r="CE174" s="3">
        <f t="shared" si="111"/>
        <v>0</v>
      </c>
    </row>
    <row r="175" spans="1:83" x14ac:dyDescent="0.3">
      <c r="A175" s="3" t="s">
        <v>215</v>
      </c>
      <c r="B175" s="3">
        <v>11665</v>
      </c>
      <c r="C175" s="3">
        <v>11660</v>
      </c>
      <c r="D175" s="3">
        <v>11475</v>
      </c>
      <c r="E175" s="3">
        <v>11480</v>
      </c>
      <c r="F175" s="3">
        <v>11660</v>
      </c>
      <c r="G175" s="3">
        <v>11650</v>
      </c>
      <c r="H175" s="3">
        <v>11465</v>
      </c>
      <c r="I175" s="3">
        <v>11450</v>
      </c>
      <c r="J175" s="3">
        <v>11725</v>
      </c>
      <c r="K175" s="3">
        <v>11720</v>
      </c>
      <c r="L175" s="3">
        <v>11995</v>
      </c>
      <c r="M175" s="3">
        <v>12000</v>
      </c>
      <c r="N175" s="3">
        <v>12555</v>
      </c>
      <c r="O175" s="3">
        <v>12565</v>
      </c>
      <c r="P175" s="3">
        <v>12770</v>
      </c>
      <c r="Q175" s="3">
        <v>12760</v>
      </c>
      <c r="R175" s="3">
        <v>12560</v>
      </c>
      <c r="S175" s="3">
        <v>12550</v>
      </c>
      <c r="T175" s="3">
        <v>12355</v>
      </c>
      <c r="U175" s="3">
        <v>12360</v>
      </c>
      <c r="V175" s="3">
        <v>12820</v>
      </c>
      <c r="W175" s="3">
        <v>12815</v>
      </c>
      <c r="X175" s="3">
        <v>12570</v>
      </c>
      <c r="Y175" s="3">
        <v>12565</v>
      </c>
      <c r="Z175" s="3">
        <v>12700</v>
      </c>
      <c r="AA175" s="3">
        <v>12700</v>
      </c>
      <c r="AB175" s="3">
        <v>13260</v>
      </c>
      <c r="AC175" s="3">
        <v>13260</v>
      </c>
      <c r="AD175" s="3">
        <v>13150</v>
      </c>
      <c r="AE175" s="3">
        <v>13160</v>
      </c>
      <c r="AF175" s="3">
        <v>13865</v>
      </c>
      <c r="AG175" s="3">
        <v>13865</v>
      </c>
      <c r="AH175" s="3">
        <v>14255</v>
      </c>
      <c r="AI175" s="3">
        <v>14255</v>
      </c>
      <c r="AJ175" s="3">
        <v>13635</v>
      </c>
      <c r="AK175" s="3">
        <v>13645</v>
      </c>
      <c r="AL175" s="3">
        <v>13760</v>
      </c>
      <c r="AM175" s="3">
        <v>13765</v>
      </c>
      <c r="AN175" s="3">
        <v>13390</v>
      </c>
      <c r="AO175" s="3">
        <v>13395</v>
      </c>
      <c r="AP175" s="3">
        <v>13495</v>
      </c>
      <c r="AQ175" s="3">
        <v>13475</v>
      </c>
      <c r="AR175" s="4">
        <f t="shared" si="112"/>
        <v>1.1274934952298254E-2</v>
      </c>
      <c r="AS175" s="4">
        <f t="shared" si="84"/>
        <v>6.0606060606060996E-3</v>
      </c>
      <c r="AT175" s="4">
        <f t="shared" si="85"/>
        <v>2.5528169014084501E-2</v>
      </c>
      <c r="AU175" s="4">
        <f t="shared" si="86"/>
        <v>2.8013582342954146E-2</v>
      </c>
      <c r="AV175" s="4">
        <f t="shared" si="87"/>
        <v>2.5662959794696683E-3</v>
      </c>
      <c r="AW175" s="4">
        <f t="shared" si="88"/>
        <v>1.180438448566612E-2</v>
      </c>
      <c r="AX175" s="4">
        <f t="shared" si="89"/>
        <v>3.7144036318613294E-2</v>
      </c>
      <c r="AY175" s="4">
        <f t="shared" si="90"/>
        <v>1.5649452269170805E-3</v>
      </c>
      <c r="AZ175" s="4">
        <f t="shared" si="91"/>
        <v>3.985651654045963E-4</v>
      </c>
      <c r="BA175" s="4">
        <f t="shared" si="92"/>
        <v>1.2121212121212199E-3</v>
      </c>
      <c r="BB175" s="4">
        <f t="shared" si="93"/>
        <v>3.8913660316173493E-2</v>
      </c>
      <c r="BC175" s="4">
        <f t="shared" si="94"/>
        <v>5.5401662049860967E-3</v>
      </c>
      <c r="BD175" s="4">
        <f t="shared" si="95"/>
        <v>1.0903426791277204E-2</v>
      </c>
      <c r="BE175" s="4">
        <f t="shared" si="96"/>
        <v>2.2753567296567745E-2</v>
      </c>
      <c r="BF175" s="4">
        <f t="shared" si="97"/>
        <v>5.3475935828877219E-3</v>
      </c>
      <c r="BG175" s="4">
        <f t="shared" si="98"/>
        <v>3.974503187101619E-2</v>
      </c>
      <c r="BH175" s="4">
        <f t="shared" si="99"/>
        <v>2.4802300503235175E-2</v>
      </c>
      <c r="BI175" s="4">
        <f t="shared" si="100"/>
        <v>1.6576576576576629E-2</v>
      </c>
      <c r="BJ175" s="4">
        <f t="shared" si="101"/>
        <v>3.2798833819243089E-3</v>
      </c>
      <c r="BK175" s="4">
        <f t="shared" si="102"/>
        <v>2.1191085129704024E-2</v>
      </c>
      <c r="BL175" s="4">
        <f t="shared" si="103"/>
        <v>1.4864362690449884E-3</v>
      </c>
      <c r="BM175" s="4">
        <f t="shared" si="113"/>
        <v>1.6383782826957485E-2</v>
      </c>
      <c r="BN175" s="14">
        <f t="shared" si="114"/>
        <v>13675.443797936714</v>
      </c>
      <c r="BO175" s="15">
        <f t="shared" si="115"/>
        <v>13106.686093830791</v>
      </c>
      <c r="BP175" s="16">
        <v>13495</v>
      </c>
      <c r="BQ175" s="16">
        <v>13495</v>
      </c>
      <c r="BR175" s="16">
        <v>13475</v>
      </c>
      <c r="BS175" s="16">
        <v>13475</v>
      </c>
      <c r="BT175" s="16">
        <v>26368</v>
      </c>
      <c r="BU175" s="15">
        <f t="shared" si="104"/>
        <v>13481.666666666666</v>
      </c>
      <c r="BV175" s="15">
        <f t="shared" si="105"/>
        <v>355484586.66666663</v>
      </c>
      <c r="BW175" s="15">
        <f>SUM($BV$3:BV175)</f>
        <v>200867128959.99997</v>
      </c>
      <c r="BX175" s="15">
        <f>SUM($BT$3:BT175)</f>
        <v>14808853</v>
      </c>
      <c r="BY175" s="15">
        <f t="shared" si="106"/>
        <v>13563.98965942872</v>
      </c>
      <c r="BZ175" s="3">
        <v>173</v>
      </c>
      <c r="CA175" s="3">
        <f t="shared" si="107"/>
        <v>0</v>
      </c>
      <c r="CB175" s="3">
        <f t="shared" si="108"/>
        <v>0</v>
      </c>
      <c r="CC175" s="3">
        <f t="shared" si="109"/>
        <v>0</v>
      </c>
      <c r="CD175" s="3" t="str">
        <f t="shared" si="110"/>
        <v/>
      </c>
      <c r="CE175" s="3">
        <f t="shared" si="111"/>
        <v>0</v>
      </c>
    </row>
    <row r="176" spans="1:83" x14ac:dyDescent="0.3">
      <c r="A176" s="3" t="s">
        <v>216</v>
      </c>
      <c r="B176" s="3">
        <v>11655</v>
      </c>
      <c r="C176" s="3">
        <v>11660</v>
      </c>
      <c r="D176" s="3">
        <v>11480</v>
      </c>
      <c r="E176" s="3">
        <v>11485</v>
      </c>
      <c r="F176" s="3">
        <v>11650</v>
      </c>
      <c r="G176" s="3">
        <v>11650</v>
      </c>
      <c r="H176" s="3">
        <v>11450</v>
      </c>
      <c r="I176" s="3">
        <v>11455</v>
      </c>
      <c r="J176" s="3">
        <v>11720</v>
      </c>
      <c r="K176" s="3">
        <v>11720</v>
      </c>
      <c r="L176" s="3">
        <v>12000</v>
      </c>
      <c r="M176" s="3">
        <v>12000</v>
      </c>
      <c r="N176" s="3">
        <v>12560</v>
      </c>
      <c r="O176" s="3">
        <v>12560</v>
      </c>
      <c r="P176" s="3">
        <v>12760</v>
      </c>
      <c r="Q176" s="3">
        <v>12760</v>
      </c>
      <c r="R176" s="3">
        <v>12550</v>
      </c>
      <c r="S176" s="3">
        <v>12550</v>
      </c>
      <c r="T176" s="3">
        <v>12360</v>
      </c>
      <c r="U176" s="3">
        <v>12360</v>
      </c>
      <c r="V176" s="3">
        <v>12820</v>
      </c>
      <c r="W176" s="3">
        <v>12815</v>
      </c>
      <c r="X176" s="3">
        <v>12565</v>
      </c>
      <c r="Y176" s="3">
        <v>12565</v>
      </c>
      <c r="Z176" s="3">
        <v>12700</v>
      </c>
      <c r="AA176" s="3">
        <v>12705</v>
      </c>
      <c r="AB176" s="3">
        <v>13260</v>
      </c>
      <c r="AC176" s="3">
        <v>13285</v>
      </c>
      <c r="AD176" s="3">
        <v>13160</v>
      </c>
      <c r="AE176" s="3">
        <v>13150</v>
      </c>
      <c r="AF176" s="3">
        <v>13865</v>
      </c>
      <c r="AG176" s="3">
        <v>13865</v>
      </c>
      <c r="AH176" s="3">
        <v>14260</v>
      </c>
      <c r="AI176" s="3">
        <v>14250</v>
      </c>
      <c r="AJ176" s="3">
        <v>13645</v>
      </c>
      <c r="AK176" s="3">
        <v>13625</v>
      </c>
      <c r="AL176" s="3">
        <v>13765</v>
      </c>
      <c r="AM176" s="3">
        <v>13750</v>
      </c>
      <c r="AN176" s="3">
        <v>13395</v>
      </c>
      <c r="AO176" s="3">
        <v>13380</v>
      </c>
      <c r="AP176" s="3">
        <v>13475</v>
      </c>
      <c r="AQ176" s="3">
        <v>13475</v>
      </c>
      <c r="AR176" s="4">
        <f t="shared" si="112"/>
        <v>1.1274934952298254E-2</v>
      </c>
      <c r="AS176" s="4">
        <f t="shared" si="84"/>
        <v>5.6277056277056481E-3</v>
      </c>
      <c r="AT176" s="4">
        <f t="shared" si="85"/>
        <v>2.5528169014084501E-2</v>
      </c>
      <c r="AU176" s="4">
        <f t="shared" si="86"/>
        <v>2.7589134125636683E-2</v>
      </c>
      <c r="AV176" s="4">
        <f t="shared" si="87"/>
        <v>2.5662959794696683E-3</v>
      </c>
      <c r="AW176" s="4">
        <f t="shared" si="88"/>
        <v>1.180438448566612E-2</v>
      </c>
      <c r="AX176" s="4">
        <f t="shared" si="89"/>
        <v>3.6731324803962018E-2</v>
      </c>
      <c r="AY176" s="4">
        <f t="shared" si="90"/>
        <v>1.5649452269170805E-3</v>
      </c>
      <c r="AZ176" s="4">
        <f t="shared" si="91"/>
        <v>3.985651654045963E-4</v>
      </c>
      <c r="BA176" s="4">
        <f t="shared" si="92"/>
        <v>1.2121212121212199E-3</v>
      </c>
      <c r="BB176" s="4">
        <f t="shared" si="93"/>
        <v>3.8913660316173493E-2</v>
      </c>
      <c r="BC176" s="4">
        <f t="shared" si="94"/>
        <v>5.5401662049860967E-3</v>
      </c>
      <c r="BD176" s="4">
        <f t="shared" si="95"/>
        <v>1.0514018691588745E-2</v>
      </c>
      <c r="BE176" s="4">
        <f t="shared" si="96"/>
        <v>2.4681835711531042E-2</v>
      </c>
      <c r="BF176" s="4">
        <f t="shared" si="97"/>
        <v>4.583651642475095E-3</v>
      </c>
      <c r="BG176" s="4">
        <f t="shared" si="98"/>
        <v>3.974503187101619E-2</v>
      </c>
      <c r="BH176" s="4">
        <f t="shared" si="99"/>
        <v>2.4442846872753332E-2</v>
      </c>
      <c r="BI176" s="4">
        <f t="shared" si="100"/>
        <v>1.8018018018018056E-2</v>
      </c>
      <c r="BJ176" s="4">
        <f t="shared" si="101"/>
        <v>2.1865889212828726E-3</v>
      </c>
      <c r="BK176" s="4">
        <f t="shared" si="102"/>
        <v>2.2287175739861165E-2</v>
      </c>
      <c r="BL176" s="4">
        <f t="shared" si="103"/>
        <v>1.4864362690449884E-3</v>
      </c>
      <c r="BM176" s="4">
        <f t="shared" si="113"/>
        <v>1.6487139314149357E-2</v>
      </c>
      <c r="BN176" s="14">
        <f t="shared" si="114"/>
        <v>13676.834459471878</v>
      </c>
      <c r="BO176" s="15">
        <f t="shared" si="115"/>
        <v>13105.30886863896</v>
      </c>
      <c r="BP176" s="16">
        <v>13475</v>
      </c>
      <c r="BQ176" s="16">
        <v>13475</v>
      </c>
      <c r="BR176" s="16">
        <v>13460</v>
      </c>
      <c r="BS176" s="16">
        <v>13475</v>
      </c>
      <c r="BT176" s="16">
        <v>38587</v>
      </c>
      <c r="BU176" s="15">
        <f t="shared" si="104"/>
        <v>13470</v>
      </c>
      <c r="BV176" s="15">
        <f t="shared" si="105"/>
        <v>519766890</v>
      </c>
      <c r="BW176" s="15">
        <f>SUM($BV$3:BV176)</f>
        <v>201386895849.99997</v>
      </c>
      <c r="BX176" s="15">
        <f>SUM($BT$3:BT176)</f>
        <v>14847440</v>
      </c>
      <c r="BY176" s="15">
        <f t="shared" si="106"/>
        <v>13563.74538977763</v>
      </c>
      <c r="BZ176" s="3">
        <v>174</v>
      </c>
      <c r="CA176" s="3">
        <f t="shared" si="107"/>
        <v>0</v>
      </c>
      <c r="CB176" s="3">
        <f t="shared" si="108"/>
        <v>0</v>
      </c>
      <c r="CC176" s="3">
        <f t="shared" si="109"/>
        <v>0</v>
      </c>
      <c r="CD176" s="3" t="str">
        <f t="shared" si="110"/>
        <v/>
      </c>
      <c r="CE176" s="3">
        <f t="shared" si="111"/>
        <v>0</v>
      </c>
    </row>
    <row r="177" spans="1:83" x14ac:dyDescent="0.3">
      <c r="A177" s="3" t="s">
        <v>217</v>
      </c>
      <c r="B177" s="3">
        <v>11660</v>
      </c>
      <c r="C177" s="3">
        <v>11665</v>
      </c>
      <c r="D177" s="3">
        <v>11485</v>
      </c>
      <c r="E177" s="3">
        <v>11475</v>
      </c>
      <c r="F177" s="3">
        <v>11650</v>
      </c>
      <c r="G177" s="3">
        <v>11650</v>
      </c>
      <c r="H177" s="3">
        <v>11455</v>
      </c>
      <c r="I177" s="3">
        <v>11435</v>
      </c>
      <c r="J177" s="3">
        <v>11720</v>
      </c>
      <c r="K177" s="3">
        <v>11735</v>
      </c>
      <c r="L177" s="3">
        <v>12005</v>
      </c>
      <c r="M177" s="3">
        <v>12030</v>
      </c>
      <c r="N177" s="3">
        <v>12560</v>
      </c>
      <c r="O177" s="3">
        <v>12570</v>
      </c>
      <c r="P177" s="3">
        <v>12760</v>
      </c>
      <c r="Q177" s="3">
        <v>12750</v>
      </c>
      <c r="R177" s="3">
        <v>12545</v>
      </c>
      <c r="S177" s="3">
        <v>12540</v>
      </c>
      <c r="T177" s="3">
        <v>12360</v>
      </c>
      <c r="U177" s="3">
        <v>12365</v>
      </c>
      <c r="V177" s="3">
        <v>12815</v>
      </c>
      <c r="W177" s="3">
        <v>12820</v>
      </c>
      <c r="X177" s="3">
        <v>12560</v>
      </c>
      <c r="Y177" s="3">
        <v>12560</v>
      </c>
      <c r="Z177" s="3">
        <v>12705</v>
      </c>
      <c r="AA177" s="3">
        <v>12690</v>
      </c>
      <c r="AB177" s="3">
        <v>13285</v>
      </c>
      <c r="AC177" s="3">
        <v>13285</v>
      </c>
      <c r="AD177" s="3">
        <v>13145</v>
      </c>
      <c r="AE177" s="3">
        <v>13120</v>
      </c>
      <c r="AF177" s="3">
        <v>13860</v>
      </c>
      <c r="AG177" s="3">
        <v>13865</v>
      </c>
      <c r="AH177" s="3">
        <v>14255</v>
      </c>
      <c r="AI177" s="3">
        <v>14240</v>
      </c>
      <c r="AJ177" s="3">
        <v>13630</v>
      </c>
      <c r="AK177" s="3">
        <v>13635</v>
      </c>
      <c r="AL177" s="3">
        <v>13750</v>
      </c>
      <c r="AM177" s="3">
        <v>13725</v>
      </c>
      <c r="AN177" s="3">
        <v>13380</v>
      </c>
      <c r="AO177" s="3">
        <v>13385</v>
      </c>
      <c r="AP177" s="3">
        <v>13480</v>
      </c>
      <c r="AQ177" s="3">
        <v>13470</v>
      </c>
      <c r="AR177" s="4">
        <f t="shared" si="112"/>
        <v>1.1708586296617529E-2</v>
      </c>
      <c r="AS177" s="4">
        <f t="shared" si="84"/>
        <v>6.4935064935064402E-3</v>
      </c>
      <c r="AT177" s="4">
        <f t="shared" si="85"/>
        <v>2.5528169014084501E-2</v>
      </c>
      <c r="AU177" s="4">
        <f t="shared" si="86"/>
        <v>2.9286926994906648E-2</v>
      </c>
      <c r="AV177" s="4">
        <f t="shared" si="87"/>
        <v>3.8494439692045024E-3</v>
      </c>
      <c r="AW177" s="4">
        <f t="shared" si="88"/>
        <v>1.4333895446880351E-2</v>
      </c>
      <c r="AX177" s="4">
        <f t="shared" si="89"/>
        <v>3.755674783326457E-2</v>
      </c>
      <c r="AY177" s="4">
        <f t="shared" si="90"/>
        <v>2.3474178403756207E-3</v>
      </c>
      <c r="AZ177" s="4">
        <f t="shared" si="91"/>
        <v>3.985651654045963E-4</v>
      </c>
      <c r="BA177" s="4">
        <f t="shared" si="92"/>
        <v>8.0808080808081328E-4</v>
      </c>
      <c r="BB177" s="4">
        <f t="shared" si="93"/>
        <v>3.9319010944466992E-2</v>
      </c>
      <c r="BC177" s="4">
        <f t="shared" si="94"/>
        <v>5.9358923624851512E-3</v>
      </c>
      <c r="BD177" s="4">
        <f t="shared" si="95"/>
        <v>1.1682242990654235E-2</v>
      </c>
      <c r="BE177" s="4">
        <f t="shared" si="96"/>
        <v>2.4681835711531042E-2</v>
      </c>
      <c r="BF177" s="4">
        <f t="shared" si="97"/>
        <v>2.2918258212376585E-3</v>
      </c>
      <c r="BG177" s="4">
        <f t="shared" si="98"/>
        <v>3.974503187101619E-2</v>
      </c>
      <c r="BH177" s="4">
        <f t="shared" si="99"/>
        <v>2.372393961179009E-2</v>
      </c>
      <c r="BI177" s="4">
        <f t="shared" si="100"/>
        <v>1.7297297297297343E-2</v>
      </c>
      <c r="BJ177" s="4">
        <f t="shared" si="101"/>
        <v>3.6443148688047877E-4</v>
      </c>
      <c r="BK177" s="4">
        <f t="shared" si="102"/>
        <v>2.1921812203142155E-2</v>
      </c>
      <c r="BL177" s="4">
        <f t="shared" si="103"/>
        <v>1.1148272017837968E-3</v>
      </c>
      <c r="BM177" s="4">
        <f t="shared" si="113"/>
        <v>1.6291009424830496E-2</v>
      </c>
      <c r="BN177" s="14">
        <f t="shared" si="114"/>
        <v>13674.195531811094</v>
      </c>
      <c r="BO177" s="15">
        <f t="shared" si="115"/>
        <v>13107.922299414133</v>
      </c>
      <c r="BP177" s="16">
        <v>13480</v>
      </c>
      <c r="BQ177" s="16">
        <v>13485</v>
      </c>
      <c r="BR177" s="16">
        <v>13465</v>
      </c>
      <c r="BS177" s="16">
        <v>13470</v>
      </c>
      <c r="BT177" s="16">
        <v>82880</v>
      </c>
      <c r="BU177" s="15">
        <f t="shared" si="104"/>
        <v>13473.333333333334</v>
      </c>
      <c r="BV177" s="15">
        <f t="shared" si="105"/>
        <v>1116669866.6666667</v>
      </c>
      <c r="BW177" s="15">
        <f>SUM($BV$3:BV177)</f>
        <v>202503565716.66663</v>
      </c>
      <c r="BX177" s="15">
        <f>SUM($BT$3:BT177)</f>
        <v>14930320</v>
      </c>
      <c r="BY177" s="15">
        <f t="shared" si="106"/>
        <v>13563.243501590498</v>
      </c>
      <c r="BZ177" s="3">
        <v>175</v>
      </c>
      <c r="CA177" s="3">
        <f t="shared" si="107"/>
        <v>0</v>
      </c>
      <c r="CB177" s="3">
        <f t="shared" si="108"/>
        <v>0</v>
      </c>
      <c r="CC177" s="3">
        <f t="shared" si="109"/>
        <v>0</v>
      </c>
      <c r="CD177" s="3" t="str">
        <f t="shared" si="110"/>
        <v/>
      </c>
      <c r="CE177" s="3">
        <f t="shared" si="111"/>
        <v>0</v>
      </c>
    </row>
    <row r="178" spans="1:83" x14ac:dyDescent="0.3">
      <c r="A178" s="3" t="s">
        <v>218</v>
      </c>
      <c r="B178" s="3">
        <v>11660</v>
      </c>
      <c r="C178" s="3">
        <v>11680</v>
      </c>
      <c r="D178" s="3">
        <v>11480</v>
      </c>
      <c r="E178" s="3">
        <v>11475</v>
      </c>
      <c r="F178" s="3">
        <v>11650</v>
      </c>
      <c r="G178" s="3">
        <v>11640</v>
      </c>
      <c r="H178" s="3">
        <v>11430</v>
      </c>
      <c r="I178" s="3">
        <v>11430</v>
      </c>
      <c r="J178" s="3">
        <v>11740</v>
      </c>
      <c r="K178" s="3">
        <v>11730</v>
      </c>
      <c r="L178" s="3">
        <v>12030</v>
      </c>
      <c r="M178" s="3">
        <v>12025</v>
      </c>
      <c r="N178" s="3">
        <v>12570</v>
      </c>
      <c r="O178" s="3">
        <v>12570</v>
      </c>
      <c r="P178" s="3">
        <v>12750</v>
      </c>
      <c r="Q178" s="3">
        <v>12735</v>
      </c>
      <c r="R178" s="3">
        <v>12540</v>
      </c>
      <c r="S178" s="3">
        <v>12555</v>
      </c>
      <c r="T178" s="3">
        <v>12365</v>
      </c>
      <c r="U178" s="3">
        <v>12365</v>
      </c>
      <c r="V178" s="3">
        <v>12825</v>
      </c>
      <c r="W178" s="3">
        <v>12825</v>
      </c>
      <c r="X178" s="3">
        <v>12560</v>
      </c>
      <c r="Y178" s="3">
        <v>12555</v>
      </c>
      <c r="Z178" s="3">
        <v>12690</v>
      </c>
      <c r="AA178" s="3">
        <v>12700</v>
      </c>
      <c r="AB178" s="3">
        <v>13285</v>
      </c>
      <c r="AC178" s="3">
        <v>13285</v>
      </c>
      <c r="AD178" s="3">
        <v>13120</v>
      </c>
      <c r="AE178" s="3">
        <v>13130</v>
      </c>
      <c r="AF178" s="3">
        <v>13865</v>
      </c>
      <c r="AG178" s="3">
        <v>13860</v>
      </c>
      <c r="AH178" s="3">
        <v>14250</v>
      </c>
      <c r="AI178" s="3">
        <v>14245</v>
      </c>
      <c r="AJ178" s="3">
        <v>13640</v>
      </c>
      <c r="AK178" s="3">
        <v>13640</v>
      </c>
      <c r="AL178" s="3">
        <v>13720</v>
      </c>
      <c r="AM178" s="3">
        <v>13730</v>
      </c>
      <c r="AN178" s="3">
        <v>13385</v>
      </c>
      <c r="AO178" s="3">
        <v>13390</v>
      </c>
      <c r="AP178" s="3">
        <v>13465</v>
      </c>
      <c r="AQ178" s="3">
        <v>13475</v>
      </c>
      <c r="AR178" s="4">
        <f t="shared" si="112"/>
        <v>1.3009540329575131E-2</v>
      </c>
      <c r="AS178" s="4">
        <f t="shared" si="84"/>
        <v>6.4935064935064402E-3</v>
      </c>
      <c r="AT178" s="4">
        <f t="shared" si="85"/>
        <v>2.464788732394374E-2</v>
      </c>
      <c r="AU178" s="4">
        <f t="shared" si="86"/>
        <v>2.9711375212224111E-2</v>
      </c>
      <c r="AV178" s="4">
        <f t="shared" si="87"/>
        <v>3.4217279726260763E-3</v>
      </c>
      <c r="AW178" s="4">
        <f t="shared" si="88"/>
        <v>1.3912310286677831E-2</v>
      </c>
      <c r="AX178" s="4">
        <f t="shared" si="89"/>
        <v>3.755674783326457E-2</v>
      </c>
      <c r="AY178" s="4">
        <f t="shared" si="90"/>
        <v>3.5211267605633756E-3</v>
      </c>
      <c r="AZ178" s="4">
        <f t="shared" si="91"/>
        <v>7.971303308091926E-4</v>
      </c>
      <c r="BA178" s="4">
        <f t="shared" si="92"/>
        <v>8.0808080808081328E-4</v>
      </c>
      <c r="BB178" s="4">
        <f t="shared" si="93"/>
        <v>3.9724361572760492E-2</v>
      </c>
      <c r="BC178" s="4">
        <f t="shared" si="94"/>
        <v>6.3316185199842057E-3</v>
      </c>
      <c r="BD178" s="4">
        <f t="shared" si="95"/>
        <v>1.0903426791277204E-2</v>
      </c>
      <c r="BE178" s="4">
        <f t="shared" si="96"/>
        <v>2.4681835711531042E-2</v>
      </c>
      <c r="BF178" s="4">
        <f t="shared" si="97"/>
        <v>3.0557677616500634E-3</v>
      </c>
      <c r="BG178" s="4">
        <f t="shared" si="98"/>
        <v>3.937007874015741E-2</v>
      </c>
      <c r="BH178" s="4">
        <f t="shared" si="99"/>
        <v>2.4083393242271711E-2</v>
      </c>
      <c r="BI178" s="4">
        <f t="shared" si="100"/>
        <v>1.6936936936936986E-2</v>
      </c>
      <c r="BJ178" s="4">
        <f t="shared" si="101"/>
        <v>7.2886297376095754E-4</v>
      </c>
      <c r="BK178" s="4">
        <f t="shared" si="102"/>
        <v>2.1556448666423145E-2</v>
      </c>
      <c r="BL178" s="4">
        <f t="shared" si="103"/>
        <v>1.4864362690449884E-3</v>
      </c>
      <c r="BM178" s="4">
        <f t="shared" si="113"/>
        <v>1.6432558332105083E-2</v>
      </c>
      <c r="BN178" s="14">
        <f t="shared" si="114"/>
        <v>13676.100072358473</v>
      </c>
      <c r="BO178" s="15">
        <f t="shared" si="115"/>
        <v>13106.036160224699</v>
      </c>
      <c r="BP178" s="16">
        <v>13465</v>
      </c>
      <c r="BQ178" s="16">
        <v>13475</v>
      </c>
      <c r="BR178" s="16">
        <v>13460</v>
      </c>
      <c r="BS178" s="16">
        <v>13475</v>
      </c>
      <c r="BT178" s="16">
        <v>43865</v>
      </c>
      <c r="BU178" s="15">
        <f t="shared" si="104"/>
        <v>13470</v>
      </c>
      <c r="BV178" s="15">
        <f t="shared" si="105"/>
        <v>590861550</v>
      </c>
      <c r="BW178" s="15">
        <f>SUM($BV$3:BV178)</f>
        <v>203094427266.66663</v>
      </c>
      <c r="BX178" s="15">
        <f>SUM($BT$3:BT178)</f>
        <v>14974185</v>
      </c>
      <c r="BY178" s="15">
        <f t="shared" si="106"/>
        <v>13562.970356427853</v>
      </c>
      <c r="BZ178" s="3">
        <v>176</v>
      </c>
      <c r="CA178" s="3">
        <f t="shared" si="107"/>
        <v>0</v>
      </c>
      <c r="CB178" s="3">
        <f t="shared" si="108"/>
        <v>0</v>
      </c>
      <c r="CC178" s="3">
        <f t="shared" si="109"/>
        <v>0</v>
      </c>
      <c r="CD178" s="3" t="str">
        <f t="shared" si="110"/>
        <v/>
      </c>
      <c r="CE178" s="3">
        <f t="shared" si="111"/>
        <v>0</v>
      </c>
    </row>
    <row r="179" spans="1:83" x14ac:dyDescent="0.3">
      <c r="A179" s="3" t="s">
        <v>219</v>
      </c>
      <c r="B179" s="3">
        <v>11685</v>
      </c>
      <c r="C179" s="3">
        <v>11680</v>
      </c>
      <c r="D179" s="3">
        <v>11480</v>
      </c>
      <c r="E179" s="3">
        <v>11485</v>
      </c>
      <c r="F179" s="3">
        <v>11640</v>
      </c>
      <c r="G179" s="3">
        <v>11630</v>
      </c>
      <c r="H179" s="3">
        <v>11430</v>
      </c>
      <c r="I179" s="3">
        <v>11430</v>
      </c>
      <c r="J179" s="3">
        <v>11730</v>
      </c>
      <c r="K179" s="3">
        <v>11745</v>
      </c>
      <c r="L179" s="3">
        <v>12030</v>
      </c>
      <c r="M179" s="3">
        <v>12035</v>
      </c>
      <c r="N179" s="3">
        <v>12570</v>
      </c>
      <c r="O179" s="3">
        <v>12565</v>
      </c>
      <c r="P179" s="3">
        <v>12735</v>
      </c>
      <c r="Q179" s="3">
        <v>12745</v>
      </c>
      <c r="R179" s="3">
        <v>12550</v>
      </c>
      <c r="S179" s="3">
        <v>12560</v>
      </c>
      <c r="T179" s="3">
        <v>12365</v>
      </c>
      <c r="U179" s="3">
        <v>12365</v>
      </c>
      <c r="V179" s="3">
        <v>12830</v>
      </c>
      <c r="W179" s="3">
        <v>12825</v>
      </c>
      <c r="X179" s="3">
        <v>12560</v>
      </c>
      <c r="Y179" s="3">
        <v>12560</v>
      </c>
      <c r="Z179" s="3">
        <v>12700</v>
      </c>
      <c r="AA179" s="3">
        <v>12705</v>
      </c>
      <c r="AB179" s="3">
        <v>13280</v>
      </c>
      <c r="AC179" s="3">
        <v>13285</v>
      </c>
      <c r="AD179" s="3">
        <v>13125</v>
      </c>
      <c r="AE179" s="3">
        <v>13135</v>
      </c>
      <c r="AF179" s="3">
        <v>13865</v>
      </c>
      <c r="AG179" s="3">
        <v>13865</v>
      </c>
      <c r="AH179" s="3">
        <v>14245</v>
      </c>
      <c r="AI179" s="3">
        <v>14250</v>
      </c>
      <c r="AJ179" s="3">
        <v>13645</v>
      </c>
      <c r="AK179" s="3">
        <v>13670</v>
      </c>
      <c r="AL179" s="3">
        <v>13730</v>
      </c>
      <c r="AM179" s="3">
        <v>13740</v>
      </c>
      <c r="AN179" s="3">
        <v>13390</v>
      </c>
      <c r="AO179" s="3">
        <v>13390</v>
      </c>
      <c r="AP179" s="3">
        <v>13475</v>
      </c>
      <c r="AQ179" s="3">
        <v>13490</v>
      </c>
      <c r="AR179" s="4">
        <f t="shared" si="112"/>
        <v>1.3009540329575131E-2</v>
      </c>
      <c r="AS179" s="4">
        <f t="shared" si="84"/>
        <v>5.6277056277056481E-3</v>
      </c>
      <c r="AT179" s="4">
        <f t="shared" si="85"/>
        <v>2.3767605633802757E-2</v>
      </c>
      <c r="AU179" s="4">
        <f t="shared" si="86"/>
        <v>2.9711375212224111E-2</v>
      </c>
      <c r="AV179" s="4">
        <f t="shared" si="87"/>
        <v>4.7048759623609104E-3</v>
      </c>
      <c r="AW179" s="4">
        <f t="shared" si="88"/>
        <v>1.4755480607082649E-2</v>
      </c>
      <c r="AX179" s="4">
        <f t="shared" si="89"/>
        <v>3.7144036318613294E-2</v>
      </c>
      <c r="AY179" s="4">
        <f t="shared" si="90"/>
        <v>2.7386541471048353E-3</v>
      </c>
      <c r="AZ179" s="4">
        <f t="shared" si="91"/>
        <v>1.1956954962135669E-3</v>
      </c>
      <c r="BA179" s="4">
        <f t="shared" si="92"/>
        <v>8.0808080808081328E-4</v>
      </c>
      <c r="BB179" s="4">
        <f t="shared" si="93"/>
        <v>3.9724361572760492E-2</v>
      </c>
      <c r="BC179" s="4">
        <f t="shared" si="94"/>
        <v>5.9358923624851512E-3</v>
      </c>
      <c r="BD179" s="4">
        <f t="shared" si="95"/>
        <v>1.0514018691588745E-2</v>
      </c>
      <c r="BE179" s="4">
        <f t="shared" si="96"/>
        <v>2.4681835711531042E-2</v>
      </c>
      <c r="BF179" s="4">
        <f t="shared" si="97"/>
        <v>3.4377387318564878E-3</v>
      </c>
      <c r="BG179" s="4">
        <f t="shared" si="98"/>
        <v>3.974503187101619E-2</v>
      </c>
      <c r="BH179" s="4">
        <f t="shared" si="99"/>
        <v>2.4442846872753332E-2</v>
      </c>
      <c r="BI179" s="4">
        <f t="shared" si="100"/>
        <v>1.4774774774774735E-2</v>
      </c>
      <c r="BJ179" s="4">
        <f t="shared" si="101"/>
        <v>1.4577259475219151E-3</v>
      </c>
      <c r="BK179" s="4">
        <f t="shared" si="102"/>
        <v>2.1556448666423145E-2</v>
      </c>
      <c r="BL179" s="4">
        <f t="shared" si="103"/>
        <v>2.6012634708287852E-3</v>
      </c>
      <c r="BM179" s="4">
        <f t="shared" si="113"/>
        <v>1.6296938712337412E-2</v>
      </c>
      <c r="BN179" s="14">
        <f t="shared" si="114"/>
        <v>13674.275310374502</v>
      </c>
      <c r="BO179" s="15">
        <f t="shared" si="115"/>
        <v>13107.843291658104</v>
      </c>
      <c r="BP179" s="16">
        <v>13475</v>
      </c>
      <c r="BQ179" s="16">
        <v>13490</v>
      </c>
      <c r="BR179" s="16">
        <v>13470</v>
      </c>
      <c r="BS179" s="16">
        <v>13490</v>
      </c>
      <c r="BT179" s="16">
        <v>23017</v>
      </c>
      <c r="BU179" s="15">
        <f t="shared" si="104"/>
        <v>13483.333333333334</v>
      </c>
      <c r="BV179" s="15">
        <f t="shared" si="105"/>
        <v>310345883.33333337</v>
      </c>
      <c r="BW179" s="15">
        <f>SUM($BV$3:BV179)</f>
        <v>203404773149.99997</v>
      </c>
      <c r="BX179" s="15">
        <f>SUM($BT$3:BT179)</f>
        <v>14997202</v>
      </c>
      <c r="BY179" s="15">
        <f t="shared" si="106"/>
        <v>13562.848133271791</v>
      </c>
      <c r="BZ179" s="3">
        <v>177</v>
      </c>
      <c r="CA179" s="3">
        <f t="shared" si="107"/>
        <v>0</v>
      </c>
      <c r="CB179" s="3">
        <f t="shared" si="108"/>
        <v>0</v>
      </c>
      <c r="CC179" s="3">
        <f t="shared" si="109"/>
        <v>0</v>
      </c>
      <c r="CD179" s="3" t="str">
        <f t="shared" si="110"/>
        <v/>
      </c>
      <c r="CE179" s="3">
        <f t="shared" si="111"/>
        <v>0</v>
      </c>
    </row>
    <row r="180" spans="1:83" x14ac:dyDescent="0.3">
      <c r="A180" s="3" t="s">
        <v>220</v>
      </c>
      <c r="B180" s="3">
        <v>11680</v>
      </c>
      <c r="C180" s="3">
        <v>11680</v>
      </c>
      <c r="D180" s="3">
        <v>11485</v>
      </c>
      <c r="E180" s="3">
        <v>11485</v>
      </c>
      <c r="F180" s="3">
        <v>11630</v>
      </c>
      <c r="G180" s="3">
        <v>11625</v>
      </c>
      <c r="H180" s="3">
        <v>11430</v>
      </c>
      <c r="I180" s="3">
        <v>11430</v>
      </c>
      <c r="J180" s="3">
        <v>11745</v>
      </c>
      <c r="K180" s="3">
        <v>11730</v>
      </c>
      <c r="L180" s="3">
        <v>12035</v>
      </c>
      <c r="M180" s="3">
        <v>12035</v>
      </c>
      <c r="N180" s="3">
        <v>12565</v>
      </c>
      <c r="O180" s="3">
        <v>12570</v>
      </c>
      <c r="P180" s="3">
        <v>12740</v>
      </c>
      <c r="Q180" s="3">
        <v>12730</v>
      </c>
      <c r="R180" s="3">
        <v>12565</v>
      </c>
      <c r="S180" s="3">
        <v>12575</v>
      </c>
      <c r="T180" s="3">
        <v>12365</v>
      </c>
      <c r="U180" s="3">
        <v>12365</v>
      </c>
      <c r="V180" s="3">
        <v>12825</v>
      </c>
      <c r="W180" s="3">
        <v>12830</v>
      </c>
      <c r="X180" s="3">
        <v>12555</v>
      </c>
      <c r="Y180" s="3">
        <v>12555</v>
      </c>
      <c r="Z180" s="3">
        <v>12705</v>
      </c>
      <c r="AA180" s="3">
        <v>12700</v>
      </c>
      <c r="AB180" s="3">
        <v>13280</v>
      </c>
      <c r="AC180" s="3">
        <v>13285</v>
      </c>
      <c r="AD180" s="3">
        <v>13135</v>
      </c>
      <c r="AE180" s="3">
        <v>13150</v>
      </c>
      <c r="AF180" s="3">
        <v>13865</v>
      </c>
      <c r="AG180" s="3">
        <v>13865</v>
      </c>
      <c r="AH180" s="3">
        <v>14250</v>
      </c>
      <c r="AI180" s="3">
        <v>14260</v>
      </c>
      <c r="AJ180" s="3">
        <v>13670</v>
      </c>
      <c r="AK180" s="3">
        <v>13660</v>
      </c>
      <c r="AL180" s="3">
        <v>13745</v>
      </c>
      <c r="AM180" s="3">
        <v>13730</v>
      </c>
      <c r="AN180" s="3">
        <v>13390</v>
      </c>
      <c r="AO180" s="3">
        <v>13370</v>
      </c>
      <c r="AP180" s="3">
        <v>13485</v>
      </c>
      <c r="AQ180" s="3">
        <v>13490</v>
      </c>
      <c r="AR180" s="4">
        <f t="shared" si="112"/>
        <v>1.3009540329575131E-2</v>
      </c>
      <c r="AS180" s="4">
        <f t="shared" si="84"/>
        <v>5.6277056277056481E-3</v>
      </c>
      <c r="AT180" s="4">
        <f t="shared" si="85"/>
        <v>2.3327464788732488E-2</v>
      </c>
      <c r="AU180" s="4">
        <f t="shared" si="86"/>
        <v>2.9711375212224111E-2</v>
      </c>
      <c r="AV180" s="4">
        <f t="shared" si="87"/>
        <v>3.4217279726260763E-3</v>
      </c>
      <c r="AW180" s="4">
        <f t="shared" si="88"/>
        <v>1.4755480607082649E-2</v>
      </c>
      <c r="AX180" s="4">
        <f t="shared" si="89"/>
        <v>3.755674783326457E-2</v>
      </c>
      <c r="AY180" s="4">
        <f t="shared" si="90"/>
        <v>3.9123630672925902E-3</v>
      </c>
      <c r="AZ180" s="4">
        <f t="shared" si="91"/>
        <v>2.3913909924273558E-3</v>
      </c>
      <c r="BA180" s="4">
        <f t="shared" si="92"/>
        <v>8.0808080808081328E-4</v>
      </c>
      <c r="BB180" s="4">
        <f t="shared" si="93"/>
        <v>4.0129712201053991E-2</v>
      </c>
      <c r="BC180" s="4">
        <f t="shared" si="94"/>
        <v>6.3316185199842057E-3</v>
      </c>
      <c r="BD180" s="4">
        <f t="shared" si="95"/>
        <v>1.0903426791277204E-2</v>
      </c>
      <c r="BE180" s="4">
        <f t="shared" si="96"/>
        <v>2.4681835711531042E-2</v>
      </c>
      <c r="BF180" s="4">
        <f t="shared" si="97"/>
        <v>4.583651642475095E-3</v>
      </c>
      <c r="BG180" s="4">
        <f t="shared" si="98"/>
        <v>3.974503187101619E-2</v>
      </c>
      <c r="BH180" s="4">
        <f t="shared" si="99"/>
        <v>2.5161754133716796E-2</v>
      </c>
      <c r="BI180" s="4">
        <f t="shared" si="100"/>
        <v>1.5495495495495448E-2</v>
      </c>
      <c r="BJ180" s="4">
        <f t="shared" si="101"/>
        <v>7.2886297376095754E-4</v>
      </c>
      <c r="BK180" s="4">
        <f t="shared" si="102"/>
        <v>2.3017902813299185E-2</v>
      </c>
      <c r="BL180" s="4">
        <f t="shared" si="103"/>
        <v>2.6012634708287852E-3</v>
      </c>
      <c r="BM180" s="4">
        <f t="shared" si="113"/>
        <v>1.6817705346762531E-2</v>
      </c>
      <c r="BN180" s="14">
        <f t="shared" si="114"/>
        <v>13681.282225440691</v>
      </c>
      <c r="BO180" s="15">
        <f t="shared" si="115"/>
        <v>13100.90407625439</v>
      </c>
      <c r="BP180" s="16">
        <v>13485</v>
      </c>
      <c r="BQ180" s="16">
        <v>13505</v>
      </c>
      <c r="BR180" s="16">
        <v>13485</v>
      </c>
      <c r="BS180" s="16">
        <v>13490</v>
      </c>
      <c r="BT180" s="16">
        <v>46560</v>
      </c>
      <c r="BU180" s="15">
        <f t="shared" si="104"/>
        <v>13493.333333333334</v>
      </c>
      <c r="BV180" s="15">
        <f t="shared" si="105"/>
        <v>628249600</v>
      </c>
      <c r="BW180" s="15">
        <f>SUM($BV$3:BV180)</f>
        <v>204033022749.99997</v>
      </c>
      <c r="BX180" s="15">
        <f>SUM($BT$3:BT180)</f>
        <v>15043762</v>
      </c>
      <c r="BY180" s="15">
        <f t="shared" si="106"/>
        <v>13562.632987014815</v>
      </c>
      <c r="BZ180" s="3">
        <v>178</v>
      </c>
      <c r="CA180" s="3">
        <f t="shared" si="107"/>
        <v>0</v>
      </c>
      <c r="CB180" s="3">
        <f t="shared" si="108"/>
        <v>0</v>
      </c>
      <c r="CC180" s="3">
        <f t="shared" si="109"/>
        <v>0</v>
      </c>
      <c r="CD180" s="3" t="str">
        <f t="shared" si="110"/>
        <v/>
      </c>
      <c r="CE180" s="3">
        <f t="shared" si="111"/>
        <v>0</v>
      </c>
    </row>
    <row r="181" spans="1:83" x14ac:dyDescent="0.3">
      <c r="A181" s="3" t="s">
        <v>221</v>
      </c>
      <c r="B181" s="3">
        <v>11685</v>
      </c>
      <c r="C181" s="3">
        <v>11680</v>
      </c>
      <c r="D181" s="3">
        <v>11485</v>
      </c>
      <c r="E181" s="3">
        <v>11475</v>
      </c>
      <c r="F181" s="3">
        <v>11625</v>
      </c>
      <c r="G181" s="3">
        <v>11620</v>
      </c>
      <c r="H181" s="3">
        <v>11430</v>
      </c>
      <c r="I181" s="3">
        <v>11445</v>
      </c>
      <c r="J181" s="3">
        <v>11730</v>
      </c>
      <c r="K181" s="3">
        <v>11740</v>
      </c>
      <c r="L181" s="3">
        <v>12035</v>
      </c>
      <c r="M181" s="3">
        <v>12040</v>
      </c>
      <c r="N181" s="3">
        <v>12570</v>
      </c>
      <c r="O181" s="3">
        <v>12570</v>
      </c>
      <c r="P181" s="3">
        <v>12730</v>
      </c>
      <c r="Q181" s="3">
        <v>12725</v>
      </c>
      <c r="R181" s="3">
        <v>12575</v>
      </c>
      <c r="S181" s="3">
        <v>12575</v>
      </c>
      <c r="T181" s="3">
        <v>12365</v>
      </c>
      <c r="U181" s="3">
        <v>12360</v>
      </c>
      <c r="V181" s="3">
        <v>12830</v>
      </c>
      <c r="W181" s="3">
        <v>12825</v>
      </c>
      <c r="X181" s="3">
        <v>12550</v>
      </c>
      <c r="Y181" s="3">
        <v>12545</v>
      </c>
      <c r="Z181" s="3">
        <v>12705</v>
      </c>
      <c r="AA181" s="3">
        <v>12715</v>
      </c>
      <c r="AB181" s="3">
        <v>13285</v>
      </c>
      <c r="AC181" s="3">
        <v>13285</v>
      </c>
      <c r="AD181" s="3">
        <v>13145</v>
      </c>
      <c r="AE181" s="3">
        <v>13160</v>
      </c>
      <c r="AF181" s="3">
        <v>13860</v>
      </c>
      <c r="AG181" s="3">
        <v>13865</v>
      </c>
      <c r="AH181" s="3">
        <v>14255</v>
      </c>
      <c r="AI181" s="3">
        <v>14275</v>
      </c>
      <c r="AJ181" s="3">
        <v>13670</v>
      </c>
      <c r="AK181" s="3">
        <v>13680</v>
      </c>
      <c r="AL181" s="3">
        <v>13725</v>
      </c>
      <c r="AM181" s="3">
        <v>13720</v>
      </c>
      <c r="AN181" s="3">
        <v>13375</v>
      </c>
      <c r="AO181" s="3">
        <v>13390</v>
      </c>
      <c r="AP181" s="3">
        <v>13490</v>
      </c>
      <c r="AQ181" s="3">
        <v>13505</v>
      </c>
      <c r="AR181" s="4">
        <f t="shared" si="112"/>
        <v>1.3009540329575131E-2</v>
      </c>
      <c r="AS181" s="4">
        <f t="shared" si="84"/>
        <v>6.4935064935064402E-3</v>
      </c>
      <c r="AT181" s="4">
        <f t="shared" si="85"/>
        <v>2.2887323943661997E-2</v>
      </c>
      <c r="AU181" s="4">
        <f t="shared" si="86"/>
        <v>2.843803056027161E-2</v>
      </c>
      <c r="AV181" s="4">
        <f t="shared" si="87"/>
        <v>4.2771599657827064E-3</v>
      </c>
      <c r="AW181" s="4">
        <f t="shared" si="88"/>
        <v>1.5177065767284947E-2</v>
      </c>
      <c r="AX181" s="4">
        <f t="shared" si="89"/>
        <v>3.755674783326457E-2</v>
      </c>
      <c r="AY181" s="4">
        <f t="shared" si="90"/>
        <v>4.3035993740219158E-3</v>
      </c>
      <c r="AZ181" s="4">
        <f t="shared" si="91"/>
        <v>2.3913909924273558E-3</v>
      </c>
      <c r="BA181" s="4">
        <f t="shared" si="92"/>
        <v>1.2121212121212199E-3</v>
      </c>
      <c r="BB181" s="4">
        <f t="shared" si="93"/>
        <v>3.9724361572760492E-2</v>
      </c>
      <c r="BC181" s="4">
        <f t="shared" si="94"/>
        <v>7.1230708349822036E-3</v>
      </c>
      <c r="BD181" s="4">
        <f t="shared" si="95"/>
        <v>9.7352024922118252E-3</v>
      </c>
      <c r="BE181" s="4">
        <f t="shared" si="96"/>
        <v>2.4681835711531042E-2</v>
      </c>
      <c r="BF181" s="4">
        <f t="shared" si="97"/>
        <v>5.3475935828877219E-3</v>
      </c>
      <c r="BG181" s="4">
        <f t="shared" si="98"/>
        <v>3.974503187101619E-2</v>
      </c>
      <c r="BH181" s="4">
        <f t="shared" si="99"/>
        <v>2.6240115025161659E-2</v>
      </c>
      <c r="BI181" s="4">
        <f t="shared" si="100"/>
        <v>1.4054054054054022E-2</v>
      </c>
      <c r="BJ181" s="4">
        <f t="shared" si="101"/>
        <v>0</v>
      </c>
      <c r="BK181" s="4">
        <f t="shared" si="102"/>
        <v>2.1556448666423145E-2</v>
      </c>
      <c r="BL181" s="4">
        <f t="shared" si="103"/>
        <v>3.7160906726123599E-3</v>
      </c>
      <c r="BM181" s="4">
        <f t="shared" si="113"/>
        <v>1.6690826658775953E-2</v>
      </c>
      <c r="BN181" s="14">
        <f t="shared" si="114"/>
        <v>13679.575072693831</v>
      </c>
      <c r="BO181" s="15">
        <f t="shared" si="115"/>
        <v>13102.59473477181</v>
      </c>
      <c r="BP181" s="16">
        <v>13490</v>
      </c>
      <c r="BQ181" s="16">
        <v>13505</v>
      </c>
      <c r="BR181" s="16">
        <v>13485</v>
      </c>
      <c r="BS181" s="16">
        <v>13505</v>
      </c>
      <c r="BT181" s="16">
        <v>16558</v>
      </c>
      <c r="BU181" s="15">
        <f t="shared" si="104"/>
        <v>13498.333333333334</v>
      </c>
      <c r="BV181" s="15">
        <f t="shared" si="105"/>
        <v>223505403.33333334</v>
      </c>
      <c r="BW181" s="15">
        <f>SUM($BV$3:BV181)</f>
        <v>204256528153.33331</v>
      </c>
      <c r="BX181" s="15">
        <f>SUM($BT$3:BT181)</f>
        <v>15060320</v>
      </c>
      <c r="BY181" s="15">
        <f t="shared" si="106"/>
        <v>13562.562293054418</v>
      </c>
      <c r="BZ181" s="3">
        <v>179</v>
      </c>
      <c r="CA181" s="3">
        <f t="shared" si="107"/>
        <v>0</v>
      </c>
      <c r="CB181" s="3">
        <f t="shared" si="108"/>
        <v>0</v>
      </c>
      <c r="CC181" s="3">
        <f t="shared" si="109"/>
        <v>0</v>
      </c>
      <c r="CD181" s="3" t="str">
        <f t="shared" si="110"/>
        <v/>
      </c>
      <c r="CE181" s="3">
        <f t="shared" si="111"/>
        <v>0</v>
      </c>
    </row>
    <row r="182" spans="1:83" x14ac:dyDescent="0.3">
      <c r="A182" s="3" t="s">
        <v>222</v>
      </c>
      <c r="B182" s="3">
        <v>11680</v>
      </c>
      <c r="C182" s="3">
        <v>11670</v>
      </c>
      <c r="D182" s="3">
        <v>11475</v>
      </c>
      <c r="E182" s="3">
        <v>11480</v>
      </c>
      <c r="F182" s="3">
        <v>11620</v>
      </c>
      <c r="G182" s="3">
        <v>11625</v>
      </c>
      <c r="H182" s="3">
        <v>11445</v>
      </c>
      <c r="I182" s="3">
        <v>11445</v>
      </c>
      <c r="J182" s="3">
        <v>11735</v>
      </c>
      <c r="K182" s="3">
        <v>11730</v>
      </c>
      <c r="L182" s="3">
        <v>12045</v>
      </c>
      <c r="M182" s="3">
        <v>12050</v>
      </c>
      <c r="N182" s="3">
        <v>12570</v>
      </c>
      <c r="O182" s="3">
        <v>12570</v>
      </c>
      <c r="P182" s="3">
        <v>12720</v>
      </c>
      <c r="Q182" s="3">
        <v>12710</v>
      </c>
      <c r="R182" s="3">
        <v>12575</v>
      </c>
      <c r="S182" s="3">
        <v>12590</v>
      </c>
      <c r="T182" s="3">
        <v>12360</v>
      </c>
      <c r="U182" s="3">
        <v>12355</v>
      </c>
      <c r="V182" s="3">
        <v>12825</v>
      </c>
      <c r="W182" s="3">
        <v>12825</v>
      </c>
      <c r="X182" s="3">
        <v>12550</v>
      </c>
      <c r="Y182" s="3">
        <v>12550</v>
      </c>
      <c r="Z182" s="3">
        <v>12715</v>
      </c>
      <c r="AA182" s="3">
        <v>12715</v>
      </c>
      <c r="AB182" s="3">
        <v>13285</v>
      </c>
      <c r="AC182" s="3">
        <v>13280</v>
      </c>
      <c r="AD182" s="3">
        <v>13160</v>
      </c>
      <c r="AE182" s="3">
        <v>13145</v>
      </c>
      <c r="AF182" s="3">
        <v>13865</v>
      </c>
      <c r="AG182" s="3">
        <v>13860</v>
      </c>
      <c r="AH182" s="3">
        <v>14270</v>
      </c>
      <c r="AI182" s="3">
        <v>14270</v>
      </c>
      <c r="AJ182" s="3">
        <v>13675</v>
      </c>
      <c r="AK182" s="3">
        <v>13685</v>
      </c>
      <c r="AL182" s="3">
        <v>13720</v>
      </c>
      <c r="AM182" s="3">
        <v>13725</v>
      </c>
      <c r="AN182" s="3">
        <v>13385</v>
      </c>
      <c r="AO182" s="3">
        <v>13370</v>
      </c>
      <c r="AP182" s="3">
        <v>13505</v>
      </c>
      <c r="AQ182" s="3">
        <v>13510</v>
      </c>
      <c r="AR182" s="4">
        <f t="shared" si="112"/>
        <v>1.2142237640936582E-2</v>
      </c>
      <c r="AS182" s="4">
        <f t="shared" si="84"/>
        <v>6.0606060606060996E-3</v>
      </c>
      <c r="AT182" s="4">
        <f t="shared" si="85"/>
        <v>2.3327464788732488E-2</v>
      </c>
      <c r="AU182" s="4">
        <f t="shared" si="86"/>
        <v>2.843803056027161E-2</v>
      </c>
      <c r="AV182" s="4">
        <f t="shared" si="87"/>
        <v>3.4217279726260763E-3</v>
      </c>
      <c r="AW182" s="4">
        <f t="shared" si="88"/>
        <v>1.6020236087689765E-2</v>
      </c>
      <c r="AX182" s="4">
        <f t="shared" si="89"/>
        <v>3.755674783326457E-2</v>
      </c>
      <c r="AY182" s="4">
        <f t="shared" si="90"/>
        <v>5.4773082942096707E-3</v>
      </c>
      <c r="AZ182" s="4">
        <f t="shared" si="91"/>
        <v>3.5870864886409226E-3</v>
      </c>
      <c r="BA182" s="4">
        <f t="shared" si="92"/>
        <v>1.6161616161616266E-3</v>
      </c>
      <c r="BB182" s="4">
        <f t="shared" si="93"/>
        <v>3.9724361572760492E-2</v>
      </c>
      <c r="BC182" s="4">
        <f t="shared" si="94"/>
        <v>6.7273446774831491E-3</v>
      </c>
      <c r="BD182" s="4">
        <f t="shared" si="95"/>
        <v>9.7352024922118252E-3</v>
      </c>
      <c r="BE182" s="4">
        <f t="shared" si="96"/>
        <v>2.4296182028538338E-2</v>
      </c>
      <c r="BF182" s="4">
        <f t="shared" si="97"/>
        <v>4.2016806722688926E-3</v>
      </c>
      <c r="BG182" s="4">
        <f t="shared" si="98"/>
        <v>3.937007874015741E-2</v>
      </c>
      <c r="BH182" s="4">
        <f t="shared" si="99"/>
        <v>2.5880661394680038E-2</v>
      </c>
      <c r="BI182" s="4">
        <f t="shared" si="100"/>
        <v>1.3693693693693665E-2</v>
      </c>
      <c r="BJ182" s="4">
        <f t="shared" si="101"/>
        <v>3.6443148688047877E-4</v>
      </c>
      <c r="BK182" s="4">
        <f t="shared" si="102"/>
        <v>2.3017902813299185E-2</v>
      </c>
      <c r="BL182" s="4">
        <f t="shared" si="103"/>
        <v>4.0876997398735515E-3</v>
      </c>
      <c r="BM182" s="4">
        <f t="shared" si="113"/>
        <v>1.6803488843160734E-2</v>
      </c>
      <c r="BN182" s="14">
        <f t="shared" si="114"/>
        <v>13681.090942384728</v>
      </c>
      <c r="BO182" s="15">
        <f t="shared" si="115"/>
        <v>13101.093511164883</v>
      </c>
      <c r="BP182" s="16">
        <v>13505</v>
      </c>
      <c r="BQ182" s="16">
        <v>13510</v>
      </c>
      <c r="BR182" s="16">
        <v>13500</v>
      </c>
      <c r="BS182" s="16">
        <v>13510</v>
      </c>
      <c r="BT182" s="16">
        <v>9049</v>
      </c>
      <c r="BU182" s="15">
        <f t="shared" si="104"/>
        <v>13506.666666666666</v>
      </c>
      <c r="BV182" s="15">
        <f t="shared" si="105"/>
        <v>122221826.66666666</v>
      </c>
      <c r="BW182" s="15">
        <f>SUM($BV$3:BV182)</f>
        <v>204378749979.99997</v>
      </c>
      <c r="BX182" s="15">
        <f>SUM($BT$3:BT182)</f>
        <v>15069369</v>
      </c>
      <c r="BY182" s="15">
        <f t="shared" si="106"/>
        <v>13562.528728309724</v>
      </c>
      <c r="BZ182" s="3">
        <v>180</v>
      </c>
      <c r="CA182" s="3">
        <f t="shared" si="107"/>
        <v>0</v>
      </c>
      <c r="CB182" s="3">
        <f t="shared" si="108"/>
        <v>0</v>
      </c>
      <c r="CC182" s="3">
        <f t="shared" si="109"/>
        <v>0</v>
      </c>
      <c r="CD182" s="3">
        <f t="shared" si="110"/>
        <v>0</v>
      </c>
      <c r="CE182" s="3">
        <f t="shared" si="111"/>
        <v>0</v>
      </c>
    </row>
    <row r="183" spans="1:83" x14ac:dyDescent="0.3">
      <c r="A183" s="3" t="s">
        <v>223</v>
      </c>
      <c r="B183" s="3">
        <v>11670</v>
      </c>
      <c r="C183" s="3">
        <v>11680</v>
      </c>
      <c r="D183" s="3">
        <v>11475</v>
      </c>
      <c r="E183" s="3">
        <v>11490</v>
      </c>
      <c r="F183" s="3">
        <v>11625</v>
      </c>
      <c r="G183" s="3">
        <v>11635</v>
      </c>
      <c r="H183" s="3">
        <v>11440</v>
      </c>
      <c r="I183" s="3">
        <v>11440</v>
      </c>
      <c r="J183" s="3">
        <v>11735</v>
      </c>
      <c r="K183" s="3">
        <v>11735</v>
      </c>
      <c r="L183" s="3">
        <v>12050</v>
      </c>
      <c r="M183" s="3">
        <v>12045</v>
      </c>
      <c r="N183" s="3">
        <v>12570</v>
      </c>
      <c r="O183" s="3">
        <v>12550</v>
      </c>
      <c r="P183" s="3">
        <v>12715</v>
      </c>
      <c r="Q183" s="3">
        <v>12680</v>
      </c>
      <c r="R183" s="3">
        <v>12585</v>
      </c>
      <c r="S183" s="3">
        <v>12550</v>
      </c>
      <c r="T183" s="3">
        <v>12355</v>
      </c>
      <c r="U183" s="3">
        <v>12360</v>
      </c>
      <c r="V183" s="3">
        <v>12825</v>
      </c>
      <c r="W183" s="3">
        <v>12825</v>
      </c>
      <c r="X183" s="3">
        <v>12550</v>
      </c>
      <c r="Y183" s="3">
        <v>12535</v>
      </c>
      <c r="Z183" s="3">
        <v>12715</v>
      </c>
      <c r="AA183" s="3">
        <v>12700</v>
      </c>
      <c r="AB183" s="3">
        <v>13280</v>
      </c>
      <c r="AC183" s="3">
        <v>13280</v>
      </c>
      <c r="AD183" s="3">
        <v>13145</v>
      </c>
      <c r="AE183" s="3">
        <v>13135</v>
      </c>
      <c r="AF183" s="3">
        <v>13860</v>
      </c>
      <c r="AG183" s="3">
        <v>13850</v>
      </c>
      <c r="AH183" s="3">
        <v>14275</v>
      </c>
      <c r="AI183" s="3">
        <v>14270</v>
      </c>
      <c r="AJ183" s="3">
        <v>13685</v>
      </c>
      <c r="AK183" s="3">
        <v>13675</v>
      </c>
      <c r="AL183" s="3">
        <v>13730</v>
      </c>
      <c r="AM183" s="3">
        <v>13715</v>
      </c>
      <c r="AN183" s="3">
        <v>13365</v>
      </c>
      <c r="AO183" s="3">
        <v>13365</v>
      </c>
      <c r="AP183" s="3">
        <v>13510</v>
      </c>
      <c r="AQ183" s="3">
        <v>13505</v>
      </c>
      <c r="AR183" s="4">
        <f t="shared" si="112"/>
        <v>1.3009540329575131E-2</v>
      </c>
      <c r="AS183" s="4">
        <f t="shared" si="84"/>
        <v>5.1948051948051965E-3</v>
      </c>
      <c r="AT183" s="4">
        <f t="shared" si="85"/>
        <v>2.4207746478873249E-2</v>
      </c>
      <c r="AU183" s="4">
        <f t="shared" si="86"/>
        <v>2.8862478777589184E-2</v>
      </c>
      <c r="AV183" s="4">
        <f t="shared" si="87"/>
        <v>3.8494439692045024E-3</v>
      </c>
      <c r="AW183" s="4">
        <f t="shared" si="88"/>
        <v>1.5598650927487245E-2</v>
      </c>
      <c r="AX183" s="4">
        <f t="shared" si="89"/>
        <v>3.5905901774659466E-2</v>
      </c>
      <c r="AY183" s="4">
        <f t="shared" si="90"/>
        <v>7.8247261345852914E-3</v>
      </c>
      <c r="AZ183" s="4">
        <f t="shared" si="91"/>
        <v>3.985651654045963E-4</v>
      </c>
      <c r="BA183" s="4">
        <f t="shared" si="92"/>
        <v>1.2121212121212199E-3</v>
      </c>
      <c r="BB183" s="4">
        <f t="shared" si="93"/>
        <v>3.9724361572760492E-2</v>
      </c>
      <c r="BC183" s="4">
        <f t="shared" si="94"/>
        <v>7.9145231499802016E-3</v>
      </c>
      <c r="BD183" s="4">
        <f t="shared" si="95"/>
        <v>1.0903426791277204E-2</v>
      </c>
      <c r="BE183" s="4">
        <f t="shared" si="96"/>
        <v>2.4296182028538338E-2</v>
      </c>
      <c r="BF183" s="4">
        <f t="shared" si="97"/>
        <v>3.4377387318564878E-3</v>
      </c>
      <c r="BG183" s="4">
        <f t="shared" si="98"/>
        <v>3.8620172478440296E-2</v>
      </c>
      <c r="BH183" s="4">
        <f t="shared" si="99"/>
        <v>2.5880661394680038E-2</v>
      </c>
      <c r="BI183" s="4">
        <f t="shared" si="100"/>
        <v>1.4414414414414378E-2</v>
      </c>
      <c r="BJ183" s="4">
        <f t="shared" si="101"/>
        <v>3.6443148688047877E-4</v>
      </c>
      <c r="BK183" s="4">
        <f t="shared" si="102"/>
        <v>2.3383266350018306E-2</v>
      </c>
      <c r="BL183" s="4">
        <f t="shared" si="103"/>
        <v>3.7160906726123599E-3</v>
      </c>
      <c r="BM183" s="4">
        <f t="shared" si="113"/>
        <v>1.6734320906115485E-2</v>
      </c>
      <c r="BN183" s="14">
        <f t="shared" si="114"/>
        <v>13680.160287791783</v>
      </c>
      <c r="BO183" s="15">
        <f t="shared" si="115"/>
        <v>13102.015173926011</v>
      </c>
      <c r="BP183" s="16">
        <v>13510</v>
      </c>
      <c r="BQ183" s="16">
        <v>13515</v>
      </c>
      <c r="BR183" s="16">
        <v>13500</v>
      </c>
      <c r="BS183" s="16">
        <v>13505</v>
      </c>
      <c r="BT183" s="16">
        <v>23672</v>
      </c>
      <c r="BU183" s="15">
        <f t="shared" si="104"/>
        <v>13506.666666666666</v>
      </c>
      <c r="BV183" s="15">
        <f t="shared" si="105"/>
        <v>319729813.33333331</v>
      </c>
      <c r="BW183" s="15">
        <f>SUM($BV$3:BV183)</f>
        <v>204698479793.33331</v>
      </c>
      <c r="BX183" s="15">
        <f>SUM($BT$3:BT183)</f>
        <v>15093041</v>
      </c>
      <c r="BY183" s="15">
        <f t="shared" si="106"/>
        <v>13562.441113976522</v>
      </c>
      <c r="BZ183" s="3">
        <v>181</v>
      </c>
      <c r="CA183" s="3">
        <f t="shared" si="107"/>
        <v>0</v>
      </c>
      <c r="CB183" s="3">
        <f t="shared" si="108"/>
        <v>0</v>
      </c>
      <c r="CC183" s="3">
        <f t="shared" si="109"/>
        <v>0</v>
      </c>
      <c r="CD183" s="3" t="str">
        <f t="shared" si="110"/>
        <v/>
      </c>
      <c r="CE183" s="3">
        <f t="shared" si="111"/>
        <v>0</v>
      </c>
    </row>
    <row r="184" spans="1:83" x14ac:dyDescent="0.3">
      <c r="A184" s="3" t="s">
        <v>224</v>
      </c>
      <c r="B184" s="3">
        <v>11680</v>
      </c>
      <c r="C184" s="3">
        <v>11675</v>
      </c>
      <c r="D184" s="3">
        <v>11490</v>
      </c>
      <c r="E184" s="3">
        <v>11490</v>
      </c>
      <c r="F184" s="3">
        <v>11640</v>
      </c>
      <c r="G184" s="3">
        <v>11645</v>
      </c>
      <c r="H184" s="3">
        <v>11445</v>
      </c>
      <c r="I184" s="3">
        <v>11445</v>
      </c>
      <c r="J184" s="3">
        <v>11735</v>
      </c>
      <c r="K184" s="3">
        <v>11730</v>
      </c>
      <c r="L184" s="3">
        <v>12045</v>
      </c>
      <c r="M184" s="3">
        <v>12040</v>
      </c>
      <c r="N184" s="3">
        <v>12555</v>
      </c>
      <c r="O184" s="3">
        <v>12550</v>
      </c>
      <c r="P184" s="3">
        <v>12680</v>
      </c>
      <c r="Q184" s="3">
        <v>12665</v>
      </c>
      <c r="R184" s="3">
        <v>12555</v>
      </c>
      <c r="S184" s="3">
        <v>12545</v>
      </c>
      <c r="T184" s="3">
        <v>12360</v>
      </c>
      <c r="U184" s="3">
        <v>12355</v>
      </c>
      <c r="V184" s="3">
        <v>12825</v>
      </c>
      <c r="W184" s="3">
        <v>12835</v>
      </c>
      <c r="X184" s="3">
        <v>12540</v>
      </c>
      <c r="Y184" s="3">
        <v>12530</v>
      </c>
      <c r="Z184" s="3">
        <v>12705</v>
      </c>
      <c r="AA184" s="3">
        <v>12705</v>
      </c>
      <c r="AB184" s="3">
        <v>13275</v>
      </c>
      <c r="AC184" s="3">
        <v>13280</v>
      </c>
      <c r="AD184" s="3">
        <v>13140</v>
      </c>
      <c r="AE184" s="3">
        <v>13150</v>
      </c>
      <c r="AF184" s="3">
        <v>13845</v>
      </c>
      <c r="AG184" s="3">
        <v>13835</v>
      </c>
      <c r="AH184" s="3">
        <v>14270</v>
      </c>
      <c r="AI184" s="3">
        <v>14265</v>
      </c>
      <c r="AJ184" s="3">
        <v>13680</v>
      </c>
      <c r="AK184" s="3">
        <v>13680</v>
      </c>
      <c r="AL184" s="3">
        <v>13720</v>
      </c>
      <c r="AM184" s="3">
        <v>13710</v>
      </c>
      <c r="AN184" s="3">
        <v>13360</v>
      </c>
      <c r="AO184" s="3">
        <v>13365</v>
      </c>
      <c r="AP184" s="3">
        <v>13505</v>
      </c>
      <c r="AQ184" s="3">
        <v>13480</v>
      </c>
      <c r="AR184" s="4">
        <f t="shared" si="112"/>
        <v>1.2575888985255856E-2</v>
      </c>
      <c r="AS184" s="4">
        <f t="shared" si="84"/>
        <v>5.1948051948051965E-3</v>
      </c>
      <c r="AT184" s="4">
        <f t="shared" si="85"/>
        <v>2.5088028169014009E-2</v>
      </c>
      <c r="AU184" s="4">
        <f t="shared" si="86"/>
        <v>2.843803056027161E-2</v>
      </c>
      <c r="AV184" s="4">
        <f t="shared" si="87"/>
        <v>3.4217279726260763E-3</v>
      </c>
      <c r="AW184" s="4">
        <f t="shared" si="88"/>
        <v>1.5177065767284947E-2</v>
      </c>
      <c r="AX184" s="4">
        <f t="shared" si="89"/>
        <v>3.5905901774659466E-2</v>
      </c>
      <c r="AY184" s="4">
        <f t="shared" si="90"/>
        <v>8.9984350547730463E-3</v>
      </c>
      <c r="AZ184" s="4">
        <f t="shared" si="91"/>
        <v>0</v>
      </c>
      <c r="BA184" s="4">
        <f t="shared" si="92"/>
        <v>1.6161616161616266E-3</v>
      </c>
      <c r="BB184" s="4">
        <f t="shared" si="93"/>
        <v>4.053506282934749E-2</v>
      </c>
      <c r="BC184" s="4">
        <f t="shared" si="94"/>
        <v>8.3102493074792561E-3</v>
      </c>
      <c r="BD184" s="4">
        <f t="shared" si="95"/>
        <v>1.0514018691588745E-2</v>
      </c>
      <c r="BE184" s="4">
        <f t="shared" si="96"/>
        <v>2.4296182028538338E-2</v>
      </c>
      <c r="BF184" s="4">
        <f t="shared" si="97"/>
        <v>4.583651642475095E-3</v>
      </c>
      <c r="BG184" s="4">
        <f t="shared" si="98"/>
        <v>3.7495313085864179E-2</v>
      </c>
      <c r="BH184" s="4">
        <f t="shared" si="99"/>
        <v>2.5521207764198417E-2</v>
      </c>
      <c r="BI184" s="4">
        <f t="shared" si="100"/>
        <v>1.4054054054054022E-2</v>
      </c>
      <c r="BJ184" s="4">
        <f t="shared" si="101"/>
        <v>7.2886297376095754E-4</v>
      </c>
      <c r="BK184" s="4">
        <f t="shared" si="102"/>
        <v>2.3383266350018306E-2</v>
      </c>
      <c r="BL184" s="4">
        <f t="shared" si="103"/>
        <v>1.85804533630618E-3</v>
      </c>
      <c r="BM184" s="4">
        <f t="shared" si="113"/>
        <v>1.6853026226637067E-2</v>
      </c>
      <c r="BN184" s="14">
        <f t="shared" si="114"/>
        <v>13681.757467879403</v>
      </c>
      <c r="BO184" s="15">
        <f t="shared" si="115"/>
        <v>13100.43342553006</v>
      </c>
      <c r="BP184" s="16">
        <v>13505</v>
      </c>
      <c r="BQ184" s="16">
        <v>13505</v>
      </c>
      <c r="BR184" s="16">
        <v>13480</v>
      </c>
      <c r="BS184" s="16">
        <v>13480</v>
      </c>
      <c r="BT184" s="16">
        <v>22871</v>
      </c>
      <c r="BU184" s="15">
        <f t="shared" si="104"/>
        <v>13488.333333333334</v>
      </c>
      <c r="BV184" s="15">
        <f t="shared" si="105"/>
        <v>308491671.66666669</v>
      </c>
      <c r="BW184" s="15">
        <f>SUM($BV$3:BV184)</f>
        <v>205006971464.99997</v>
      </c>
      <c r="BX184" s="15">
        <f>SUM($BT$3:BT184)</f>
        <v>15115912</v>
      </c>
      <c r="BY184" s="15">
        <f t="shared" si="106"/>
        <v>13562.328985839556</v>
      </c>
      <c r="BZ184" s="3">
        <v>182</v>
      </c>
      <c r="CA184" s="3">
        <f t="shared" si="107"/>
        <v>0</v>
      </c>
      <c r="CB184" s="3">
        <f t="shared" si="108"/>
        <v>0</v>
      </c>
      <c r="CC184" s="3">
        <f t="shared" si="109"/>
        <v>0</v>
      </c>
      <c r="CD184" s="3" t="str">
        <f t="shared" si="110"/>
        <v/>
      </c>
      <c r="CE184" s="3">
        <f t="shared" si="111"/>
        <v>0</v>
      </c>
    </row>
    <row r="185" spans="1:83" x14ac:dyDescent="0.3">
      <c r="A185" s="3" t="s">
        <v>225</v>
      </c>
      <c r="B185" s="3">
        <v>11675</v>
      </c>
      <c r="C185" s="3">
        <v>11675</v>
      </c>
      <c r="D185" s="3">
        <v>11490</v>
      </c>
      <c r="E185" s="3">
        <v>11490</v>
      </c>
      <c r="F185" s="3">
        <v>11645</v>
      </c>
      <c r="G185" s="3">
        <v>11650</v>
      </c>
      <c r="H185" s="3">
        <v>11445</v>
      </c>
      <c r="I185" s="3">
        <v>11430</v>
      </c>
      <c r="J185" s="3">
        <v>11730</v>
      </c>
      <c r="K185" s="3">
        <v>11740</v>
      </c>
      <c r="L185" s="3">
        <v>12035</v>
      </c>
      <c r="M185" s="3">
        <v>12030</v>
      </c>
      <c r="N185" s="3">
        <v>12550</v>
      </c>
      <c r="O185" s="3">
        <v>12535</v>
      </c>
      <c r="P185" s="3">
        <v>12665</v>
      </c>
      <c r="Q185" s="3">
        <v>12675</v>
      </c>
      <c r="R185" s="3">
        <v>12545</v>
      </c>
      <c r="S185" s="3">
        <v>12535</v>
      </c>
      <c r="T185" s="3">
        <v>12355</v>
      </c>
      <c r="U185" s="3">
        <v>12365</v>
      </c>
      <c r="V185" s="3">
        <v>12840</v>
      </c>
      <c r="W185" s="3">
        <v>12830</v>
      </c>
      <c r="X185" s="3">
        <v>12535</v>
      </c>
      <c r="Y185" s="3">
        <v>12550</v>
      </c>
      <c r="Z185" s="3">
        <v>12705</v>
      </c>
      <c r="AA185" s="3">
        <v>12700</v>
      </c>
      <c r="AB185" s="3">
        <v>13280</v>
      </c>
      <c r="AC185" s="3">
        <v>13290</v>
      </c>
      <c r="AD185" s="3">
        <v>13150</v>
      </c>
      <c r="AE185" s="3">
        <v>13165</v>
      </c>
      <c r="AF185" s="3">
        <v>13835</v>
      </c>
      <c r="AG185" s="3">
        <v>13840</v>
      </c>
      <c r="AH185" s="3">
        <v>14265</v>
      </c>
      <c r="AI185" s="3">
        <v>14270</v>
      </c>
      <c r="AJ185" s="3">
        <v>13685</v>
      </c>
      <c r="AK185" s="3">
        <v>13685</v>
      </c>
      <c r="AL185" s="3">
        <v>13705</v>
      </c>
      <c r="AM185" s="3">
        <v>13710</v>
      </c>
      <c r="AN185" s="3">
        <v>13360</v>
      </c>
      <c r="AO185" s="3">
        <v>13400</v>
      </c>
      <c r="AP185" s="3">
        <v>13480</v>
      </c>
      <c r="AQ185" s="3">
        <v>13470</v>
      </c>
      <c r="AR185" s="4">
        <f t="shared" si="112"/>
        <v>1.2575888985255856E-2</v>
      </c>
      <c r="AS185" s="4">
        <f t="shared" si="84"/>
        <v>5.1948051948051965E-3</v>
      </c>
      <c r="AT185" s="4">
        <f t="shared" si="85"/>
        <v>2.5528169014084501E-2</v>
      </c>
      <c r="AU185" s="4">
        <f t="shared" si="86"/>
        <v>2.9711375212224111E-2</v>
      </c>
      <c r="AV185" s="4">
        <f t="shared" si="87"/>
        <v>4.2771599657827064E-3</v>
      </c>
      <c r="AW185" s="4">
        <f t="shared" si="88"/>
        <v>1.4333895446880351E-2</v>
      </c>
      <c r="AX185" s="4">
        <f t="shared" si="89"/>
        <v>3.4667767230705637E-2</v>
      </c>
      <c r="AY185" s="4">
        <f t="shared" si="90"/>
        <v>8.215962441314506E-3</v>
      </c>
      <c r="AZ185" s="4">
        <f t="shared" si="91"/>
        <v>7.9713033080908158E-4</v>
      </c>
      <c r="BA185" s="4">
        <f t="shared" si="92"/>
        <v>8.0808080808081328E-4</v>
      </c>
      <c r="BB185" s="4">
        <f t="shared" si="93"/>
        <v>4.0129712201053991E-2</v>
      </c>
      <c r="BC185" s="4">
        <f t="shared" si="94"/>
        <v>6.7273446774831491E-3</v>
      </c>
      <c r="BD185" s="4">
        <f t="shared" si="95"/>
        <v>1.0903426791277204E-2</v>
      </c>
      <c r="BE185" s="4">
        <f t="shared" si="96"/>
        <v>2.5067489394523745E-2</v>
      </c>
      <c r="BF185" s="4">
        <f t="shared" si="97"/>
        <v>5.7295645530939243E-3</v>
      </c>
      <c r="BG185" s="4">
        <f t="shared" si="98"/>
        <v>3.7870266216722959E-2</v>
      </c>
      <c r="BH185" s="4">
        <f t="shared" si="99"/>
        <v>2.5880661394680038E-2</v>
      </c>
      <c r="BI185" s="4">
        <f t="shared" si="100"/>
        <v>1.3693693693693665E-2</v>
      </c>
      <c r="BJ185" s="4">
        <f t="shared" si="101"/>
        <v>7.2886297376095754E-4</v>
      </c>
      <c r="BK185" s="4">
        <f t="shared" si="102"/>
        <v>2.0825721592985014E-2</v>
      </c>
      <c r="BL185" s="4">
        <f t="shared" si="103"/>
        <v>1.1148272017837968E-3</v>
      </c>
      <c r="BM185" s="4">
        <f t="shared" si="113"/>
        <v>1.6574691735727478E-2</v>
      </c>
      <c r="BN185" s="14">
        <f t="shared" si="114"/>
        <v>13678.012477304213</v>
      </c>
      <c r="BO185" s="15">
        <f t="shared" si="115"/>
        <v>13104.142232621432</v>
      </c>
      <c r="BP185" s="16">
        <v>13480</v>
      </c>
      <c r="BQ185" s="16">
        <v>13480</v>
      </c>
      <c r="BR185" s="16">
        <v>13465</v>
      </c>
      <c r="BS185" s="16">
        <v>13470</v>
      </c>
      <c r="BT185" s="16">
        <v>44713</v>
      </c>
      <c r="BU185" s="15">
        <f t="shared" si="104"/>
        <v>13471.666666666666</v>
      </c>
      <c r="BV185" s="15">
        <f t="shared" si="105"/>
        <v>602358631.66666663</v>
      </c>
      <c r="BW185" s="15">
        <f>SUM($BV$3:BV185)</f>
        <v>205609330096.66663</v>
      </c>
      <c r="BX185" s="15">
        <f>SUM($BT$3:BT185)</f>
        <v>15160625</v>
      </c>
      <c r="BY185" s="15">
        <f t="shared" si="106"/>
        <v>13562.061596844895</v>
      </c>
      <c r="BZ185" s="3">
        <v>183</v>
      </c>
      <c r="CA185" s="3">
        <f t="shared" si="107"/>
        <v>0</v>
      </c>
      <c r="CB185" s="3">
        <f t="shared" si="108"/>
        <v>0</v>
      </c>
      <c r="CC185" s="3">
        <f t="shared" si="109"/>
        <v>0</v>
      </c>
      <c r="CD185" s="3" t="str">
        <f t="shared" si="110"/>
        <v/>
      </c>
      <c r="CE185" s="3">
        <f t="shared" si="111"/>
        <v>0</v>
      </c>
    </row>
    <row r="186" spans="1:83" x14ac:dyDescent="0.3">
      <c r="A186" s="3" t="s">
        <v>226</v>
      </c>
      <c r="B186" s="3">
        <v>11670</v>
      </c>
      <c r="C186" s="3">
        <v>11665</v>
      </c>
      <c r="D186" s="3">
        <v>11495</v>
      </c>
      <c r="E186" s="3">
        <v>11485</v>
      </c>
      <c r="F186" s="3">
        <v>11645</v>
      </c>
      <c r="G186" s="3">
        <v>11650</v>
      </c>
      <c r="H186" s="3">
        <v>11430</v>
      </c>
      <c r="I186" s="3">
        <v>11445</v>
      </c>
      <c r="J186" s="3">
        <v>11740</v>
      </c>
      <c r="K186" s="3">
        <v>11720</v>
      </c>
      <c r="L186" s="3">
        <v>12030</v>
      </c>
      <c r="M186" s="3">
        <v>12020</v>
      </c>
      <c r="N186" s="3">
        <v>12530</v>
      </c>
      <c r="O186" s="3">
        <v>12520</v>
      </c>
      <c r="P186" s="3">
        <v>12670</v>
      </c>
      <c r="Q186" s="3">
        <v>12690</v>
      </c>
      <c r="R186" s="3">
        <v>12535</v>
      </c>
      <c r="S186" s="3">
        <v>12535</v>
      </c>
      <c r="T186" s="3">
        <v>12365</v>
      </c>
      <c r="U186" s="3">
        <v>12365</v>
      </c>
      <c r="V186" s="3">
        <v>12830</v>
      </c>
      <c r="W186" s="3">
        <v>12840</v>
      </c>
      <c r="X186" s="3">
        <v>12550</v>
      </c>
      <c r="Y186" s="3">
        <v>12545</v>
      </c>
      <c r="Z186" s="3">
        <v>12700</v>
      </c>
      <c r="AA186" s="3">
        <v>12695</v>
      </c>
      <c r="AB186" s="3">
        <v>13285</v>
      </c>
      <c r="AC186" s="3">
        <v>13285</v>
      </c>
      <c r="AD186" s="3">
        <v>13165</v>
      </c>
      <c r="AE186" s="3">
        <v>13175</v>
      </c>
      <c r="AF186" s="3">
        <v>13845</v>
      </c>
      <c r="AG186" s="3">
        <v>13845</v>
      </c>
      <c r="AH186" s="3">
        <v>14265</v>
      </c>
      <c r="AI186" s="3">
        <v>14250</v>
      </c>
      <c r="AJ186" s="3">
        <v>13685</v>
      </c>
      <c r="AK186" s="3">
        <v>13665</v>
      </c>
      <c r="AL186" s="3">
        <v>13710</v>
      </c>
      <c r="AM186" s="3">
        <v>13720</v>
      </c>
      <c r="AN186" s="3">
        <v>13400</v>
      </c>
      <c r="AO186" s="3">
        <v>13410</v>
      </c>
      <c r="AP186" s="3">
        <v>13475</v>
      </c>
      <c r="AQ186" s="3">
        <v>13470</v>
      </c>
      <c r="AR186" s="4">
        <f t="shared" si="112"/>
        <v>1.1708586296617529E-2</v>
      </c>
      <c r="AS186" s="4">
        <f t="shared" si="84"/>
        <v>5.6277056277056481E-3</v>
      </c>
      <c r="AT186" s="4">
        <f t="shared" si="85"/>
        <v>2.5528169014084501E-2</v>
      </c>
      <c r="AU186" s="4">
        <f t="shared" si="86"/>
        <v>2.843803056027161E-2</v>
      </c>
      <c r="AV186" s="4">
        <f t="shared" si="87"/>
        <v>2.5662959794696683E-3</v>
      </c>
      <c r="AW186" s="4">
        <f t="shared" si="88"/>
        <v>1.3490725126475533E-2</v>
      </c>
      <c r="AX186" s="4">
        <f t="shared" si="89"/>
        <v>3.3429632686752031E-2</v>
      </c>
      <c r="AY186" s="4">
        <f t="shared" si="90"/>
        <v>7.0422535211267512E-3</v>
      </c>
      <c r="AZ186" s="4">
        <f t="shared" si="91"/>
        <v>7.9713033080908158E-4</v>
      </c>
      <c r="BA186" s="4">
        <f t="shared" si="92"/>
        <v>8.0808080808081328E-4</v>
      </c>
      <c r="BB186" s="4">
        <f t="shared" si="93"/>
        <v>4.0940413457640767E-2</v>
      </c>
      <c r="BC186" s="4">
        <f t="shared" si="94"/>
        <v>7.1230708349822036E-3</v>
      </c>
      <c r="BD186" s="4">
        <f t="shared" si="95"/>
        <v>1.1292834890965775E-2</v>
      </c>
      <c r="BE186" s="4">
        <f t="shared" si="96"/>
        <v>2.4681835711531042E-2</v>
      </c>
      <c r="BF186" s="4">
        <f t="shared" si="97"/>
        <v>6.4935064935065512E-3</v>
      </c>
      <c r="BG186" s="4">
        <f t="shared" si="98"/>
        <v>3.8245219347581516E-2</v>
      </c>
      <c r="BH186" s="4">
        <f t="shared" si="99"/>
        <v>2.4442846872753332E-2</v>
      </c>
      <c r="BI186" s="4">
        <f t="shared" si="100"/>
        <v>1.5135135135135092E-2</v>
      </c>
      <c r="BJ186" s="4">
        <f t="shared" si="101"/>
        <v>0</v>
      </c>
      <c r="BK186" s="4">
        <f t="shared" si="102"/>
        <v>2.0094994519546994E-2</v>
      </c>
      <c r="BL186" s="4">
        <f t="shared" si="103"/>
        <v>1.1148272017837968E-3</v>
      </c>
      <c r="BM186" s="4">
        <f t="shared" si="113"/>
        <v>1.6466211043600854E-2</v>
      </c>
      <c r="BN186" s="14">
        <f t="shared" si="114"/>
        <v>13676.552869591651</v>
      </c>
      <c r="BO186" s="15">
        <f t="shared" si="115"/>
        <v>13105.587737844018</v>
      </c>
      <c r="BP186" s="16">
        <v>13475</v>
      </c>
      <c r="BQ186" s="16">
        <v>13480</v>
      </c>
      <c r="BR186" s="16">
        <v>13470</v>
      </c>
      <c r="BS186" s="16">
        <v>13470</v>
      </c>
      <c r="BT186" s="16">
        <v>2261</v>
      </c>
      <c r="BU186" s="15">
        <f t="shared" si="104"/>
        <v>13473.333333333334</v>
      </c>
      <c r="BV186" s="15">
        <f t="shared" si="105"/>
        <v>30463206.666666668</v>
      </c>
      <c r="BW186" s="15">
        <f>SUM($BV$3:BV186)</f>
        <v>205639793303.33328</v>
      </c>
      <c r="BX186" s="15">
        <f>SUM($BT$3:BT186)</f>
        <v>15162886</v>
      </c>
      <c r="BY186" s="15">
        <f t="shared" si="106"/>
        <v>13562.048366210316</v>
      </c>
      <c r="BZ186" s="3">
        <v>184</v>
      </c>
      <c r="CA186" s="3">
        <f t="shared" si="107"/>
        <v>0</v>
      </c>
      <c r="CB186" s="3">
        <f t="shared" si="108"/>
        <v>0</v>
      </c>
      <c r="CC186" s="3">
        <f t="shared" si="109"/>
        <v>0</v>
      </c>
      <c r="CD186" s="3" t="str">
        <f t="shared" si="110"/>
        <v/>
      </c>
      <c r="CE186" s="3">
        <f t="shared" si="111"/>
        <v>0</v>
      </c>
    </row>
    <row r="187" spans="1:83" x14ac:dyDescent="0.3">
      <c r="A187" s="3" t="s">
        <v>227</v>
      </c>
      <c r="B187" s="3">
        <v>11665</v>
      </c>
      <c r="C187" s="3">
        <v>11670</v>
      </c>
      <c r="D187" s="3">
        <v>11490</v>
      </c>
      <c r="E187" s="3">
        <v>11490</v>
      </c>
      <c r="F187" s="3">
        <v>11650</v>
      </c>
      <c r="G187" s="3">
        <v>11655</v>
      </c>
      <c r="H187" s="3">
        <v>11445</v>
      </c>
      <c r="I187" s="3">
        <v>11430</v>
      </c>
      <c r="J187" s="3">
        <v>11720</v>
      </c>
      <c r="K187" s="3">
        <v>11715</v>
      </c>
      <c r="L187" s="3">
        <v>12020</v>
      </c>
      <c r="M187" s="3">
        <v>12015</v>
      </c>
      <c r="N187" s="3">
        <v>12520</v>
      </c>
      <c r="O187" s="3">
        <v>12530</v>
      </c>
      <c r="P187" s="3">
        <v>12685</v>
      </c>
      <c r="Q187" s="3">
        <v>12680</v>
      </c>
      <c r="R187" s="3">
        <v>12535</v>
      </c>
      <c r="S187" s="3">
        <v>12535</v>
      </c>
      <c r="T187" s="3">
        <v>12370</v>
      </c>
      <c r="U187" s="3">
        <v>12370</v>
      </c>
      <c r="V187" s="3">
        <v>12840</v>
      </c>
      <c r="W187" s="3">
        <v>12835</v>
      </c>
      <c r="X187" s="3">
        <v>12540</v>
      </c>
      <c r="Y187" s="3">
        <v>12540</v>
      </c>
      <c r="Z187" s="3">
        <v>12695</v>
      </c>
      <c r="AA187" s="3">
        <v>12695</v>
      </c>
      <c r="AB187" s="3">
        <v>13285</v>
      </c>
      <c r="AC187" s="3">
        <v>13295</v>
      </c>
      <c r="AD187" s="3">
        <v>13175</v>
      </c>
      <c r="AE187" s="3">
        <v>13170</v>
      </c>
      <c r="AF187" s="3">
        <v>13845</v>
      </c>
      <c r="AG187" s="3">
        <v>13850</v>
      </c>
      <c r="AH187" s="3">
        <v>14250</v>
      </c>
      <c r="AI187" s="3">
        <v>14275</v>
      </c>
      <c r="AJ187" s="3">
        <v>13665</v>
      </c>
      <c r="AK187" s="3">
        <v>13670</v>
      </c>
      <c r="AL187" s="3">
        <v>13720</v>
      </c>
      <c r="AM187" s="3">
        <v>13725</v>
      </c>
      <c r="AN187" s="3">
        <v>13405</v>
      </c>
      <c r="AO187" s="3">
        <v>13405</v>
      </c>
      <c r="AP187" s="3">
        <v>13470</v>
      </c>
      <c r="AQ187" s="3">
        <v>13475</v>
      </c>
      <c r="AR187" s="4">
        <f t="shared" si="112"/>
        <v>1.2142237640936582E-2</v>
      </c>
      <c r="AS187" s="4">
        <f t="shared" si="84"/>
        <v>5.1948051948051965E-3</v>
      </c>
      <c r="AT187" s="4">
        <f t="shared" si="85"/>
        <v>2.5968309859154992E-2</v>
      </c>
      <c r="AU187" s="4">
        <f t="shared" si="86"/>
        <v>2.9711375212224111E-2</v>
      </c>
      <c r="AV187" s="4">
        <f t="shared" si="87"/>
        <v>2.1385799828914642E-3</v>
      </c>
      <c r="AW187" s="4">
        <f t="shared" si="88"/>
        <v>1.3069139966273235E-2</v>
      </c>
      <c r="AX187" s="4">
        <f t="shared" si="89"/>
        <v>3.4255055716054583E-2</v>
      </c>
      <c r="AY187" s="4">
        <f t="shared" si="90"/>
        <v>7.8247261345852914E-3</v>
      </c>
      <c r="AZ187" s="4">
        <f t="shared" si="91"/>
        <v>7.9713033080908158E-4</v>
      </c>
      <c r="BA187" s="4">
        <f t="shared" si="92"/>
        <v>4.0404040404040664E-4</v>
      </c>
      <c r="BB187" s="4">
        <f t="shared" si="93"/>
        <v>4.053506282934749E-2</v>
      </c>
      <c r="BC187" s="4">
        <f t="shared" si="94"/>
        <v>7.5187969924812581E-3</v>
      </c>
      <c r="BD187" s="4">
        <f t="shared" si="95"/>
        <v>1.1292834890965775E-2</v>
      </c>
      <c r="BE187" s="4">
        <f t="shared" si="96"/>
        <v>2.5453143077516449E-2</v>
      </c>
      <c r="BF187" s="4">
        <f t="shared" si="97"/>
        <v>6.1115355233001267E-3</v>
      </c>
      <c r="BG187" s="4">
        <f t="shared" si="98"/>
        <v>3.8620172478440296E-2</v>
      </c>
      <c r="BH187" s="4">
        <f t="shared" si="99"/>
        <v>2.6240115025161659E-2</v>
      </c>
      <c r="BI187" s="4">
        <f t="shared" si="100"/>
        <v>1.4774774774774735E-2</v>
      </c>
      <c r="BJ187" s="4">
        <f t="shared" si="101"/>
        <v>3.6443148688047877E-4</v>
      </c>
      <c r="BK187" s="4">
        <f t="shared" si="102"/>
        <v>2.0460358056266004E-2</v>
      </c>
      <c r="BL187" s="4">
        <f t="shared" si="103"/>
        <v>1.4864362690449884E-3</v>
      </c>
      <c r="BM187" s="4">
        <f t="shared" si="113"/>
        <v>1.6760869837187404E-2</v>
      </c>
      <c r="BN187" s="14">
        <f t="shared" si="114"/>
        <v>13680.517503659357</v>
      </c>
      <c r="BO187" s="15">
        <f t="shared" si="115"/>
        <v>13101.661409419477</v>
      </c>
      <c r="BP187" s="16">
        <v>13470</v>
      </c>
      <c r="BQ187" s="16">
        <v>13475</v>
      </c>
      <c r="BR187" s="16">
        <v>13455</v>
      </c>
      <c r="BS187" s="16">
        <v>13475</v>
      </c>
      <c r="BT187" s="16">
        <v>58289</v>
      </c>
      <c r="BU187" s="15">
        <f t="shared" si="104"/>
        <v>13468.333333333334</v>
      </c>
      <c r="BV187" s="15">
        <f t="shared" si="105"/>
        <v>785055681.66666675</v>
      </c>
      <c r="BW187" s="15">
        <f>SUM($BV$3:BV187)</f>
        <v>206424848984.99994</v>
      </c>
      <c r="BX187" s="15">
        <f>SUM($BT$3:BT187)</f>
        <v>15221175</v>
      </c>
      <c r="BY187" s="15">
        <f t="shared" si="106"/>
        <v>13561.68948750671</v>
      </c>
      <c r="BZ187" s="3">
        <v>185</v>
      </c>
      <c r="CA187" s="3">
        <f t="shared" si="107"/>
        <v>0</v>
      </c>
      <c r="CB187" s="3">
        <f t="shared" si="108"/>
        <v>0</v>
      </c>
      <c r="CC187" s="3">
        <f t="shared" si="109"/>
        <v>0</v>
      </c>
      <c r="CD187" s="3" t="str">
        <f t="shared" si="110"/>
        <v/>
      </c>
      <c r="CE187" s="3">
        <f t="shared" si="111"/>
        <v>0</v>
      </c>
    </row>
    <row r="188" spans="1:83" x14ac:dyDescent="0.3">
      <c r="A188" s="3" t="s">
        <v>228</v>
      </c>
      <c r="B188" s="3">
        <v>11670</v>
      </c>
      <c r="C188" s="3">
        <v>11670</v>
      </c>
      <c r="D188" s="3">
        <v>11490</v>
      </c>
      <c r="E188" s="3">
        <v>11500</v>
      </c>
      <c r="F188" s="3">
        <v>11650</v>
      </c>
      <c r="G188" s="3">
        <v>11645</v>
      </c>
      <c r="H188" s="3">
        <v>11430</v>
      </c>
      <c r="I188" s="3">
        <v>11415</v>
      </c>
      <c r="J188" s="3">
        <v>11715</v>
      </c>
      <c r="K188" s="3">
        <v>11720</v>
      </c>
      <c r="L188" s="3">
        <v>12015</v>
      </c>
      <c r="M188" s="3">
        <v>12030</v>
      </c>
      <c r="N188" s="3">
        <v>12530</v>
      </c>
      <c r="O188" s="3">
        <v>12520</v>
      </c>
      <c r="P188" s="3">
        <v>12680</v>
      </c>
      <c r="Q188" s="3">
        <v>12675</v>
      </c>
      <c r="R188" s="3">
        <v>12535</v>
      </c>
      <c r="S188" s="3">
        <v>12525</v>
      </c>
      <c r="T188" s="3">
        <v>12365</v>
      </c>
      <c r="U188" s="3">
        <v>12375</v>
      </c>
      <c r="V188" s="3">
        <v>12835</v>
      </c>
      <c r="W188" s="3">
        <v>12835</v>
      </c>
      <c r="X188" s="3">
        <v>12540</v>
      </c>
      <c r="Y188" s="3">
        <v>12550</v>
      </c>
      <c r="Z188" s="3">
        <v>12695</v>
      </c>
      <c r="AA188" s="3">
        <v>12690</v>
      </c>
      <c r="AB188" s="3">
        <v>13295</v>
      </c>
      <c r="AC188" s="3">
        <v>13295</v>
      </c>
      <c r="AD188" s="3">
        <v>13170</v>
      </c>
      <c r="AE188" s="3">
        <v>13185</v>
      </c>
      <c r="AF188" s="3">
        <v>13855</v>
      </c>
      <c r="AG188" s="3">
        <v>13855</v>
      </c>
      <c r="AH188" s="3">
        <v>14275</v>
      </c>
      <c r="AI188" s="3">
        <v>14290</v>
      </c>
      <c r="AJ188" s="3">
        <v>13670</v>
      </c>
      <c r="AK188" s="3">
        <v>13645</v>
      </c>
      <c r="AL188" s="3">
        <v>13720</v>
      </c>
      <c r="AM188" s="3">
        <v>13715</v>
      </c>
      <c r="AN188" s="3">
        <v>13405</v>
      </c>
      <c r="AO188" s="3">
        <v>13410</v>
      </c>
      <c r="AP188" s="3">
        <v>13475</v>
      </c>
      <c r="AQ188" s="3">
        <v>13485</v>
      </c>
      <c r="AR188" s="4">
        <f t="shared" si="112"/>
        <v>1.2142237640936582E-2</v>
      </c>
      <c r="AS188" s="4">
        <f t="shared" si="84"/>
        <v>4.3290043290042934E-3</v>
      </c>
      <c r="AT188" s="4">
        <f t="shared" si="85"/>
        <v>2.5088028169014009E-2</v>
      </c>
      <c r="AU188" s="4">
        <f t="shared" si="86"/>
        <v>3.0984719864176613E-2</v>
      </c>
      <c r="AV188" s="4">
        <f t="shared" si="87"/>
        <v>2.5662959794696683E-3</v>
      </c>
      <c r="AW188" s="4">
        <f t="shared" si="88"/>
        <v>1.4333895446880351E-2</v>
      </c>
      <c r="AX188" s="4">
        <f t="shared" si="89"/>
        <v>3.3429632686752031E-2</v>
      </c>
      <c r="AY188" s="4">
        <f t="shared" si="90"/>
        <v>8.215962441314506E-3</v>
      </c>
      <c r="AZ188" s="4">
        <f t="shared" si="91"/>
        <v>1.5942606616181632E-3</v>
      </c>
      <c r="BA188" s="4">
        <f t="shared" si="92"/>
        <v>0</v>
      </c>
      <c r="BB188" s="4">
        <f t="shared" si="93"/>
        <v>4.053506282934749E-2</v>
      </c>
      <c r="BC188" s="4">
        <f t="shared" si="94"/>
        <v>6.7273446774831491E-3</v>
      </c>
      <c r="BD188" s="4">
        <f t="shared" si="95"/>
        <v>1.1682242990654235E-2</v>
      </c>
      <c r="BE188" s="4">
        <f t="shared" si="96"/>
        <v>2.5453143077516449E-2</v>
      </c>
      <c r="BF188" s="4">
        <f t="shared" si="97"/>
        <v>7.257448433918956E-3</v>
      </c>
      <c r="BG188" s="4">
        <f t="shared" si="98"/>
        <v>3.8995125609298853E-2</v>
      </c>
      <c r="BH188" s="4">
        <f t="shared" si="99"/>
        <v>2.7318475916606744E-2</v>
      </c>
      <c r="BI188" s="4">
        <f t="shared" si="100"/>
        <v>1.6576576576576629E-2</v>
      </c>
      <c r="BJ188" s="4">
        <f t="shared" si="101"/>
        <v>3.6443148688047877E-4</v>
      </c>
      <c r="BK188" s="4">
        <f t="shared" si="102"/>
        <v>2.0094994519546994E-2</v>
      </c>
      <c r="BL188" s="4">
        <f t="shared" si="103"/>
        <v>2.2296544035673715E-3</v>
      </c>
      <c r="BM188" s="4">
        <f t="shared" si="113"/>
        <v>1.7017478707679619E-2</v>
      </c>
      <c r="BN188" s="14">
        <f t="shared" si="114"/>
        <v>13683.970176011828</v>
      </c>
      <c r="BO188" s="15">
        <f t="shared" si="115"/>
        <v>13098.242096220169</v>
      </c>
      <c r="BP188" s="16">
        <v>13475</v>
      </c>
      <c r="BQ188" s="16">
        <v>13485</v>
      </c>
      <c r="BR188" s="16">
        <v>13465</v>
      </c>
      <c r="BS188" s="16">
        <v>13485</v>
      </c>
      <c r="BT188" s="16">
        <v>18039</v>
      </c>
      <c r="BU188" s="15">
        <f t="shared" si="104"/>
        <v>13478.333333333334</v>
      </c>
      <c r="BV188" s="15">
        <f t="shared" si="105"/>
        <v>243135655</v>
      </c>
      <c r="BW188" s="15">
        <f>SUM($BV$3:BV188)</f>
        <v>206667984639.99994</v>
      </c>
      <c r="BX188" s="15">
        <f>SUM($BT$3:BT188)</f>
        <v>15239214</v>
      </c>
      <c r="BY188" s="15">
        <f t="shared" si="106"/>
        <v>13561.590816954204</v>
      </c>
      <c r="BZ188" s="3">
        <v>186</v>
      </c>
      <c r="CA188" s="3">
        <f t="shared" si="107"/>
        <v>0</v>
      </c>
      <c r="CB188" s="3">
        <f t="shared" si="108"/>
        <v>0</v>
      </c>
      <c r="CC188" s="3">
        <f t="shared" si="109"/>
        <v>0</v>
      </c>
      <c r="CD188" s="3" t="str">
        <f t="shared" si="110"/>
        <v/>
      </c>
      <c r="CE188" s="3">
        <f t="shared" si="111"/>
        <v>0</v>
      </c>
    </row>
    <row r="189" spans="1:83" x14ac:dyDescent="0.3">
      <c r="A189" s="3" t="s">
        <v>229</v>
      </c>
      <c r="B189" s="3">
        <v>11670</v>
      </c>
      <c r="C189" s="3">
        <v>11675</v>
      </c>
      <c r="D189" s="3">
        <v>11495</v>
      </c>
      <c r="E189" s="3">
        <v>11500</v>
      </c>
      <c r="F189" s="3">
        <v>11640</v>
      </c>
      <c r="G189" s="3">
        <v>11635</v>
      </c>
      <c r="H189" s="3">
        <v>11410</v>
      </c>
      <c r="I189" s="3">
        <v>11405</v>
      </c>
      <c r="J189" s="3">
        <v>11720</v>
      </c>
      <c r="K189" s="3">
        <v>11730</v>
      </c>
      <c r="L189" s="3">
        <v>12030</v>
      </c>
      <c r="M189" s="3">
        <v>12030</v>
      </c>
      <c r="N189" s="3">
        <v>12520</v>
      </c>
      <c r="O189" s="3">
        <v>12530</v>
      </c>
      <c r="P189" s="3">
        <v>12675</v>
      </c>
      <c r="Q189" s="3">
        <v>12675</v>
      </c>
      <c r="R189" s="3">
        <v>12520</v>
      </c>
      <c r="S189" s="3">
        <v>12530</v>
      </c>
      <c r="T189" s="3">
        <v>12380</v>
      </c>
      <c r="U189" s="3">
        <v>12385</v>
      </c>
      <c r="V189" s="3">
        <v>12840</v>
      </c>
      <c r="W189" s="3">
        <v>12835</v>
      </c>
      <c r="X189" s="3">
        <v>12545</v>
      </c>
      <c r="Y189" s="3">
        <v>12555</v>
      </c>
      <c r="Z189" s="3">
        <v>12690</v>
      </c>
      <c r="AA189" s="3">
        <v>12695</v>
      </c>
      <c r="AB189" s="3">
        <v>13300</v>
      </c>
      <c r="AC189" s="3">
        <v>13305</v>
      </c>
      <c r="AD189" s="3">
        <v>13180</v>
      </c>
      <c r="AE189" s="3">
        <v>13165</v>
      </c>
      <c r="AF189" s="3">
        <v>13855</v>
      </c>
      <c r="AG189" s="3">
        <v>13855</v>
      </c>
      <c r="AH189" s="3">
        <v>14295</v>
      </c>
      <c r="AI189" s="3">
        <v>14285</v>
      </c>
      <c r="AJ189" s="3">
        <v>13645</v>
      </c>
      <c r="AK189" s="3">
        <v>13645</v>
      </c>
      <c r="AL189" s="3">
        <v>13710</v>
      </c>
      <c r="AM189" s="3">
        <v>13720</v>
      </c>
      <c r="AN189" s="3">
        <v>13410</v>
      </c>
      <c r="AO189" s="3">
        <v>13400</v>
      </c>
      <c r="AP189" s="3">
        <v>13485</v>
      </c>
      <c r="AQ189" s="3">
        <v>13480</v>
      </c>
      <c r="AR189" s="4">
        <f t="shared" si="112"/>
        <v>1.2575888985255856E-2</v>
      </c>
      <c r="AS189" s="4">
        <f t="shared" si="84"/>
        <v>4.3290043290042934E-3</v>
      </c>
      <c r="AT189" s="4">
        <f t="shared" si="85"/>
        <v>2.4207746478873249E-2</v>
      </c>
      <c r="AU189" s="4">
        <f t="shared" si="86"/>
        <v>3.183361629881154E-2</v>
      </c>
      <c r="AV189" s="4">
        <f t="shared" si="87"/>
        <v>3.4217279726260763E-3</v>
      </c>
      <c r="AW189" s="4">
        <f t="shared" si="88"/>
        <v>1.4333895446880351E-2</v>
      </c>
      <c r="AX189" s="4">
        <f t="shared" si="89"/>
        <v>3.4255055716054583E-2</v>
      </c>
      <c r="AY189" s="4">
        <f t="shared" si="90"/>
        <v>8.215962441314506E-3</v>
      </c>
      <c r="AZ189" s="4">
        <f t="shared" si="91"/>
        <v>1.1956954962136779E-3</v>
      </c>
      <c r="BA189" s="4">
        <f t="shared" si="92"/>
        <v>8.0808080808081328E-4</v>
      </c>
      <c r="BB189" s="4">
        <f t="shared" si="93"/>
        <v>4.053506282934749E-2</v>
      </c>
      <c r="BC189" s="4">
        <f t="shared" si="94"/>
        <v>6.3316185199842057E-3</v>
      </c>
      <c r="BD189" s="4">
        <f t="shared" si="95"/>
        <v>1.1292834890965775E-2</v>
      </c>
      <c r="BE189" s="4">
        <f t="shared" si="96"/>
        <v>2.6224450443501635E-2</v>
      </c>
      <c r="BF189" s="4">
        <f t="shared" si="97"/>
        <v>5.7295645530939243E-3</v>
      </c>
      <c r="BG189" s="4">
        <f t="shared" si="98"/>
        <v>3.8995125609298853E-2</v>
      </c>
      <c r="BH189" s="4">
        <f t="shared" si="99"/>
        <v>2.6959022286125123E-2</v>
      </c>
      <c r="BI189" s="4">
        <f t="shared" si="100"/>
        <v>1.6576576576576629E-2</v>
      </c>
      <c r="BJ189" s="4">
        <f t="shared" si="101"/>
        <v>0</v>
      </c>
      <c r="BK189" s="4">
        <f t="shared" si="102"/>
        <v>2.0825721592985014E-2</v>
      </c>
      <c r="BL189" s="4">
        <f t="shared" si="103"/>
        <v>1.85804533630618E-3</v>
      </c>
      <c r="BM189" s="4">
        <f t="shared" si="113"/>
        <v>1.6996055125967302E-2</v>
      </c>
      <c r="BN189" s="14">
        <f t="shared" si="114"/>
        <v>13683.68192171989</v>
      </c>
      <c r="BO189" s="15">
        <f t="shared" si="115"/>
        <v>13098.527565446486</v>
      </c>
      <c r="BP189" s="16">
        <v>13485</v>
      </c>
      <c r="BQ189" s="16">
        <v>13490</v>
      </c>
      <c r="BR189" s="16">
        <v>13475</v>
      </c>
      <c r="BS189" s="16">
        <v>13480</v>
      </c>
      <c r="BT189" s="16">
        <v>9729</v>
      </c>
      <c r="BU189" s="15">
        <f t="shared" si="104"/>
        <v>13481.666666666666</v>
      </c>
      <c r="BV189" s="15">
        <f t="shared" si="105"/>
        <v>131163135</v>
      </c>
      <c r="BW189" s="15">
        <f>SUM($BV$3:BV189)</f>
        <v>206799147774.99994</v>
      </c>
      <c r="BX189" s="15">
        <f>SUM($BT$3:BT189)</f>
        <v>15248943</v>
      </c>
      <c r="BY189" s="15">
        <f t="shared" si="106"/>
        <v>13561.539824432417</v>
      </c>
      <c r="BZ189" s="3">
        <v>187</v>
      </c>
      <c r="CA189" s="3">
        <f t="shared" si="107"/>
        <v>0</v>
      </c>
      <c r="CB189" s="3">
        <f t="shared" si="108"/>
        <v>0</v>
      </c>
      <c r="CC189" s="3">
        <f t="shared" si="109"/>
        <v>0</v>
      </c>
      <c r="CD189" s="3" t="str">
        <f t="shared" si="110"/>
        <v/>
      </c>
      <c r="CE189" s="3">
        <f t="shared" si="111"/>
        <v>0</v>
      </c>
    </row>
    <row r="190" spans="1:83" x14ac:dyDescent="0.3">
      <c r="A190" s="3" t="s">
        <v>230</v>
      </c>
      <c r="B190" s="3">
        <v>11680</v>
      </c>
      <c r="C190" s="3">
        <v>11680</v>
      </c>
      <c r="D190" s="3">
        <v>11500</v>
      </c>
      <c r="E190" s="3">
        <v>11515</v>
      </c>
      <c r="F190" s="3">
        <v>11630</v>
      </c>
      <c r="G190" s="3">
        <v>11650</v>
      </c>
      <c r="H190" s="3">
        <v>11405</v>
      </c>
      <c r="I190" s="3">
        <v>11365</v>
      </c>
      <c r="J190" s="3">
        <v>11725</v>
      </c>
      <c r="K190" s="3">
        <v>11725</v>
      </c>
      <c r="L190" s="3">
        <v>12035</v>
      </c>
      <c r="M190" s="3">
        <v>12030</v>
      </c>
      <c r="N190" s="3">
        <v>12535</v>
      </c>
      <c r="O190" s="3">
        <v>12535</v>
      </c>
      <c r="P190" s="3">
        <v>12675</v>
      </c>
      <c r="Q190" s="3">
        <v>12685</v>
      </c>
      <c r="R190" s="3">
        <v>12530</v>
      </c>
      <c r="S190" s="3">
        <v>12525</v>
      </c>
      <c r="T190" s="3">
        <v>12380</v>
      </c>
      <c r="U190" s="3">
        <v>12375</v>
      </c>
      <c r="V190" s="3">
        <v>12835</v>
      </c>
      <c r="W190" s="3">
        <v>12835</v>
      </c>
      <c r="X190" s="3">
        <v>12550</v>
      </c>
      <c r="Y190" s="3">
        <v>12565</v>
      </c>
      <c r="Z190" s="3">
        <v>12695</v>
      </c>
      <c r="AA190" s="3">
        <v>12705</v>
      </c>
      <c r="AB190" s="3">
        <v>13300</v>
      </c>
      <c r="AC190" s="3">
        <v>13300</v>
      </c>
      <c r="AD190" s="3">
        <v>13170</v>
      </c>
      <c r="AE190" s="3">
        <v>13170</v>
      </c>
      <c r="AF190" s="3">
        <v>13855</v>
      </c>
      <c r="AG190" s="3">
        <v>13855</v>
      </c>
      <c r="AH190" s="3">
        <v>14285</v>
      </c>
      <c r="AI190" s="3">
        <v>14305</v>
      </c>
      <c r="AJ190" s="3">
        <v>13640</v>
      </c>
      <c r="AK190" s="3">
        <v>13635</v>
      </c>
      <c r="AL190" s="3">
        <v>13720</v>
      </c>
      <c r="AM190" s="3">
        <v>13720</v>
      </c>
      <c r="AN190" s="3">
        <v>13395</v>
      </c>
      <c r="AO190" s="3">
        <v>13395</v>
      </c>
      <c r="AP190" s="3">
        <v>13480</v>
      </c>
      <c r="AQ190" s="3">
        <v>13470</v>
      </c>
      <c r="AR190" s="4">
        <f t="shared" si="112"/>
        <v>1.3009540329575131E-2</v>
      </c>
      <c r="AS190" s="4">
        <f t="shared" si="84"/>
        <v>3.0303030303030498E-3</v>
      </c>
      <c r="AT190" s="4">
        <f t="shared" si="85"/>
        <v>2.5528169014084501E-2</v>
      </c>
      <c r="AU190" s="4">
        <f t="shared" si="86"/>
        <v>3.522920203735147E-2</v>
      </c>
      <c r="AV190" s="4">
        <f t="shared" si="87"/>
        <v>2.9940119760478723E-3</v>
      </c>
      <c r="AW190" s="4">
        <f t="shared" si="88"/>
        <v>1.4333895446880351E-2</v>
      </c>
      <c r="AX190" s="4">
        <f t="shared" si="89"/>
        <v>3.4667767230705637E-2</v>
      </c>
      <c r="AY190" s="4">
        <f t="shared" si="90"/>
        <v>7.4334898278560768E-3</v>
      </c>
      <c r="AZ190" s="4">
        <f t="shared" si="91"/>
        <v>1.5942606616181632E-3</v>
      </c>
      <c r="BA190" s="4">
        <f t="shared" si="92"/>
        <v>0</v>
      </c>
      <c r="BB190" s="4">
        <f t="shared" si="93"/>
        <v>4.053506282934749E-2</v>
      </c>
      <c r="BC190" s="4">
        <f t="shared" si="94"/>
        <v>5.5401662049860967E-3</v>
      </c>
      <c r="BD190" s="4">
        <f t="shared" si="95"/>
        <v>1.0514018691588745E-2</v>
      </c>
      <c r="BE190" s="4">
        <f t="shared" si="96"/>
        <v>2.5838796760509153E-2</v>
      </c>
      <c r="BF190" s="4">
        <f t="shared" si="97"/>
        <v>6.1115355233001267E-3</v>
      </c>
      <c r="BG190" s="4">
        <f t="shared" si="98"/>
        <v>3.8995125609298853E-2</v>
      </c>
      <c r="BH190" s="4">
        <f t="shared" si="99"/>
        <v>2.8396836808051829E-2</v>
      </c>
      <c r="BI190" s="4">
        <f t="shared" si="100"/>
        <v>1.7297297297297343E-2</v>
      </c>
      <c r="BJ190" s="4">
        <f t="shared" si="101"/>
        <v>0</v>
      </c>
      <c r="BK190" s="4">
        <f t="shared" si="102"/>
        <v>2.1191085129704024E-2</v>
      </c>
      <c r="BL190" s="4">
        <f t="shared" si="103"/>
        <v>1.1148272017837968E-3</v>
      </c>
      <c r="BM190" s="4">
        <f t="shared" si="113"/>
        <v>1.7008245898161682E-2</v>
      </c>
      <c r="BN190" s="14">
        <f t="shared" si="114"/>
        <v>13683.845948559767</v>
      </c>
      <c r="BO190" s="15">
        <f t="shared" si="115"/>
        <v>13098.365123406997</v>
      </c>
      <c r="BP190" s="16">
        <v>13480</v>
      </c>
      <c r="BQ190" s="16">
        <v>13480</v>
      </c>
      <c r="BR190" s="16">
        <v>13465</v>
      </c>
      <c r="BS190" s="16">
        <v>13470</v>
      </c>
      <c r="BT190" s="16">
        <v>9684</v>
      </c>
      <c r="BU190" s="15">
        <f t="shared" si="104"/>
        <v>13471.666666666666</v>
      </c>
      <c r="BV190" s="15">
        <f t="shared" si="105"/>
        <v>130459620</v>
      </c>
      <c r="BW190" s="15">
        <f>SUM($BV$3:BV190)</f>
        <v>206929607394.99994</v>
      </c>
      <c r="BX190" s="15">
        <f>SUM($BT$3:BT190)</f>
        <v>15258627</v>
      </c>
      <c r="BY190" s="15">
        <f t="shared" si="106"/>
        <v>13561.482785770957</v>
      </c>
      <c r="BZ190" s="3">
        <v>188</v>
      </c>
      <c r="CA190" s="3">
        <f t="shared" si="107"/>
        <v>0</v>
      </c>
      <c r="CB190" s="3">
        <f t="shared" si="108"/>
        <v>0</v>
      </c>
      <c r="CC190" s="3">
        <f t="shared" si="109"/>
        <v>0</v>
      </c>
      <c r="CD190" s="3" t="str">
        <f t="shared" si="110"/>
        <v/>
      </c>
      <c r="CE190" s="3">
        <f t="shared" si="111"/>
        <v>0</v>
      </c>
    </row>
    <row r="191" spans="1:83" x14ac:dyDescent="0.3">
      <c r="A191" s="3" t="s">
        <v>231</v>
      </c>
      <c r="B191" s="3">
        <v>11675</v>
      </c>
      <c r="C191" s="3">
        <v>11680</v>
      </c>
      <c r="D191" s="3">
        <v>11515</v>
      </c>
      <c r="E191" s="3">
        <v>11510</v>
      </c>
      <c r="F191" s="3">
        <v>11655</v>
      </c>
      <c r="G191" s="3">
        <v>11655</v>
      </c>
      <c r="H191" s="3">
        <v>11365</v>
      </c>
      <c r="I191" s="3">
        <v>11365</v>
      </c>
      <c r="J191" s="3">
        <v>11725</v>
      </c>
      <c r="K191" s="3">
        <v>11725</v>
      </c>
      <c r="L191" s="3">
        <v>12030</v>
      </c>
      <c r="M191" s="3">
        <v>12030</v>
      </c>
      <c r="N191" s="3">
        <v>12535</v>
      </c>
      <c r="O191" s="3">
        <v>12525</v>
      </c>
      <c r="P191" s="3">
        <v>12680</v>
      </c>
      <c r="Q191" s="3">
        <v>12690</v>
      </c>
      <c r="R191" s="3">
        <v>12535</v>
      </c>
      <c r="S191" s="3">
        <v>12535</v>
      </c>
      <c r="T191" s="3">
        <v>12375</v>
      </c>
      <c r="U191" s="3">
        <v>12375</v>
      </c>
      <c r="V191" s="3">
        <v>12830</v>
      </c>
      <c r="W191" s="3">
        <v>12830</v>
      </c>
      <c r="X191" s="3">
        <v>12560</v>
      </c>
      <c r="Y191" s="3">
        <v>12570</v>
      </c>
      <c r="Z191" s="3">
        <v>12705</v>
      </c>
      <c r="AA191" s="3">
        <v>12705</v>
      </c>
      <c r="AB191" s="3">
        <v>13295</v>
      </c>
      <c r="AC191" s="3">
        <v>13300</v>
      </c>
      <c r="AD191" s="3">
        <v>13165</v>
      </c>
      <c r="AE191" s="3">
        <v>13170</v>
      </c>
      <c r="AF191" s="3">
        <v>13855</v>
      </c>
      <c r="AG191" s="3">
        <v>13860</v>
      </c>
      <c r="AH191" s="3">
        <v>14300</v>
      </c>
      <c r="AI191" s="3">
        <v>14305</v>
      </c>
      <c r="AJ191" s="3">
        <v>13630</v>
      </c>
      <c r="AK191" s="3">
        <v>13655</v>
      </c>
      <c r="AL191" s="3">
        <v>13720</v>
      </c>
      <c r="AM191" s="3">
        <v>13710</v>
      </c>
      <c r="AN191" s="3">
        <v>13395</v>
      </c>
      <c r="AO191" s="3">
        <v>13385</v>
      </c>
      <c r="AP191" s="3">
        <v>13465</v>
      </c>
      <c r="AQ191" s="3">
        <v>13465</v>
      </c>
      <c r="AR191" s="4">
        <f t="shared" si="112"/>
        <v>1.3009540329575131E-2</v>
      </c>
      <c r="AS191" s="4">
        <f t="shared" si="84"/>
        <v>3.4632034632035014E-3</v>
      </c>
      <c r="AT191" s="4">
        <f t="shared" si="85"/>
        <v>2.5968309859154992E-2</v>
      </c>
      <c r="AU191" s="4">
        <f t="shared" si="86"/>
        <v>3.522920203735147E-2</v>
      </c>
      <c r="AV191" s="4">
        <f t="shared" si="87"/>
        <v>2.9940119760478723E-3</v>
      </c>
      <c r="AW191" s="4">
        <f t="shared" si="88"/>
        <v>1.4333895446880351E-2</v>
      </c>
      <c r="AX191" s="4">
        <f t="shared" si="89"/>
        <v>3.3842344201403307E-2</v>
      </c>
      <c r="AY191" s="4">
        <f t="shared" si="90"/>
        <v>7.0422535211267512E-3</v>
      </c>
      <c r="AZ191" s="4">
        <f t="shared" si="91"/>
        <v>7.9713033080908158E-4</v>
      </c>
      <c r="BA191" s="4">
        <f t="shared" si="92"/>
        <v>0</v>
      </c>
      <c r="BB191" s="4">
        <f t="shared" si="93"/>
        <v>4.0129712201053991E-2</v>
      </c>
      <c r="BC191" s="4">
        <f t="shared" si="94"/>
        <v>5.1444400474871532E-3</v>
      </c>
      <c r="BD191" s="4">
        <f t="shared" si="95"/>
        <v>1.0514018691588745E-2</v>
      </c>
      <c r="BE191" s="4">
        <f t="shared" si="96"/>
        <v>2.5838796760509153E-2</v>
      </c>
      <c r="BF191" s="4">
        <f t="shared" si="97"/>
        <v>6.1115355233001267E-3</v>
      </c>
      <c r="BG191" s="4">
        <f t="shared" si="98"/>
        <v>3.937007874015741E-2</v>
      </c>
      <c r="BH191" s="4">
        <f t="shared" si="99"/>
        <v>2.8396836808051829E-2</v>
      </c>
      <c r="BI191" s="4">
        <f t="shared" si="100"/>
        <v>1.5855855855855805E-2</v>
      </c>
      <c r="BJ191" s="4">
        <f t="shared" si="101"/>
        <v>7.2886297376095754E-4</v>
      </c>
      <c r="BK191" s="4">
        <f t="shared" si="102"/>
        <v>2.1921812203142155E-2</v>
      </c>
      <c r="BL191" s="4">
        <f t="shared" si="103"/>
        <v>7.4321813452238317E-4</v>
      </c>
      <c r="BM191" s="4">
        <f t="shared" si="113"/>
        <v>1.6835262704160463E-2</v>
      </c>
      <c r="BN191" s="14">
        <f t="shared" si="114"/>
        <v>13681.518459684477</v>
      </c>
      <c r="BO191" s="15">
        <f t="shared" si="115"/>
        <v>13100.670124467062</v>
      </c>
      <c r="BP191" s="16">
        <v>13465</v>
      </c>
      <c r="BQ191" s="16">
        <v>13470</v>
      </c>
      <c r="BR191" s="16">
        <v>13460</v>
      </c>
      <c r="BS191" s="16">
        <v>13465</v>
      </c>
      <c r="BT191" s="16">
        <v>24454</v>
      </c>
      <c r="BU191" s="15">
        <f t="shared" si="104"/>
        <v>13465</v>
      </c>
      <c r="BV191" s="15">
        <f t="shared" si="105"/>
        <v>329273110</v>
      </c>
      <c r="BW191" s="15">
        <f>SUM($BV$3:BV191)</f>
        <v>207258880504.99994</v>
      </c>
      <c r="BX191" s="15">
        <f>SUM($BT$3:BT191)</f>
        <v>15283081</v>
      </c>
      <c r="BY191" s="15">
        <f t="shared" si="106"/>
        <v>13561.32840655624</v>
      </c>
      <c r="BZ191" s="3">
        <v>189</v>
      </c>
      <c r="CA191" s="3">
        <f t="shared" si="107"/>
        <v>0</v>
      </c>
      <c r="CB191" s="3">
        <f t="shared" si="108"/>
        <v>0</v>
      </c>
      <c r="CC191" s="3">
        <f t="shared" si="109"/>
        <v>0</v>
      </c>
      <c r="CD191" s="3" t="str">
        <f t="shared" si="110"/>
        <v/>
      </c>
      <c r="CE191" s="3">
        <f t="shared" si="111"/>
        <v>0</v>
      </c>
    </row>
    <row r="192" spans="1:83" x14ac:dyDescent="0.3">
      <c r="A192" s="3" t="s">
        <v>232</v>
      </c>
      <c r="B192" s="3">
        <v>11680</v>
      </c>
      <c r="C192" s="3">
        <v>11675</v>
      </c>
      <c r="D192" s="3">
        <v>11510</v>
      </c>
      <c r="E192" s="3">
        <v>11540</v>
      </c>
      <c r="F192" s="3">
        <v>11655</v>
      </c>
      <c r="G192" s="3">
        <v>11645</v>
      </c>
      <c r="H192" s="3">
        <v>11365</v>
      </c>
      <c r="I192" s="3">
        <v>11375</v>
      </c>
      <c r="J192" s="3">
        <v>11730</v>
      </c>
      <c r="K192" s="3">
        <v>11735</v>
      </c>
      <c r="L192" s="3">
        <v>12035</v>
      </c>
      <c r="M192" s="3">
        <v>12035</v>
      </c>
      <c r="N192" s="3">
        <v>12525</v>
      </c>
      <c r="O192" s="3">
        <v>12525</v>
      </c>
      <c r="P192" s="3">
        <v>12690</v>
      </c>
      <c r="Q192" s="3">
        <v>12680</v>
      </c>
      <c r="R192" s="3">
        <v>12530</v>
      </c>
      <c r="S192" s="3">
        <v>12525</v>
      </c>
      <c r="T192" s="3">
        <v>12375</v>
      </c>
      <c r="U192" s="3">
        <v>12365</v>
      </c>
      <c r="V192" s="3">
        <v>12830</v>
      </c>
      <c r="W192" s="3">
        <v>12830</v>
      </c>
      <c r="X192" s="3">
        <v>12575</v>
      </c>
      <c r="Y192" s="3">
        <v>12565</v>
      </c>
      <c r="Z192" s="3">
        <v>12710</v>
      </c>
      <c r="AA192" s="3">
        <v>12710</v>
      </c>
      <c r="AB192" s="3">
        <v>13300</v>
      </c>
      <c r="AC192" s="3">
        <v>13290</v>
      </c>
      <c r="AD192" s="3">
        <v>13175</v>
      </c>
      <c r="AE192" s="3">
        <v>13180</v>
      </c>
      <c r="AF192" s="3">
        <v>13860</v>
      </c>
      <c r="AG192" s="3">
        <v>13855</v>
      </c>
      <c r="AH192" s="3">
        <v>14305</v>
      </c>
      <c r="AI192" s="3">
        <v>14315</v>
      </c>
      <c r="AJ192" s="3">
        <v>13655</v>
      </c>
      <c r="AK192" s="3">
        <v>13670</v>
      </c>
      <c r="AL192" s="3">
        <v>13710</v>
      </c>
      <c r="AM192" s="3">
        <v>13695</v>
      </c>
      <c r="AN192" s="3">
        <v>13385</v>
      </c>
      <c r="AO192" s="3">
        <v>13385</v>
      </c>
      <c r="AP192" s="3">
        <v>13470</v>
      </c>
      <c r="AQ192" s="3">
        <v>13475</v>
      </c>
      <c r="AR192" s="4">
        <f t="shared" si="112"/>
        <v>1.2575888985255856E-2</v>
      </c>
      <c r="AS192" s="4">
        <f t="shared" si="84"/>
        <v>8.658008658009031E-4</v>
      </c>
      <c r="AT192" s="4">
        <f t="shared" si="85"/>
        <v>2.5088028169014009E-2</v>
      </c>
      <c r="AU192" s="4">
        <f t="shared" si="86"/>
        <v>3.4380305602716432E-2</v>
      </c>
      <c r="AV192" s="4">
        <f t="shared" si="87"/>
        <v>3.8494439692045024E-3</v>
      </c>
      <c r="AW192" s="4">
        <f t="shared" si="88"/>
        <v>1.4755480607082649E-2</v>
      </c>
      <c r="AX192" s="4">
        <f t="shared" si="89"/>
        <v>3.3842344201403307E-2</v>
      </c>
      <c r="AY192" s="4">
        <f t="shared" si="90"/>
        <v>7.8247261345852914E-3</v>
      </c>
      <c r="AZ192" s="4">
        <f t="shared" si="91"/>
        <v>1.5942606616181632E-3</v>
      </c>
      <c r="BA192" s="4">
        <f t="shared" si="92"/>
        <v>8.0808080808081328E-4</v>
      </c>
      <c r="BB192" s="4">
        <f t="shared" si="93"/>
        <v>4.0129712201053991E-2</v>
      </c>
      <c r="BC192" s="4">
        <f t="shared" si="94"/>
        <v>5.5401662049860967E-3</v>
      </c>
      <c r="BD192" s="4">
        <f t="shared" si="95"/>
        <v>1.0124610591900285E-2</v>
      </c>
      <c r="BE192" s="4">
        <f t="shared" si="96"/>
        <v>2.5067489394523745E-2</v>
      </c>
      <c r="BF192" s="4">
        <f t="shared" si="97"/>
        <v>6.8754774637127536E-3</v>
      </c>
      <c r="BG192" s="4">
        <f t="shared" si="98"/>
        <v>3.8995125609298853E-2</v>
      </c>
      <c r="BH192" s="4">
        <f t="shared" si="99"/>
        <v>2.911574406901507E-2</v>
      </c>
      <c r="BI192" s="4">
        <f t="shared" si="100"/>
        <v>1.4774774774774735E-2</v>
      </c>
      <c r="BJ192" s="4">
        <f t="shared" si="101"/>
        <v>1.8221574344022828E-3</v>
      </c>
      <c r="BK192" s="4">
        <f t="shared" si="102"/>
        <v>2.1921812203142155E-2</v>
      </c>
      <c r="BL192" s="4">
        <f t="shared" si="103"/>
        <v>1.4864362690449884E-3</v>
      </c>
      <c r="BM192" s="4">
        <f t="shared" si="113"/>
        <v>1.703117726803554E-2</v>
      </c>
      <c r="BN192" s="14">
        <f t="shared" si="114"/>
        <v>13684.154490141418</v>
      </c>
      <c r="BO192" s="15">
        <f t="shared" si="115"/>
        <v>13098.059562903427</v>
      </c>
      <c r="BP192" s="16">
        <v>13470</v>
      </c>
      <c r="BQ192" s="16">
        <v>13485</v>
      </c>
      <c r="BR192" s="16">
        <v>13465</v>
      </c>
      <c r="BS192" s="16">
        <v>13475</v>
      </c>
      <c r="BT192" s="16">
        <v>6762</v>
      </c>
      <c r="BU192" s="15">
        <f t="shared" si="104"/>
        <v>13475</v>
      </c>
      <c r="BV192" s="15">
        <f t="shared" si="105"/>
        <v>91117950</v>
      </c>
      <c r="BW192" s="15">
        <f>SUM($BV$3:BV192)</f>
        <v>207349998454.99994</v>
      </c>
      <c r="BX192" s="15">
        <f>SUM($BT$3:BT192)</f>
        <v>15289843</v>
      </c>
      <c r="BY192" s="15">
        <f t="shared" si="106"/>
        <v>13561.290227440526</v>
      </c>
      <c r="BZ192" s="3">
        <v>190</v>
      </c>
      <c r="CA192" s="3">
        <f t="shared" si="107"/>
        <v>0</v>
      </c>
      <c r="CB192" s="3">
        <f t="shared" si="108"/>
        <v>0</v>
      </c>
      <c r="CC192" s="3">
        <f t="shared" si="109"/>
        <v>0</v>
      </c>
      <c r="CD192" s="3" t="str">
        <f t="shared" si="110"/>
        <v/>
      </c>
      <c r="CE192" s="3">
        <f t="shared" si="111"/>
        <v>0</v>
      </c>
    </row>
    <row r="193" spans="1:83" x14ac:dyDescent="0.3">
      <c r="A193" s="3" t="s">
        <v>233</v>
      </c>
      <c r="B193" s="3">
        <v>11670</v>
      </c>
      <c r="C193" s="3">
        <v>11670</v>
      </c>
      <c r="D193" s="3">
        <v>11540</v>
      </c>
      <c r="E193" s="3">
        <v>11525</v>
      </c>
      <c r="F193" s="3">
        <v>11640</v>
      </c>
      <c r="G193" s="3">
        <v>11640</v>
      </c>
      <c r="H193" s="3">
        <v>11375</v>
      </c>
      <c r="I193" s="3">
        <v>11360</v>
      </c>
      <c r="J193" s="3">
        <v>11725</v>
      </c>
      <c r="K193" s="3">
        <v>11725</v>
      </c>
      <c r="L193" s="3">
        <v>12035</v>
      </c>
      <c r="M193" s="3">
        <v>12040</v>
      </c>
      <c r="N193" s="3">
        <v>12525</v>
      </c>
      <c r="O193" s="3">
        <v>12525</v>
      </c>
      <c r="P193" s="3">
        <v>12685</v>
      </c>
      <c r="Q193" s="3">
        <v>12675</v>
      </c>
      <c r="R193" s="3">
        <v>12525</v>
      </c>
      <c r="S193" s="3">
        <v>12535</v>
      </c>
      <c r="T193" s="3">
        <v>12370</v>
      </c>
      <c r="U193" s="3">
        <v>12370</v>
      </c>
      <c r="V193" s="3">
        <v>12830</v>
      </c>
      <c r="W193" s="3">
        <v>12820</v>
      </c>
      <c r="X193" s="3">
        <v>12570</v>
      </c>
      <c r="Y193" s="3">
        <v>12570</v>
      </c>
      <c r="Z193" s="3">
        <v>12715</v>
      </c>
      <c r="AA193" s="3">
        <v>12715</v>
      </c>
      <c r="AB193" s="3">
        <v>13290</v>
      </c>
      <c r="AC193" s="3">
        <v>13290</v>
      </c>
      <c r="AD193" s="3">
        <v>13185</v>
      </c>
      <c r="AE193" s="3">
        <v>13175</v>
      </c>
      <c r="AF193" s="3">
        <v>13850</v>
      </c>
      <c r="AG193" s="3">
        <v>13840</v>
      </c>
      <c r="AH193" s="3">
        <v>14315</v>
      </c>
      <c r="AI193" s="3">
        <v>14315</v>
      </c>
      <c r="AJ193" s="3">
        <v>13670</v>
      </c>
      <c r="AK193" s="3">
        <v>13680</v>
      </c>
      <c r="AL193" s="3">
        <v>13695</v>
      </c>
      <c r="AM193" s="3">
        <v>13710</v>
      </c>
      <c r="AN193" s="3">
        <v>13380</v>
      </c>
      <c r="AO193" s="3">
        <v>13375</v>
      </c>
      <c r="AP193" s="3">
        <v>13475</v>
      </c>
      <c r="AQ193" s="3">
        <v>13480</v>
      </c>
      <c r="AR193" s="4">
        <f t="shared" si="112"/>
        <v>1.2142237640936582E-2</v>
      </c>
      <c r="AS193" s="4">
        <f t="shared" si="84"/>
        <v>2.1645021645021467E-3</v>
      </c>
      <c r="AT193" s="4">
        <f t="shared" si="85"/>
        <v>2.464788732394374E-2</v>
      </c>
      <c r="AU193" s="4">
        <f t="shared" si="86"/>
        <v>3.5653650254668934E-2</v>
      </c>
      <c r="AV193" s="4">
        <f t="shared" si="87"/>
        <v>2.9940119760478723E-3</v>
      </c>
      <c r="AW193" s="4">
        <f t="shared" si="88"/>
        <v>1.5177065767284947E-2</v>
      </c>
      <c r="AX193" s="4">
        <f t="shared" si="89"/>
        <v>3.3842344201403307E-2</v>
      </c>
      <c r="AY193" s="4">
        <f t="shared" si="90"/>
        <v>8.215962441314506E-3</v>
      </c>
      <c r="AZ193" s="4">
        <f t="shared" si="91"/>
        <v>7.9713033080908158E-4</v>
      </c>
      <c r="BA193" s="4">
        <f t="shared" si="92"/>
        <v>4.0404040404040664E-4</v>
      </c>
      <c r="BB193" s="4">
        <f t="shared" si="93"/>
        <v>3.9319010944466992E-2</v>
      </c>
      <c r="BC193" s="4">
        <f t="shared" si="94"/>
        <v>5.1444400474871532E-3</v>
      </c>
      <c r="BD193" s="4">
        <f t="shared" si="95"/>
        <v>9.7352024922118252E-3</v>
      </c>
      <c r="BE193" s="4">
        <f t="shared" si="96"/>
        <v>2.5067489394523745E-2</v>
      </c>
      <c r="BF193" s="4">
        <f t="shared" si="97"/>
        <v>6.4935064935065512E-3</v>
      </c>
      <c r="BG193" s="4">
        <f t="shared" si="98"/>
        <v>3.7870266216722959E-2</v>
      </c>
      <c r="BH193" s="4">
        <f t="shared" si="99"/>
        <v>2.911574406901507E-2</v>
      </c>
      <c r="BI193" s="4">
        <f t="shared" si="100"/>
        <v>1.4054054054054022E-2</v>
      </c>
      <c r="BJ193" s="4">
        <f t="shared" si="101"/>
        <v>7.2886297376095754E-4</v>
      </c>
      <c r="BK193" s="4">
        <f t="shared" si="102"/>
        <v>2.2652539276580175E-2</v>
      </c>
      <c r="BL193" s="4">
        <f t="shared" si="103"/>
        <v>1.85804533630618E-3</v>
      </c>
      <c r="BM193" s="4">
        <f t="shared" si="113"/>
        <v>1.667432809570691E-2</v>
      </c>
      <c r="BN193" s="14">
        <f t="shared" si="114"/>
        <v>13679.353084527736</v>
      </c>
      <c r="BO193" s="15">
        <f t="shared" si="115"/>
        <v>13102.814578124706</v>
      </c>
      <c r="BP193" s="16">
        <v>13475</v>
      </c>
      <c r="BQ193" s="16">
        <v>13490</v>
      </c>
      <c r="BR193" s="16">
        <v>13475</v>
      </c>
      <c r="BS193" s="16">
        <v>13480</v>
      </c>
      <c r="BT193" s="16">
        <v>27325</v>
      </c>
      <c r="BU193" s="15">
        <f t="shared" si="104"/>
        <v>13481.666666666666</v>
      </c>
      <c r="BV193" s="15">
        <f t="shared" si="105"/>
        <v>368386541.66666663</v>
      </c>
      <c r="BW193" s="15">
        <f>SUM($BV$3:BV193)</f>
        <v>207718384996.6666</v>
      </c>
      <c r="BX193" s="15">
        <f>SUM($BT$3:BT193)</f>
        <v>15317168</v>
      </c>
      <c r="BY193" s="15">
        <f t="shared" si="106"/>
        <v>13561.148183310817</v>
      </c>
      <c r="BZ193" s="3">
        <v>191</v>
      </c>
      <c r="CA193" s="3">
        <f t="shared" si="107"/>
        <v>0</v>
      </c>
      <c r="CB193" s="3">
        <f t="shared" si="108"/>
        <v>0</v>
      </c>
      <c r="CC193" s="3">
        <f t="shared" si="109"/>
        <v>0</v>
      </c>
      <c r="CD193" s="3" t="str">
        <f t="shared" si="110"/>
        <v/>
      </c>
      <c r="CE193" s="3">
        <f t="shared" si="111"/>
        <v>0</v>
      </c>
    </row>
    <row r="194" spans="1:83" x14ac:dyDescent="0.3">
      <c r="A194" s="3" t="s">
        <v>234</v>
      </c>
      <c r="B194" s="3">
        <v>11670</v>
      </c>
      <c r="C194" s="3">
        <v>11670</v>
      </c>
      <c r="D194" s="3">
        <v>11530</v>
      </c>
      <c r="E194" s="3">
        <v>11530</v>
      </c>
      <c r="F194" s="3">
        <v>11645</v>
      </c>
      <c r="G194" s="3">
        <v>11645</v>
      </c>
      <c r="H194" s="3">
        <v>11360</v>
      </c>
      <c r="I194" s="3">
        <v>11370</v>
      </c>
      <c r="J194" s="3">
        <v>11725</v>
      </c>
      <c r="K194" s="3">
        <v>11730</v>
      </c>
      <c r="L194" s="3">
        <v>12040</v>
      </c>
      <c r="M194" s="3">
        <v>12030</v>
      </c>
      <c r="N194" s="3">
        <v>12525</v>
      </c>
      <c r="O194" s="3">
        <v>12520</v>
      </c>
      <c r="P194" s="3">
        <v>12675</v>
      </c>
      <c r="Q194" s="3">
        <v>12680</v>
      </c>
      <c r="R194" s="3">
        <v>12530</v>
      </c>
      <c r="S194" s="3">
        <v>12540</v>
      </c>
      <c r="T194" s="3">
        <v>12365</v>
      </c>
      <c r="U194" s="3">
        <v>12365</v>
      </c>
      <c r="V194" s="3">
        <v>12825</v>
      </c>
      <c r="W194" s="3">
        <v>12820</v>
      </c>
      <c r="X194" s="3">
        <v>12570</v>
      </c>
      <c r="Y194" s="3">
        <v>12575</v>
      </c>
      <c r="Z194" s="3">
        <v>12715</v>
      </c>
      <c r="AA194" s="3">
        <v>12720</v>
      </c>
      <c r="AB194" s="3">
        <v>13290</v>
      </c>
      <c r="AC194" s="3">
        <v>13300</v>
      </c>
      <c r="AD194" s="3">
        <v>13170</v>
      </c>
      <c r="AE194" s="3">
        <v>13175</v>
      </c>
      <c r="AF194" s="3">
        <v>13840</v>
      </c>
      <c r="AG194" s="3">
        <v>13830</v>
      </c>
      <c r="AH194" s="3">
        <v>14320</v>
      </c>
      <c r="AI194" s="3">
        <v>14340</v>
      </c>
      <c r="AJ194" s="3">
        <v>13675</v>
      </c>
      <c r="AK194" s="3">
        <v>13685</v>
      </c>
      <c r="AL194" s="3">
        <v>13710</v>
      </c>
      <c r="AM194" s="3">
        <v>13710</v>
      </c>
      <c r="AN194" s="3">
        <v>13375</v>
      </c>
      <c r="AO194" s="3">
        <v>13385</v>
      </c>
      <c r="AP194" s="3">
        <v>13485</v>
      </c>
      <c r="AQ194" s="3">
        <v>13470</v>
      </c>
      <c r="AR194" s="4">
        <f t="shared" si="112"/>
        <v>1.2142237640936582E-2</v>
      </c>
      <c r="AS194" s="4">
        <f t="shared" si="84"/>
        <v>1.7316017316016952E-3</v>
      </c>
      <c r="AT194" s="4">
        <f t="shared" si="85"/>
        <v>2.5088028169014009E-2</v>
      </c>
      <c r="AU194" s="4">
        <f t="shared" si="86"/>
        <v>3.4804753820034007E-2</v>
      </c>
      <c r="AV194" s="4">
        <f t="shared" si="87"/>
        <v>3.4217279726260763E-3</v>
      </c>
      <c r="AW194" s="4">
        <f t="shared" si="88"/>
        <v>1.4333895446880351E-2</v>
      </c>
      <c r="AX194" s="4">
        <f t="shared" si="89"/>
        <v>3.3429632686752031E-2</v>
      </c>
      <c r="AY194" s="4">
        <f t="shared" si="90"/>
        <v>7.8247261345852914E-3</v>
      </c>
      <c r="AZ194" s="4">
        <f t="shared" si="91"/>
        <v>3.985651654045963E-4</v>
      </c>
      <c r="BA194" s="4">
        <f t="shared" si="92"/>
        <v>8.0808080808081328E-4</v>
      </c>
      <c r="BB194" s="4">
        <f t="shared" si="93"/>
        <v>3.9319010944466992E-2</v>
      </c>
      <c r="BC194" s="4">
        <f t="shared" si="94"/>
        <v>4.7487138899880987E-3</v>
      </c>
      <c r="BD194" s="4">
        <f t="shared" si="95"/>
        <v>9.3457943925233655E-3</v>
      </c>
      <c r="BE194" s="4">
        <f t="shared" si="96"/>
        <v>2.5838796760509153E-2</v>
      </c>
      <c r="BF194" s="4">
        <f t="shared" si="97"/>
        <v>6.4935064935065512E-3</v>
      </c>
      <c r="BG194" s="4">
        <f t="shared" si="98"/>
        <v>3.7120359955005622E-2</v>
      </c>
      <c r="BH194" s="4">
        <f t="shared" si="99"/>
        <v>3.0913012221423397E-2</v>
      </c>
      <c r="BI194" s="4">
        <f t="shared" si="100"/>
        <v>1.3693693693693665E-2</v>
      </c>
      <c r="BJ194" s="4">
        <f t="shared" si="101"/>
        <v>7.2886297376095754E-4</v>
      </c>
      <c r="BK194" s="4">
        <f t="shared" si="102"/>
        <v>2.1921812203142155E-2</v>
      </c>
      <c r="BL194" s="4">
        <f t="shared" si="103"/>
        <v>1.1148272017837968E-3</v>
      </c>
      <c r="BM194" s="4">
        <f t="shared" si="113"/>
        <v>1.6613183451631621E-2</v>
      </c>
      <c r="BN194" s="14">
        <f t="shared" si="114"/>
        <v>13678.530383341704</v>
      </c>
      <c r="BO194" s="15">
        <f t="shared" si="115"/>
        <v>13103.629330507008</v>
      </c>
      <c r="BP194" s="16">
        <v>13485</v>
      </c>
      <c r="BQ194" s="16">
        <v>13485</v>
      </c>
      <c r="BR194" s="16">
        <v>13470</v>
      </c>
      <c r="BS194" s="16">
        <v>13470</v>
      </c>
      <c r="BT194" s="16">
        <v>8275</v>
      </c>
      <c r="BU194" s="15">
        <f t="shared" si="104"/>
        <v>13475</v>
      </c>
      <c r="BV194" s="15">
        <f t="shared" si="105"/>
        <v>111505625</v>
      </c>
      <c r="BW194" s="15">
        <f>SUM($BV$3:BV194)</f>
        <v>207829890621.6666</v>
      </c>
      <c r="BX194" s="15">
        <f>SUM($BT$3:BT194)</f>
        <v>15325443</v>
      </c>
      <c r="BY194" s="15">
        <f t="shared" si="106"/>
        <v>13561.101667447172</v>
      </c>
      <c r="BZ194" s="3">
        <v>192</v>
      </c>
      <c r="CA194" s="3">
        <f t="shared" si="107"/>
        <v>0</v>
      </c>
      <c r="CB194" s="3">
        <f t="shared" si="108"/>
        <v>0</v>
      </c>
      <c r="CC194" s="3">
        <f t="shared" si="109"/>
        <v>0</v>
      </c>
      <c r="CD194" s="3" t="str">
        <f t="shared" si="110"/>
        <v/>
      </c>
      <c r="CE194" s="3">
        <f t="shared" si="111"/>
        <v>0</v>
      </c>
    </row>
    <row r="195" spans="1:83" x14ac:dyDescent="0.3">
      <c r="A195" s="3" t="s">
        <v>235</v>
      </c>
      <c r="B195" s="3">
        <v>11675</v>
      </c>
      <c r="C195" s="3">
        <v>11675</v>
      </c>
      <c r="D195" s="3">
        <v>11530</v>
      </c>
      <c r="E195" s="3">
        <v>11525</v>
      </c>
      <c r="F195" s="3">
        <v>11645</v>
      </c>
      <c r="G195" s="3">
        <v>11640</v>
      </c>
      <c r="H195" s="3">
        <v>11370</v>
      </c>
      <c r="I195" s="3">
        <v>11375</v>
      </c>
      <c r="J195" s="3">
        <v>11735</v>
      </c>
      <c r="K195" s="3">
        <v>11725</v>
      </c>
      <c r="L195" s="3">
        <v>12030</v>
      </c>
      <c r="M195" s="3">
        <v>12040</v>
      </c>
      <c r="N195" s="3">
        <v>12520</v>
      </c>
      <c r="O195" s="3">
        <v>12530</v>
      </c>
      <c r="P195" s="3">
        <v>12680</v>
      </c>
      <c r="Q195" s="3">
        <v>12675</v>
      </c>
      <c r="R195" s="3">
        <v>12535</v>
      </c>
      <c r="S195" s="3">
        <v>12540</v>
      </c>
      <c r="T195" s="3">
        <v>12360</v>
      </c>
      <c r="U195" s="3">
        <v>12340</v>
      </c>
      <c r="V195" s="3">
        <v>12825</v>
      </c>
      <c r="W195" s="3">
        <v>12825</v>
      </c>
      <c r="X195" s="3">
        <v>12570</v>
      </c>
      <c r="Y195" s="3">
        <v>12575</v>
      </c>
      <c r="Z195" s="3">
        <v>12725</v>
      </c>
      <c r="AA195" s="3">
        <v>12725</v>
      </c>
      <c r="AB195" s="3">
        <v>13300</v>
      </c>
      <c r="AC195" s="3">
        <v>13295</v>
      </c>
      <c r="AD195" s="3">
        <v>13180</v>
      </c>
      <c r="AE195" s="3">
        <v>13180</v>
      </c>
      <c r="AF195" s="3">
        <v>13830</v>
      </c>
      <c r="AG195" s="3">
        <v>13850</v>
      </c>
      <c r="AH195" s="3">
        <v>14340</v>
      </c>
      <c r="AI195" s="3">
        <v>14340</v>
      </c>
      <c r="AJ195" s="3">
        <v>13685</v>
      </c>
      <c r="AK195" s="3">
        <v>13685</v>
      </c>
      <c r="AL195" s="3">
        <v>13715</v>
      </c>
      <c r="AM195" s="3">
        <v>13725</v>
      </c>
      <c r="AN195" s="3">
        <v>13385</v>
      </c>
      <c r="AO195" s="3">
        <v>13395</v>
      </c>
      <c r="AP195" s="3">
        <v>13470</v>
      </c>
      <c r="AQ195" s="3">
        <v>13480</v>
      </c>
      <c r="AR195" s="4">
        <f t="shared" si="112"/>
        <v>1.2575888985255856E-2</v>
      </c>
      <c r="AS195" s="4">
        <f t="shared" si="84"/>
        <v>2.1645021645021467E-3</v>
      </c>
      <c r="AT195" s="4">
        <f t="shared" si="85"/>
        <v>2.464788732394374E-2</v>
      </c>
      <c r="AU195" s="4">
        <f t="shared" si="86"/>
        <v>3.4380305602716432E-2</v>
      </c>
      <c r="AV195" s="4">
        <f t="shared" si="87"/>
        <v>2.9940119760478723E-3</v>
      </c>
      <c r="AW195" s="4">
        <f t="shared" si="88"/>
        <v>1.5177065767284947E-2</v>
      </c>
      <c r="AX195" s="4">
        <f t="shared" si="89"/>
        <v>3.4255055716054583E-2</v>
      </c>
      <c r="AY195" s="4">
        <f t="shared" si="90"/>
        <v>8.215962441314506E-3</v>
      </c>
      <c r="AZ195" s="4">
        <f t="shared" si="91"/>
        <v>3.985651654045963E-4</v>
      </c>
      <c r="BA195" s="4">
        <f t="shared" si="92"/>
        <v>2.8282828282828465E-3</v>
      </c>
      <c r="BB195" s="4">
        <f t="shared" si="93"/>
        <v>3.9724361572760492E-2</v>
      </c>
      <c r="BC195" s="4">
        <f t="shared" si="94"/>
        <v>4.7487138899880987E-3</v>
      </c>
      <c r="BD195" s="4">
        <f t="shared" si="95"/>
        <v>8.9563862928349058E-3</v>
      </c>
      <c r="BE195" s="4">
        <f t="shared" si="96"/>
        <v>2.5453143077516449E-2</v>
      </c>
      <c r="BF195" s="4">
        <f t="shared" si="97"/>
        <v>6.8754774637127536E-3</v>
      </c>
      <c r="BG195" s="4">
        <f t="shared" si="98"/>
        <v>3.8620172478440296E-2</v>
      </c>
      <c r="BH195" s="4">
        <f t="shared" si="99"/>
        <v>3.0913012221423397E-2</v>
      </c>
      <c r="BI195" s="4">
        <f t="shared" si="100"/>
        <v>1.3693693693693665E-2</v>
      </c>
      <c r="BJ195" s="4">
        <f t="shared" si="101"/>
        <v>3.6443148688047877E-4</v>
      </c>
      <c r="BK195" s="4">
        <f t="shared" si="102"/>
        <v>2.1191085129704024E-2</v>
      </c>
      <c r="BL195" s="4">
        <f t="shared" si="103"/>
        <v>1.85804533630618E-3</v>
      </c>
      <c r="BM195" s="4">
        <f t="shared" si="113"/>
        <v>1.6874167389857937E-2</v>
      </c>
      <c r="BN195" s="14">
        <f t="shared" si="114"/>
        <v>13682.041922230539</v>
      </c>
      <c r="BO195" s="15">
        <f t="shared" si="115"/>
        <v>13100.151719530144</v>
      </c>
      <c r="BP195" s="16">
        <v>13470</v>
      </c>
      <c r="BQ195" s="16">
        <v>13480</v>
      </c>
      <c r="BR195" s="16">
        <v>13465</v>
      </c>
      <c r="BS195" s="16">
        <v>13480</v>
      </c>
      <c r="BT195" s="16">
        <v>22193</v>
      </c>
      <c r="BU195" s="15">
        <f t="shared" si="104"/>
        <v>13475</v>
      </c>
      <c r="BV195" s="15">
        <f t="shared" si="105"/>
        <v>299050675</v>
      </c>
      <c r="BW195" s="15">
        <f>SUM($BV$3:BV195)</f>
        <v>208128941296.6666</v>
      </c>
      <c r="BX195" s="15">
        <f>SUM($BT$3:BT195)</f>
        <v>15347636</v>
      </c>
      <c r="BY195" s="15">
        <f t="shared" si="106"/>
        <v>13560.977162650104</v>
      </c>
      <c r="BZ195" s="3">
        <v>193</v>
      </c>
      <c r="CA195" s="3">
        <f t="shared" si="107"/>
        <v>0</v>
      </c>
      <c r="CB195" s="3">
        <f t="shared" si="108"/>
        <v>0</v>
      </c>
      <c r="CC195" s="3">
        <f t="shared" si="109"/>
        <v>0</v>
      </c>
      <c r="CD195" s="3" t="str">
        <f t="shared" si="110"/>
        <v/>
      </c>
      <c r="CE195" s="3">
        <f t="shared" si="111"/>
        <v>0</v>
      </c>
    </row>
    <row r="196" spans="1:83" x14ac:dyDescent="0.3">
      <c r="A196" s="3" t="s">
        <v>236</v>
      </c>
      <c r="B196" s="3">
        <v>11675</v>
      </c>
      <c r="C196" s="3">
        <v>11680</v>
      </c>
      <c r="D196" s="3">
        <v>11525</v>
      </c>
      <c r="E196" s="3">
        <v>11525</v>
      </c>
      <c r="F196" s="3">
        <v>11640</v>
      </c>
      <c r="G196" s="3">
        <v>11630</v>
      </c>
      <c r="H196" s="3">
        <v>11375</v>
      </c>
      <c r="I196" s="3">
        <v>11375</v>
      </c>
      <c r="J196" s="3">
        <v>11725</v>
      </c>
      <c r="K196" s="3">
        <v>11735</v>
      </c>
      <c r="L196" s="3">
        <v>12040</v>
      </c>
      <c r="M196" s="3">
        <v>12050</v>
      </c>
      <c r="N196" s="3">
        <v>12525</v>
      </c>
      <c r="O196" s="3">
        <v>12540</v>
      </c>
      <c r="P196" s="3">
        <v>12675</v>
      </c>
      <c r="Q196" s="3">
        <v>12670</v>
      </c>
      <c r="R196" s="3">
        <v>12540</v>
      </c>
      <c r="S196" s="3">
        <v>12525</v>
      </c>
      <c r="T196" s="3">
        <v>12340</v>
      </c>
      <c r="U196" s="3">
        <v>12335</v>
      </c>
      <c r="V196" s="3">
        <v>12830</v>
      </c>
      <c r="W196" s="3">
        <v>12825</v>
      </c>
      <c r="X196" s="3">
        <v>12575</v>
      </c>
      <c r="Y196" s="3">
        <v>12570</v>
      </c>
      <c r="Z196" s="3">
        <v>12725</v>
      </c>
      <c r="AA196" s="3">
        <v>12730</v>
      </c>
      <c r="AB196" s="3">
        <v>13300</v>
      </c>
      <c r="AC196" s="3">
        <v>13285</v>
      </c>
      <c r="AD196" s="3">
        <v>13185</v>
      </c>
      <c r="AE196" s="3">
        <v>13190</v>
      </c>
      <c r="AF196" s="3">
        <v>13845</v>
      </c>
      <c r="AG196" s="3">
        <v>13830</v>
      </c>
      <c r="AH196" s="3">
        <v>14340</v>
      </c>
      <c r="AI196" s="3">
        <v>14340</v>
      </c>
      <c r="AJ196" s="3">
        <v>13685</v>
      </c>
      <c r="AK196" s="3">
        <v>13685</v>
      </c>
      <c r="AL196" s="3">
        <v>13725</v>
      </c>
      <c r="AM196" s="3">
        <v>13730</v>
      </c>
      <c r="AN196" s="3">
        <v>13390</v>
      </c>
      <c r="AO196" s="3">
        <v>13390</v>
      </c>
      <c r="AP196" s="3">
        <v>13480</v>
      </c>
      <c r="AQ196" s="3">
        <v>13475</v>
      </c>
      <c r="AR196" s="4">
        <f t="shared" si="112"/>
        <v>1.3009540329575131E-2</v>
      </c>
      <c r="AS196" s="4">
        <f t="shared" ref="AS196:AS259" si="116">ABS(E196/D$3-1)</f>
        <v>2.1645021645021467E-3</v>
      </c>
      <c r="AT196" s="4">
        <f t="shared" ref="AT196:AT259" si="117">ABS(G196/F$3-1)</f>
        <v>2.3767605633802757E-2</v>
      </c>
      <c r="AU196" s="4">
        <f t="shared" ref="AU196:AU259" si="118">ABS(I196/H$3-1)</f>
        <v>3.4380305602716432E-2</v>
      </c>
      <c r="AV196" s="4">
        <f t="shared" ref="AV196:AV259" si="119">ABS(K196/J$3-1)</f>
        <v>3.8494439692045024E-3</v>
      </c>
      <c r="AW196" s="4">
        <f t="shared" ref="AW196:AW259" si="120">ABS(M196/L$3-1)</f>
        <v>1.6020236087689765E-2</v>
      </c>
      <c r="AX196" s="4">
        <f t="shared" ref="AX196:AX259" si="121">ABS(O196/N$3-1)</f>
        <v>3.5080478745356913E-2</v>
      </c>
      <c r="AY196" s="4">
        <f t="shared" ref="AY196:AY259" si="122">ABS(Q196/P$3-1)</f>
        <v>8.6071987480438317E-3</v>
      </c>
      <c r="AZ196" s="4">
        <f t="shared" ref="AZ196:AZ259" si="123">ABS(S196/R$3-1)</f>
        <v>1.5942606616181632E-3</v>
      </c>
      <c r="BA196" s="4">
        <f t="shared" ref="BA196:BA259" si="124">ABS(U196/T$3-1)</f>
        <v>3.2323232323232531E-3</v>
      </c>
      <c r="BB196" s="4">
        <f t="shared" ref="BB196:BB259" si="125">ABS(W196/V$3-1)</f>
        <v>3.9724361572760492E-2</v>
      </c>
      <c r="BC196" s="4">
        <f t="shared" ref="BC196:BC259" si="126">ABS(Y196/X$3-1)</f>
        <v>5.1444400474871532E-3</v>
      </c>
      <c r="BD196" s="4">
        <f t="shared" ref="BD196:BD259" si="127">ABS(AA196/Z$3-1)</f>
        <v>8.5669781931464462E-3</v>
      </c>
      <c r="BE196" s="4">
        <f t="shared" ref="BE196:BE259" si="128">ABS(AC196/AB$3-1)</f>
        <v>2.4681835711531042E-2</v>
      </c>
      <c r="BF196" s="4">
        <f t="shared" ref="BF196:BF259" si="129">ABS(AE196/AD$3-1)</f>
        <v>7.6394194041253805E-3</v>
      </c>
      <c r="BG196" s="4">
        <f t="shared" ref="BG196:BG259" si="130">ABS(AG196/AF$3-1)</f>
        <v>3.7120359955005622E-2</v>
      </c>
      <c r="BH196" s="4">
        <f t="shared" ref="BH196:BH259" si="131">ABS(AI196/AH$3-1)</f>
        <v>3.0913012221423397E-2</v>
      </c>
      <c r="BI196" s="4">
        <f t="shared" ref="BI196:BI259" si="132">ABS(AK196/AJ$3-1)</f>
        <v>1.3693693693693665E-2</v>
      </c>
      <c r="BJ196" s="4">
        <f t="shared" ref="BJ196:BJ259" si="133">ABS(AM196/AL$3-1)</f>
        <v>7.2886297376095754E-4</v>
      </c>
      <c r="BK196" s="4">
        <f t="shared" ref="BK196:BK259" si="134">ABS(AO196/AN$3-1)</f>
        <v>2.1556448666423145E-2</v>
      </c>
      <c r="BL196" s="4">
        <f t="shared" ref="BL196:BL259" si="135">ABS(AQ196/AP$3-1)</f>
        <v>1.4864362690449884E-3</v>
      </c>
      <c r="BM196" s="4">
        <f t="shared" si="113"/>
        <v>1.7020262416192818E-2</v>
      </c>
      <c r="BN196" s="14">
        <f t="shared" si="114"/>
        <v>13684.007630809874</v>
      </c>
      <c r="BO196" s="15">
        <f t="shared" si="115"/>
        <v>13098.205003304231</v>
      </c>
      <c r="BP196" s="16">
        <v>13480</v>
      </c>
      <c r="BQ196" s="16">
        <v>13485</v>
      </c>
      <c r="BR196" s="16">
        <v>13475</v>
      </c>
      <c r="BS196" s="16">
        <v>13475</v>
      </c>
      <c r="BT196" s="16">
        <v>9907</v>
      </c>
      <c r="BU196" s="15">
        <f t="shared" ref="BU196:BU259" si="136">SUM(BQ196:BS196)/3</f>
        <v>13478.333333333334</v>
      </c>
      <c r="BV196" s="15">
        <f t="shared" ref="BV196:BV259" si="137">BU196*BT196</f>
        <v>133529848.33333334</v>
      </c>
      <c r="BW196" s="15">
        <f>SUM($BV$3:BV196)</f>
        <v>208262471144.99994</v>
      </c>
      <c r="BX196" s="15">
        <f>SUM($BT$3:BT196)</f>
        <v>15357543</v>
      </c>
      <c r="BY196" s="15">
        <f t="shared" ref="BY196:BY259" si="138">BW196/BX196</f>
        <v>13560.923849928335</v>
      </c>
      <c r="BZ196" s="3">
        <v>194</v>
      </c>
      <c r="CA196" s="3">
        <f t="shared" ref="CA196:CA259" si="139">IF(AND(BS196&gt;BN196,BS196&gt;BY196), 1, 0)</f>
        <v>0</v>
      </c>
      <c r="CB196" s="3">
        <f t="shared" ref="CB196:CB259" si="140">IF(AND(BS196&lt;BO196, BS196&lt;BY196), -1, 0)</f>
        <v>0</v>
      </c>
      <c r="CC196" s="3">
        <f t="shared" ref="CC196:CC259" si="141">SUM(CA196:CB196)</f>
        <v>0</v>
      </c>
      <c r="CD196" s="3" t="str">
        <f t="shared" ref="CD196:CD259" si="142">IF(MOD(BZ196,$CD$2)=0,CC196,"")</f>
        <v/>
      </c>
      <c r="CE196" s="3">
        <f t="shared" ref="CE196:CE259" si="143">IF(OR(CD196=1, AND(CE195=1, CD196&lt;&gt;0)), 1, 0)</f>
        <v>0</v>
      </c>
    </row>
    <row r="197" spans="1:83" x14ac:dyDescent="0.3">
      <c r="A197" s="3" t="s">
        <v>237</v>
      </c>
      <c r="B197" s="3">
        <v>11675</v>
      </c>
      <c r="C197" s="3">
        <v>11680</v>
      </c>
      <c r="D197" s="3">
        <v>11525</v>
      </c>
      <c r="E197" s="3">
        <v>11515</v>
      </c>
      <c r="F197" s="3">
        <v>11630</v>
      </c>
      <c r="G197" s="3">
        <v>11630</v>
      </c>
      <c r="H197" s="3">
        <v>11375</v>
      </c>
      <c r="I197" s="3">
        <v>11360</v>
      </c>
      <c r="J197" s="3">
        <v>11735</v>
      </c>
      <c r="K197" s="3">
        <v>11740</v>
      </c>
      <c r="L197" s="3">
        <v>12055</v>
      </c>
      <c r="M197" s="3">
        <v>12045</v>
      </c>
      <c r="N197" s="3">
        <v>12545</v>
      </c>
      <c r="O197" s="3">
        <v>12545</v>
      </c>
      <c r="P197" s="3">
        <v>12670</v>
      </c>
      <c r="Q197" s="3">
        <v>12655</v>
      </c>
      <c r="R197" s="3">
        <v>12525</v>
      </c>
      <c r="S197" s="3">
        <v>12520</v>
      </c>
      <c r="T197" s="3">
        <v>12335</v>
      </c>
      <c r="U197" s="3">
        <v>12325</v>
      </c>
      <c r="V197" s="3">
        <v>12825</v>
      </c>
      <c r="W197" s="3">
        <v>12825</v>
      </c>
      <c r="X197" s="3">
        <v>12565</v>
      </c>
      <c r="Y197" s="3">
        <v>12565</v>
      </c>
      <c r="Z197" s="3">
        <v>12730</v>
      </c>
      <c r="AA197" s="3">
        <v>12745</v>
      </c>
      <c r="AB197" s="3">
        <v>13285</v>
      </c>
      <c r="AC197" s="3">
        <v>13285</v>
      </c>
      <c r="AD197" s="3">
        <v>13190</v>
      </c>
      <c r="AE197" s="3">
        <v>13185</v>
      </c>
      <c r="AF197" s="3">
        <v>13835</v>
      </c>
      <c r="AG197" s="3">
        <v>13830</v>
      </c>
      <c r="AH197" s="3">
        <v>14335</v>
      </c>
      <c r="AI197" s="3">
        <v>14325</v>
      </c>
      <c r="AJ197" s="3">
        <v>13685</v>
      </c>
      <c r="AK197" s="3">
        <v>13690</v>
      </c>
      <c r="AL197" s="3">
        <v>13730</v>
      </c>
      <c r="AM197" s="3">
        <v>13735</v>
      </c>
      <c r="AN197" s="3">
        <v>13385</v>
      </c>
      <c r="AO197" s="3">
        <v>13405</v>
      </c>
      <c r="AP197" s="3">
        <v>13475</v>
      </c>
      <c r="AQ197" s="3">
        <v>13475</v>
      </c>
      <c r="AR197" s="4">
        <f t="shared" ref="AR197:AR260" si="144">ABS(C197/B$3-1)</f>
        <v>1.3009540329575131E-2</v>
      </c>
      <c r="AS197" s="4">
        <f t="shared" si="116"/>
        <v>3.0303030303030498E-3</v>
      </c>
      <c r="AT197" s="4">
        <f t="shared" si="117"/>
        <v>2.3767605633802757E-2</v>
      </c>
      <c r="AU197" s="4">
        <f t="shared" si="118"/>
        <v>3.5653650254668934E-2</v>
      </c>
      <c r="AV197" s="4">
        <f t="shared" si="119"/>
        <v>4.2771599657827064E-3</v>
      </c>
      <c r="AW197" s="4">
        <f t="shared" si="120"/>
        <v>1.5598650927487245E-2</v>
      </c>
      <c r="AX197" s="4">
        <f t="shared" si="121"/>
        <v>3.5493190260008189E-2</v>
      </c>
      <c r="AY197" s="4">
        <f t="shared" si="122"/>
        <v>9.7809076682315865E-3</v>
      </c>
      <c r="AZ197" s="4">
        <f t="shared" si="123"/>
        <v>1.9928258270227595E-3</v>
      </c>
      <c r="BA197" s="4">
        <f t="shared" si="124"/>
        <v>4.0404040404040664E-3</v>
      </c>
      <c r="BB197" s="4">
        <f t="shared" si="125"/>
        <v>3.9724361572760492E-2</v>
      </c>
      <c r="BC197" s="4">
        <f t="shared" si="126"/>
        <v>5.5401662049860967E-3</v>
      </c>
      <c r="BD197" s="4">
        <f t="shared" si="127"/>
        <v>7.3987538940809561E-3</v>
      </c>
      <c r="BE197" s="4">
        <f t="shared" si="128"/>
        <v>2.4681835711531042E-2</v>
      </c>
      <c r="BF197" s="4">
        <f t="shared" si="129"/>
        <v>7.257448433918956E-3</v>
      </c>
      <c r="BG197" s="4">
        <f t="shared" si="130"/>
        <v>3.7120359955005622E-2</v>
      </c>
      <c r="BH197" s="4">
        <f t="shared" si="131"/>
        <v>2.9834651329978534E-2</v>
      </c>
      <c r="BI197" s="4">
        <f t="shared" si="132"/>
        <v>1.3333333333333308E-2</v>
      </c>
      <c r="BJ197" s="4">
        <f t="shared" si="133"/>
        <v>1.0932944606414363E-3</v>
      </c>
      <c r="BK197" s="4">
        <f t="shared" si="134"/>
        <v>2.0460358056266004E-2</v>
      </c>
      <c r="BL197" s="4">
        <f t="shared" si="135"/>
        <v>1.4864362690449884E-3</v>
      </c>
      <c r="BM197" s="4">
        <f t="shared" ref="BM197:BM260" si="145">AVERAGE(AX197:BK197)</f>
        <v>1.6982277910583505E-2</v>
      </c>
      <c r="BN197" s="14">
        <f t="shared" ref="BN197:BN260" si="146">MAX($AP$3,$AO$383)*(1+BM197)</f>
        <v>13683.496549286901</v>
      </c>
      <c r="BO197" s="15">
        <f t="shared" ref="BO197:BO260" si="147">MIN($AP$3,$AO$383)*(1-BM197)</f>
        <v>13098.711146841475</v>
      </c>
      <c r="BP197" s="16">
        <v>13475</v>
      </c>
      <c r="BQ197" s="16">
        <v>13475</v>
      </c>
      <c r="BR197" s="16">
        <v>13470</v>
      </c>
      <c r="BS197" s="16">
        <v>13475</v>
      </c>
      <c r="BT197" s="16">
        <v>7238</v>
      </c>
      <c r="BU197" s="15">
        <f t="shared" si="136"/>
        <v>13473.333333333334</v>
      </c>
      <c r="BV197" s="15">
        <f t="shared" si="137"/>
        <v>97519986.666666672</v>
      </c>
      <c r="BW197" s="15">
        <f>SUM($BV$3:BV197)</f>
        <v>208359991131.6666</v>
      </c>
      <c r="BX197" s="15">
        <f>SUM($BT$3:BT197)</f>
        <v>15364781</v>
      </c>
      <c r="BY197" s="15">
        <f t="shared" si="138"/>
        <v>13560.882588021697</v>
      </c>
      <c r="BZ197" s="3">
        <v>195</v>
      </c>
      <c r="CA197" s="3">
        <f t="shared" si="139"/>
        <v>0</v>
      </c>
      <c r="CB197" s="3">
        <f t="shared" si="140"/>
        <v>0</v>
      </c>
      <c r="CC197" s="3">
        <f t="shared" si="141"/>
        <v>0</v>
      </c>
      <c r="CD197" s="3">
        <f t="shared" si="142"/>
        <v>0</v>
      </c>
      <c r="CE197" s="3">
        <f t="shared" si="143"/>
        <v>0</v>
      </c>
    </row>
    <row r="198" spans="1:83" x14ac:dyDescent="0.3">
      <c r="A198" s="3" t="s">
        <v>238</v>
      </c>
      <c r="B198" s="3">
        <v>11685</v>
      </c>
      <c r="C198" s="3">
        <v>11685</v>
      </c>
      <c r="D198" s="3">
        <v>11515</v>
      </c>
      <c r="E198" s="3">
        <v>11510</v>
      </c>
      <c r="F198" s="3">
        <v>11630</v>
      </c>
      <c r="G198" s="3">
        <v>11625</v>
      </c>
      <c r="H198" s="3">
        <v>11360</v>
      </c>
      <c r="I198" s="3">
        <v>11360</v>
      </c>
      <c r="J198" s="3">
        <v>11735</v>
      </c>
      <c r="K198" s="3">
        <v>11740</v>
      </c>
      <c r="L198" s="3">
        <v>12040</v>
      </c>
      <c r="M198" s="3">
        <v>12035</v>
      </c>
      <c r="N198" s="3">
        <v>12545</v>
      </c>
      <c r="O198" s="3">
        <v>12545</v>
      </c>
      <c r="P198" s="3">
        <v>12650</v>
      </c>
      <c r="Q198" s="3">
        <v>12650</v>
      </c>
      <c r="R198" s="3">
        <v>12520</v>
      </c>
      <c r="S198" s="3">
        <v>12505</v>
      </c>
      <c r="T198" s="3">
        <v>12320</v>
      </c>
      <c r="U198" s="3">
        <v>12340</v>
      </c>
      <c r="V198" s="3">
        <v>12825</v>
      </c>
      <c r="W198" s="3">
        <v>12820</v>
      </c>
      <c r="X198" s="3">
        <v>12570</v>
      </c>
      <c r="Y198" s="3">
        <v>12540</v>
      </c>
      <c r="Z198" s="3">
        <v>12745</v>
      </c>
      <c r="AA198" s="3">
        <v>12730</v>
      </c>
      <c r="AB198" s="3">
        <v>13285</v>
      </c>
      <c r="AC198" s="3">
        <v>13280</v>
      </c>
      <c r="AD198" s="3">
        <v>13185</v>
      </c>
      <c r="AE198" s="3">
        <v>13215</v>
      </c>
      <c r="AF198" s="3">
        <v>13835</v>
      </c>
      <c r="AG198" s="3">
        <v>13815</v>
      </c>
      <c r="AH198" s="3">
        <v>14325</v>
      </c>
      <c r="AI198" s="3">
        <v>14315</v>
      </c>
      <c r="AJ198" s="3">
        <v>13690</v>
      </c>
      <c r="AK198" s="3">
        <v>13695</v>
      </c>
      <c r="AL198" s="3">
        <v>13735</v>
      </c>
      <c r="AM198" s="3">
        <v>13730</v>
      </c>
      <c r="AN198" s="3">
        <v>13405</v>
      </c>
      <c r="AO198" s="3">
        <v>13395</v>
      </c>
      <c r="AP198" s="3">
        <v>13470</v>
      </c>
      <c r="AQ198" s="3">
        <v>13465</v>
      </c>
      <c r="AR198" s="4">
        <f t="shared" si="144"/>
        <v>1.3443191673894184E-2</v>
      </c>
      <c r="AS198" s="4">
        <f t="shared" si="116"/>
        <v>3.4632034632035014E-3</v>
      </c>
      <c r="AT198" s="4">
        <f t="shared" si="117"/>
        <v>2.3327464788732488E-2</v>
      </c>
      <c r="AU198" s="4">
        <f t="shared" si="118"/>
        <v>3.5653650254668934E-2</v>
      </c>
      <c r="AV198" s="4">
        <f t="shared" si="119"/>
        <v>4.2771599657827064E-3</v>
      </c>
      <c r="AW198" s="4">
        <f t="shared" si="120"/>
        <v>1.4755480607082649E-2</v>
      </c>
      <c r="AX198" s="4">
        <f t="shared" si="121"/>
        <v>3.5493190260008189E-2</v>
      </c>
      <c r="AY198" s="4">
        <f t="shared" si="122"/>
        <v>1.0172143974960912E-2</v>
      </c>
      <c r="AZ198" s="4">
        <f t="shared" si="123"/>
        <v>3.1885213232363263E-3</v>
      </c>
      <c r="BA198" s="4">
        <f t="shared" si="124"/>
        <v>2.8282828282828465E-3</v>
      </c>
      <c r="BB198" s="4">
        <f t="shared" si="125"/>
        <v>3.9319010944466992E-2</v>
      </c>
      <c r="BC198" s="4">
        <f t="shared" si="126"/>
        <v>7.5187969924812581E-3</v>
      </c>
      <c r="BD198" s="4">
        <f t="shared" si="127"/>
        <v>8.5669781931464462E-3</v>
      </c>
      <c r="BE198" s="4">
        <f t="shared" si="128"/>
        <v>2.4296182028538338E-2</v>
      </c>
      <c r="BF198" s="4">
        <f t="shared" si="129"/>
        <v>9.5492742551566145E-3</v>
      </c>
      <c r="BG198" s="4">
        <f t="shared" si="130"/>
        <v>3.5995500562429728E-2</v>
      </c>
      <c r="BH198" s="4">
        <f t="shared" si="131"/>
        <v>2.911574406901507E-2</v>
      </c>
      <c r="BI198" s="4">
        <f t="shared" si="132"/>
        <v>1.2972972972972951E-2</v>
      </c>
      <c r="BJ198" s="4">
        <f t="shared" si="133"/>
        <v>7.2886297376095754E-4</v>
      </c>
      <c r="BK198" s="4">
        <f t="shared" si="134"/>
        <v>2.1191085129704024E-2</v>
      </c>
      <c r="BL198" s="4">
        <f t="shared" si="135"/>
        <v>7.4321813452238317E-4</v>
      </c>
      <c r="BM198" s="4">
        <f t="shared" si="145"/>
        <v>1.7209753322011474E-2</v>
      </c>
      <c r="BN198" s="14">
        <f t="shared" si="146"/>
        <v>13686.557230947665</v>
      </c>
      <c r="BO198" s="15">
        <f t="shared" si="147"/>
        <v>13095.680036984197</v>
      </c>
      <c r="BP198" s="16">
        <v>13470</v>
      </c>
      <c r="BQ198" s="16">
        <v>13470</v>
      </c>
      <c r="BR198" s="16">
        <v>13455</v>
      </c>
      <c r="BS198" s="16">
        <v>13465</v>
      </c>
      <c r="BT198" s="16">
        <v>21334</v>
      </c>
      <c r="BU198" s="15">
        <f t="shared" si="136"/>
        <v>13463.333333333334</v>
      </c>
      <c r="BV198" s="15">
        <f t="shared" si="137"/>
        <v>287226753.33333337</v>
      </c>
      <c r="BW198" s="15">
        <f>SUM($BV$3:BV198)</f>
        <v>208647217884.99994</v>
      </c>
      <c r="BX198" s="15">
        <f>SUM($BT$3:BT198)</f>
        <v>15386115</v>
      </c>
      <c r="BY198" s="15">
        <f t="shared" si="138"/>
        <v>13560.747328679134</v>
      </c>
      <c r="BZ198" s="3">
        <v>196</v>
      </c>
      <c r="CA198" s="3">
        <f t="shared" si="139"/>
        <v>0</v>
      </c>
      <c r="CB198" s="3">
        <f t="shared" si="140"/>
        <v>0</v>
      </c>
      <c r="CC198" s="3">
        <f t="shared" si="141"/>
        <v>0</v>
      </c>
      <c r="CD198" s="3" t="str">
        <f t="shared" si="142"/>
        <v/>
      </c>
      <c r="CE198" s="3">
        <f t="shared" si="143"/>
        <v>0</v>
      </c>
    </row>
    <row r="199" spans="1:83" x14ac:dyDescent="0.3">
      <c r="A199" s="3" t="s">
        <v>239</v>
      </c>
      <c r="B199" s="3">
        <v>11685</v>
      </c>
      <c r="C199" s="3">
        <v>11680</v>
      </c>
      <c r="D199" s="3">
        <v>11505</v>
      </c>
      <c r="E199" s="3">
        <v>11505</v>
      </c>
      <c r="F199" s="3">
        <v>11630</v>
      </c>
      <c r="G199" s="3">
        <v>11625</v>
      </c>
      <c r="H199" s="3">
        <v>11360</v>
      </c>
      <c r="I199" s="3">
        <v>11375</v>
      </c>
      <c r="J199" s="3">
        <v>11745</v>
      </c>
      <c r="K199" s="3">
        <v>11740</v>
      </c>
      <c r="L199" s="3">
        <v>12035</v>
      </c>
      <c r="M199" s="3">
        <v>12040</v>
      </c>
      <c r="N199" s="3">
        <v>12550</v>
      </c>
      <c r="O199" s="3">
        <v>12550</v>
      </c>
      <c r="P199" s="3">
        <v>12645</v>
      </c>
      <c r="Q199" s="3">
        <v>12660</v>
      </c>
      <c r="R199" s="3">
        <v>12505</v>
      </c>
      <c r="S199" s="3">
        <v>12505</v>
      </c>
      <c r="T199" s="3">
        <v>12345</v>
      </c>
      <c r="U199" s="3">
        <v>12340</v>
      </c>
      <c r="V199" s="3">
        <v>12820</v>
      </c>
      <c r="W199" s="3">
        <v>12805</v>
      </c>
      <c r="X199" s="3">
        <v>12540</v>
      </c>
      <c r="Y199" s="3">
        <v>12535</v>
      </c>
      <c r="Z199" s="3">
        <v>12730</v>
      </c>
      <c r="AA199" s="3">
        <v>12730</v>
      </c>
      <c r="AB199" s="3">
        <v>13275</v>
      </c>
      <c r="AC199" s="3">
        <v>13275</v>
      </c>
      <c r="AD199" s="3">
        <v>13215</v>
      </c>
      <c r="AE199" s="3">
        <v>13220</v>
      </c>
      <c r="AF199" s="3">
        <v>13820</v>
      </c>
      <c r="AG199" s="3">
        <v>13830</v>
      </c>
      <c r="AH199" s="3">
        <v>14320</v>
      </c>
      <c r="AI199" s="3">
        <v>14320</v>
      </c>
      <c r="AJ199" s="3">
        <v>13690</v>
      </c>
      <c r="AK199" s="3">
        <v>13670</v>
      </c>
      <c r="AL199" s="3">
        <v>13730</v>
      </c>
      <c r="AM199" s="3">
        <v>13720</v>
      </c>
      <c r="AN199" s="3">
        <v>13390</v>
      </c>
      <c r="AO199" s="3">
        <v>13390</v>
      </c>
      <c r="AP199" s="3">
        <v>13465</v>
      </c>
      <c r="AQ199" s="3">
        <v>13485</v>
      </c>
      <c r="AR199" s="4">
        <f t="shared" si="144"/>
        <v>1.3009540329575131E-2</v>
      </c>
      <c r="AS199" s="4">
        <f t="shared" si="116"/>
        <v>3.8961038961038419E-3</v>
      </c>
      <c r="AT199" s="4">
        <f t="shared" si="117"/>
        <v>2.3327464788732488E-2</v>
      </c>
      <c r="AU199" s="4">
        <f t="shared" si="118"/>
        <v>3.4380305602716432E-2</v>
      </c>
      <c r="AV199" s="4">
        <f t="shared" si="119"/>
        <v>4.2771599657827064E-3</v>
      </c>
      <c r="AW199" s="4">
        <f t="shared" si="120"/>
        <v>1.5177065767284947E-2</v>
      </c>
      <c r="AX199" s="4">
        <f t="shared" si="121"/>
        <v>3.5905901774659466E-2</v>
      </c>
      <c r="AY199" s="4">
        <f t="shared" si="122"/>
        <v>9.3896713615023719E-3</v>
      </c>
      <c r="AZ199" s="4">
        <f t="shared" si="123"/>
        <v>3.1885213232363263E-3</v>
      </c>
      <c r="BA199" s="4">
        <f t="shared" si="124"/>
        <v>2.8282828282828465E-3</v>
      </c>
      <c r="BB199" s="4">
        <f t="shared" si="125"/>
        <v>3.8102959059586494E-2</v>
      </c>
      <c r="BC199" s="4">
        <f t="shared" si="126"/>
        <v>7.9145231499802016E-3</v>
      </c>
      <c r="BD199" s="4">
        <f t="shared" si="127"/>
        <v>8.5669781931464462E-3</v>
      </c>
      <c r="BE199" s="4">
        <f t="shared" si="128"/>
        <v>2.3910528345545634E-2</v>
      </c>
      <c r="BF199" s="4">
        <f t="shared" si="129"/>
        <v>9.931245225362817E-3</v>
      </c>
      <c r="BG199" s="4">
        <f t="shared" si="130"/>
        <v>3.7120359955005622E-2</v>
      </c>
      <c r="BH199" s="4">
        <f t="shared" si="131"/>
        <v>2.9475197699496691E-2</v>
      </c>
      <c r="BI199" s="4">
        <f t="shared" si="132"/>
        <v>1.4774774774774735E-2</v>
      </c>
      <c r="BJ199" s="4">
        <f t="shared" si="133"/>
        <v>0</v>
      </c>
      <c r="BK199" s="4">
        <f t="shared" si="134"/>
        <v>2.1556448666423145E-2</v>
      </c>
      <c r="BL199" s="4">
        <f t="shared" si="135"/>
        <v>2.2296544035673715E-3</v>
      </c>
      <c r="BM199" s="4">
        <f t="shared" si="145"/>
        <v>1.7333242311214487E-2</v>
      </c>
      <c r="BN199" s="14">
        <f t="shared" si="146"/>
        <v>13688.218775297391</v>
      </c>
      <c r="BO199" s="15">
        <f t="shared" si="147"/>
        <v>13094.034546203067</v>
      </c>
      <c r="BP199" s="16">
        <v>13465</v>
      </c>
      <c r="BQ199" s="16">
        <v>13485</v>
      </c>
      <c r="BR199" s="16">
        <v>13465</v>
      </c>
      <c r="BS199" s="16">
        <v>13485</v>
      </c>
      <c r="BT199" s="16">
        <v>28436</v>
      </c>
      <c r="BU199" s="15">
        <f t="shared" si="136"/>
        <v>13478.333333333334</v>
      </c>
      <c r="BV199" s="15">
        <f t="shared" si="137"/>
        <v>383269886.66666669</v>
      </c>
      <c r="BW199" s="15">
        <f>SUM($BV$3:BV199)</f>
        <v>209030487771.6666</v>
      </c>
      <c r="BX199" s="15">
        <f>SUM($BT$3:BT199)</f>
        <v>15414551</v>
      </c>
      <c r="BY199" s="15">
        <f t="shared" si="138"/>
        <v>13560.595295423564</v>
      </c>
      <c r="BZ199" s="3">
        <v>197</v>
      </c>
      <c r="CA199" s="3">
        <f t="shared" si="139"/>
        <v>0</v>
      </c>
      <c r="CB199" s="3">
        <f t="shared" si="140"/>
        <v>0</v>
      </c>
      <c r="CC199" s="3">
        <f t="shared" si="141"/>
        <v>0</v>
      </c>
      <c r="CD199" s="3" t="str">
        <f t="shared" si="142"/>
        <v/>
      </c>
      <c r="CE199" s="3">
        <f t="shared" si="143"/>
        <v>0</v>
      </c>
    </row>
    <row r="200" spans="1:83" x14ac:dyDescent="0.3">
      <c r="A200" s="3" t="s">
        <v>240</v>
      </c>
      <c r="B200" s="3">
        <v>11680</v>
      </c>
      <c r="C200" s="3">
        <v>11675</v>
      </c>
      <c r="D200" s="3">
        <v>11505</v>
      </c>
      <c r="E200" s="3">
        <v>11505</v>
      </c>
      <c r="F200" s="3">
        <v>11625</v>
      </c>
      <c r="G200" s="3">
        <v>11625</v>
      </c>
      <c r="H200" s="3">
        <v>11375</v>
      </c>
      <c r="I200" s="3">
        <v>11385</v>
      </c>
      <c r="J200" s="3">
        <v>11735</v>
      </c>
      <c r="K200" s="3">
        <v>11735</v>
      </c>
      <c r="L200" s="3">
        <v>12035</v>
      </c>
      <c r="M200" s="3">
        <v>12035</v>
      </c>
      <c r="N200" s="3">
        <v>12550</v>
      </c>
      <c r="O200" s="3">
        <v>12555</v>
      </c>
      <c r="P200" s="3">
        <v>12660</v>
      </c>
      <c r="Q200" s="3">
        <v>12665</v>
      </c>
      <c r="R200" s="3">
        <v>12505</v>
      </c>
      <c r="S200" s="3">
        <v>12515</v>
      </c>
      <c r="T200" s="3">
        <v>12340</v>
      </c>
      <c r="U200" s="3">
        <v>12340</v>
      </c>
      <c r="V200" s="3">
        <v>12805</v>
      </c>
      <c r="W200" s="3">
        <v>12805</v>
      </c>
      <c r="X200" s="3">
        <v>12535</v>
      </c>
      <c r="Y200" s="3">
        <v>12540</v>
      </c>
      <c r="Z200" s="3">
        <v>12730</v>
      </c>
      <c r="AA200" s="3">
        <v>12730</v>
      </c>
      <c r="AB200" s="3">
        <v>13275</v>
      </c>
      <c r="AC200" s="3">
        <v>13280</v>
      </c>
      <c r="AD200" s="3">
        <v>13225</v>
      </c>
      <c r="AE200" s="3">
        <v>13230</v>
      </c>
      <c r="AF200" s="3">
        <v>13830</v>
      </c>
      <c r="AG200" s="3">
        <v>13825</v>
      </c>
      <c r="AH200" s="3">
        <v>14320</v>
      </c>
      <c r="AI200" s="3">
        <v>14340</v>
      </c>
      <c r="AJ200" s="3">
        <v>13670</v>
      </c>
      <c r="AK200" s="3">
        <v>13670</v>
      </c>
      <c r="AL200" s="3">
        <v>13725</v>
      </c>
      <c r="AM200" s="3">
        <v>13730</v>
      </c>
      <c r="AN200" s="3">
        <v>13390</v>
      </c>
      <c r="AO200" s="3">
        <v>13400</v>
      </c>
      <c r="AP200" s="3">
        <v>13485</v>
      </c>
      <c r="AQ200" s="3">
        <v>13490</v>
      </c>
      <c r="AR200" s="4">
        <f t="shared" si="144"/>
        <v>1.2575888985255856E-2</v>
      </c>
      <c r="AS200" s="4">
        <f t="shared" si="116"/>
        <v>3.8961038961038419E-3</v>
      </c>
      <c r="AT200" s="4">
        <f t="shared" si="117"/>
        <v>2.3327464788732488E-2</v>
      </c>
      <c r="AU200" s="4">
        <f t="shared" si="118"/>
        <v>3.3531409168081505E-2</v>
      </c>
      <c r="AV200" s="4">
        <f t="shared" si="119"/>
        <v>3.8494439692045024E-3</v>
      </c>
      <c r="AW200" s="4">
        <f t="shared" si="120"/>
        <v>1.4755480607082649E-2</v>
      </c>
      <c r="AX200" s="4">
        <f t="shared" si="121"/>
        <v>3.6318613289310742E-2</v>
      </c>
      <c r="AY200" s="4">
        <f t="shared" si="122"/>
        <v>8.9984350547730463E-3</v>
      </c>
      <c r="AZ200" s="4">
        <f t="shared" si="123"/>
        <v>2.3913909924272447E-3</v>
      </c>
      <c r="BA200" s="4">
        <f t="shared" si="124"/>
        <v>2.8282828282828465E-3</v>
      </c>
      <c r="BB200" s="4">
        <f t="shared" si="125"/>
        <v>3.8102959059586494E-2</v>
      </c>
      <c r="BC200" s="4">
        <f t="shared" si="126"/>
        <v>7.5187969924812581E-3</v>
      </c>
      <c r="BD200" s="4">
        <f t="shared" si="127"/>
        <v>8.5669781931464462E-3</v>
      </c>
      <c r="BE200" s="4">
        <f t="shared" si="128"/>
        <v>2.4296182028538338E-2</v>
      </c>
      <c r="BF200" s="4">
        <f t="shared" si="129"/>
        <v>1.0695187165775444E-2</v>
      </c>
      <c r="BG200" s="4">
        <f t="shared" si="130"/>
        <v>3.6745406824147064E-2</v>
      </c>
      <c r="BH200" s="4">
        <f t="shared" si="131"/>
        <v>3.0913012221423397E-2</v>
      </c>
      <c r="BI200" s="4">
        <f t="shared" si="132"/>
        <v>1.4774774774774735E-2</v>
      </c>
      <c r="BJ200" s="4">
        <f t="shared" si="133"/>
        <v>7.2886297376095754E-4</v>
      </c>
      <c r="BK200" s="4">
        <f t="shared" si="134"/>
        <v>2.0825721592985014E-2</v>
      </c>
      <c r="BL200" s="4">
        <f t="shared" si="135"/>
        <v>2.6012634708287852E-3</v>
      </c>
      <c r="BM200" s="4">
        <f t="shared" si="145"/>
        <v>1.7407471713672358E-2</v>
      </c>
      <c r="BN200" s="14">
        <f t="shared" si="146"/>
        <v>13689.217531907461</v>
      </c>
      <c r="BO200" s="15">
        <f t="shared" si="147"/>
        <v>13093.045439415315</v>
      </c>
      <c r="BP200" s="16">
        <v>13485</v>
      </c>
      <c r="BQ200" s="16">
        <v>13495</v>
      </c>
      <c r="BR200" s="16">
        <v>13485</v>
      </c>
      <c r="BS200" s="16">
        <v>13490</v>
      </c>
      <c r="BT200" s="16">
        <v>9835</v>
      </c>
      <c r="BU200" s="15">
        <f t="shared" si="136"/>
        <v>13490</v>
      </c>
      <c r="BV200" s="15">
        <f t="shared" si="137"/>
        <v>132674150</v>
      </c>
      <c r="BW200" s="15">
        <f>SUM($BV$3:BV200)</f>
        <v>209163161921.6666</v>
      </c>
      <c r="BX200" s="15">
        <f>SUM($BT$3:BT200)</f>
        <v>15424386</v>
      </c>
      <c r="BY200" s="15">
        <f t="shared" si="138"/>
        <v>13560.550281979886</v>
      </c>
      <c r="BZ200" s="3">
        <v>198</v>
      </c>
      <c r="CA200" s="3">
        <f t="shared" si="139"/>
        <v>0</v>
      </c>
      <c r="CB200" s="3">
        <f t="shared" si="140"/>
        <v>0</v>
      </c>
      <c r="CC200" s="3">
        <f t="shared" si="141"/>
        <v>0</v>
      </c>
      <c r="CD200" s="3" t="str">
        <f t="shared" si="142"/>
        <v/>
      </c>
      <c r="CE200" s="3">
        <f t="shared" si="143"/>
        <v>0</v>
      </c>
    </row>
    <row r="201" spans="1:83" x14ac:dyDescent="0.3">
      <c r="A201" s="3" t="s">
        <v>241</v>
      </c>
      <c r="B201" s="3">
        <v>11675</v>
      </c>
      <c r="C201" s="3">
        <v>11680</v>
      </c>
      <c r="D201" s="3">
        <v>11505</v>
      </c>
      <c r="E201" s="3">
        <v>11495</v>
      </c>
      <c r="F201" s="3">
        <v>11625</v>
      </c>
      <c r="G201" s="3">
        <v>11630</v>
      </c>
      <c r="H201" s="3">
        <v>11385</v>
      </c>
      <c r="I201" s="3">
        <v>11385</v>
      </c>
      <c r="J201" s="3">
        <v>11740</v>
      </c>
      <c r="K201" s="3">
        <v>11730</v>
      </c>
      <c r="L201" s="3">
        <v>12040</v>
      </c>
      <c r="M201" s="3">
        <v>12035</v>
      </c>
      <c r="N201" s="3">
        <v>12550</v>
      </c>
      <c r="O201" s="3">
        <v>12555</v>
      </c>
      <c r="P201" s="3">
        <v>12660</v>
      </c>
      <c r="Q201" s="3">
        <v>12670</v>
      </c>
      <c r="R201" s="3">
        <v>12515</v>
      </c>
      <c r="S201" s="3">
        <v>12515</v>
      </c>
      <c r="T201" s="3">
        <v>12340</v>
      </c>
      <c r="U201" s="3">
        <v>12340</v>
      </c>
      <c r="V201" s="3">
        <v>12800</v>
      </c>
      <c r="W201" s="3">
        <v>12805</v>
      </c>
      <c r="X201" s="3">
        <v>12535</v>
      </c>
      <c r="Y201" s="3">
        <v>12535</v>
      </c>
      <c r="Z201" s="3">
        <v>12735</v>
      </c>
      <c r="AA201" s="3">
        <v>12720</v>
      </c>
      <c r="AB201" s="3">
        <v>13280</v>
      </c>
      <c r="AC201" s="3">
        <v>13280</v>
      </c>
      <c r="AD201" s="3">
        <v>13225</v>
      </c>
      <c r="AE201" s="3">
        <v>13230</v>
      </c>
      <c r="AF201" s="3">
        <v>13820</v>
      </c>
      <c r="AG201" s="3">
        <v>13820</v>
      </c>
      <c r="AH201" s="3">
        <v>14345</v>
      </c>
      <c r="AI201" s="3">
        <v>14325</v>
      </c>
      <c r="AJ201" s="3">
        <v>13675</v>
      </c>
      <c r="AK201" s="3">
        <v>13670</v>
      </c>
      <c r="AL201" s="3">
        <v>13735</v>
      </c>
      <c r="AM201" s="3">
        <v>13750</v>
      </c>
      <c r="AN201" s="3">
        <v>13400</v>
      </c>
      <c r="AO201" s="3">
        <v>13395</v>
      </c>
      <c r="AP201" s="3">
        <v>13490</v>
      </c>
      <c r="AQ201" s="3">
        <v>13505</v>
      </c>
      <c r="AR201" s="4">
        <f t="shared" si="144"/>
        <v>1.3009540329575131E-2</v>
      </c>
      <c r="AS201" s="4">
        <f t="shared" si="116"/>
        <v>4.761904761904745E-3</v>
      </c>
      <c r="AT201" s="4">
        <f t="shared" si="117"/>
        <v>2.3767605633802757E-2</v>
      </c>
      <c r="AU201" s="4">
        <f t="shared" si="118"/>
        <v>3.3531409168081505E-2</v>
      </c>
      <c r="AV201" s="4">
        <f t="shared" si="119"/>
        <v>3.4217279726260763E-3</v>
      </c>
      <c r="AW201" s="4">
        <f t="shared" si="120"/>
        <v>1.4755480607082649E-2</v>
      </c>
      <c r="AX201" s="4">
        <f t="shared" si="121"/>
        <v>3.6318613289310742E-2</v>
      </c>
      <c r="AY201" s="4">
        <f t="shared" si="122"/>
        <v>8.6071987480438317E-3</v>
      </c>
      <c r="AZ201" s="4">
        <f t="shared" si="123"/>
        <v>2.3913909924272447E-3</v>
      </c>
      <c r="BA201" s="4">
        <f t="shared" si="124"/>
        <v>2.8282828282828465E-3</v>
      </c>
      <c r="BB201" s="4">
        <f t="shared" si="125"/>
        <v>3.8102959059586494E-2</v>
      </c>
      <c r="BC201" s="4">
        <f t="shared" si="126"/>
        <v>7.9145231499802016E-3</v>
      </c>
      <c r="BD201" s="4">
        <f t="shared" si="127"/>
        <v>9.3457943925233655E-3</v>
      </c>
      <c r="BE201" s="4">
        <f t="shared" si="128"/>
        <v>2.4296182028538338E-2</v>
      </c>
      <c r="BF201" s="4">
        <f t="shared" si="129"/>
        <v>1.0695187165775444E-2</v>
      </c>
      <c r="BG201" s="4">
        <f t="shared" si="130"/>
        <v>3.6370453693288285E-2</v>
      </c>
      <c r="BH201" s="4">
        <f t="shared" si="131"/>
        <v>2.9834651329978534E-2</v>
      </c>
      <c r="BI201" s="4">
        <f t="shared" si="132"/>
        <v>1.4774774774774735E-2</v>
      </c>
      <c r="BJ201" s="4">
        <f t="shared" si="133"/>
        <v>2.1865889212828726E-3</v>
      </c>
      <c r="BK201" s="4">
        <f t="shared" si="134"/>
        <v>2.1191085129704024E-2</v>
      </c>
      <c r="BL201" s="4">
        <f t="shared" si="135"/>
        <v>3.7160906726123599E-3</v>
      </c>
      <c r="BM201" s="4">
        <f t="shared" si="145"/>
        <v>1.748983467882121E-2</v>
      </c>
      <c r="BN201" s="14">
        <f t="shared" si="146"/>
        <v>13690.325725603539</v>
      </c>
      <c r="BO201" s="15">
        <f t="shared" si="147"/>
        <v>13091.947952904708</v>
      </c>
      <c r="BP201" s="16">
        <v>13490</v>
      </c>
      <c r="BQ201" s="16">
        <v>13510</v>
      </c>
      <c r="BR201" s="16">
        <v>13490</v>
      </c>
      <c r="BS201" s="16">
        <v>13505</v>
      </c>
      <c r="BT201" s="16">
        <v>56004</v>
      </c>
      <c r="BU201" s="15">
        <f t="shared" si="136"/>
        <v>13501.666666666666</v>
      </c>
      <c r="BV201" s="15">
        <f t="shared" si="137"/>
        <v>756147340</v>
      </c>
      <c r="BW201" s="15">
        <f>SUM($BV$3:BV201)</f>
        <v>209919309261.6666</v>
      </c>
      <c r="BX201" s="15">
        <f>SUM($BT$3:BT201)</f>
        <v>15480390</v>
      </c>
      <c r="BY201" s="15">
        <f t="shared" si="138"/>
        <v>13560.337256468771</v>
      </c>
      <c r="BZ201" s="3">
        <v>199</v>
      </c>
      <c r="CA201" s="3">
        <f t="shared" si="139"/>
        <v>0</v>
      </c>
      <c r="CB201" s="3">
        <f t="shared" si="140"/>
        <v>0</v>
      </c>
      <c r="CC201" s="3">
        <f t="shared" si="141"/>
        <v>0</v>
      </c>
      <c r="CD201" s="3" t="str">
        <f t="shared" si="142"/>
        <v/>
      </c>
      <c r="CE201" s="3">
        <f t="shared" si="143"/>
        <v>0</v>
      </c>
    </row>
    <row r="202" spans="1:83" x14ac:dyDescent="0.3">
      <c r="A202" s="3" t="s">
        <v>242</v>
      </c>
      <c r="B202" s="3">
        <v>11675</v>
      </c>
      <c r="C202" s="3">
        <v>11675</v>
      </c>
      <c r="D202" s="3">
        <v>11495</v>
      </c>
      <c r="E202" s="3">
        <v>11495</v>
      </c>
      <c r="F202" s="3">
        <v>11635</v>
      </c>
      <c r="G202" s="3">
        <v>11630</v>
      </c>
      <c r="H202" s="3">
        <v>11385</v>
      </c>
      <c r="I202" s="3">
        <v>11395</v>
      </c>
      <c r="J202" s="3">
        <v>11730</v>
      </c>
      <c r="K202" s="3">
        <v>11745</v>
      </c>
      <c r="L202" s="3">
        <v>12035</v>
      </c>
      <c r="M202" s="3">
        <v>12030</v>
      </c>
      <c r="N202" s="3">
        <v>12555</v>
      </c>
      <c r="O202" s="3">
        <v>12550</v>
      </c>
      <c r="P202" s="3">
        <v>12670</v>
      </c>
      <c r="Q202" s="3">
        <v>12670</v>
      </c>
      <c r="R202" s="3">
        <v>12520</v>
      </c>
      <c r="S202" s="3">
        <v>12505</v>
      </c>
      <c r="T202" s="3">
        <v>12340</v>
      </c>
      <c r="U202" s="3">
        <v>12350</v>
      </c>
      <c r="V202" s="3">
        <v>12805</v>
      </c>
      <c r="W202" s="3">
        <v>12795</v>
      </c>
      <c r="X202" s="3">
        <v>12530</v>
      </c>
      <c r="Y202" s="3">
        <v>12530</v>
      </c>
      <c r="Z202" s="3">
        <v>12720</v>
      </c>
      <c r="AA202" s="3">
        <v>12715</v>
      </c>
      <c r="AB202" s="3">
        <v>13280</v>
      </c>
      <c r="AC202" s="3">
        <v>13280</v>
      </c>
      <c r="AD202" s="3">
        <v>13230</v>
      </c>
      <c r="AE202" s="3">
        <v>13230</v>
      </c>
      <c r="AF202" s="3">
        <v>13820</v>
      </c>
      <c r="AG202" s="3">
        <v>13815</v>
      </c>
      <c r="AH202" s="3">
        <v>14325</v>
      </c>
      <c r="AI202" s="3">
        <v>14310</v>
      </c>
      <c r="AJ202" s="3">
        <v>13665</v>
      </c>
      <c r="AK202" s="3">
        <v>13655</v>
      </c>
      <c r="AL202" s="3">
        <v>13750</v>
      </c>
      <c r="AM202" s="3">
        <v>13750</v>
      </c>
      <c r="AN202" s="3">
        <v>13390</v>
      </c>
      <c r="AO202" s="3">
        <v>13390</v>
      </c>
      <c r="AP202" s="3">
        <v>13505</v>
      </c>
      <c r="AQ202" s="3">
        <v>13500</v>
      </c>
      <c r="AR202" s="4">
        <f t="shared" si="144"/>
        <v>1.2575888985255856E-2</v>
      </c>
      <c r="AS202" s="4">
        <f t="shared" si="116"/>
        <v>4.761904761904745E-3</v>
      </c>
      <c r="AT202" s="4">
        <f t="shared" si="117"/>
        <v>2.3767605633802757E-2</v>
      </c>
      <c r="AU202" s="4">
        <f t="shared" si="118"/>
        <v>3.2682512733446467E-2</v>
      </c>
      <c r="AV202" s="4">
        <f t="shared" si="119"/>
        <v>4.7048759623609104E-3</v>
      </c>
      <c r="AW202" s="4">
        <f t="shared" si="120"/>
        <v>1.4333895446880351E-2</v>
      </c>
      <c r="AX202" s="4">
        <f t="shared" si="121"/>
        <v>3.5905901774659466E-2</v>
      </c>
      <c r="AY202" s="4">
        <f t="shared" si="122"/>
        <v>8.6071987480438317E-3</v>
      </c>
      <c r="AZ202" s="4">
        <f t="shared" si="123"/>
        <v>3.1885213232363263E-3</v>
      </c>
      <c r="BA202" s="4">
        <f t="shared" si="124"/>
        <v>2.0202020202020332E-3</v>
      </c>
      <c r="BB202" s="4">
        <f t="shared" si="125"/>
        <v>3.7292257802999496E-2</v>
      </c>
      <c r="BC202" s="4">
        <f t="shared" si="126"/>
        <v>8.3102493074792561E-3</v>
      </c>
      <c r="BD202" s="4">
        <f t="shared" si="127"/>
        <v>9.7352024922118252E-3</v>
      </c>
      <c r="BE202" s="4">
        <f t="shared" si="128"/>
        <v>2.4296182028538338E-2</v>
      </c>
      <c r="BF202" s="4">
        <f t="shared" si="129"/>
        <v>1.0695187165775444E-2</v>
      </c>
      <c r="BG202" s="4">
        <f t="shared" si="130"/>
        <v>3.5995500562429728E-2</v>
      </c>
      <c r="BH202" s="4">
        <f t="shared" si="131"/>
        <v>2.8756290438533449E-2</v>
      </c>
      <c r="BI202" s="4">
        <f t="shared" si="132"/>
        <v>1.5855855855855805E-2</v>
      </c>
      <c r="BJ202" s="4">
        <f t="shared" si="133"/>
        <v>2.1865889212828726E-3</v>
      </c>
      <c r="BK202" s="4">
        <f t="shared" si="134"/>
        <v>2.1556448666423145E-2</v>
      </c>
      <c r="BL202" s="4">
        <f t="shared" si="135"/>
        <v>3.3444816053511683E-3</v>
      </c>
      <c r="BM202" s="4">
        <f t="shared" si="145"/>
        <v>1.7457256221976501E-2</v>
      </c>
      <c r="BN202" s="14">
        <f t="shared" si="146"/>
        <v>13689.887382466695</v>
      </c>
      <c r="BO202" s="15">
        <f t="shared" si="147"/>
        <v>13092.382060842163</v>
      </c>
      <c r="BP202" s="16">
        <v>13505</v>
      </c>
      <c r="BQ202" s="16">
        <v>13510</v>
      </c>
      <c r="BR202" s="16">
        <v>13495</v>
      </c>
      <c r="BS202" s="16">
        <v>13500</v>
      </c>
      <c r="BT202" s="16">
        <v>8070</v>
      </c>
      <c r="BU202" s="15">
        <f t="shared" si="136"/>
        <v>13501.666666666666</v>
      </c>
      <c r="BV202" s="15">
        <f t="shared" si="137"/>
        <v>108958450</v>
      </c>
      <c r="BW202" s="15">
        <f>SUM($BV$3:BV202)</f>
        <v>210028267711.6666</v>
      </c>
      <c r="BX202" s="15">
        <f>SUM($BT$3:BT202)</f>
        <v>15488460</v>
      </c>
      <c r="BY202" s="15">
        <f t="shared" si="138"/>
        <v>13560.306687150731</v>
      </c>
      <c r="BZ202" s="3">
        <v>200</v>
      </c>
      <c r="CA202" s="3">
        <f t="shared" si="139"/>
        <v>0</v>
      </c>
      <c r="CB202" s="3">
        <f t="shared" si="140"/>
        <v>0</v>
      </c>
      <c r="CC202" s="3">
        <f t="shared" si="141"/>
        <v>0</v>
      </c>
      <c r="CD202" s="3" t="str">
        <f t="shared" si="142"/>
        <v/>
      </c>
      <c r="CE202" s="3">
        <f t="shared" si="143"/>
        <v>0</v>
      </c>
    </row>
    <row r="203" spans="1:83" x14ac:dyDescent="0.3">
      <c r="A203" s="3" t="s">
        <v>243</v>
      </c>
      <c r="B203" s="3">
        <v>11675</v>
      </c>
      <c r="C203" s="3">
        <v>11665</v>
      </c>
      <c r="D203" s="3">
        <v>11495</v>
      </c>
      <c r="E203" s="3">
        <v>11495</v>
      </c>
      <c r="F203" s="3">
        <v>11630</v>
      </c>
      <c r="G203" s="3">
        <v>11630</v>
      </c>
      <c r="H203" s="3">
        <v>11400</v>
      </c>
      <c r="I203" s="3">
        <v>11390</v>
      </c>
      <c r="J203" s="3">
        <v>11745</v>
      </c>
      <c r="K203" s="3">
        <v>11745</v>
      </c>
      <c r="L203" s="3">
        <v>12035</v>
      </c>
      <c r="M203" s="3">
        <v>12035</v>
      </c>
      <c r="N203" s="3">
        <v>12550</v>
      </c>
      <c r="O203" s="3">
        <v>12555</v>
      </c>
      <c r="P203" s="3">
        <v>12675</v>
      </c>
      <c r="Q203" s="3">
        <v>12680</v>
      </c>
      <c r="R203" s="3">
        <v>12505</v>
      </c>
      <c r="S203" s="3">
        <v>12510</v>
      </c>
      <c r="T203" s="3">
        <v>12350</v>
      </c>
      <c r="U203" s="3">
        <v>12345</v>
      </c>
      <c r="V203" s="3">
        <v>12795</v>
      </c>
      <c r="W203" s="3">
        <v>12780</v>
      </c>
      <c r="X203" s="3">
        <v>12530</v>
      </c>
      <c r="Y203" s="3">
        <v>12535</v>
      </c>
      <c r="Z203" s="3">
        <v>12715</v>
      </c>
      <c r="AA203" s="3">
        <v>12715</v>
      </c>
      <c r="AB203" s="3">
        <v>13280</v>
      </c>
      <c r="AC203" s="3">
        <v>13275</v>
      </c>
      <c r="AD203" s="3">
        <v>13225</v>
      </c>
      <c r="AE203" s="3">
        <v>13225</v>
      </c>
      <c r="AF203" s="3">
        <v>13815</v>
      </c>
      <c r="AG203" s="3">
        <v>13805</v>
      </c>
      <c r="AH203" s="3">
        <v>14315</v>
      </c>
      <c r="AI203" s="3">
        <v>14315</v>
      </c>
      <c r="AJ203" s="3">
        <v>13655</v>
      </c>
      <c r="AK203" s="3">
        <v>13640</v>
      </c>
      <c r="AL203" s="3">
        <v>13750</v>
      </c>
      <c r="AM203" s="3">
        <v>13755</v>
      </c>
      <c r="AN203" s="3">
        <v>13385</v>
      </c>
      <c r="AO203" s="3">
        <v>13415</v>
      </c>
      <c r="AP203" s="3">
        <v>13500</v>
      </c>
      <c r="AQ203" s="3">
        <v>13505</v>
      </c>
      <c r="AR203" s="4">
        <f t="shared" si="144"/>
        <v>1.1708586296617529E-2</v>
      </c>
      <c r="AS203" s="4">
        <f t="shared" si="116"/>
        <v>4.761904761904745E-3</v>
      </c>
      <c r="AT203" s="4">
        <f t="shared" si="117"/>
        <v>2.3767605633802757E-2</v>
      </c>
      <c r="AU203" s="4">
        <f t="shared" si="118"/>
        <v>3.3106960950764042E-2</v>
      </c>
      <c r="AV203" s="4">
        <f t="shared" si="119"/>
        <v>4.7048759623609104E-3</v>
      </c>
      <c r="AW203" s="4">
        <f t="shared" si="120"/>
        <v>1.4755480607082649E-2</v>
      </c>
      <c r="AX203" s="4">
        <f t="shared" si="121"/>
        <v>3.6318613289310742E-2</v>
      </c>
      <c r="AY203" s="4">
        <f t="shared" si="122"/>
        <v>7.8247261345852914E-3</v>
      </c>
      <c r="AZ203" s="4">
        <f t="shared" si="123"/>
        <v>2.789956157831841E-3</v>
      </c>
      <c r="BA203" s="4">
        <f t="shared" si="124"/>
        <v>2.4242424242424399E-3</v>
      </c>
      <c r="BB203" s="4">
        <f t="shared" si="125"/>
        <v>3.607620591811922E-2</v>
      </c>
      <c r="BC203" s="4">
        <f t="shared" si="126"/>
        <v>7.9145231499802016E-3</v>
      </c>
      <c r="BD203" s="4">
        <f t="shared" si="127"/>
        <v>9.7352024922118252E-3</v>
      </c>
      <c r="BE203" s="4">
        <f t="shared" si="128"/>
        <v>2.3910528345545634E-2</v>
      </c>
      <c r="BF203" s="4">
        <f t="shared" si="129"/>
        <v>1.0313216195569241E-2</v>
      </c>
      <c r="BG203" s="4">
        <f t="shared" si="130"/>
        <v>3.5245594300712391E-2</v>
      </c>
      <c r="BH203" s="4">
        <f t="shared" si="131"/>
        <v>2.911574406901507E-2</v>
      </c>
      <c r="BI203" s="4">
        <f t="shared" si="132"/>
        <v>1.6936936936936986E-2</v>
      </c>
      <c r="BJ203" s="4">
        <f t="shared" si="133"/>
        <v>2.5510204081633514E-3</v>
      </c>
      <c r="BK203" s="4">
        <f t="shared" si="134"/>
        <v>1.9729630982827873E-2</v>
      </c>
      <c r="BL203" s="4">
        <f t="shared" si="135"/>
        <v>3.7160906726123599E-3</v>
      </c>
      <c r="BM203" s="4">
        <f t="shared" si="145"/>
        <v>1.720615291464658E-2</v>
      </c>
      <c r="BN203" s="14">
        <f t="shared" si="146"/>
        <v>13686.50878746657</v>
      </c>
      <c r="BO203" s="15">
        <f t="shared" si="147"/>
        <v>13095.728012412335</v>
      </c>
      <c r="BP203" s="16">
        <v>13500</v>
      </c>
      <c r="BQ203" s="16">
        <v>13515</v>
      </c>
      <c r="BR203" s="16">
        <v>13500</v>
      </c>
      <c r="BS203" s="16">
        <v>13505</v>
      </c>
      <c r="BT203" s="16">
        <v>18350</v>
      </c>
      <c r="BU203" s="15">
        <f t="shared" si="136"/>
        <v>13506.666666666666</v>
      </c>
      <c r="BV203" s="15">
        <f t="shared" si="137"/>
        <v>247847333.33333331</v>
      </c>
      <c r="BW203" s="15">
        <f>SUM($BV$3:BV203)</f>
        <v>210276115044.99994</v>
      </c>
      <c r="BX203" s="15">
        <f>SUM($BT$3:BT203)</f>
        <v>15506810</v>
      </c>
      <c r="BY203" s="15">
        <f t="shared" si="138"/>
        <v>13560.243212175808</v>
      </c>
      <c r="BZ203" s="3">
        <v>201</v>
      </c>
      <c r="CA203" s="3">
        <f t="shared" si="139"/>
        <v>0</v>
      </c>
      <c r="CB203" s="3">
        <f t="shared" si="140"/>
        <v>0</v>
      </c>
      <c r="CC203" s="3">
        <f t="shared" si="141"/>
        <v>0</v>
      </c>
      <c r="CD203" s="3" t="str">
        <f t="shared" si="142"/>
        <v/>
      </c>
      <c r="CE203" s="3">
        <f t="shared" si="143"/>
        <v>0</v>
      </c>
    </row>
    <row r="204" spans="1:83" x14ac:dyDescent="0.3">
      <c r="A204" s="3" t="s">
        <v>244</v>
      </c>
      <c r="B204" s="3">
        <v>11665</v>
      </c>
      <c r="C204" s="3">
        <v>11665</v>
      </c>
      <c r="D204" s="3">
        <v>11495</v>
      </c>
      <c r="E204" s="3">
        <v>11510</v>
      </c>
      <c r="F204" s="3">
        <v>11630</v>
      </c>
      <c r="G204" s="3">
        <v>11630</v>
      </c>
      <c r="H204" s="3">
        <v>11385</v>
      </c>
      <c r="I204" s="3">
        <v>11395</v>
      </c>
      <c r="J204" s="3">
        <v>11740</v>
      </c>
      <c r="K204" s="3">
        <v>11735</v>
      </c>
      <c r="L204" s="3">
        <v>12030</v>
      </c>
      <c r="M204" s="3">
        <v>12025</v>
      </c>
      <c r="N204" s="3">
        <v>12555</v>
      </c>
      <c r="O204" s="3">
        <v>12550</v>
      </c>
      <c r="P204" s="3">
        <v>12680</v>
      </c>
      <c r="Q204" s="3">
        <v>12695</v>
      </c>
      <c r="R204" s="3">
        <v>12510</v>
      </c>
      <c r="S204" s="3">
        <v>12510</v>
      </c>
      <c r="T204" s="3">
        <v>12345</v>
      </c>
      <c r="U204" s="3">
        <v>12335</v>
      </c>
      <c r="V204" s="3">
        <v>12780</v>
      </c>
      <c r="W204" s="3">
        <v>12770</v>
      </c>
      <c r="X204" s="3">
        <v>12540</v>
      </c>
      <c r="Y204" s="3">
        <v>12545</v>
      </c>
      <c r="Z204" s="3">
        <v>12715</v>
      </c>
      <c r="AA204" s="3">
        <v>12710</v>
      </c>
      <c r="AB204" s="3">
        <v>13275</v>
      </c>
      <c r="AC204" s="3">
        <v>13275</v>
      </c>
      <c r="AD204" s="3">
        <v>13220</v>
      </c>
      <c r="AE204" s="3">
        <v>13215</v>
      </c>
      <c r="AF204" s="3">
        <v>13805</v>
      </c>
      <c r="AG204" s="3">
        <v>13815</v>
      </c>
      <c r="AH204" s="3">
        <v>14320</v>
      </c>
      <c r="AI204" s="3">
        <v>14315</v>
      </c>
      <c r="AJ204" s="3">
        <v>13640</v>
      </c>
      <c r="AK204" s="3">
        <v>13650</v>
      </c>
      <c r="AL204" s="3">
        <v>13755</v>
      </c>
      <c r="AM204" s="3">
        <v>13750</v>
      </c>
      <c r="AN204" s="3">
        <v>13415</v>
      </c>
      <c r="AO204" s="3">
        <v>13420</v>
      </c>
      <c r="AP204" s="3">
        <v>13505</v>
      </c>
      <c r="AQ204" s="3">
        <v>13495</v>
      </c>
      <c r="AR204" s="4">
        <f t="shared" si="144"/>
        <v>1.1708586296617529E-2</v>
      </c>
      <c r="AS204" s="4">
        <f t="shared" si="116"/>
        <v>3.4632034632035014E-3</v>
      </c>
      <c r="AT204" s="4">
        <f t="shared" si="117"/>
        <v>2.3767605633802757E-2</v>
      </c>
      <c r="AU204" s="4">
        <f t="shared" si="118"/>
        <v>3.2682512733446467E-2</v>
      </c>
      <c r="AV204" s="4">
        <f t="shared" si="119"/>
        <v>3.8494439692045024E-3</v>
      </c>
      <c r="AW204" s="4">
        <f t="shared" si="120"/>
        <v>1.3912310286677831E-2</v>
      </c>
      <c r="AX204" s="4">
        <f t="shared" si="121"/>
        <v>3.5905901774659466E-2</v>
      </c>
      <c r="AY204" s="4">
        <f t="shared" si="122"/>
        <v>6.6510172143975366E-3</v>
      </c>
      <c r="AZ204" s="4">
        <f t="shared" si="123"/>
        <v>2.789956157831841E-3</v>
      </c>
      <c r="BA204" s="4">
        <f t="shared" si="124"/>
        <v>3.2323232323232531E-3</v>
      </c>
      <c r="BB204" s="4">
        <f t="shared" si="125"/>
        <v>3.5265504661532221E-2</v>
      </c>
      <c r="BC204" s="4">
        <f t="shared" si="126"/>
        <v>7.1230708349822036E-3</v>
      </c>
      <c r="BD204" s="4">
        <f t="shared" si="127"/>
        <v>1.0124610591900285E-2</v>
      </c>
      <c r="BE204" s="4">
        <f t="shared" si="128"/>
        <v>2.3910528345545634E-2</v>
      </c>
      <c r="BF204" s="4">
        <f t="shared" si="129"/>
        <v>9.5492742551566145E-3</v>
      </c>
      <c r="BG204" s="4">
        <f t="shared" si="130"/>
        <v>3.5995500562429728E-2</v>
      </c>
      <c r="BH204" s="4">
        <f t="shared" si="131"/>
        <v>2.911574406901507E-2</v>
      </c>
      <c r="BI204" s="4">
        <f t="shared" si="132"/>
        <v>1.6216216216216162E-2</v>
      </c>
      <c r="BJ204" s="4">
        <f t="shared" si="133"/>
        <v>2.1865889212828726E-3</v>
      </c>
      <c r="BK204" s="4">
        <f t="shared" si="134"/>
        <v>1.9364267446108863E-2</v>
      </c>
      <c r="BL204" s="4">
        <f t="shared" si="135"/>
        <v>2.9728725380899768E-3</v>
      </c>
      <c r="BM204" s="4">
        <f t="shared" si="145"/>
        <v>1.6959321734527268E-2</v>
      </c>
      <c r="BN204" s="14">
        <f t="shared" si="146"/>
        <v>13683.187673938064</v>
      </c>
      <c r="BO204" s="15">
        <f t="shared" si="147"/>
        <v>13099.017037887425</v>
      </c>
      <c r="BP204" s="16">
        <v>13505</v>
      </c>
      <c r="BQ204" s="16">
        <v>13510</v>
      </c>
      <c r="BR204" s="16">
        <v>13495</v>
      </c>
      <c r="BS204" s="16">
        <v>13495</v>
      </c>
      <c r="BT204" s="16">
        <v>2407</v>
      </c>
      <c r="BU204" s="15">
        <f t="shared" si="136"/>
        <v>13500</v>
      </c>
      <c r="BV204" s="15">
        <f t="shared" si="137"/>
        <v>32494500</v>
      </c>
      <c r="BW204" s="15">
        <f>SUM($BV$3:BV204)</f>
        <v>210308609544.99994</v>
      </c>
      <c r="BX204" s="15">
        <f>SUM($BT$3:BT204)</f>
        <v>15509217</v>
      </c>
      <c r="BY204" s="15">
        <f t="shared" si="138"/>
        <v>13560.233862547668</v>
      </c>
      <c r="BZ204" s="3">
        <v>202</v>
      </c>
      <c r="CA204" s="3">
        <f t="shared" si="139"/>
        <v>0</v>
      </c>
      <c r="CB204" s="3">
        <f t="shared" si="140"/>
        <v>0</v>
      </c>
      <c r="CC204" s="3">
        <f t="shared" si="141"/>
        <v>0</v>
      </c>
      <c r="CD204" s="3" t="str">
        <f t="shared" si="142"/>
        <v/>
      </c>
      <c r="CE204" s="3">
        <f t="shared" si="143"/>
        <v>0</v>
      </c>
    </row>
    <row r="205" spans="1:83" x14ac:dyDescent="0.3">
      <c r="A205" s="3" t="s">
        <v>245</v>
      </c>
      <c r="B205" s="3">
        <v>11665</v>
      </c>
      <c r="C205" s="3">
        <v>11660</v>
      </c>
      <c r="D205" s="3">
        <v>11510</v>
      </c>
      <c r="E205" s="3">
        <v>11510</v>
      </c>
      <c r="F205" s="3">
        <v>11635</v>
      </c>
      <c r="G205" s="3">
        <v>11640</v>
      </c>
      <c r="H205" s="3">
        <v>11390</v>
      </c>
      <c r="I205" s="3">
        <v>11400</v>
      </c>
      <c r="J205" s="3">
        <v>11735</v>
      </c>
      <c r="K205" s="3">
        <v>11735</v>
      </c>
      <c r="L205" s="3">
        <v>12020</v>
      </c>
      <c r="M205" s="3">
        <v>12030</v>
      </c>
      <c r="N205" s="3">
        <v>12555</v>
      </c>
      <c r="O205" s="3">
        <v>12555</v>
      </c>
      <c r="P205" s="3">
        <v>12695</v>
      </c>
      <c r="Q205" s="3">
        <v>12690</v>
      </c>
      <c r="R205" s="3">
        <v>12510</v>
      </c>
      <c r="S205" s="3">
        <v>12510</v>
      </c>
      <c r="T205" s="3">
        <v>12335</v>
      </c>
      <c r="U205" s="3">
        <v>12350</v>
      </c>
      <c r="V205" s="3">
        <v>12775</v>
      </c>
      <c r="W205" s="3">
        <v>12775</v>
      </c>
      <c r="X205" s="3">
        <v>12545</v>
      </c>
      <c r="Y205" s="3">
        <v>12535</v>
      </c>
      <c r="Z205" s="3">
        <v>12715</v>
      </c>
      <c r="AA205" s="3">
        <v>12735</v>
      </c>
      <c r="AB205" s="3">
        <v>13275</v>
      </c>
      <c r="AC205" s="3">
        <v>13280</v>
      </c>
      <c r="AD205" s="3">
        <v>13220</v>
      </c>
      <c r="AE205" s="3">
        <v>13230</v>
      </c>
      <c r="AF205" s="3">
        <v>13820</v>
      </c>
      <c r="AG205" s="3">
        <v>13825</v>
      </c>
      <c r="AH205" s="3">
        <v>14320</v>
      </c>
      <c r="AI205" s="3">
        <v>14315</v>
      </c>
      <c r="AJ205" s="3">
        <v>13650</v>
      </c>
      <c r="AK205" s="3">
        <v>13660</v>
      </c>
      <c r="AL205" s="3">
        <v>13755</v>
      </c>
      <c r="AM205" s="3">
        <v>13750</v>
      </c>
      <c r="AN205" s="3">
        <v>13420</v>
      </c>
      <c r="AO205" s="3">
        <v>13420</v>
      </c>
      <c r="AP205" s="3">
        <v>13490</v>
      </c>
      <c r="AQ205" s="3">
        <v>13490</v>
      </c>
      <c r="AR205" s="4">
        <f t="shared" si="144"/>
        <v>1.1274934952298254E-2</v>
      </c>
      <c r="AS205" s="4">
        <f t="shared" si="116"/>
        <v>3.4632034632035014E-3</v>
      </c>
      <c r="AT205" s="4">
        <f t="shared" si="117"/>
        <v>2.464788732394374E-2</v>
      </c>
      <c r="AU205" s="4">
        <f t="shared" si="118"/>
        <v>3.2258064516129004E-2</v>
      </c>
      <c r="AV205" s="4">
        <f t="shared" si="119"/>
        <v>3.8494439692045024E-3</v>
      </c>
      <c r="AW205" s="4">
        <f t="shared" si="120"/>
        <v>1.4333895446880351E-2</v>
      </c>
      <c r="AX205" s="4">
        <f t="shared" si="121"/>
        <v>3.6318613289310742E-2</v>
      </c>
      <c r="AY205" s="4">
        <f t="shared" si="122"/>
        <v>7.0422535211267512E-3</v>
      </c>
      <c r="AZ205" s="4">
        <f t="shared" si="123"/>
        <v>2.789956157831841E-3</v>
      </c>
      <c r="BA205" s="4">
        <f t="shared" si="124"/>
        <v>2.0202020202020332E-3</v>
      </c>
      <c r="BB205" s="4">
        <f t="shared" si="125"/>
        <v>3.567085528982572E-2</v>
      </c>
      <c r="BC205" s="4">
        <f t="shared" si="126"/>
        <v>7.9145231499802016E-3</v>
      </c>
      <c r="BD205" s="4">
        <f t="shared" si="127"/>
        <v>8.1775700934579865E-3</v>
      </c>
      <c r="BE205" s="4">
        <f t="shared" si="128"/>
        <v>2.4296182028538338E-2</v>
      </c>
      <c r="BF205" s="4">
        <f t="shared" si="129"/>
        <v>1.0695187165775444E-2</v>
      </c>
      <c r="BG205" s="4">
        <f t="shared" si="130"/>
        <v>3.6745406824147064E-2</v>
      </c>
      <c r="BH205" s="4">
        <f t="shared" si="131"/>
        <v>2.911574406901507E-2</v>
      </c>
      <c r="BI205" s="4">
        <f t="shared" si="132"/>
        <v>1.5495495495495448E-2</v>
      </c>
      <c r="BJ205" s="4">
        <f t="shared" si="133"/>
        <v>2.1865889212828726E-3</v>
      </c>
      <c r="BK205" s="4">
        <f t="shared" si="134"/>
        <v>1.9364267446108863E-2</v>
      </c>
      <c r="BL205" s="4">
        <f t="shared" si="135"/>
        <v>2.6012634708287852E-3</v>
      </c>
      <c r="BM205" s="4">
        <f t="shared" si="145"/>
        <v>1.698806039086417E-2</v>
      </c>
      <c r="BN205" s="14">
        <f t="shared" si="146"/>
        <v>13683.574352559077</v>
      </c>
      <c r="BO205" s="15">
        <f t="shared" si="147"/>
        <v>13098.634095291734</v>
      </c>
      <c r="BP205" s="16">
        <v>13490</v>
      </c>
      <c r="BQ205" s="16">
        <v>13490</v>
      </c>
      <c r="BR205" s="16">
        <v>13480</v>
      </c>
      <c r="BS205" s="16">
        <v>13490</v>
      </c>
      <c r="BT205" s="16">
        <v>8921</v>
      </c>
      <c r="BU205" s="15">
        <f t="shared" si="136"/>
        <v>13486.666666666666</v>
      </c>
      <c r="BV205" s="15">
        <f t="shared" si="137"/>
        <v>120314553.33333333</v>
      </c>
      <c r="BW205" s="15">
        <f>SUM($BV$3:BV205)</f>
        <v>210428924098.33328</v>
      </c>
      <c r="BX205" s="15">
        <f>SUM($BT$3:BT205)</f>
        <v>15518138</v>
      </c>
      <c r="BY205" s="15">
        <f t="shared" si="138"/>
        <v>13560.19157055655</v>
      </c>
      <c r="BZ205" s="3">
        <v>203</v>
      </c>
      <c r="CA205" s="3">
        <f t="shared" si="139"/>
        <v>0</v>
      </c>
      <c r="CB205" s="3">
        <f t="shared" si="140"/>
        <v>0</v>
      </c>
      <c r="CC205" s="3">
        <f t="shared" si="141"/>
        <v>0</v>
      </c>
      <c r="CD205" s="3" t="str">
        <f t="shared" si="142"/>
        <v/>
      </c>
      <c r="CE205" s="3">
        <f t="shared" si="143"/>
        <v>0</v>
      </c>
    </row>
    <row r="206" spans="1:83" x14ac:dyDescent="0.3">
      <c r="A206" s="3" t="s">
        <v>246</v>
      </c>
      <c r="B206" s="3">
        <v>11665</v>
      </c>
      <c r="C206" s="3">
        <v>11665</v>
      </c>
      <c r="D206" s="3">
        <v>11510</v>
      </c>
      <c r="E206" s="3">
        <v>11505</v>
      </c>
      <c r="F206" s="3">
        <v>11645</v>
      </c>
      <c r="G206" s="3">
        <v>11650</v>
      </c>
      <c r="H206" s="3">
        <v>11400</v>
      </c>
      <c r="I206" s="3">
        <v>11410</v>
      </c>
      <c r="J206" s="3">
        <v>11740</v>
      </c>
      <c r="K206" s="3">
        <v>11750</v>
      </c>
      <c r="L206" s="3">
        <v>12030</v>
      </c>
      <c r="M206" s="3">
        <v>12035</v>
      </c>
      <c r="N206" s="3">
        <v>12555</v>
      </c>
      <c r="O206" s="3">
        <v>12540</v>
      </c>
      <c r="P206" s="3">
        <v>12685</v>
      </c>
      <c r="Q206" s="3">
        <v>12680</v>
      </c>
      <c r="R206" s="3">
        <v>12505</v>
      </c>
      <c r="S206" s="3">
        <v>12505</v>
      </c>
      <c r="T206" s="3">
        <v>12350</v>
      </c>
      <c r="U206" s="3">
        <v>12345</v>
      </c>
      <c r="V206" s="3">
        <v>12770</v>
      </c>
      <c r="W206" s="3">
        <v>12755</v>
      </c>
      <c r="X206" s="3">
        <v>12535</v>
      </c>
      <c r="Y206" s="3">
        <v>12540</v>
      </c>
      <c r="Z206" s="3">
        <v>12735</v>
      </c>
      <c r="AA206" s="3">
        <v>12735</v>
      </c>
      <c r="AB206" s="3">
        <v>13275</v>
      </c>
      <c r="AC206" s="3">
        <v>13275</v>
      </c>
      <c r="AD206" s="3">
        <v>13230</v>
      </c>
      <c r="AE206" s="3">
        <v>13275</v>
      </c>
      <c r="AF206" s="3">
        <v>13815</v>
      </c>
      <c r="AG206" s="3">
        <v>13830</v>
      </c>
      <c r="AH206" s="3">
        <v>14315</v>
      </c>
      <c r="AI206" s="3">
        <v>14315</v>
      </c>
      <c r="AJ206" s="3">
        <v>13655</v>
      </c>
      <c r="AK206" s="3">
        <v>13645</v>
      </c>
      <c r="AL206" s="3">
        <v>13750</v>
      </c>
      <c r="AM206" s="3">
        <v>13745</v>
      </c>
      <c r="AN206" s="3">
        <v>13420</v>
      </c>
      <c r="AO206" s="3">
        <v>13425</v>
      </c>
      <c r="AP206" s="3">
        <v>13490</v>
      </c>
      <c r="AQ206" s="3">
        <v>13495</v>
      </c>
      <c r="AR206" s="4">
        <f t="shared" si="144"/>
        <v>1.1708586296617529E-2</v>
      </c>
      <c r="AS206" s="4">
        <f t="shared" si="116"/>
        <v>3.8961038961038419E-3</v>
      </c>
      <c r="AT206" s="4">
        <f t="shared" si="117"/>
        <v>2.5528169014084501E-2</v>
      </c>
      <c r="AU206" s="4">
        <f t="shared" si="118"/>
        <v>3.1409168081494077E-2</v>
      </c>
      <c r="AV206" s="4">
        <f t="shared" si="119"/>
        <v>5.1325919589393365E-3</v>
      </c>
      <c r="AW206" s="4">
        <f t="shared" si="120"/>
        <v>1.4755480607082649E-2</v>
      </c>
      <c r="AX206" s="4">
        <f t="shared" si="121"/>
        <v>3.5080478745356913E-2</v>
      </c>
      <c r="AY206" s="4">
        <f t="shared" si="122"/>
        <v>7.8247261345852914E-3</v>
      </c>
      <c r="AZ206" s="4">
        <f t="shared" si="123"/>
        <v>3.1885213232363263E-3</v>
      </c>
      <c r="BA206" s="4">
        <f t="shared" si="124"/>
        <v>2.4242424242424399E-3</v>
      </c>
      <c r="BB206" s="4">
        <f t="shared" si="125"/>
        <v>3.4049452776651723E-2</v>
      </c>
      <c r="BC206" s="4">
        <f t="shared" si="126"/>
        <v>7.5187969924812581E-3</v>
      </c>
      <c r="BD206" s="4">
        <f t="shared" si="127"/>
        <v>8.1775700934579865E-3</v>
      </c>
      <c r="BE206" s="4">
        <f t="shared" si="128"/>
        <v>2.3910528345545634E-2</v>
      </c>
      <c r="BF206" s="4">
        <f t="shared" si="129"/>
        <v>1.413292589763171E-2</v>
      </c>
      <c r="BG206" s="4">
        <f t="shared" si="130"/>
        <v>3.7120359955005622E-2</v>
      </c>
      <c r="BH206" s="4">
        <f t="shared" si="131"/>
        <v>2.911574406901507E-2</v>
      </c>
      <c r="BI206" s="4">
        <f t="shared" si="132"/>
        <v>1.6576576576576629E-2</v>
      </c>
      <c r="BJ206" s="4">
        <f t="shared" si="133"/>
        <v>1.8221574344023939E-3</v>
      </c>
      <c r="BK206" s="4">
        <f t="shared" si="134"/>
        <v>1.8998903909389853E-2</v>
      </c>
      <c r="BL206" s="4">
        <f t="shared" si="135"/>
        <v>2.9728725380899768E-3</v>
      </c>
      <c r="BM206" s="4">
        <f t="shared" si="145"/>
        <v>1.7138641762684204E-2</v>
      </c>
      <c r="BN206" s="14">
        <f t="shared" si="146"/>
        <v>13685.600424916916</v>
      </c>
      <c r="BO206" s="15">
        <f t="shared" si="147"/>
        <v>13096.627598512234</v>
      </c>
      <c r="BP206" s="16">
        <v>13490</v>
      </c>
      <c r="BQ206" s="16">
        <v>13510</v>
      </c>
      <c r="BR206" s="16">
        <v>13490</v>
      </c>
      <c r="BS206" s="16">
        <v>13495</v>
      </c>
      <c r="BT206" s="16">
        <v>8624</v>
      </c>
      <c r="BU206" s="15">
        <f t="shared" si="136"/>
        <v>13498.333333333334</v>
      </c>
      <c r="BV206" s="15">
        <f t="shared" si="137"/>
        <v>116409626.66666667</v>
      </c>
      <c r="BW206" s="15">
        <f>SUM($BV$3:BV206)</f>
        <v>210545333724.99994</v>
      </c>
      <c r="BX206" s="15">
        <f>SUM($BT$3:BT206)</f>
        <v>15526762</v>
      </c>
      <c r="BY206" s="15">
        <f t="shared" si="138"/>
        <v>13560.157212753047</v>
      </c>
      <c r="BZ206" s="3">
        <v>204</v>
      </c>
      <c r="CA206" s="3">
        <f t="shared" si="139"/>
        <v>0</v>
      </c>
      <c r="CB206" s="3">
        <f t="shared" si="140"/>
        <v>0</v>
      </c>
      <c r="CC206" s="3">
        <f t="shared" si="141"/>
        <v>0</v>
      </c>
      <c r="CD206" s="3" t="str">
        <f t="shared" si="142"/>
        <v/>
      </c>
      <c r="CE206" s="3">
        <f t="shared" si="143"/>
        <v>0</v>
      </c>
    </row>
    <row r="207" spans="1:83" x14ac:dyDescent="0.3">
      <c r="A207" s="3" t="s">
        <v>247</v>
      </c>
      <c r="B207" s="3">
        <v>11665</v>
      </c>
      <c r="C207" s="3">
        <v>11650</v>
      </c>
      <c r="D207" s="3">
        <v>11510</v>
      </c>
      <c r="E207" s="3">
        <v>11510</v>
      </c>
      <c r="F207" s="3">
        <v>11650</v>
      </c>
      <c r="G207" s="3">
        <v>11640</v>
      </c>
      <c r="H207" s="3">
        <v>11415</v>
      </c>
      <c r="I207" s="3">
        <v>11445</v>
      </c>
      <c r="J207" s="3">
        <v>11750</v>
      </c>
      <c r="K207" s="3">
        <v>11785</v>
      </c>
      <c r="L207" s="3">
        <v>12035</v>
      </c>
      <c r="M207" s="3">
        <v>12045</v>
      </c>
      <c r="N207" s="3">
        <v>12540</v>
      </c>
      <c r="O207" s="3">
        <v>12530</v>
      </c>
      <c r="P207" s="3">
        <v>12680</v>
      </c>
      <c r="Q207" s="3">
        <v>12690</v>
      </c>
      <c r="R207" s="3">
        <v>12505</v>
      </c>
      <c r="S207" s="3">
        <v>12505</v>
      </c>
      <c r="T207" s="3">
        <v>12345</v>
      </c>
      <c r="U207" s="3">
        <v>12355</v>
      </c>
      <c r="V207" s="3">
        <v>12750</v>
      </c>
      <c r="W207" s="3">
        <v>12765</v>
      </c>
      <c r="X207" s="3">
        <v>12540</v>
      </c>
      <c r="Y207" s="3">
        <v>12535</v>
      </c>
      <c r="Z207" s="3">
        <v>12735</v>
      </c>
      <c r="AA207" s="3">
        <v>12725</v>
      </c>
      <c r="AB207" s="3">
        <v>13275</v>
      </c>
      <c r="AC207" s="3">
        <v>13275</v>
      </c>
      <c r="AD207" s="3">
        <v>13280</v>
      </c>
      <c r="AE207" s="3">
        <v>13275</v>
      </c>
      <c r="AF207" s="3">
        <v>13825</v>
      </c>
      <c r="AG207" s="3">
        <v>13830</v>
      </c>
      <c r="AH207" s="3">
        <v>14315</v>
      </c>
      <c r="AI207" s="3">
        <v>14315</v>
      </c>
      <c r="AJ207" s="3">
        <v>13645</v>
      </c>
      <c r="AK207" s="3">
        <v>13645</v>
      </c>
      <c r="AL207" s="3">
        <v>13745</v>
      </c>
      <c r="AM207" s="3">
        <v>13755</v>
      </c>
      <c r="AN207" s="3">
        <v>13425</v>
      </c>
      <c r="AO207" s="3">
        <v>13425</v>
      </c>
      <c r="AP207" s="3">
        <v>13495</v>
      </c>
      <c r="AQ207" s="3">
        <v>13490</v>
      </c>
      <c r="AR207" s="4">
        <f t="shared" si="144"/>
        <v>1.0407632263659927E-2</v>
      </c>
      <c r="AS207" s="4">
        <f t="shared" si="116"/>
        <v>3.4632034632035014E-3</v>
      </c>
      <c r="AT207" s="4">
        <f t="shared" si="117"/>
        <v>2.464788732394374E-2</v>
      </c>
      <c r="AU207" s="4">
        <f t="shared" si="118"/>
        <v>2.843803056027161E-2</v>
      </c>
      <c r="AV207" s="4">
        <f t="shared" si="119"/>
        <v>8.1266039349872088E-3</v>
      </c>
      <c r="AW207" s="4">
        <f t="shared" si="120"/>
        <v>1.5598650927487245E-2</v>
      </c>
      <c r="AX207" s="4">
        <f t="shared" si="121"/>
        <v>3.4255055716054583E-2</v>
      </c>
      <c r="AY207" s="4">
        <f t="shared" si="122"/>
        <v>7.0422535211267512E-3</v>
      </c>
      <c r="AZ207" s="4">
        <f t="shared" si="123"/>
        <v>3.1885213232363263E-3</v>
      </c>
      <c r="BA207" s="4">
        <f t="shared" si="124"/>
        <v>1.6161616161616266E-3</v>
      </c>
      <c r="BB207" s="4">
        <f t="shared" si="125"/>
        <v>3.4860154033238722E-2</v>
      </c>
      <c r="BC207" s="4">
        <f t="shared" si="126"/>
        <v>7.9145231499802016E-3</v>
      </c>
      <c r="BD207" s="4">
        <f t="shared" si="127"/>
        <v>8.9563862928349058E-3</v>
      </c>
      <c r="BE207" s="4">
        <f t="shared" si="128"/>
        <v>2.3910528345545634E-2</v>
      </c>
      <c r="BF207" s="4">
        <f t="shared" si="129"/>
        <v>1.413292589763171E-2</v>
      </c>
      <c r="BG207" s="4">
        <f t="shared" si="130"/>
        <v>3.7120359955005622E-2</v>
      </c>
      <c r="BH207" s="4">
        <f t="shared" si="131"/>
        <v>2.911574406901507E-2</v>
      </c>
      <c r="BI207" s="4">
        <f t="shared" si="132"/>
        <v>1.6576576576576629E-2</v>
      </c>
      <c r="BJ207" s="4">
        <f t="shared" si="133"/>
        <v>2.5510204081633514E-3</v>
      </c>
      <c r="BK207" s="4">
        <f t="shared" si="134"/>
        <v>1.8998903909389853E-2</v>
      </c>
      <c r="BL207" s="4">
        <f t="shared" si="135"/>
        <v>2.6012634708287852E-3</v>
      </c>
      <c r="BM207" s="4">
        <f t="shared" si="145"/>
        <v>1.7159936772425784E-2</v>
      </c>
      <c r="BN207" s="14">
        <f t="shared" si="146"/>
        <v>13685.886949272988</v>
      </c>
      <c r="BO207" s="15">
        <f t="shared" si="147"/>
        <v>13096.343842507427</v>
      </c>
      <c r="BP207" s="16">
        <v>13495</v>
      </c>
      <c r="BQ207" s="16">
        <v>13495</v>
      </c>
      <c r="BR207" s="16">
        <v>13490</v>
      </c>
      <c r="BS207" s="16">
        <v>13490</v>
      </c>
      <c r="BT207" s="16">
        <v>967</v>
      </c>
      <c r="BU207" s="15">
        <f t="shared" si="136"/>
        <v>13491.666666666666</v>
      </c>
      <c r="BV207" s="15">
        <f t="shared" si="137"/>
        <v>13046441.666666666</v>
      </c>
      <c r="BW207" s="15">
        <f>SUM($BV$3:BV207)</f>
        <v>210558380166.6666</v>
      </c>
      <c r="BX207" s="15">
        <f>SUM($BT$3:BT207)</f>
        <v>15527729</v>
      </c>
      <c r="BY207" s="15">
        <f t="shared" si="138"/>
        <v>13560.152947457196</v>
      </c>
      <c r="BZ207" s="3">
        <v>205</v>
      </c>
      <c r="CA207" s="3">
        <f t="shared" si="139"/>
        <v>0</v>
      </c>
      <c r="CB207" s="3">
        <f t="shared" si="140"/>
        <v>0</v>
      </c>
      <c r="CC207" s="3">
        <f t="shared" si="141"/>
        <v>0</v>
      </c>
      <c r="CD207" s="3" t="str">
        <f t="shared" si="142"/>
        <v/>
      </c>
      <c r="CE207" s="3">
        <f t="shared" si="143"/>
        <v>0</v>
      </c>
    </row>
    <row r="208" spans="1:83" x14ac:dyDescent="0.3">
      <c r="A208" s="3" t="s">
        <v>248</v>
      </c>
      <c r="B208" s="3">
        <v>11655</v>
      </c>
      <c r="C208" s="3">
        <v>11655</v>
      </c>
      <c r="D208" s="3">
        <v>11510</v>
      </c>
      <c r="E208" s="3">
        <v>11505</v>
      </c>
      <c r="F208" s="3">
        <v>11645</v>
      </c>
      <c r="G208" s="3">
        <v>11645</v>
      </c>
      <c r="H208" s="3">
        <v>11445</v>
      </c>
      <c r="I208" s="3">
        <v>11445</v>
      </c>
      <c r="J208" s="3">
        <v>11785</v>
      </c>
      <c r="K208" s="3">
        <v>11795</v>
      </c>
      <c r="L208" s="3">
        <v>12045</v>
      </c>
      <c r="M208" s="3">
        <v>12055</v>
      </c>
      <c r="N208" s="3">
        <v>12530</v>
      </c>
      <c r="O208" s="3">
        <v>12520</v>
      </c>
      <c r="P208" s="3">
        <v>12690</v>
      </c>
      <c r="Q208" s="3">
        <v>12685</v>
      </c>
      <c r="R208" s="3">
        <v>12500</v>
      </c>
      <c r="S208" s="3">
        <v>12500</v>
      </c>
      <c r="T208" s="3">
        <v>12360</v>
      </c>
      <c r="U208" s="3">
        <v>12360</v>
      </c>
      <c r="V208" s="3">
        <v>12765</v>
      </c>
      <c r="W208" s="3">
        <v>12765</v>
      </c>
      <c r="X208" s="3">
        <v>12535</v>
      </c>
      <c r="Y208" s="3">
        <v>12535</v>
      </c>
      <c r="Z208" s="3">
        <v>12720</v>
      </c>
      <c r="AA208" s="3">
        <v>12730</v>
      </c>
      <c r="AB208" s="3">
        <v>13275</v>
      </c>
      <c r="AC208" s="3">
        <v>13280</v>
      </c>
      <c r="AD208" s="3">
        <v>13280</v>
      </c>
      <c r="AE208" s="3">
        <v>13290</v>
      </c>
      <c r="AF208" s="3">
        <v>13830</v>
      </c>
      <c r="AG208" s="3">
        <v>13830</v>
      </c>
      <c r="AH208" s="3">
        <v>14310</v>
      </c>
      <c r="AI208" s="3">
        <v>14305</v>
      </c>
      <c r="AJ208" s="3">
        <v>13645</v>
      </c>
      <c r="AK208" s="3">
        <v>13655</v>
      </c>
      <c r="AL208" s="3">
        <v>13760</v>
      </c>
      <c r="AM208" s="3">
        <v>13775</v>
      </c>
      <c r="AN208" s="3">
        <v>13425</v>
      </c>
      <c r="AO208" s="3">
        <v>13425</v>
      </c>
      <c r="AP208" s="3">
        <v>13490</v>
      </c>
      <c r="AQ208" s="3">
        <v>13490</v>
      </c>
      <c r="AR208" s="4">
        <f t="shared" si="144"/>
        <v>1.0841283607979202E-2</v>
      </c>
      <c r="AS208" s="4">
        <f t="shared" si="116"/>
        <v>3.8961038961038419E-3</v>
      </c>
      <c r="AT208" s="4">
        <f t="shared" si="117"/>
        <v>2.5088028169014009E-2</v>
      </c>
      <c r="AU208" s="4">
        <f t="shared" si="118"/>
        <v>2.843803056027161E-2</v>
      </c>
      <c r="AV208" s="4">
        <f t="shared" si="119"/>
        <v>8.9820359281436168E-3</v>
      </c>
      <c r="AW208" s="4">
        <f t="shared" si="120"/>
        <v>1.6441821247892063E-2</v>
      </c>
      <c r="AX208" s="4">
        <f t="shared" si="121"/>
        <v>3.3429632686752031E-2</v>
      </c>
      <c r="AY208" s="4">
        <f t="shared" si="122"/>
        <v>7.4334898278560768E-3</v>
      </c>
      <c r="AZ208" s="4">
        <f t="shared" si="123"/>
        <v>3.5870864886409226E-3</v>
      </c>
      <c r="BA208" s="4">
        <f t="shared" si="124"/>
        <v>1.2121212121212199E-3</v>
      </c>
      <c r="BB208" s="4">
        <f t="shared" si="125"/>
        <v>3.4860154033238722E-2</v>
      </c>
      <c r="BC208" s="4">
        <f t="shared" si="126"/>
        <v>7.9145231499802016E-3</v>
      </c>
      <c r="BD208" s="4">
        <f t="shared" si="127"/>
        <v>8.5669781931464462E-3</v>
      </c>
      <c r="BE208" s="4">
        <f t="shared" si="128"/>
        <v>2.4296182028538338E-2</v>
      </c>
      <c r="BF208" s="4">
        <f t="shared" si="129"/>
        <v>1.5278838808250539E-2</v>
      </c>
      <c r="BG208" s="4">
        <f t="shared" si="130"/>
        <v>3.7120359955005622E-2</v>
      </c>
      <c r="BH208" s="4">
        <f t="shared" si="131"/>
        <v>2.8396836808051829E-2</v>
      </c>
      <c r="BI208" s="4">
        <f t="shared" si="132"/>
        <v>1.5855855855855805E-2</v>
      </c>
      <c r="BJ208" s="4">
        <f t="shared" si="133"/>
        <v>4.0087463556850444E-3</v>
      </c>
      <c r="BK208" s="4">
        <f t="shared" si="134"/>
        <v>1.8998903909389853E-2</v>
      </c>
      <c r="BL208" s="4">
        <f t="shared" si="135"/>
        <v>2.6012634708287852E-3</v>
      </c>
      <c r="BM208" s="4">
        <f t="shared" si="145"/>
        <v>1.7211407808036618E-2</v>
      </c>
      <c r="BN208" s="14">
        <f t="shared" si="146"/>
        <v>13686.579492057132</v>
      </c>
      <c r="BO208" s="15">
        <f t="shared" si="147"/>
        <v>13095.657990957912</v>
      </c>
      <c r="BP208" s="16">
        <v>13490</v>
      </c>
      <c r="BQ208" s="16">
        <v>13495</v>
      </c>
      <c r="BR208" s="16">
        <v>13480</v>
      </c>
      <c r="BS208" s="16">
        <v>13490</v>
      </c>
      <c r="BT208" s="16">
        <v>9697</v>
      </c>
      <c r="BU208" s="15">
        <f t="shared" si="136"/>
        <v>13488.333333333334</v>
      </c>
      <c r="BV208" s="15">
        <f t="shared" si="137"/>
        <v>130796368.33333334</v>
      </c>
      <c r="BW208" s="15">
        <f>SUM($BV$3:BV208)</f>
        <v>210689176534.99994</v>
      </c>
      <c r="BX208" s="15">
        <f>SUM($BT$3:BT208)</f>
        <v>15537426</v>
      </c>
      <c r="BY208" s="15">
        <f t="shared" si="138"/>
        <v>13560.108124408762</v>
      </c>
      <c r="BZ208" s="3">
        <v>206</v>
      </c>
      <c r="CA208" s="3">
        <f t="shared" si="139"/>
        <v>0</v>
      </c>
      <c r="CB208" s="3">
        <f t="shared" si="140"/>
        <v>0</v>
      </c>
      <c r="CC208" s="3">
        <f t="shared" si="141"/>
        <v>0</v>
      </c>
      <c r="CD208" s="3" t="str">
        <f t="shared" si="142"/>
        <v/>
      </c>
      <c r="CE208" s="3">
        <f t="shared" si="143"/>
        <v>0</v>
      </c>
    </row>
    <row r="209" spans="1:83" x14ac:dyDescent="0.3">
      <c r="A209" s="3" t="s">
        <v>249</v>
      </c>
      <c r="B209" s="3">
        <v>11655</v>
      </c>
      <c r="C209" s="3">
        <v>11660</v>
      </c>
      <c r="D209" s="3">
        <v>11505</v>
      </c>
      <c r="E209" s="3">
        <v>11510</v>
      </c>
      <c r="F209" s="3">
        <v>11640</v>
      </c>
      <c r="G209" s="3">
        <v>11640</v>
      </c>
      <c r="H209" s="3">
        <v>11445</v>
      </c>
      <c r="I209" s="3">
        <v>11450</v>
      </c>
      <c r="J209" s="3">
        <v>11795</v>
      </c>
      <c r="K209" s="3">
        <v>11795</v>
      </c>
      <c r="L209" s="3">
        <v>12060</v>
      </c>
      <c r="M209" s="3">
        <v>12055</v>
      </c>
      <c r="N209" s="3">
        <v>12525</v>
      </c>
      <c r="O209" s="3">
        <v>12525</v>
      </c>
      <c r="P209" s="3">
        <v>12685</v>
      </c>
      <c r="Q209" s="3">
        <v>12680</v>
      </c>
      <c r="R209" s="3">
        <v>12500</v>
      </c>
      <c r="S209" s="3">
        <v>12500</v>
      </c>
      <c r="T209" s="3">
        <v>12355</v>
      </c>
      <c r="U209" s="3">
        <v>12355</v>
      </c>
      <c r="V209" s="3">
        <v>12770</v>
      </c>
      <c r="W209" s="3">
        <v>12765</v>
      </c>
      <c r="X209" s="3">
        <v>12535</v>
      </c>
      <c r="Y209" s="3">
        <v>12530</v>
      </c>
      <c r="Z209" s="3">
        <v>12730</v>
      </c>
      <c r="AA209" s="3">
        <v>12735</v>
      </c>
      <c r="AB209" s="3">
        <v>13275</v>
      </c>
      <c r="AC209" s="3">
        <v>13280</v>
      </c>
      <c r="AD209" s="3">
        <v>13290</v>
      </c>
      <c r="AE209" s="3">
        <v>13290</v>
      </c>
      <c r="AF209" s="3">
        <v>13825</v>
      </c>
      <c r="AG209" s="3">
        <v>13825</v>
      </c>
      <c r="AH209" s="3">
        <v>14310</v>
      </c>
      <c r="AI209" s="3">
        <v>14280</v>
      </c>
      <c r="AJ209" s="3">
        <v>13655</v>
      </c>
      <c r="AK209" s="3">
        <v>13665</v>
      </c>
      <c r="AL209" s="3">
        <v>13775</v>
      </c>
      <c r="AM209" s="3">
        <v>13775</v>
      </c>
      <c r="AN209" s="3">
        <v>13425</v>
      </c>
      <c r="AO209" s="3">
        <v>13430</v>
      </c>
      <c r="AP209" s="3">
        <v>13490</v>
      </c>
      <c r="AQ209" s="3">
        <v>13475</v>
      </c>
      <c r="AR209" s="4">
        <f t="shared" si="144"/>
        <v>1.1274934952298254E-2</v>
      </c>
      <c r="AS209" s="4">
        <f t="shared" si="116"/>
        <v>3.4632034632035014E-3</v>
      </c>
      <c r="AT209" s="4">
        <f t="shared" si="117"/>
        <v>2.464788732394374E-2</v>
      </c>
      <c r="AU209" s="4">
        <f t="shared" si="118"/>
        <v>2.8013582342954146E-2</v>
      </c>
      <c r="AV209" s="4">
        <f t="shared" si="119"/>
        <v>8.9820359281436168E-3</v>
      </c>
      <c r="AW209" s="4">
        <f t="shared" si="120"/>
        <v>1.6441821247892063E-2</v>
      </c>
      <c r="AX209" s="4">
        <f t="shared" si="121"/>
        <v>3.3842344201403307E-2</v>
      </c>
      <c r="AY209" s="4">
        <f t="shared" si="122"/>
        <v>7.8247261345852914E-3</v>
      </c>
      <c r="AZ209" s="4">
        <f t="shared" si="123"/>
        <v>3.5870864886409226E-3</v>
      </c>
      <c r="BA209" s="4">
        <f t="shared" si="124"/>
        <v>1.6161616161616266E-3</v>
      </c>
      <c r="BB209" s="4">
        <f t="shared" si="125"/>
        <v>3.4860154033238722E-2</v>
      </c>
      <c r="BC209" s="4">
        <f t="shared" si="126"/>
        <v>8.3102493074792561E-3</v>
      </c>
      <c r="BD209" s="4">
        <f t="shared" si="127"/>
        <v>8.1775700934579865E-3</v>
      </c>
      <c r="BE209" s="4">
        <f t="shared" si="128"/>
        <v>2.4296182028538338E-2</v>
      </c>
      <c r="BF209" s="4">
        <f t="shared" si="129"/>
        <v>1.5278838808250539E-2</v>
      </c>
      <c r="BG209" s="4">
        <f t="shared" si="130"/>
        <v>3.6745406824147064E-2</v>
      </c>
      <c r="BH209" s="4">
        <f t="shared" si="131"/>
        <v>2.6599568655643502E-2</v>
      </c>
      <c r="BI209" s="4">
        <f t="shared" si="132"/>
        <v>1.5135135135135092E-2</v>
      </c>
      <c r="BJ209" s="4">
        <f t="shared" si="133"/>
        <v>4.0087463556850444E-3</v>
      </c>
      <c r="BK209" s="4">
        <f t="shared" si="134"/>
        <v>1.8633540372670843E-2</v>
      </c>
      <c r="BL209" s="4">
        <f t="shared" si="135"/>
        <v>1.4864362690449884E-3</v>
      </c>
      <c r="BM209" s="4">
        <f t="shared" si="145"/>
        <v>1.7065407861074109E-2</v>
      </c>
      <c r="BN209" s="14">
        <f t="shared" si="146"/>
        <v>13684.615062770752</v>
      </c>
      <c r="BO209" s="15">
        <f t="shared" si="147"/>
        <v>13097.603440251187</v>
      </c>
      <c r="BP209" s="16">
        <v>13490</v>
      </c>
      <c r="BQ209" s="16">
        <v>13490</v>
      </c>
      <c r="BR209" s="16">
        <v>13475</v>
      </c>
      <c r="BS209" s="16">
        <v>13475</v>
      </c>
      <c r="BT209" s="16">
        <v>6543</v>
      </c>
      <c r="BU209" s="15">
        <f t="shared" si="136"/>
        <v>13480</v>
      </c>
      <c r="BV209" s="15">
        <f t="shared" si="137"/>
        <v>88199640</v>
      </c>
      <c r="BW209" s="15">
        <f>SUM($BV$3:BV209)</f>
        <v>210777376174.99994</v>
      </c>
      <c r="BX209" s="15">
        <f>SUM($BT$3:BT209)</f>
        <v>15543969</v>
      </c>
      <c r="BY209" s="15">
        <f t="shared" si="138"/>
        <v>13560.074404098461</v>
      </c>
      <c r="BZ209" s="3">
        <v>207</v>
      </c>
      <c r="CA209" s="3">
        <f t="shared" si="139"/>
        <v>0</v>
      </c>
      <c r="CB209" s="3">
        <f t="shared" si="140"/>
        <v>0</v>
      </c>
      <c r="CC209" s="3">
        <f t="shared" si="141"/>
        <v>0</v>
      </c>
      <c r="CD209" s="3" t="str">
        <f t="shared" si="142"/>
        <v/>
      </c>
      <c r="CE209" s="3">
        <f t="shared" si="143"/>
        <v>0</v>
      </c>
    </row>
    <row r="210" spans="1:83" x14ac:dyDescent="0.3">
      <c r="A210" s="3" t="s">
        <v>250</v>
      </c>
      <c r="B210" s="3">
        <v>11660</v>
      </c>
      <c r="C210" s="3">
        <v>11660</v>
      </c>
      <c r="D210" s="3">
        <v>11510</v>
      </c>
      <c r="E210" s="3">
        <v>11515</v>
      </c>
      <c r="F210" s="3">
        <v>11645</v>
      </c>
      <c r="G210" s="3">
        <v>11640</v>
      </c>
      <c r="H210" s="3">
        <v>11450</v>
      </c>
      <c r="I210" s="3">
        <v>11430</v>
      </c>
      <c r="J210" s="3">
        <v>11795</v>
      </c>
      <c r="K210" s="3">
        <v>11840</v>
      </c>
      <c r="L210" s="3">
        <v>12050</v>
      </c>
      <c r="M210" s="3">
        <v>12050</v>
      </c>
      <c r="N210" s="3">
        <v>12525</v>
      </c>
      <c r="O210" s="3">
        <v>12530</v>
      </c>
      <c r="P210" s="3">
        <v>12680</v>
      </c>
      <c r="Q210" s="3">
        <v>12680</v>
      </c>
      <c r="R210" s="3">
        <v>12500</v>
      </c>
      <c r="S210" s="3">
        <v>12495</v>
      </c>
      <c r="T210" s="3">
        <v>12355</v>
      </c>
      <c r="U210" s="3">
        <v>12350</v>
      </c>
      <c r="V210" s="3">
        <v>12765</v>
      </c>
      <c r="W210" s="3">
        <v>12765</v>
      </c>
      <c r="X210" s="3">
        <v>12540</v>
      </c>
      <c r="Y210" s="3">
        <v>12535</v>
      </c>
      <c r="Z210" s="3">
        <v>12735</v>
      </c>
      <c r="AA210" s="3">
        <v>12730</v>
      </c>
      <c r="AB210" s="3">
        <v>13275</v>
      </c>
      <c r="AC210" s="3">
        <v>13275</v>
      </c>
      <c r="AD210" s="3">
        <v>13295</v>
      </c>
      <c r="AE210" s="3">
        <v>13275</v>
      </c>
      <c r="AF210" s="3">
        <v>13825</v>
      </c>
      <c r="AG210" s="3">
        <v>13825</v>
      </c>
      <c r="AH210" s="3">
        <v>14280</v>
      </c>
      <c r="AI210" s="3">
        <v>14290</v>
      </c>
      <c r="AJ210" s="3">
        <v>13660</v>
      </c>
      <c r="AK210" s="3">
        <v>13660</v>
      </c>
      <c r="AL210" s="3">
        <v>13780</v>
      </c>
      <c r="AM210" s="3">
        <v>13780</v>
      </c>
      <c r="AN210" s="3">
        <v>13430</v>
      </c>
      <c r="AO210" s="3">
        <v>13425</v>
      </c>
      <c r="AP210" s="3">
        <v>13470</v>
      </c>
      <c r="AQ210" s="3">
        <v>13475</v>
      </c>
      <c r="AR210" s="4">
        <f t="shared" si="144"/>
        <v>1.1274934952298254E-2</v>
      </c>
      <c r="AS210" s="4">
        <f t="shared" si="116"/>
        <v>3.0303030303030498E-3</v>
      </c>
      <c r="AT210" s="4">
        <f t="shared" si="117"/>
        <v>2.464788732394374E-2</v>
      </c>
      <c r="AU210" s="4">
        <f t="shared" si="118"/>
        <v>2.9711375212224111E-2</v>
      </c>
      <c r="AV210" s="4">
        <f t="shared" si="119"/>
        <v>1.2831479897348119E-2</v>
      </c>
      <c r="AW210" s="4">
        <f t="shared" si="120"/>
        <v>1.6020236087689765E-2</v>
      </c>
      <c r="AX210" s="4">
        <f t="shared" si="121"/>
        <v>3.4255055716054583E-2</v>
      </c>
      <c r="AY210" s="4">
        <f t="shared" si="122"/>
        <v>7.8247261345852914E-3</v>
      </c>
      <c r="AZ210" s="4">
        <f t="shared" si="123"/>
        <v>3.9856516540454079E-3</v>
      </c>
      <c r="BA210" s="4">
        <f t="shared" si="124"/>
        <v>2.0202020202020332E-3</v>
      </c>
      <c r="BB210" s="4">
        <f t="shared" si="125"/>
        <v>3.4860154033238722E-2</v>
      </c>
      <c r="BC210" s="4">
        <f t="shared" si="126"/>
        <v>7.9145231499802016E-3</v>
      </c>
      <c r="BD210" s="4">
        <f t="shared" si="127"/>
        <v>8.5669781931464462E-3</v>
      </c>
      <c r="BE210" s="4">
        <f t="shared" si="128"/>
        <v>2.3910528345545634E-2</v>
      </c>
      <c r="BF210" s="4">
        <f t="shared" si="129"/>
        <v>1.413292589763171E-2</v>
      </c>
      <c r="BG210" s="4">
        <f t="shared" si="130"/>
        <v>3.6745406824147064E-2</v>
      </c>
      <c r="BH210" s="4">
        <f t="shared" si="131"/>
        <v>2.7318475916606744E-2</v>
      </c>
      <c r="BI210" s="4">
        <f t="shared" si="132"/>
        <v>1.5495495495495448E-2</v>
      </c>
      <c r="BJ210" s="4">
        <f t="shared" si="133"/>
        <v>4.3731778425655232E-3</v>
      </c>
      <c r="BK210" s="4">
        <f t="shared" si="134"/>
        <v>1.8998903909389853E-2</v>
      </c>
      <c r="BL210" s="4">
        <f t="shared" si="135"/>
        <v>1.4864362690449884E-3</v>
      </c>
      <c r="BM210" s="4">
        <f t="shared" si="145"/>
        <v>1.7171586080902475E-2</v>
      </c>
      <c r="BN210" s="14">
        <f t="shared" si="146"/>
        <v>13686.043690718543</v>
      </c>
      <c r="BO210" s="15">
        <f t="shared" si="147"/>
        <v>13096.188615471974</v>
      </c>
      <c r="BP210" s="16">
        <v>13470</v>
      </c>
      <c r="BQ210" s="16">
        <v>13475</v>
      </c>
      <c r="BR210" s="16">
        <v>13470</v>
      </c>
      <c r="BS210" s="16">
        <v>13475</v>
      </c>
      <c r="BT210" s="16">
        <v>6392</v>
      </c>
      <c r="BU210" s="15">
        <f t="shared" si="136"/>
        <v>13473.333333333334</v>
      </c>
      <c r="BV210" s="15">
        <f t="shared" si="137"/>
        <v>86121546.666666672</v>
      </c>
      <c r="BW210" s="15">
        <f>SUM($BV$3:BV210)</f>
        <v>210863497721.6666</v>
      </c>
      <c r="BX210" s="15">
        <f>SUM($BT$3:BT210)</f>
        <v>15550361</v>
      </c>
      <c r="BY210" s="15">
        <f t="shared" si="138"/>
        <v>13560.038749046829</v>
      </c>
      <c r="BZ210" s="3">
        <v>208</v>
      </c>
      <c r="CA210" s="3">
        <f t="shared" si="139"/>
        <v>0</v>
      </c>
      <c r="CB210" s="3">
        <f t="shared" si="140"/>
        <v>0</v>
      </c>
      <c r="CC210" s="3">
        <f t="shared" si="141"/>
        <v>0</v>
      </c>
      <c r="CD210" s="3" t="str">
        <f t="shared" si="142"/>
        <v/>
      </c>
      <c r="CE210" s="3">
        <f t="shared" si="143"/>
        <v>0</v>
      </c>
    </row>
    <row r="211" spans="1:83" x14ac:dyDescent="0.3">
      <c r="A211" s="3" t="s">
        <v>251</v>
      </c>
      <c r="B211" s="3">
        <v>11660</v>
      </c>
      <c r="C211" s="3">
        <v>11660</v>
      </c>
      <c r="D211" s="3">
        <v>11515</v>
      </c>
      <c r="E211" s="3">
        <v>11515</v>
      </c>
      <c r="F211" s="3">
        <v>11640</v>
      </c>
      <c r="G211" s="3">
        <v>11635</v>
      </c>
      <c r="H211" s="3">
        <v>11430</v>
      </c>
      <c r="I211" s="3">
        <v>11415</v>
      </c>
      <c r="J211" s="3">
        <v>11840</v>
      </c>
      <c r="K211" s="3">
        <v>11825</v>
      </c>
      <c r="L211" s="3">
        <v>12050</v>
      </c>
      <c r="M211" s="3">
        <v>12050</v>
      </c>
      <c r="N211" s="3">
        <v>12525</v>
      </c>
      <c r="O211" s="3">
        <v>12535</v>
      </c>
      <c r="P211" s="3">
        <v>12675</v>
      </c>
      <c r="Q211" s="3">
        <v>12680</v>
      </c>
      <c r="R211" s="3">
        <v>12495</v>
      </c>
      <c r="S211" s="3">
        <v>12485</v>
      </c>
      <c r="T211" s="3">
        <v>12345</v>
      </c>
      <c r="U211" s="3">
        <v>12350</v>
      </c>
      <c r="V211" s="3">
        <v>12770</v>
      </c>
      <c r="W211" s="3">
        <v>12785</v>
      </c>
      <c r="X211" s="3">
        <v>12530</v>
      </c>
      <c r="Y211" s="3">
        <v>12530</v>
      </c>
      <c r="Z211" s="3">
        <v>12730</v>
      </c>
      <c r="AA211" s="3">
        <v>12725</v>
      </c>
      <c r="AB211" s="3">
        <v>13275</v>
      </c>
      <c r="AC211" s="3">
        <v>13280</v>
      </c>
      <c r="AD211" s="3">
        <v>13275</v>
      </c>
      <c r="AE211" s="3">
        <v>13280</v>
      </c>
      <c r="AF211" s="3">
        <v>13830</v>
      </c>
      <c r="AG211" s="3">
        <v>13815</v>
      </c>
      <c r="AH211" s="3">
        <v>14290</v>
      </c>
      <c r="AI211" s="3">
        <v>14290</v>
      </c>
      <c r="AJ211" s="3">
        <v>13660</v>
      </c>
      <c r="AK211" s="3">
        <v>13655</v>
      </c>
      <c r="AL211" s="3">
        <v>13780</v>
      </c>
      <c r="AM211" s="3">
        <v>13775</v>
      </c>
      <c r="AN211" s="3">
        <v>13420</v>
      </c>
      <c r="AO211" s="3">
        <v>13435</v>
      </c>
      <c r="AP211" s="3">
        <v>13475</v>
      </c>
      <c r="AQ211" s="3">
        <v>13485</v>
      </c>
      <c r="AR211" s="4">
        <f t="shared" si="144"/>
        <v>1.1274934952298254E-2</v>
      </c>
      <c r="AS211" s="4">
        <f t="shared" si="116"/>
        <v>3.0303030303030498E-3</v>
      </c>
      <c r="AT211" s="4">
        <f t="shared" si="117"/>
        <v>2.4207746478873249E-2</v>
      </c>
      <c r="AU211" s="4">
        <f t="shared" si="118"/>
        <v>3.0984719864176613E-2</v>
      </c>
      <c r="AV211" s="4">
        <f t="shared" si="119"/>
        <v>1.1548331907613285E-2</v>
      </c>
      <c r="AW211" s="4">
        <f t="shared" si="120"/>
        <v>1.6020236087689765E-2</v>
      </c>
      <c r="AX211" s="4">
        <f t="shared" si="121"/>
        <v>3.4667767230705637E-2</v>
      </c>
      <c r="AY211" s="4">
        <f t="shared" si="122"/>
        <v>7.8247261345852914E-3</v>
      </c>
      <c r="AZ211" s="4">
        <f t="shared" si="123"/>
        <v>4.7827819848544895E-3</v>
      </c>
      <c r="BA211" s="4">
        <f t="shared" si="124"/>
        <v>2.0202020202020332E-3</v>
      </c>
      <c r="BB211" s="4">
        <f t="shared" si="125"/>
        <v>3.6481556546412719E-2</v>
      </c>
      <c r="BC211" s="4">
        <f t="shared" si="126"/>
        <v>8.3102493074792561E-3</v>
      </c>
      <c r="BD211" s="4">
        <f t="shared" si="127"/>
        <v>8.9563862928349058E-3</v>
      </c>
      <c r="BE211" s="4">
        <f t="shared" si="128"/>
        <v>2.4296182028538338E-2</v>
      </c>
      <c r="BF211" s="4">
        <f t="shared" si="129"/>
        <v>1.4514896867838134E-2</v>
      </c>
      <c r="BG211" s="4">
        <f t="shared" si="130"/>
        <v>3.5995500562429728E-2</v>
      </c>
      <c r="BH211" s="4">
        <f t="shared" si="131"/>
        <v>2.7318475916606744E-2</v>
      </c>
      <c r="BI211" s="4">
        <f t="shared" si="132"/>
        <v>1.5855855855855805E-2</v>
      </c>
      <c r="BJ211" s="4">
        <f t="shared" si="133"/>
        <v>4.0087463556850444E-3</v>
      </c>
      <c r="BK211" s="4">
        <f t="shared" si="134"/>
        <v>1.8268176835951722E-2</v>
      </c>
      <c r="BL211" s="4">
        <f t="shared" si="135"/>
        <v>2.2296544035673715E-3</v>
      </c>
      <c r="BM211" s="4">
        <f t="shared" si="145"/>
        <v>1.7378678852855704E-2</v>
      </c>
      <c r="BN211" s="14">
        <f t="shared" si="146"/>
        <v>13688.830123965172</v>
      </c>
      <c r="BO211" s="15">
        <f t="shared" si="147"/>
        <v>13093.429104285698</v>
      </c>
      <c r="BP211" s="16">
        <v>13475</v>
      </c>
      <c r="BQ211" s="16">
        <v>13485</v>
      </c>
      <c r="BR211" s="16">
        <v>13460</v>
      </c>
      <c r="BS211" s="16">
        <v>13485</v>
      </c>
      <c r="BT211" s="16">
        <v>24401</v>
      </c>
      <c r="BU211" s="15">
        <f t="shared" si="136"/>
        <v>13476.666666666666</v>
      </c>
      <c r="BV211" s="15">
        <f t="shared" si="137"/>
        <v>328844143.33333331</v>
      </c>
      <c r="BW211" s="15">
        <f>SUM($BV$3:BV211)</f>
        <v>211192341864.99994</v>
      </c>
      <c r="BX211" s="15">
        <f>SUM($BT$3:BT211)</f>
        <v>15574762</v>
      </c>
      <c r="BY211" s="15">
        <f t="shared" si="138"/>
        <v>13559.908129896299</v>
      </c>
      <c r="BZ211" s="3">
        <v>209</v>
      </c>
      <c r="CA211" s="3">
        <f t="shared" si="139"/>
        <v>0</v>
      </c>
      <c r="CB211" s="3">
        <f t="shared" si="140"/>
        <v>0</v>
      </c>
      <c r="CC211" s="3">
        <f t="shared" si="141"/>
        <v>0</v>
      </c>
      <c r="CD211" s="3" t="str">
        <f t="shared" si="142"/>
        <v/>
      </c>
      <c r="CE211" s="3">
        <f t="shared" si="143"/>
        <v>0</v>
      </c>
    </row>
    <row r="212" spans="1:83" x14ac:dyDescent="0.3">
      <c r="A212" s="3" t="s">
        <v>252</v>
      </c>
      <c r="B212" s="3">
        <v>11660</v>
      </c>
      <c r="C212" s="3">
        <v>11660</v>
      </c>
      <c r="D212" s="3">
        <v>11515</v>
      </c>
      <c r="E212" s="3">
        <v>11525</v>
      </c>
      <c r="F212" s="3">
        <v>11640</v>
      </c>
      <c r="G212" s="3">
        <v>11635</v>
      </c>
      <c r="H212" s="3">
        <v>11415</v>
      </c>
      <c r="I212" s="3">
        <v>11425</v>
      </c>
      <c r="J212" s="3">
        <v>11830</v>
      </c>
      <c r="K212" s="3">
        <v>11835</v>
      </c>
      <c r="L212" s="3">
        <v>12050</v>
      </c>
      <c r="M212" s="3">
        <v>12060</v>
      </c>
      <c r="N212" s="3">
        <v>12540</v>
      </c>
      <c r="O212" s="3">
        <v>12540</v>
      </c>
      <c r="P212" s="3">
        <v>12675</v>
      </c>
      <c r="Q212" s="3">
        <v>12680</v>
      </c>
      <c r="R212" s="3">
        <v>12490</v>
      </c>
      <c r="S212" s="3">
        <v>12490</v>
      </c>
      <c r="T212" s="3">
        <v>12350</v>
      </c>
      <c r="U212" s="3">
        <v>12350</v>
      </c>
      <c r="V212" s="3">
        <v>12785</v>
      </c>
      <c r="W212" s="3">
        <v>12785</v>
      </c>
      <c r="X212" s="3">
        <v>12530</v>
      </c>
      <c r="Y212" s="3">
        <v>12525</v>
      </c>
      <c r="Z212" s="3">
        <v>12725</v>
      </c>
      <c r="AA212" s="3">
        <v>12730</v>
      </c>
      <c r="AB212" s="3">
        <v>13275</v>
      </c>
      <c r="AC212" s="3">
        <v>13285</v>
      </c>
      <c r="AD212" s="3">
        <v>13280</v>
      </c>
      <c r="AE212" s="3">
        <v>13270</v>
      </c>
      <c r="AF212" s="3">
        <v>13815</v>
      </c>
      <c r="AG212" s="3">
        <v>13815</v>
      </c>
      <c r="AH212" s="3">
        <v>14285</v>
      </c>
      <c r="AI212" s="3">
        <v>14280</v>
      </c>
      <c r="AJ212" s="3">
        <v>13655</v>
      </c>
      <c r="AK212" s="3">
        <v>13645</v>
      </c>
      <c r="AL212" s="3">
        <v>13775</v>
      </c>
      <c r="AM212" s="3">
        <v>13780</v>
      </c>
      <c r="AN212" s="3">
        <v>13430</v>
      </c>
      <c r="AO212" s="3">
        <v>13440</v>
      </c>
      <c r="AP212" s="3">
        <v>13480</v>
      </c>
      <c r="AQ212" s="3">
        <v>13485</v>
      </c>
      <c r="AR212" s="4">
        <f t="shared" si="144"/>
        <v>1.1274934952298254E-2</v>
      </c>
      <c r="AS212" s="4">
        <f t="shared" si="116"/>
        <v>2.1645021645021467E-3</v>
      </c>
      <c r="AT212" s="4">
        <f t="shared" si="117"/>
        <v>2.4207746478873249E-2</v>
      </c>
      <c r="AU212" s="4">
        <f t="shared" si="118"/>
        <v>3.0135823429541575E-2</v>
      </c>
      <c r="AV212" s="4">
        <f t="shared" si="119"/>
        <v>1.2403763900769915E-2</v>
      </c>
      <c r="AW212" s="4">
        <f t="shared" si="120"/>
        <v>1.6863406408094361E-2</v>
      </c>
      <c r="AX212" s="4">
        <f t="shared" si="121"/>
        <v>3.5080478745356913E-2</v>
      </c>
      <c r="AY212" s="4">
        <f t="shared" si="122"/>
        <v>7.8247261345852914E-3</v>
      </c>
      <c r="AZ212" s="4">
        <f t="shared" si="123"/>
        <v>4.3842168194500042E-3</v>
      </c>
      <c r="BA212" s="4">
        <f t="shared" si="124"/>
        <v>2.0202020202020332E-3</v>
      </c>
      <c r="BB212" s="4">
        <f t="shared" si="125"/>
        <v>3.6481556546412719E-2</v>
      </c>
      <c r="BC212" s="4">
        <f t="shared" si="126"/>
        <v>8.7059754649781995E-3</v>
      </c>
      <c r="BD212" s="4">
        <f t="shared" si="127"/>
        <v>8.5669781931464462E-3</v>
      </c>
      <c r="BE212" s="4">
        <f t="shared" si="128"/>
        <v>2.4681835711531042E-2</v>
      </c>
      <c r="BF212" s="4">
        <f t="shared" si="129"/>
        <v>1.3750954927425507E-2</v>
      </c>
      <c r="BG212" s="4">
        <f t="shared" si="130"/>
        <v>3.5995500562429728E-2</v>
      </c>
      <c r="BH212" s="4">
        <f t="shared" si="131"/>
        <v>2.6599568655643502E-2</v>
      </c>
      <c r="BI212" s="4">
        <f t="shared" si="132"/>
        <v>1.6576576576576629E-2</v>
      </c>
      <c r="BJ212" s="4">
        <f t="shared" si="133"/>
        <v>4.3731778425655232E-3</v>
      </c>
      <c r="BK212" s="4">
        <f t="shared" si="134"/>
        <v>1.7902813299232712E-2</v>
      </c>
      <c r="BL212" s="4">
        <f t="shared" si="135"/>
        <v>2.2296544035673715E-3</v>
      </c>
      <c r="BM212" s="4">
        <f t="shared" si="145"/>
        <v>1.7353182964252589E-2</v>
      </c>
      <c r="BN212" s="14">
        <f t="shared" si="146"/>
        <v>13688.487076784018</v>
      </c>
      <c r="BO212" s="15">
        <f t="shared" si="147"/>
        <v>13093.768837001335</v>
      </c>
      <c r="BP212" s="16">
        <v>13480</v>
      </c>
      <c r="BQ212" s="16">
        <v>13490</v>
      </c>
      <c r="BR212" s="16">
        <v>13480</v>
      </c>
      <c r="BS212" s="16">
        <v>13485</v>
      </c>
      <c r="BT212" s="16">
        <v>7411</v>
      </c>
      <c r="BU212" s="15">
        <f t="shared" si="136"/>
        <v>13485</v>
      </c>
      <c r="BV212" s="15">
        <f t="shared" si="137"/>
        <v>99937335</v>
      </c>
      <c r="BW212" s="15">
        <f>SUM($BV$3:BV212)</f>
        <v>211292279199.99994</v>
      </c>
      <c r="BX212" s="15">
        <f>SUM($BT$3:BT212)</f>
        <v>15582173</v>
      </c>
      <c r="BY212" s="15">
        <f t="shared" si="138"/>
        <v>13559.872503019953</v>
      </c>
      <c r="BZ212" s="3">
        <v>210</v>
      </c>
      <c r="CA212" s="3">
        <f t="shared" si="139"/>
        <v>0</v>
      </c>
      <c r="CB212" s="3">
        <f t="shared" si="140"/>
        <v>0</v>
      </c>
      <c r="CC212" s="3">
        <f t="shared" si="141"/>
        <v>0</v>
      </c>
      <c r="CD212" s="3">
        <f t="shared" si="142"/>
        <v>0</v>
      </c>
      <c r="CE212" s="3">
        <f t="shared" si="143"/>
        <v>0</v>
      </c>
    </row>
    <row r="213" spans="1:83" x14ac:dyDescent="0.3">
      <c r="A213" s="3" t="s">
        <v>253</v>
      </c>
      <c r="B213" s="3">
        <v>11660</v>
      </c>
      <c r="C213" s="3">
        <v>11655</v>
      </c>
      <c r="D213" s="3">
        <v>11525</v>
      </c>
      <c r="E213" s="3">
        <v>11530</v>
      </c>
      <c r="F213" s="3">
        <v>11635</v>
      </c>
      <c r="G213" s="3">
        <v>11640</v>
      </c>
      <c r="H213" s="3">
        <v>11425</v>
      </c>
      <c r="I213" s="3">
        <v>11425</v>
      </c>
      <c r="J213" s="3">
        <v>11835</v>
      </c>
      <c r="K213" s="3">
        <v>11810</v>
      </c>
      <c r="L213" s="3">
        <v>12060</v>
      </c>
      <c r="M213" s="3">
        <v>12075</v>
      </c>
      <c r="N213" s="3">
        <v>12540</v>
      </c>
      <c r="O213" s="3">
        <v>12545</v>
      </c>
      <c r="P213" s="3">
        <v>12680</v>
      </c>
      <c r="Q213" s="3">
        <v>12675</v>
      </c>
      <c r="R213" s="3">
        <v>12490</v>
      </c>
      <c r="S213" s="3">
        <v>12495</v>
      </c>
      <c r="T213" s="3">
        <v>12350</v>
      </c>
      <c r="U213" s="3">
        <v>12345</v>
      </c>
      <c r="V213" s="3">
        <v>12785</v>
      </c>
      <c r="W213" s="3">
        <v>12795</v>
      </c>
      <c r="X213" s="3">
        <v>12525</v>
      </c>
      <c r="Y213" s="3">
        <v>12525</v>
      </c>
      <c r="Z213" s="3">
        <v>12730</v>
      </c>
      <c r="AA213" s="3">
        <v>12730</v>
      </c>
      <c r="AB213" s="3">
        <v>13285</v>
      </c>
      <c r="AC213" s="3">
        <v>13280</v>
      </c>
      <c r="AD213" s="3">
        <v>13265</v>
      </c>
      <c r="AE213" s="3">
        <v>13250</v>
      </c>
      <c r="AF213" s="3">
        <v>13815</v>
      </c>
      <c r="AG213" s="3">
        <v>13805</v>
      </c>
      <c r="AH213" s="3">
        <v>14280</v>
      </c>
      <c r="AI213" s="3">
        <v>14275</v>
      </c>
      <c r="AJ213" s="3">
        <v>13645</v>
      </c>
      <c r="AK213" s="3">
        <v>13645</v>
      </c>
      <c r="AL213" s="3">
        <v>13780</v>
      </c>
      <c r="AM213" s="3">
        <v>13775</v>
      </c>
      <c r="AN213" s="3">
        <v>13435</v>
      </c>
      <c r="AO213" s="3">
        <v>13420</v>
      </c>
      <c r="AP213" s="3">
        <v>13485</v>
      </c>
      <c r="AQ213" s="3">
        <v>13475</v>
      </c>
      <c r="AR213" s="4">
        <f t="shared" si="144"/>
        <v>1.0841283607979202E-2</v>
      </c>
      <c r="AS213" s="4">
        <f t="shared" si="116"/>
        <v>1.7316017316016952E-3</v>
      </c>
      <c r="AT213" s="4">
        <f t="shared" si="117"/>
        <v>2.464788732394374E-2</v>
      </c>
      <c r="AU213" s="4">
        <f t="shared" si="118"/>
        <v>3.0135823429541575E-2</v>
      </c>
      <c r="AV213" s="4">
        <f t="shared" si="119"/>
        <v>1.0265183917878451E-2</v>
      </c>
      <c r="AW213" s="4">
        <f t="shared" si="120"/>
        <v>1.8128161888701477E-2</v>
      </c>
      <c r="AX213" s="4">
        <f t="shared" si="121"/>
        <v>3.5493190260008189E-2</v>
      </c>
      <c r="AY213" s="4">
        <f t="shared" si="122"/>
        <v>8.215962441314506E-3</v>
      </c>
      <c r="AZ213" s="4">
        <f t="shared" si="123"/>
        <v>3.9856516540454079E-3</v>
      </c>
      <c r="BA213" s="4">
        <f t="shared" si="124"/>
        <v>2.4242424242424399E-3</v>
      </c>
      <c r="BB213" s="4">
        <f t="shared" si="125"/>
        <v>3.7292257802999496E-2</v>
      </c>
      <c r="BC213" s="4">
        <f t="shared" si="126"/>
        <v>8.7059754649781995E-3</v>
      </c>
      <c r="BD213" s="4">
        <f t="shared" si="127"/>
        <v>8.5669781931464462E-3</v>
      </c>
      <c r="BE213" s="4">
        <f t="shared" si="128"/>
        <v>2.4296182028538338E-2</v>
      </c>
      <c r="BF213" s="4">
        <f t="shared" si="129"/>
        <v>1.2223071046600475E-2</v>
      </c>
      <c r="BG213" s="4">
        <f t="shared" si="130"/>
        <v>3.5245594300712391E-2</v>
      </c>
      <c r="BH213" s="4">
        <f t="shared" si="131"/>
        <v>2.6240115025161659E-2</v>
      </c>
      <c r="BI213" s="4">
        <f t="shared" si="132"/>
        <v>1.6576576576576629E-2</v>
      </c>
      <c r="BJ213" s="4">
        <f t="shared" si="133"/>
        <v>4.0087463556850444E-3</v>
      </c>
      <c r="BK213" s="4">
        <f t="shared" si="134"/>
        <v>1.9364267446108863E-2</v>
      </c>
      <c r="BL213" s="4">
        <f t="shared" si="135"/>
        <v>1.4864362690449884E-3</v>
      </c>
      <c r="BM213" s="4">
        <f t="shared" si="145"/>
        <v>1.7331343644294148E-2</v>
      </c>
      <c r="BN213" s="14">
        <f t="shared" si="146"/>
        <v>13688.193228733977</v>
      </c>
      <c r="BO213" s="15">
        <f t="shared" si="147"/>
        <v>13094.059845939781</v>
      </c>
      <c r="BP213" s="16">
        <v>13485</v>
      </c>
      <c r="BQ213" s="16">
        <v>13485</v>
      </c>
      <c r="BR213" s="16">
        <v>13470</v>
      </c>
      <c r="BS213" s="16">
        <v>13475</v>
      </c>
      <c r="BT213" s="16">
        <v>6525</v>
      </c>
      <c r="BU213" s="15">
        <f t="shared" si="136"/>
        <v>13476.666666666666</v>
      </c>
      <c r="BV213" s="15">
        <f t="shared" si="137"/>
        <v>87935250</v>
      </c>
      <c r="BW213" s="15">
        <f>SUM($BV$3:BV213)</f>
        <v>211380214449.99994</v>
      </c>
      <c r="BX213" s="15">
        <f>SUM($BT$3:BT213)</f>
        <v>15588698</v>
      </c>
      <c r="BY213" s="15">
        <f t="shared" si="138"/>
        <v>13559.837675346584</v>
      </c>
      <c r="BZ213" s="3">
        <v>211</v>
      </c>
      <c r="CA213" s="3">
        <f t="shared" si="139"/>
        <v>0</v>
      </c>
      <c r="CB213" s="3">
        <f t="shared" si="140"/>
        <v>0</v>
      </c>
      <c r="CC213" s="3">
        <f t="shared" si="141"/>
        <v>0</v>
      </c>
      <c r="CD213" s="3" t="str">
        <f t="shared" si="142"/>
        <v/>
      </c>
      <c r="CE213" s="3">
        <f t="shared" si="143"/>
        <v>0</v>
      </c>
    </row>
    <row r="214" spans="1:83" x14ac:dyDescent="0.3">
      <c r="A214" s="3" t="s">
        <v>254</v>
      </c>
      <c r="B214" s="3">
        <v>11660</v>
      </c>
      <c r="C214" s="3">
        <v>11660</v>
      </c>
      <c r="D214" s="3">
        <v>11530</v>
      </c>
      <c r="E214" s="3">
        <v>11535</v>
      </c>
      <c r="F214" s="3">
        <v>11645</v>
      </c>
      <c r="G214" s="3">
        <v>11640</v>
      </c>
      <c r="H214" s="3">
        <v>11420</v>
      </c>
      <c r="I214" s="3">
        <v>11395</v>
      </c>
      <c r="J214" s="3">
        <v>11810</v>
      </c>
      <c r="K214" s="3">
        <v>11810</v>
      </c>
      <c r="L214" s="3">
        <v>12075</v>
      </c>
      <c r="M214" s="3">
        <v>12080</v>
      </c>
      <c r="N214" s="3">
        <v>12545</v>
      </c>
      <c r="O214" s="3">
        <v>12545</v>
      </c>
      <c r="P214" s="3">
        <v>12675</v>
      </c>
      <c r="Q214" s="3">
        <v>12690</v>
      </c>
      <c r="R214" s="3">
        <v>12490</v>
      </c>
      <c r="S214" s="3">
        <v>12500</v>
      </c>
      <c r="T214" s="3">
        <v>12345</v>
      </c>
      <c r="U214" s="3">
        <v>12330</v>
      </c>
      <c r="V214" s="3">
        <v>12795</v>
      </c>
      <c r="W214" s="3">
        <v>12795</v>
      </c>
      <c r="X214" s="3">
        <v>12525</v>
      </c>
      <c r="Y214" s="3">
        <v>12515</v>
      </c>
      <c r="Z214" s="3">
        <v>12730</v>
      </c>
      <c r="AA214" s="3">
        <v>12740</v>
      </c>
      <c r="AB214" s="3">
        <v>13285</v>
      </c>
      <c r="AC214" s="3">
        <v>13285</v>
      </c>
      <c r="AD214" s="3">
        <v>13245</v>
      </c>
      <c r="AE214" s="3">
        <v>13245</v>
      </c>
      <c r="AF214" s="3">
        <v>13805</v>
      </c>
      <c r="AG214" s="3">
        <v>13785</v>
      </c>
      <c r="AH214" s="3">
        <v>14275</v>
      </c>
      <c r="AI214" s="3">
        <v>14290</v>
      </c>
      <c r="AJ214" s="3">
        <v>13650</v>
      </c>
      <c r="AK214" s="3">
        <v>13670</v>
      </c>
      <c r="AL214" s="3">
        <v>13780</v>
      </c>
      <c r="AM214" s="3">
        <v>13780</v>
      </c>
      <c r="AN214" s="3">
        <v>13415</v>
      </c>
      <c r="AO214" s="3">
        <v>13425</v>
      </c>
      <c r="AP214" s="3">
        <v>13480</v>
      </c>
      <c r="AQ214" s="3">
        <v>13480</v>
      </c>
      <c r="AR214" s="4">
        <f t="shared" si="144"/>
        <v>1.1274934952298254E-2</v>
      </c>
      <c r="AS214" s="4">
        <f t="shared" si="116"/>
        <v>1.2987012987012436E-3</v>
      </c>
      <c r="AT214" s="4">
        <f t="shared" si="117"/>
        <v>2.464788732394374E-2</v>
      </c>
      <c r="AU214" s="4">
        <f t="shared" si="118"/>
        <v>3.2682512733446467E-2</v>
      </c>
      <c r="AV214" s="4">
        <f t="shared" si="119"/>
        <v>1.0265183917878451E-2</v>
      </c>
      <c r="AW214" s="4">
        <f t="shared" si="120"/>
        <v>1.8549747048903775E-2</v>
      </c>
      <c r="AX214" s="4">
        <f t="shared" si="121"/>
        <v>3.5493190260008189E-2</v>
      </c>
      <c r="AY214" s="4">
        <f t="shared" si="122"/>
        <v>7.0422535211267512E-3</v>
      </c>
      <c r="AZ214" s="4">
        <f t="shared" si="123"/>
        <v>3.5870864886409226E-3</v>
      </c>
      <c r="BA214" s="4">
        <f t="shared" si="124"/>
        <v>3.6363636363636598E-3</v>
      </c>
      <c r="BB214" s="4">
        <f t="shared" si="125"/>
        <v>3.7292257802999496E-2</v>
      </c>
      <c r="BC214" s="4">
        <f t="shared" si="126"/>
        <v>9.4974277799763085E-3</v>
      </c>
      <c r="BD214" s="4">
        <f t="shared" si="127"/>
        <v>7.7881619937694158E-3</v>
      </c>
      <c r="BE214" s="4">
        <f t="shared" si="128"/>
        <v>2.4681835711531042E-2</v>
      </c>
      <c r="BF214" s="4">
        <f t="shared" si="129"/>
        <v>1.1841100076394273E-2</v>
      </c>
      <c r="BG214" s="4">
        <f t="shared" si="130"/>
        <v>3.3745781777277939E-2</v>
      </c>
      <c r="BH214" s="4">
        <f t="shared" si="131"/>
        <v>2.7318475916606744E-2</v>
      </c>
      <c r="BI214" s="4">
        <f t="shared" si="132"/>
        <v>1.4774774774774735E-2</v>
      </c>
      <c r="BJ214" s="4">
        <f t="shared" si="133"/>
        <v>4.3731778425655232E-3</v>
      </c>
      <c r="BK214" s="4">
        <f t="shared" si="134"/>
        <v>1.8998903909389853E-2</v>
      </c>
      <c r="BL214" s="4">
        <f t="shared" si="135"/>
        <v>1.85804533630618E-3</v>
      </c>
      <c r="BM214" s="4">
        <f t="shared" si="145"/>
        <v>1.7147913677958919E-2</v>
      </c>
      <c r="BN214" s="14">
        <f t="shared" si="146"/>
        <v>13685.725178536937</v>
      </c>
      <c r="BO214" s="15">
        <f t="shared" si="147"/>
        <v>13096.504050241198</v>
      </c>
      <c r="BP214" s="16">
        <v>13480</v>
      </c>
      <c r="BQ214" s="16">
        <v>13480</v>
      </c>
      <c r="BR214" s="16">
        <v>13475</v>
      </c>
      <c r="BS214" s="16">
        <v>13480</v>
      </c>
      <c r="BT214" s="16">
        <v>247</v>
      </c>
      <c r="BU214" s="15">
        <f t="shared" si="136"/>
        <v>13478.333333333334</v>
      </c>
      <c r="BV214" s="15">
        <f t="shared" si="137"/>
        <v>3329148.3333333335</v>
      </c>
      <c r="BW214" s="15">
        <f>SUM($BV$3:BV214)</f>
        <v>211383543598.33328</v>
      </c>
      <c r="BX214" s="15">
        <f>SUM($BT$3:BT214)</f>
        <v>15588945</v>
      </c>
      <c r="BY214" s="15">
        <f t="shared" si="138"/>
        <v>13559.836383946013</v>
      </c>
      <c r="BZ214" s="3">
        <v>212</v>
      </c>
      <c r="CA214" s="3">
        <f t="shared" si="139"/>
        <v>0</v>
      </c>
      <c r="CB214" s="3">
        <f t="shared" si="140"/>
        <v>0</v>
      </c>
      <c r="CC214" s="3">
        <f t="shared" si="141"/>
        <v>0</v>
      </c>
      <c r="CD214" s="3" t="str">
        <f t="shared" si="142"/>
        <v/>
      </c>
      <c r="CE214" s="3">
        <f t="shared" si="143"/>
        <v>0</v>
      </c>
    </row>
    <row r="215" spans="1:83" x14ac:dyDescent="0.3">
      <c r="A215" s="3" t="s">
        <v>255</v>
      </c>
      <c r="B215" s="3">
        <v>11660</v>
      </c>
      <c r="C215" s="3">
        <v>11655</v>
      </c>
      <c r="D215" s="3">
        <v>11535</v>
      </c>
      <c r="E215" s="3">
        <v>11535</v>
      </c>
      <c r="F215" s="3">
        <v>11645</v>
      </c>
      <c r="G215" s="3">
        <v>11645</v>
      </c>
      <c r="H215" s="3">
        <v>11400</v>
      </c>
      <c r="I215" s="3">
        <v>11405</v>
      </c>
      <c r="J215" s="3">
        <v>11810</v>
      </c>
      <c r="K215" s="3">
        <v>11820</v>
      </c>
      <c r="L215" s="3">
        <v>12080</v>
      </c>
      <c r="M215" s="3">
        <v>12070</v>
      </c>
      <c r="N215" s="3">
        <v>12545</v>
      </c>
      <c r="O215" s="3">
        <v>12545</v>
      </c>
      <c r="P215" s="3">
        <v>12690</v>
      </c>
      <c r="Q215" s="3">
        <v>12685</v>
      </c>
      <c r="R215" s="3">
        <v>12495</v>
      </c>
      <c r="S215" s="3">
        <v>12505</v>
      </c>
      <c r="T215" s="3">
        <v>12335</v>
      </c>
      <c r="U215" s="3">
        <v>12335</v>
      </c>
      <c r="V215" s="3">
        <v>12795</v>
      </c>
      <c r="W215" s="3">
        <v>12805</v>
      </c>
      <c r="X215" s="3">
        <v>12510</v>
      </c>
      <c r="Y215" s="3">
        <v>12500</v>
      </c>
      <c r="Z215" s="3">
        <v>12740</v>
      </c>
      <c r="AA215" s="3">
        <v>12745</v>
      </c>
      <c r="AB215" s="3">
        <v>13285</v>
      </c>
      <c r="AC215" s="3">
        <v>13280</v>
      </c>
      <c r="AD215" s="3">
        <v>13250</v>
      </c>
      <c r="AE215" s="3">
        <v>13260</v>
      </c>
      <c r="AF215" s="3">
        <v>13790</v>
      </c>
      <c r="AG215" s="3">
        <v>13805</v>
      </c>
      <c r="AH215" s="3">
        <v>14285</v>
      </c>
      <c r="AI215" s="3">
        <v>14285</v>
      </c>
      <c r="AJ215" s="3">
        <v>13670</v>
      </c>
      <c r="AK215" s="3">
        <v>13665</v>
      </c>
      <c r="AL215" s="3">
        <v>13780</v>
      </c>
      <c r="AM215" s="3">
        <v>13775</v>
      </c>
      <c r="AN215" s="3">
        <v>13425</v>
      </c>
      <c r="AO215" s="3">
        <v>13430</v>
      </c>
      <c r="AP215" s="3">
        <v>13475</v>
      </c>
      <c r="AQ215" s="3">
        <v>13485</v>
      </c>
      <c r="AR215" s="4">
        <f t="shared" si="144"/>
        <v>1.0841283607979202E-2</v>
      </c>
      <c r="AS215" s="4">
        <f t="shared" si="116"/>
        <v>1.2987012987012436E-3</v>
      </c>
      <c r="AT215" s="4">
        <f t="shared" si="117"/>
        <v>2.5088028169014009E-2</v>
      </c>
      <c r="AU215" s="4">
        <f t="shared" si="118"/>
        <v>3.183361629881154E-2</v>
      </c>
      <c r="AV215" s="4">
        <f t="shared" si="119"/>
        <v>1.1120615911035081E-2</v>
      </c>
      <c r="AW215" s="4">
        <f t="shared" si="120"/>
        <v>1.7706576728499179E-2</v>
      </c>
      <c r="AX215" s="4">
        <f t="shared" si="121"/>
        <v>3.5493190260008189E-2</v>
      </c>
      <c r="AY215" s="4">
        <f t="shared" si="122"/>
        <v>7.4334898278560768E-3</v>
      </c>
      <c r="AZ215" s="4">
        <f t="shared" si="123"/>
        <v>3.1885213232363263E-3</v>
      </c>
      <c r="BA215" s="4">
        <f t="shared" si="124"/>
        <v>3.2323232323232531E-3</v>
      </c>
      <c r="BB215" s="4">
        <f t="shared" si="125"/>
        <v>3.8102959059586494E-2</v>
      </c>
      <c r="BC215" s="4">
        <f t="shared" si="126"/>
        <v>1.068460625247325E-2</v>
      </c>
      <c r="BD215" s="4">
        <f t="shared" si="127"/>
        <v>7.3987538940809561E-3</v>
      </c>
      <c r="BE215" s="4">
        <f t="shared" si="128"/>
        <v>2.4296182028538338E-2</v>
      </c>
      <c r="BF215" s="4">
        <f t="shared" si="129"/>
        <v>1.298701298701288E-2</v>
      </c>
      <c r="BG215" s="4">
        <f t="shared" si="130"/>
        <v>3.5245594300712391E-2</v>
      </c>
      <c r="BH215" s="4">
        <f t="shared" si="131"/>
        <v>2.6959022286125123E-2</v>
      </c>
      <c r="BI215" s="4">
        <f t="shared" si="132"/>
        <v>1.5135135135135092E-2</v>
      </c>
      <c r="BJ215" s="4">
        <f t="shared" si="133"/>
        <v>4.0087463556850444E-3</v>
      </c>
      <c r="BK215" s="4">
        <f t="shared" si="134"/>
        <v>1.8633540372670843E-2</v>
      </c>
      <c r="BL215" s="4">
        <f t="shared" si="135"/>
        <v>2.2296544035673715E-3</v>
      </c>
      <c r="BM215" s="4">
        <f t="shared" si="145"/>
        <v>1.7342791236817447E-2</v>
      </c>
      <c r="BN215" s="14">
        <f t="shared" si="146"/>
        <v>13688.347256091378</v>
      </c>
      <c r="BO215" s="15">
        <f t="shared" si="147"/>
        <v>13093.907306769406</v>
      </c>
      <c r="BP215" s="16">
        <v>13475</v>
      </c>
      <c r="BQ215" s="16">
        <v>13485</v>
      </c>
      <c r="BR215" s="16">
        <v>13475</v>
      </c>
      <c r="BS215" s="16">
        <v>13485</v>
      </c>
      <c r="BT215" s="16">
        <v>3064</v>
      </c>
      <c r="BU215" s="15">
        <f t="shared" si="136"/>
        <v>13481.666666666666</v>
      </c>
      <c r="BV215" s="15">
        <f t="shared" si="137"/>
        <v>41307826.666666664</v>
      </c>
      <c r="BW215" s="15">
        <f>SUM($BV$3:BV215)</f>
        <v>211424851424.99994</v>
      </c>
      <c r="BX215" s="15">
        <f>SUM($BT$3:BT215)</f>
        <v>15592009</v>
      </c>
      <c r="BY215" s="15">
        <f t="shared" si="138"/>
        <v>13559.821022743121</v>
      </c>
      <c r="BZ215" s="3">
        <v>213</v>
      </c>
      <c r="CA215" s="3">
        <f t="shared" si="139"/>
        <v>0</v>
      </c>
      <c r="CB215" s="3">
        <f t="shared" si="140"/>
        <v>0</v>
      </c>
      <c r="CC215" s="3">
        <f t="shared" si="141"/>
        <v>0</v>
      </c>
      <c r="CD215" s="3" t="str">
        <f t="shared" si="142"/>
        <v/>
      </c>
      <c r="CE215" s="3">
        <f t="shared" si="143"/>
        <v>0</v>
      </c>
    </row>
    <row r="216" spans="1:83" x14ac:dyDescent="0.3">
      <c r="A216" s="3" t="s">
        <v>256</v>
      </c>
      <c r="B216" s="3">
        <v>11655</v>
      </c>
      <c r="C216" s="3">
        <v>11645</v>
      </c>
      <c r="D216" s="3">
        <v>11540</v>
      </c>
      <c r="E216" s="3">
        <v>11535</v>
      </c>
      <c r="F216" s="3">
        <v>11650</v>
      </c>
      <c r="G216" s="3">
        <v>11645</v>
      </c>
      <c r="H216" s="3">
        <v>11405</v>
      </c>
      <c r="I216" s="3">
        <v>11415</v>
      </c>
      <c r="J216" s="3">
        <v>11825</v>
      </c>
      <c r="K216" s="3">
        <v>11830</v>
      </c>
      <c r="L216" s="3">
        <v>12070</v>
      </c>
      <c r="M216" s="3">
        <v>12060</v>
      </c>
      <c r="N216" s="3">
        <v>12545</v>
      </c>
      <c r="O216" s="3">
        <v>12545</v>
      </c>
      <c r="P216" s="3">
        <v>12680</v>
      </c>
      <c r="Q216" s="3">
        <v>12670</v>
      </c>
      <c r="R216" s="3">
        <v>12500</v>
      </c>
      <c r="S216" s="3">
        <v>12495</v>
      </c>
      <c r="T216" s="3">
        <v>12340</v>
      </c>
      <c r="U216" s="3">
        <v>12330</v>
      </c>
      <c r="V216" s="3">
        <v>12805</v>
      </c>
      <c r="W216" s="3">
        <v>12815</v>
      </c>
      <c r="X216" s="3">
        <v>12500</v>
      </c>
      <c r="Y216" s="3">
        <v>12515</v>
      </c>
      <c r="Z216" s="3">
        <v>12740</v>
      </c>
      <c r="AA216" s="3">
        <v>12755</v>
      </c>
      <c r="AB216" s="3">
        <v>13280</v>
      </c>
      <c r="AC216" s="3">
        <v>13275</v>
      </c>
      <c r="AD216" s="3">
        <v>13265</v>
      </c>
      <c r="AE216" s="3">
        <v>13245</v>
      </c>
      <c r="AF216" s="3">
        <v>13805</v>
      </c>
      <c r="AG216" s="3">
        <v>13790</v>
      </c>
      <c r="AH216" s="3">
        <v>14285</v>
      </c>
      <c r="AI216" s="3">
        <v>14275</v>
      </c>
      <c r="AJ216" s="3">
        <v>13660</v>
      </c>
      <c r="AK216" s="3">
        <v>13660</v>
      </c>
      <c r="AL216" s="3">
        <v>13775</v>
      </c>
      <c r="AM216" s="3">
        <v>13760</v>
      </c>
      <c r="AN216" s="3">
        <v>13435</v>
      </c>
      <c r="AO216" s="3">
        <v>13415</v>
      </c>
      <c r="AP216" s="3">
        <v>13485</v>
      </c>
      <c r="AQ216" s="3">
        <v>13500</v>
      </c>
      <c r="AR216" s="4">
        <f t="shared" si="144"/>
        <v>9.9739809193408746E-3</v>
      </c>
      <c r="AS216" s="4">
        <f t="shared" si="116"/>
        <v>1.2987012987012436E-3</v>
      </c>
      <c r="AT216" s="4">
        <f t="shared" si="117"/>
        <v>2.5088028169014009E-2</v>
      </c>
      <c r="AU216" s="4">
        <f t="shared" si="118"/>
        <v>3.0984719864176613E-2</v>
      </c>
      <c r="AV216" s="4">
        <f t="shared" si="119"/>
        <v>1.1976047904191711E-2</v>
      </c>
      <c r="AW216" s="4">
        <f t="shared" si="120"/>
        <v>1.6863406408094361E-2</v>
      </c>
      <c r="AX216" s="4">
        <f t="shared" si="121"/>
        <v>3.5493190260008189E-2</v>
      </c>
      <c r="AY216" s="4">
        <f t="shared" si="122"/>
        <v>8.6071987480438317E-3</v>
      </c>
      <c r="AZ216" s="4">
        <f t="shared" si="123"/>
        <v>3.9856516540454079E-3</v>
      </c>
      <c r="BA216" s="4">
        <f t="shared" si="124"/>
        <v>3.6363636363636598E-3</v>
      </c>
      <c r="BB216" s="4">
        <f t="shared" si="125"/>
        <v>3.8913660316173493E-2</v>
      </c>
      <c r="BC216" s="4">
        <f t="shared" si="126"/>
        <v>9.4974277799763085E-3</v>
      </c>
      <c r="BD216" s="4">
        <f t="shared" si="127"/>
        <v>6.6199376947040367E-3</v>
      </c>
      <c r="BE216" s="4">
        <f t="shared" si="128"/>
        <v>2.3910528345545634E-2</v>
      </c>
      <c r="BF216" s="4">
        <f t="shared" si="129"/>
        <v>1.1841100076394273E-2</v>
      </c>
      <c r="BG216" s="4">
        <f t="shared" si="130"/>
        <v>3.4120734908136496E-2</v>
      </c>
      <c r="BH216" s="4">
        <f t="shared" si="131"/>
        <v>2.6240115025161659E-2</v>
      </c>
      <c r="BI216" s="4">
        <f t="shared" si="132"/>
        <v>1.5495495495495448E-2</v>
      </c>
      <c r="BJ216" s="4">
        <f t="shared" si="133"/>
        <v>2.9154518950438302E-3</v>
      </c>
      <c r="BK216" s="4">
        <f t="shared" si="134"/>
        <v>1.9729630982827873E-2</v>
      </c>
      <c r="BL216" s="4">
        <f t="shared" si="135"/>
        <v>3.3444816053511683E-3</v>
      </c>
      <c r="BM216" s="4">
        <f t="shared" si="145"/>
        <v>1.7214749058422869E-2</v>
      </c>
      <c r="BN216" s="14">
        <f t="shared" si="146"/>
        <v>13686.62444858108</v>
      </c>
      <c r="BO216" s="15">
        <f t="shared" si="147"/>
        <v>13095.613468796515</v>
      </c>
      <c r="BP216" s="16">
        <v>13485</v>
      </c>
      <c r="BQ216" s="16">
        <v>13505</v>
      </c>
      <c r="BR216" s="16">
        <v>13480</v>
      </c>
      <c r="BS216" s="16">
        <v>13500</v>
      </c>
      <c r="BT216" s="16">
        <v>14209</v>
      </c>
      <c r="BU216" s="15">
        <f t="shared" si="136"/>
        <v>13495</v>
      </c>
      <c r="BV216" s="15">
        <f t="shared" si="137"/>
        <v>191750455</v>
      </c>
      <c r="BW216" s="15">
        <f>SUM($BV$3:BV216)</f>
        <v>211616601879.99994</v>
      </c>
      <c r="BX216" s="15">
        <f>SUM($BT$3:BT216)</f>
        <v>15606218</v>
      </c>
      <c r="BY216" s="15">
        <f t="shared" si="138"/>
        <v>13559.762005118726</v>
      </c>
      <c r="BZ216" s="3">
        <v>214</v>
      </c>
      <c r="CA216" s="3">
        <f t="shared" si="139"/>
        <v>0</v>
      </c>
      <c r="CB216" s="3">
        <f t="shared" si="140"/>
        <v>0</v>
      </c>
      <c r="CC216" s="3">
        <f t="shared" si="141"/>
        <v>0</v>
      </c>
      <c r="CD216" s="3" t="str">
        <f t="shared" si="142"/>
        <v/>
      </c>
      <c r="CE216" s="3">
        <f t="shared" si="143"/>
        <v>0</v>
      </c>
    </row>
    <row r="217" spans="1:83" x14ac:dyDescent="0.3">
      <c r="A217" s="3" t="s">
        <v>257</v>
      </c>
      <c r="B217" s="3">
        <v>11645</v>
      </c>
      <c r="C217" s="3">
        <v>11650</v>
      </c>
      <c r="D217" s="3">
        <v>11535</v>
      </c>
      <c r="E217" s="3">
        <v>11530</v>
      </c>
      <c r="F217" s="3">
        <v>11645</v>
      </c>
      <c r="G217" s="3">
        <v>11655</v>
      </c>
      <c r="H217" s="3">
        <v>11415</v>
      </c>
      <c r="I217" s="3">
        <v>11405</v>
      </c>
      <c r="J217" s="3">
        <v>11830</v>
      </c>
      <c r="K217" s="3">
        <v>11815</v>
      </c>
      <c r="L217" s="3">
        <v>12060</v>
      </c>
      <c r="M217" s="3">
        <v>12060</v>
      </c>
      <c r="N217" s="3">
        <v>12545</v>
      </c>
      <c r="O217" s="3">
        <v>12540</v>
      </c>
      <c r="P217" s="3">
        <v>12675</v>
      </c>
      <c r="Q217" s="3">
        <v>12670</v>
      </c>
      <c r="R217" s="3">
        <v>12495</v>
      </c>
      <c r="S217" s="3">
        <v>12495</v>
      </c>
      <c r="T217" s="3">
        <v>12335</v>
      </c>
      <c r="U217" s="3">
        <v>12330</v>
      </c>
      <c r="V217" s="3">
        <v>12815</v>
      </c>
      <c r="W217" s="3">
        <v>12825</v>
      </c>
      <c r="X217" s="3">
        <v>12510</v>
      </c>
      <c r="Y217" s="3">
        <v>12515</v>
      </c>
      <c r="Z217" s="3">
        <v>12755</v>
      </c>
      <c r="AA217" s="3">
        <v>12755</v>
      </c>
      <c r="AB217" s="3">
        <v>13275</v>
      </c>
      <c r="AC217" s="3">
        <v>13275</v>
      </c>
      <c r="AD217" s="3">
        <v>13250</v>
      </c>
      <c r="AE217" s="3">
        <v>13235</v>
      </c>
      <c r="AF217" s="3">
        <v>13790</v>
      </c>
      <c r="AG217" s="3">
        <v>13785</v>
      </c>
      <c r="AH217" s="3">
        <v>14275</v>
      </c>
      <c r="AI217" s="3">
        <v>14275</v>
      </c>
      <c r="AJ217" s="3">
        <v>13665</v>
      </c>
      <c r="AK217" s="3">
        <v>13680</v>
      </c>
      <c r="AL217" s="3">
        <v>13765</v>
      </c>
      <c r="AM217" s="3">
        <v>13765</v>
      </c>
      <c r="AN217" s="3">
        <v>13415</v>
      </c>
      <c r="AO217" s="3">
        <v>13420</v>
      </c>
      <c r="AP217" s="3">
        <v>13500</v>
      </c>
      <c r="AQ217" s="3">
        <v>13505</v>
      </c>
      <c r="AR217" s="4">
        <f t="shared" si="144"/>
        <v>1.0407632263659927E-2</v>
      </c>
      <c r="AS217" s="4">
        <f t="shared" si="116"/>
        <v>1.7316017316016952E-3</v>
      </c>
      <c r="AT217" s="4">
        <f t="shared" si="117"/>
        <v>2.5968309859154992E-2</v>
      </c>
      <c r="AU217" s="4">
        <f t="shared" si="118"/>
        <v>3.183361629881154E-2</v>
      </c>
      <c r="AV217" s="4">
        <f t="shared" si="119"/>
        <v>1.0692899914456877E-2</v>
      </c>
      <c r="AW217" s="4">
        <f t="shared" si="120"/>
        <v>1.6863406408094361E-2</v>
      </c>
      <c r="AX217" s="4">
        <f t="shared" si="121"/>
        <v>3.5080478745356913E-2</v>
      </c>
      <c r="AY217" s="4">
        <f t="shared" si="122"/>
        <v>8.6071987480438317E-3</v>
      </c>
      <c r="AZ217" s="4">
        <f t="shared" si="123"/>
        <v>3.9856516540454079E-3</v>
      </c>
      <c r="BA217" s="4">
        <f t="shared" si="124"/>
        <v>3.6363636363636598E-3</v>
      </c>
      <c r="BB217" s="4">
        <f t="shared" si="125"/>
        <v>3.9724361572760492E-2</v>
      </c>
      <c r="BC217" s="4">
        <f t="shared" si="126"/>
        <v>9.4974277799763085E-3</v>
      </c>
      <c r="BD217" s="4">
        <f t="shared" si="127"/>
        <v>6.6199376947040367E-3</v>
      </c>
      <c r="BE217" s="4">
        <f t="shared" si="128"/>
        <v>2.3910528345545634E-2</v>
      </c>
      <c r="BF217" s="4">
        <f t="shared" si="129"/>
        <v>1.1077158135981646E-2</v>
      </c>
      <c r="BG217" s="4">
        <f t="shared" si="130"/>
        <v>3.3745781777277939E-2</v>
      </c>
      <c r="BH217" s="4">
        <f t="shared" si="131"/>
        <v>2.6240115025161659E-2</v>
      </c>
      <c r="BI217" s="4">
        <f t="shared" si="132"/>
        <v>1.4054054054054022E-2</v>
      </c>
      <c r="BJ217" s="4">
        <f t="shared" si="133"/>
        <v>3.2798833819243089E-3</v>
      </c>
      <c r="BK217" s="4">
        <f t="shared" si="134"/>
        <v>1.9364267446108863E-2</v>
      </c>
      <c r="BL217" s="4">
        <f t="shared" si="135"/>
        <v>3.7160906726123599E-3</v>
      </c>
      <c r="BM217" s="4">
        <f t="shared" si="145"/>
        <v>1.705880057123605E-2</v>
      </c>
      <c r="BN217" s="14">
        <f t="shared" si="146"/>
        <v>13684.526161685981</v>
      </c>
      <c r="BO217" s="15">
        <f t="shared" si="147"/>
        <v>13097.69148238828</v>
      </c>
      <c r="BP217" s="16">
        <v>13500</v>
      </c>
      <c r="BQ217" s="16">
        <v>13510</v>
      </c>
      <c r="BR217" s="16">
        <v>13500</v>
      </c>
      <c r="BS217" s="16">
        <v>13505</v>
      </c>
      <c r="BT217" s="16">
        <v>12150</v>
      </c>
      <c r="BU217" s="15">
        <f t="shared" si="136"/>
        <v>13505</v>
      </c>
      <c r="BV217" s="15">
        <f t="shared" si="137"/>
        <v>164085750</v>
      </c>
      <c r="BW217" s="15">
        <f>SUM($BV$3:BV217)</f>
        <v>211780687629.99994</v>
      </c>
      <c r="BX217" s="15">
        <f>SUM($BT$3:BT217)</f>
        <v>15618368</v>
      </c>
      <c r="BY217" s="15">
        <f t="shared" si="138"/>
        <v>13559.719404101628</v>
      </c>
      <c r="BZ217" s="3">
        <v>215</v>
      </c>
      <c r="CA217" s="3">
        <f t="shared" si="139"/>
        <v>0</v>
      </c>
      <c r="CB217" s="3">
        <f t="shared" si="140"/>
        <v>0</v>
      </c>
      <c r="CC217" s="3">
        <f t="shared" si="141"/>
        <v>0</v>
      </c>
      <c r="CD217" s="3" t="str">
        <f t="shared" si="142"/>
        <v/>
      </c>
      <c r="CE217" s="3">
        <f t="shared" si="143"/>
        <v>0</v>
      </c>
    </row>
    <row r="218" spans="1:83" x14ac:dyDescent="0.3">
      <c r="A218" s="3" t="s">
        <v>258</v>
      </c>
      <c r="B218" s="3">
        <v>11650</v>
      </c>
      <c r="C218" s="3">
        <v>11650</v>
      </c>
      <c r="D218" s="3">
        <v>11535</v>
      </c>
      <c r="E218" s="3">
        <v>11535</v>
      </c>
      <c r="F218" s="3">
        <v>11655</v>
      </c>
      <c r="G218" s="3">
        <v>11640</v>
      </c>
      <c r="H218" s="3">
        <v>11405</v>
      </c>
      <c r="I218" s="3">
        <v>11395</v>
      </c>
      <c r="J218" s="3">
        <v>11820</v>
      </c>
      <c r="K218" s="3">
        <v>11815</v>
      </c>
      <c r="L218" s="3">
        <v>12060</v>
      </c>
      <c r="M218" s="3">
        <v>12050</v>
      </c>
      <c r="N218" s="3">
        <v>12540</v>
      </c>
      <c r="O218" s="3">
        <v>12540</v>
      </c>
      <c r="P218" s="3">
        <v>12670</v>
      </c>
      <c r="Q218" s="3">
        <v>12670</v>
      </c>
      <c r="R218" s="3">
        <v>12495</v>
      </c>
      <c r="S218" s="3">
        <v>12490</v>
      </c>
      <c r="T218" s="3">
        <v>12330</v>
      </c>
      <c r="U218" s="3">
        <v>12300</v>
      </c>
      <c r="V218" s="3">
        <v>12830</v>
      </c>
      <c r="W218" s="3">
        <v>12825</v>
      </c>
      <c r="X218" s="3">
        <v>12515</v>
      </c>
      <c r="Y218" s="3">
        <v>12470</v>
      </c>
      <c r="Z218" s="3">
        <v>12755</v>
      </c>
      <c r="AA218" s="3">
        <v>12760</v>
      </c>
      <c r="AB218" s="3">
        <v>13275</v>
      </c>
      <c r="AC218" s="3">
        <v>13260</v>
      </c>
      <c r="AD218" s="3">
        <v>13235</v>
      </c>
      <c r="AE218" s="3">
        <v>13230</v>
      </c>
      <c r="AF218" s="3">
        <v>13780</v>
      </c>
      <c r="AG218" s="3">
        <v>13785</v>
      </c>
      <c r="AH218" s="3">
        <v>14275</v>
      </c>
      <c r="AI218" s="3">
        <v>14255</v>
      </c>
      <c r="AJ218" s="3">
        <v>13675</v>
      </c>
      <c r="AK218" s="3">
        <v>13690</v>
      </c>
      <c r="AL218" s="3">
        <v>13765</v>
      </c>
      <c r="AM218" s="3">
        <v>13750</v>
      </c>
      <c r="AN218" s="3">
        <v>13420</v>
      </c>
      <c r="AO218" s="3">
        <v>13400</v>
      </c>
      <c r="AP218" s="3">
        <v>13505</v>
      </c>
      <c r="AQ218" s="3">
        <v>13495</v>
      </c>
      <c r="AR218" s="4">
        <f t="shared" si="144"/>
        <v>1.0407632263659927E-2</v>
      </c>
      <c r="AS218" s="4">
        <f t="shared" si="116"/>
        <v>1.2987012987012436E-3</v>
      </c>
      <c r="AT218" s="4">
        <f t="shared" si="117"/>
        <v>2.464788732394374E-2</v>
      </c>
      <c r="AU218" s="4">
        <f t="shared" si="118"/>
        <v>3.2682512733446467E-2</v>
      </c>
      <c r="AV218" s="4">
        <f t="shared" si="119"/>
        <v>1.0692899914456877E-2</v>
      </c>
      <c r="AW218" s="4">
        <f t="shared" si="120"/>
        <v>1.6020236087689765E-2</v>
      </c>
      <c r="AX218" s="4">
        <f t="shared" si="121"/>
        <v>3.5080478745356913E-2</v>
      </c>
      <c r="AY218" s="4">
        <f t="shared" si="122"/>
        <v>8.6071987480438317E-3</v>
      </c>
      <c r="AZ218" s="4">
        <f t="shared" si="123"/>
        <v>4.3842168194500042E-3</v>
      </c>
      <c r="BA218" s="4">
        <f t="shared" si="124"/>
        <v>6.0606060606060996E-3</v>
      </c>
      <c r="BB218" s="4">
        <f t="shared" si="125"/>
        <v>3.9724361572760492E-2</v>
      </c>
      <c r="BC218" s="4">
        <f t="shared" si="126"/>
        <v>1.3058963197467355E-2</v>
      </c>
      <c r="BD218" s="4">
        <f t="shared" si="127"/>
        <v>6.230529595015577E-3</v>
      </c>
      <c r="BE218" s="4">
        <f t="shared" si="128"/>
        <v>2.2753567296567745E-2</v>
      </c>
      <c r="BF218" s="4">
        <f t="shared" si="129"/>
        <v>1.0695187165775444E-2</v>
      </c>
      <c r="BG218" s="4">
        <f t="shared" si="130"/>
        <v>3.3745781777277939E-2</v>
      </c>
      <c r="BH218" s="4">
        <f t="shared" si="131"/>
        <v>2.4802300503235175E-2</v>
      </c>
      <c r="BI218" s="4">
        <f t="shared" si="132"/>
        <v>1.3333333333333308E-2</v>
      </c>
      <c r="BJ218" s="4">
        <f t="shared" si="133"/>
        <v>2.1865889212828726E-3</v>
      </c>
      <c r="BK218" s="4">
        <f t="shared" si="134"/>
        <v>2.0825721592985014E-2</v>
      </c>
      <c r="BL218" s="4">
        <f t="shared" si="135"/>
        <v>2.9728725380899768E-3</v>
      </c>
      <c r="BM218" s="4">
        <f t="shared" si="145"/>
        <v>1.7249202523511271E-2</v>
      </c>
      <c r="BN218" s="14">
        <f t="shared" si="146"/>
        <v>13687.088019953846</v>
      </c>
      <c r="BO218" s="15">
        <f t="shared" si="147"/>
        <v>13095.154376374212</v>
      </c>
      <c r="BP218" s="16">
        <v>13505</v>
      </c>
      <c r="BQ218" s="16">
        <v>13510</v>
      </c>
      <c r="BR218" s="16">
        <v>13490</v>
      </c>
      <c r="BS218" s="16">
        <v>13495</v>
      </c>
      <c r="BT218" s="16">
        <v>9711</v>
      </c>
      <c r="BU218" s="15">
        <f t="shared" si="136"/>
        <v>13498.333333333334</v>
      </c>
      <c r="BV218" s="15">
        <f t="shared" si="137"/>
        <v>131082315</v>
      </c>
      <c r="BW218" s="15">
        <f>SUM($BV$3:BV218)</f>
        <v>211911769944.99994</v>
      </c>
      <c r="BX218" s="15">
        <f>SUM($BT$3:BT218)</f>
        <v>15628079</v>
      </c>
      <c r="BY218" s="15">
        <f t="shared" si="138"/>
        <v>13559.681259929639</v>
      </c>
      <c r="BZ218" s="3">
        <v>216</v>
      </c>
      <c r="CA218" s="3">
        <f t="shared" si="139"/>
        <v>0</v>
      </c>
      <c r="CB218" s="3">
        <f t="shared" si="140"/>
        <v>0</v>
      </c>
      <c r="CC218" s="3">
        <f t="shared" si="141"/>
        <v>0</v>
      </c>
      <c r="CD218" s="3" t="str">
        <f t="shared" si="142"/>
        <v/>
      </c>
      <c r="CE218" s="3">
        <f t="shared" si="143"/>
        <v>0</v>
      </c>
    </row>
    <row r="219" spans="1:83" x14ac:dyDescent="0.3">
      <c r="A219" s="3" t="s">
        <v>259</v>
      </c>
      <c r="B219" s="3">
        <v>11650</v>
      </c>
      <c r="C219" s="3">
        <v>11665</v>
      </c>
      <c r="D219" s="3">
        <v>11535</v>
      </c>
      <c r="E219" s="3">
        <v>11555</v>
      </c>
      <c r="F219" s="3">
        <v>11645</v>
      </c>
      <c r="G219" s="3">
        <v>11650</v>
      </c>
      <c r="H219" s="3">
        <v>11395</v>
      </c>
      <c r="I219" s="3">
        <v>11390</v>
      </c>
      <c r="J219" s="3">
        <v>11815</v>
      </c>
      <c r="K219" s="3">
        <v>11800</v>
      </c>
      <c r="L219" s="3">
        <v>12050</v>
      </c>
      <c r="M219" s="3">
        <v>12035</v>
      </c>
      <c r="N219" s="3">
        <v>12540</v>
      </c>
      <c r="O219" s="3">
        <v>12540</v>
      </c>
      <c r="P219" s="3">
        <v>12670</v>
      </c>
      <c r="Q219" s="3">
        <v>12670</v>
      </c>
      <c r="R219" s="3">
        <v>12490</v>
      </c>
      <c r="S219" s="3">
        <v>12505</v>
      </c>
      <c r="T219" s="3">
        <v>12305</v>
      </c>
      <c r="U219" s="3">
        <v>12275</v>
      </c>
      <c r="V219" s="3">
        <v>12825</v>
      </c>
      <c r="W219" s="3">
        <v>12825</v>
      </c>
      <c r="X219" s="3">
        <v>12470</v>
      </c>
      <c r="Y219" s="3">
        <v>12465</v>
      </c>
      <c r="Z219" s="3">
        <v>12760</v>
      </c>
      <c r="AA219" s="3">
        <v>12750</v>
      </c>
      <c r="AB219" s="3">
        <v>13255</v>
      </c>
      <c r="AC219" s="3">
        <v>13265</v>
      </c>
      <c r="AD219" s="3">
        <v>13230</v>
      </c>
      <c r="AE219" s="3">
        <v>13245</v>
      </c>
      <c r="AF219" s="3">
        <v>13785</v>
      </c>
      <c r="AG219" s="3">
        <v>13800</v>
      </c>
      <c r="AH219" s="3">
        <v>14255</v>
      </c>
      <c r="AI219" s="3">
        <v>14245</v>
      </c>
      <c r="AJ219" s="3">
        <v>13690</v>
      </c>
      <c r="AK219" s="3">
        <v>13685</v>
      </c>
      <c r="AL219" s="3">
        <v>13750</v>
      </c>
      <c r="AM219" s="3">
        <v>13740</v>
      </c>
      <c r="AN219" s="3">
        <v>13400</v>
      </c>
      <c r="AO219" s="3">
        <v>13405</v>
      </c>
      <c r="AP219" s="3">
        <v>13490</v>
      </c>
      <c r="AQ219" s="3">
        <v>13500</v>
      </c>
      <c r="AR219" s="4">
        <f t="shared" si="144"/>
        <v>1.1708586296617529E-2</v>
      </c>
      <c r="AS219" s="4">
        <f t="shared" si="116"/>
        <v>4.3290043290045155E-4</v>
      </c>
      <c r="AT219" s="4">
        <f t="shared" si="117"/>
        <v>2.5528169014084501E-2</v>
      </c>
      <c r="AU219" s="4">
        <f t="shared" si="118"/>
        <v>3.3106960950764042E-2</v>
      </c>
      <c r="AV219" s="4">
        <f t="shared" si="119"/>
        <v>9.4097519247220429E-3</v>
      </c>
      <c r="AW219" s="4">
        <f t="shared" si="120"/>
        <v>1.4755480607082649E-2</v>
      </c>
      <c r="AX219" s="4">
        <f t="shared" si="121"/>
        <v>3.5080478745356913E-2</v>
      </c>
      <c r="AY219" s="4">
        <f t="shared" si="122"/>
        <v>8.6071987480438317E-3</v>
      </c>
      <c r="AZ219" s="4">
        <f t="shared" si="123"/>
        <v>3.1885213232363263E-3</v>
      </c>
      <c r="BA219" s="4">
        <f t="shared" si="124"/>
        <v>8.0808080808081328E-3</v>
      </c>
      <c r="BB219" s="4">
        <f t="shared" si="125"/>
        <v>3.9724361572760492E-2</v>
      </c>
      <c r="BC219" s="4">
        <f t="shared" si="126"/>
        <v>1.3454689354966409E-2</v>
      </c>
      <c r="BD219" s="4">
        <f t="shared" si="127"/>
        <v>7.0093457943924964E-3</v>
      </c>
      <c r="BE219" s="4">
        <f t="shared" si="128"/>
        <v>2.3139220979560449E-2</v>
      </c>
      <c r="BF219" s="4">
        <f t="shared" si="129"/>
        <v>1.1841100076394273E-2</v>
      </c>
      <c r="BG219" s="4">
        <f t="shared" si="130"/>
        <v>3.4870641169853833E-2</v>
      </c>
      <c r="BH219" s="4">
        <f t="shared" si="131"/>
        <v>2.4083393242271711E-2</v>
      </c>
      <c r="BI219" s="4">
        <f t="shared" si="132"/>
        <v>1.3693693693693665E-2</v>
      </c>
      <c r="BJ219" s="4">
        <f t="shared" si="133"/>
        <v>1.4577259475219151E-3</v>
      </c>
      <c r="BK219" s="4">
        <f t="shared" si="134"/>
        <v>2.0460358056266004E-2</v>
      </c>
      <c r="BL219" s="4">
        <f t="shared" si="135"/>
        <v>3.3444816053511683E-3</v>
      </c>
      <c r="BM219" s="4">
        <f t="shared" si="145"/>
        <v>1.7477966913223317E-2</v>
      </c>
      <c r="BN219" s="14">
        <f t="shared" si="146"/>
        <v>13690.166044817419</v>
      </c>
      <c r="BO219" s="15">
        <f t="shared" si="147"/>
        <v>13092.1060908813</v>
      </c>
      <c r="BP219" s="16">
        <v>13490</v>
      </c>
      <c r="BQ219" s="16">
        <v>13500</v>
      </c>
      <c r="BR219" s="16">
        <v>13490</v>
      </c>
      <c r="BS219" s="16">
        <v>13500</v>
      </c>
      <c r="BT219" s="16">
        <v>7267</v>
      </c>
      <c r="BU219" s="15">
        <f t="shared" si="136"/>
        <v>13496.666666666666</v>
      </c>
      <c r="BV219" s="15">
        <f t="shared" si="137"/>
        <v>98080276.666666657</v>
      </c>
      <c r="BW219" s="15">
        <f>SUM($BV$3:BV219)</f>
        <v>212009850221.6666</v>
      </c>
      <c r="BX219" s="15">
        <f>SUM($BT$3:BT219)</f>
        <v>15635346</v>
      </c>
      <c r="BY219" s="15">
        <f t="shared" si="138"/>
        <v>13559.651971991319</v>
      </c>
      <c r="BZ219" s="3">
        <v>217</v>
      </c>
      <c r="CA219" s="3">
        <f t="shared" si="139"/>
        <v>0</v>
      </c>
      <c r="CB219" s="3">
        <f t="shared" si="140"/>
        <v>0</v>
      </c>
      <c r="CC219" s="3">
        <f t="shared" si="141"/>
        <v>0</v>
      </c>
      <c r="CD219" s="3" t="str">
        <f t="shared" si="142"/>
        <v/>
      </c>
      <c r="CE219" s="3">
        <f t="shared" si="143"/>
        <v>0</v>
      </c>
    </row>
    <row r="220" spans="1:83" x14ac:dyDescent="0.3">
      <c r="A220" s="3" t="s">
        <v>260</v>
      </c>
      <c r="B220" s="3">
        <v>11665</v>
      </c>
      <c r="C220" s="3">
        <v>11665</v>
      </c>
      <c r="D220" s="3">
        <v>11555</v>
      </c>
      <c r="E220" s="3">
        <v>11550</v>
      </c>
      <c r="F220" s="3">
        <v>11650</v>
      </c>
      <c r="G220" s="3">
        <v>11650</v>
      </c>
      <c r="H220" s="3">
        <v>11390</v>
      </c>
      <c r="I220" s="3">
        <v>11365</v>
      </c>
      <c r="J220" s="3">
        <v>11800</v>
      </c>
      <c r="K220" s="3">
        <v>11795</v>
      </c>
      <c r="L220" s="3">
        <v>12035</v>
      </c>
      <c r="M220" s="3">
        <v>12045</v>
      </c>
      <c r="N220" s="3">
        <v>12545</v>
      </c>
      <c r="O220" s="3">
        <v>12535</v>
      </c>
      <c r="P220" s="3">
        <v>12670</v>
      </c>
      <c r="Q220" s="3">
        <v>12675</v>
      </c>
      <c r="R220" s="3">
        <v>12500</v>
      </c>
      <c r="S220" s="3">
        <v>12500</v>
      </c>
      <c r="T220" s="3">
        <v>12275</v>
      </c>
      <c r="U220" s="3">
        <v>12285</v>
      </c>
      <c r="V220" s="3">
        <v>12825</v>
      </c>
      <c r="W220" s="3">
        <v>12830</v>
      </c>
      <c r="X220" s="3">
        <v>12465</v>
      </c>
      <c r="Y220" s="3">
        <v>12450</v>
      </c>
      <c r="Z220" s="3">
        <v>12750</v>
      </c>
      <c r="AA220" s="3">
        <v>12740</v>
      </c>
      <c r="AB220" s="3">
        <v>13265</v>
      </c>
      <c r="AC220" s="3">
        <v>13265</v>
      </c>
      <c r="AD220" s="3">
        <v>13250</v>
      </c>
      <c r="AE220" s="3">
        <v>13260</v>
      </c>
      <c r="AF220" s="3">
        <v>13800</v>
      </c>
      <c r="AG220" s="3">
        <v>13805</v>
      </c>
      <c r="AH220" s="3">
        <v>14245</v>
      </c>
      <c r="AI220" s="3">
        <v>14235</v>
      </c>
      <c r="AJ220" s="3">
        <v>13680</v>
      </c>
      <c r="AK220" s="3">
        <v>13665</v>
      </c>
      <c r="AL220" s="3">
        <v>13740</v>
      </c>
      <c r="AM220" s="3">
        <v>13735</v>
      </c>
      <c r="AN220" s="3">
        <v>13405</v>
      </c>
      <c r="AO220" s="3">
        <v>13410</v>
      </c>
      <c r="AP220" s="3">
        <v>13505</v>
      </c>
      <c r="AQ220" s="3">
        <v>13495</v>
      </c>
      <c r="AR220" s="4">
        <f t="shared" si="144"/>
        <v>1.1708586296617529E-2</v>
      </c>
      <c r="AS220" s="4">
        <f t="shared" si="116"/>
        <v>0</v>
      </c>
      <c r="AT220" s="4">
        <f t="shared" si="117"/>
        <v>2.5528169014084501E-2</v>
      </c>
      <c r="AU220" s="4">
        <f t="shared" si="118"/>
        <v>3.522920203735147E-2</v>
      </c>
      <c r="AV220" s="4">
        <f t="shared" si="119"/>
        <v>8.9820359281436168E-3</v>
      </c>
      <c r="AW220" s="4">
        <f t="shared" si="120"/>
        <v>1.5598650927487245E-2</v>
      </c>
      <c r="AX220" s="4">
        <f t="shared" si="121"/>
        <v>3.4667767230705637E-2</v>
      </c>
      <c r="AY220" s="4">
        <f t="shared" si="122"/>
        <v>8.215962441314506E-3</v>
      </c>
      <c r="AZ220" s="4">
        <f t="shared" si="123"/>
        <v>3.5870864886409226E-3</v>
      </c>
      <c r="BA220" s="4">
        <f t="shared" si="124"/>
        <v>7.2727272727273196E-3</v>
      </c>
      <c r="BB220" s="4">
        <f t="shared" si="125"/>
        <v>4.0129712201053991E-2</v>
      </c>
      <c r="BC220" s="4">
        <f t="shared" si="126"/>
        <v>1.4641867827463351E-2</v>
      </c>
      <c r="BD220" s="4">
        <f t="shared" si="127"/>
        <v>7.7881619937694158E-3</v>
      </c>
      <c r="BE220" s="4">
        <f t="shared" si="128"/>
        <v>2.3139220979560449E-2</v>
      </c>
      <c r="BF220" s="4">
        <f t="shared" si="129"/>
        <v>1.298701298701288E-2</v>
      </c>
      <c r="BG220" s="4">
        <f t="shared" si="130"/>
        <v>3.5245594300712391E-2</v>
      </c>
      <c r="BH220" s="4">
        <f t="shared" si="131"/>
        <v>2.3364485981308469E-2</v>
      </c>
      <c r="BI220" s="4">
        <f t="shared" si="132"/>
        <v>1.5135135135135092E-2</v>
      </c>
      <c r="BJ220" s="4">
        <f t="shared" si="133"/>
        <v>1.0932944606414363E-3</v>
      </c>
      <c r="BK220" s="4">
        <f t="shared" si="134"/>
        <v>2.0094994519546994E-2</v>
      </c>
      <c r="BL220" s="4">
        <f t="shared" si="135"/>
        <v>2.9728725380899768E-3</v>
      </c>
      <c r="BM220" s="4">
        <f t="shared" si="145"/>
        <v>1.7668787415685203E-2</v>
      </c>
      <c r="BN220" s="14">
        <f t="shared" si="146"/>
        <v>13692.733534678044</v>
      </c>
      <c r="BO220" s="15">
        <f t="shared" si="147"/>
        <v>13089.563407685995</v>
      </c>
      <c r="BP220" s="16">
        <v>13505</v>
      </c>
      <c r="BQ220" s="16">
        <v>13505</v>
      </c>
      <c r="BR220" s="16">
        <v>13490</v>
      </c>
      <c r="BS220" s="16">
        <v>13495</v>
      </c>
      <c r="BT220" s="16">
        <v>35389</v>
      </c>
      <c r="BU220" s="15">
        <f t="shared" si="136"/>
        <v>13496.666666666666</v>
      </c>
      <c r="BV220" s="15">
        <f t="shared" si="137"/>
        <v>477633536.66666663</v>
      </c>
      <c r="BW220" s="15">
        <f>SUM($BV$3:BV220)</f>
        <v>212487483758.33325</v>
      </c>
      <c r="BX220" s="15">
        <f>SUM($BT$3:BT220)</f>
        <v>15670735</v>
      </c>
      <c r="BY220" s="15">
        <f t="shared" si="138"/>
        <v>13559.509733163968</v>
      </c>
      <c r="BZ220" s="3">
        <v>218</v>
      </c>
      <c r="CA220" s="3">
        <f t="shared" si="139"/>
        <v>0</v>
      </c>
      <c r="CB220" s="3">
        <f t="shared" si="140"/>
        <v>0</v>
      </c>
      <c r="CC220" s="3">
        <f t="shared" si="141"/>
        <v>0</v>
      </c>
      <c r="CD220" s="3" t="str">
        <f t="shared" si="142"/>
        <v/>
      </c>
      <c r="CE220" s="3">
        <f t="shared" si="143"/>
        <v>0</v>
      </c>
    </row>
    <row r="221" spans="1:83" x14ac:dyDescent="0.3">
      <c r="A221" s="3" t="s">
        <v>261</v>
      </c>
      <c r="B221" s="3">
        <v>11670</v>
      </c>
      <c r="C221" s="3">
        <v>11665</v>
      </c>
      <c r="D221" s="3">
        <v>11555</v>
      </c>
      <c r="E221" s="3">
        <v>11555</v>
      </c>
      <c r="F221" s="3">
        <v>11655</v>
      </c>
      <c r="G221" s="3">
        <v>11655</v>
      </c>
      <c r="H221" s="3">
        <v>11365</v>
      </c>
      <c r="I221" s="3">
        <v>11385</v>
      </c>
      <c r="J221" s="3">
        <v>11790</v>
      </c>
      <c r="K221" s="3">
        <v>11805</v>
      </c>
      <c r="L221" s="3">
        <v>12045</v>
      </c>
      <c r="M221" s="3">
        <v>12055</v>
      </c>
      <c r="N221" s="3">
        <v>12540</v>
      </c>
      <c r="O221" s="3">
        <v>12540</v>
      </c>
      <c r="P221" s="3">
        <v>12675</v>
      </c>
      <c r="Q221" s="3">
        <v>12680</v>
      </c>
      <c r="R221" s="3">
        <v>12500</v>
      </c>
      <c r="S221" s="3">
        <v>12500</v>
      </c>
      <c r="T221" s="3">
        <v>12285</v>
      </c>
      <c r="U221" s="3">
        <v>12270</v>
      </c>
      <c r="V221" s="3">
        <v>12830</v>
      </c>
      <c r="W221" s="3">
        <v>12825</v>
      </c>
      <c r="X221" s="3">
        <v>12455</v>
      </c>
      <c r="Y221" s="3">
        <v>12405</v>
      </c>
      <c r="Z221" s="3">
        <v>12740</v>
      </c>
      <c r="AA221" s="3">
        <v>12730</v>
      </c>
      <c r="AB221" s="3">
        <v>13265</v>
      </c>
      <c r="AC221" s="3">
        <v>13275</v>
      </c>
      <c r="AD221" s="3">
        <v>13265</v>
      </c>
      <c r="AE221" s="3">
        <v>13245</v>
      </c>
      <c r="AF221" s="3">
        <v>13800</v>
      </c>
      <c r="AG221" s="3">
        <v>13795</v>
      </c>
      <c r="AH221" s="3">
        <v>14235</v>
      </c>
      <c r="AI221" s="3">
        <v>14235</v>
      </c>
      <c r="AJ221" s="3">
        <v>13665</v>
      </c>
      <c r="AK221" s="3">
        <v>13660</v>
      </c>
      <c r="AL221" s="3">
        <v>13740</v>
      </c>
      <c r="AM221" s="3">
        <v>13735</v>
      </c>
      <c r="AN221" s="3">
        <v>13410</v>
      </c>
      <c r="AO221" s="3">
        <v>13410</v>
      </c>
      <c r="AP221" s="3">
        <v>13495</v>
      </c>
      <c r="AQ221" s="3">
        <v>13495</v>
      </c>
      <c r="AR221" s="4">
        <f t="shared" si="144"/>
        <v>1.1708586296617529E-2</v>
      </c>
      <c r="AS221" s="4">
        <f t="shared" si="116"/>
        <v>4.3290043290045155E-4</v>
      </c>
      <c r="AT221" s="4">
        <f t="shared" si="117"/>
        <v>2.5968309859154992E-2</v>
      </c>
      <c r="AU221" s="4">
        <f t="shared" si="118"/>
        <v>3.3531409168081505E-2</v>
      </c>
      <c r="AV221" s="4">
        <f t="shared" si="119"/>
        <v>9.8374679213002469E-3</v>
      </c>
      <c r="AW221" s="4">
        <f t="shared" si="120"/>
        <v>1.6441821247892063E-2</v>
      </c>
      <c r="AX221" s="4">
        <f t="shared" si="121"/>
        <v>3.5080478745356913E-2</v>
      </c>
      <c r="AY221" s="4">
        <f t="shared" si="122"/>
        <v>7.8247261345852914E-3</v>
      </c>
      <c r="AZ221" s="4">
        <f t="shared" si="123"/>
        <v>3.5870864886409226E-3</v>
      </c>
      <c r="BA221" s="4">
        <f t="shared" si="124"/>
        <v>8.4848484848485395E-3</v>
      </c>
      <c r="BB221" s="4">
        <f t="shared" si="125"/>
        <v>3.9724361572760492E-2</v>
      </c>
      <c r="BC221" s="4">
        <f t="shared" si="126"/>
        <v>1.8203403244954508E-2</v>
      </c>
      <c r="BD221" s="4">
        <f t="shared" si="127"/>
        <v>8.5669781931464462E-3</v>
      </c>
      <c r="BE221" s="4">
        <f t="shared" si="128"/>
        <v>2.3910528345545634E-2</v>
      </c>
      <c r="BF221" s="4">
        <f t="shared" si="129"/>
        <v>1.1841100076394273E-2</v>
      </c>
      <c r="BG221" s="4">
        <f t="shared" si="130"/>
        <v>3.4495688038995054E-2</v>
      </c>
      <c r="BH221" s="4">
        <f t="shared" si="131"/>
        <v>2.3364485981308469E-2</v>
      </c>
      <c r="BI221" s="4">
        <f t="shared" si="132"/>
        <v>1.5495495495495448E-2</v>
      </c>
      <c r="BJ221" s="4">
        <f t="shared" si="133"/>
        <v>1.0932944606414363E-3</v>
      </c>
      <c r="BK221" s="4">
        <f t="shared" si="134"/>
        <v>2.0094994519546994E-2</v>
      </c>
      <c r="BL221" s="4">
        <f t="shared" si="135"/>
        <v>2.9728725380899768E-3</v>
      </c>
      <c r="BM221" s="4">
        <f t="shared" si="145"/>
        <v>1.7983390698730031E-2</v>
      </c>
      <c r="BN221" s="14">
        <f t="shared" si="146"/>
        <v>13696.966521851413</v>
      </c>
      <c r="BO221" s="15">
        <f t="shared" si="147"/>
        <v>13085.371318939422</v>
      </c>
      <c r="BP221" s="16">
        <v>13495</v>
      </c>
      <c r="BQ221" s="16">
        <v>13495</v>
      </c>
      <c r="BR221" s="16">
        <v>13485</v>
      </c>
      <c r="BS221" s="16">
        <v>13495</v>
      </c>
      <c r="BT221" s="16">
        <v>7759</v>
      </c>
      <c r="BU221" s="15">
        <f t="shared" si="136"/>
        <v>13491.666666666666</v>
      </c>
      <c r="BV221" s="15">
        <f t="shared" si="137"/>
        <v>104681841.66666666</v>
      </c>
      <c r="BW221" s="15">
        <f>SUM($BV$3:BV221)</f>
        <v>212592165599.99991</v>
      </c>
      <c r="BX221" s="15">
        <f>SUM($BT$3:BT221)</f>
        <v>15678494</v>
      </c>
      <c r="BY221" s="15">
        <f t="shared" si="138"/>
        <v>13559.476158870866</v>
      </c>
      <c r="BZ221" s="3">
        <v>219</v>
      </c>
      <c r="CA221" s="3">
        <f t="shared" si="139"/>
        <v>0</v>
      </c>
      <c r="CB221" s="3">
        <f t="shared" si="140"/>
        <v>0</v>
      </c>
      <c r="CC221" s="3">
        <f t="shared" si="141"/>
        <v>0</v>
      </c>
      <c r="CD221" s="3" t="str">
        <f t="shared" si="142"/>
        <v/>
      </c>
      <c r="CE221" s="3">
        <f t="shared" si="143"/>
        <v>0</v>
      </c>
    </row>
    <row r="222" spans="1:83" x14ac:dyDescent="0.3">
      <c r="A222" s="3" t="s">
        <v>262</v>
      </c>
      <c r="B222" s="3">
        <v>11665</v>
      </c>
      <c r="C222" s="3">
        <v>11680</v>
      </c>
      <c r="D222" s="3">
        <v>11555</v>
      </c>
      <c r="E222" s="3">
        <v>11570</v>
      </c>
      <c r="F222" s="3">
        <v>11660</v>
      </c>
      <c r="G222" s="3">
        <v>11665</v>
      </c>
      <c r="H222" s="3">
        <v>11385</v>
      </c>
      <c r="I222" s="3">
        <v>11380</v>
      </c>
      <c r="J222" s="3">
        <v>11805</v>
      </c>
      <c r="K222" s="3">
        <v>11795</v>
      </c>
      <c r="L222" s="3">
        <v>12055</v>
      </c>
      <c r="M222" s="3">
        <v>12045</v>
      </c>
      <c r="N222" s="3">
        <v>12540</v>
      </c>
      <c r="O222" s="3">
        <v>12565</v>
      </c>
      <c r="P222" s="3">
        <v>12675</v>
      </c>
      <c r="Q222" s="3">
        <v>12655</v>
      </c>
      <c r="R222" s="3">
        <v>12500</v>
      </c>
      <c r="S222" s="3">
        <v>12475</v>
      </c>
      <c r="T222" s="3">
        <v>12275</v>
      </c>
      <c r="U222" s="3">
        <v>12285</v>
      </c>
      <c r="V222" s="3">
        <v>12825</v>
      </c>
      <c r="W222" s="3">
        <v>12815</v>
      </c>
      <c r="X222" s="3">
        <v>12410</v>
      </c>
      <c r="Y222" s="3">
        <v>12425</v>
      </c>
      <c r="Z222" s="3">
        <v>12735</v>
      </c>
      <c r="AA222" s="3">
        <v>12745</v>
      </c>
      <c r="AB222" s="3">
        <v>13275</v>
      </c>
      <c r="AC222" s="3">
        <v>13270</v>
      </c>
      <c r="AD222" s="3">
        <v>13255</v>
      </c>
      <c r="AE222" s="3">
        <v>13260</v>
      </c>
      <c r="AF222" s="3">
        <v>13800</v>
      </c>
      <c r="AG222" s="3">
        <v>13805</v>
      </c>
      <c r="AH222" s="3">
        <v>14235</v>
      </c>
      <c r="AI222" s="3">
        <v>14230</v>
      </c>
      <c r="AJ222" s="3">
        <v>13660</v>
      </c>
      <c r="AK222" s="3">
        <v>13675</v>
      </c>
      <c r="AL222" s="3">
        <v>13740</v>
      </c>
      <c r="AM222" s="3">
        <v>13710</v>
      </c>
      <c r="AN222" s="3">
        <v>13405</v>
      </c>
      <c r="AO222" s="3">
        <v>13415</v>
      </c>
      <c r="AP222" s="3">
        <v>13495</v>
      </c>
      <c r="AQ222" s="3">
        <v>13485</v>
      </c>
      <c r="AR222" s="4">
        <f t="shared" si="144"/>
        <v>1.3009540329575131E-2</v>
      </c>
      <c r="AS222" s="4">
        <f t="shared" si="116"/>
        <v>1.7316017316018062E-3</v>
      </c>
      <c r="AT222" s="4">
        <f t="shared" si="117"/>
        <v>2.6848591549295753E-2</v>
      </c>
      <c r="AU222" s="4">
        <f t="shared" si="118"/>
        <v>3.3955857385398969E-2</v>
      </c>
      <c r="AV222" s="4">
        <f t="shared" si="119"/>
        <v>8.9820359281436168E-3</v>
      </c>
      <c r="AW222" s="4">
        <f t="shared" si="120"/>
        <v>1.5598650927487245E-2</v>
      </c>
      <c r="AX222" s="4">
        <f t="shared" si="121"/>
        <v>3.7144036318613294E-2</v>
      </c>
      <c r="AY222" s="4">
        <f t="shared" si="122"/>
        <v>9.7809076682315865E-3</v>
      </c>
      <c r="AZ222" s="4">
        <f t="shared" si="123"/>
        <v>5.579912315663571E-3</v>
      </c>
      <c r="BA222" s="4">
        <f t="shared" si="124"/>
        <v>7.2727272727273196E-3</v>
      </c>
      <c r="BB222" s="4">
        <f t="shared" si="125"/>
        <v>3.8913660316173493E-2</v>
      </c>
      <c r="BC222" s="4">
        <f t="shared" si="126"/>
        <v>1.6620498614958401E-2</v>
      </c>
      <c r="BD222" s="4">
        <f t="shared" si="127"/>
        <v>7.3987538940809561E-3</v>
      </c>
      <c r="BE222" s="4">
        <f t="shared" si="128"/>
        <v>2.352487466255293E-2</v>
      </c>
      <c r="BF222" s="4">
        <f t="shared" si="129"/>
        <v>1.298701298701288E-2</v>
      </c>
      <c r="BG222" s="4">
        <f t="shared" si="130"/>
        <v>3.5245594300712391E-2</v>
      </c>
      <c r="BH222" s="4">
        <f t="shared" si="131"/>
        <v>2.3005032350826848E-2</v>
      </c>
      <c r="BI222" s="4">
        <f t="shared" si="132"/>
        <v>1.4414414414414378E-2</v>
      </c>
      <c r="BJ222" s="4">
        <f t="shared" si="133"/>
        <v>7.2886297376095754E-4</v>
      </c>
      <c r="BK222" s="4">
        <f t="shared" si="134"/>
        <v>1.9729630982827873E-2</v>
      </c>
      <c r="BL222" s="4">
        <f t="shared" si="135"/>
        <v>2.2296544035673715E-3</v>
      </c>
      <c r="BM222" s="4">
        <f t="shared" si="145"/>
        <v>1.8024708505182636E-2</v>
      </c>
      <c r="BN222" s="14">
        <f t="shared" si="146"/>
        <v>13697.522452937232</v>
      </c>
      <c r="BO222" s="15">
        <f t="shared" si="147"/>
        <v>13084.82075916844</v>
      </c>
      <c r="BP222" s="16">
        <v>13495</v>
      </c>
      <c r="BQ222" s="16">
        <v>13495</v>
      </c>
      <c r="BR222" s="16">
        <v>13485</v>
      </c>
      <c r="BS222" s="16">
        <v>13485</v>
      </c>
      <c r="BT222" s="16">
        <v>4594</v>
      </c>
      <c r="BU222" s="15">
        <f t="shared" si="136"/>
        <v>13488.333333333334</v>
      </c>
      <c r="BV222" s="15">
        <f t="shared" si="137"/>
        <v>61965403.333333336</v>
      </c>
      <c r="BW222" s="15">
        <f>SUM($BV$3:BV222)</f>
        <v>212654131003.33325</v>
      </c>
      <c r="BX222" s="15">
        <f>SUM($BT$3:BT222)</f>
        <v>15683088</v>
      </c>
      <c r="BY222" s="15">
        <f t="shared" si="138"/>
        <v>13559.45531921604</v>
      </c>
      <c r="BZ222" s="3">
        <v>220</v>
      </c>
      <c r="CA222" s="3">
        <f t="shared" si="139"/>
        <v>0</v>
      </c>
      <c r="CB222" s="3">
        <f t="shared" si="140"/>
        <v>0</v>
      </c>
      <c r="CC222" s="3">
        <f t="shared" si="141"/>
        <v>0</v>
      </c>
      <c r="CD222" s="3" t="str">
        <f t="shared" si="142"/>
        <v/>
      </c>
      <c r="CE222" s="3">
        <f t="shared" si="143"/>
        <v>0</v>
      </c>
    </row>
    <row r="223" spans="1:83" x14ac:dyDescent="0.3">
      <c r="A223" s="3" t="s">
        <v>263</v>
      </c>
      <c r="B223" s="3">
        <v>11680</v>
      </c>
      <c r="C223" s="3">
        <v>11680</v>
      </c>
      <c r="D223" s="3">
        <v>11580</v>
      </c>
      <c r="E223" s="3">
        <v>11690</v>
      </c>
      <c r="F223" s="3">
        <v>11670</v>
      </c>
      <c r="G223" s="3">
        <v>11675</v>
      </c>
      <c r="H223" s="3">
        <v>11380</v>
      </c>
      <c r="I223" s="3">
        <v>11370</v>
      </c>
      <c r="J223" s="3">
        <v>11795</v>
      </c>
      <c r="K223" s="3">
        <v>11795</v>
      </c>
      <c r="L223" s="3">
        <v>12045</v>
      </c>
      <c r="M223" s="3">
        <v>12040</v>
      </c>
      <c r="N223" s="3">
        <v>12570</v>
      </c>
      <c r="O223" s="3">
        <v>12565</v>
      </c>
      <c r="P223" s="3">
        <v>12655</v>
      </c>
      <c r="Q223" s="3">
        <v>12640</v>
      </c>
      <c r="R223" s="3">
        <v>12480</v>
      </c>
      <c r="S223" s="3">
        <v>12480</v>
      </c>
      <c r="T223" s="3">
        <v>12290</v>
      </c>
      <c r="U223" s="3">
        <v>12290</v>
      </c>
      <c r="V223" s="3">
        <v>12815</v>
      </c>
      <c r="W223" s="3">
        <v>12810</v>
      </c>
      <c r="X223" s="3">
        <v>12420</v>
      </c>
      <c r="Y223" s="3">
        <v>12435</v>
      </c>
      <c r="Z223" s="3">
        <v>12745</v>
      </c>
      <c r="AA223" s="3">
        <v>12740</v>
      </c>
      <c r="AB223" s="3">
        <v>13270</v>
      </c>
      <c r="AC223" s="3">
        <v>13270</v>
      </c>
      <c r="AD223" s="3">
        <v>13265</v>
      </c>
      <c r="AE223" s="3">
        <v>13265</v>
      </c>
      <c r="AF223" s="3">
        <v>13805</v>
      </c>
      <c r="AG223" s="3">
        <v>13800</v>
      </c>
      <c r="AH223" s="3">
        <v>14235</v>
      </c>
      <c r="AI223" s="3">
        <v>14220</v>
      </c>
      <c r="AJ223" s="3">
        <v>13670</v>
      </c>
      <c r="AK223" s="3">
        <v>13675</v>
      </c>
      <c r="AL223" s="3">
        <v>13710</v>
      </c>
      <c r="AM223" s="3">
        <v>13675</v>
      </c>
      <c r="AN223" s="3">
        <v>13415</v>
      </c>
      <c r="AO223" s="3">
        <v>13410</v>
      </c>
      <c r="AP223" s="3">
        <v>13490</v>
      </c>
      <c r="AQ223" s="3">
        <v>13490</v>
      </c>
      <c r="AR223" s="4">
        <f t="shared" si="144"/>
        <v>1.3009540329575131E-2</v>
      </c>
      <c r="AS223" s="4">
        <f t="shared" si="116"/>
        <v>1.2121212121212199E-2</v>
      </c>
      <c r="AT223" s="4">
        <f t="shared" si="117"/>
        <v>2.7728873239436513E-2</v>
      </c>
      <c r="AU223" s="4">
        <f t="shared" si="118"/>
        <v>3.4804753820034007E-2</v>
      </c>
      <c r="AV223" s="4">
        <f t="shared" si="119"/>
        <v>8.9820359281436168E-3</v>
      </c>
      <c r="AW223" s="4">
        <f t="shared" si="120"/>
        <v>1.5177065767284947E-2</v>
      </c>
      <c r="AX223" s="4">
        <f t="shared" si="121"/>
        <v>3.7144036318613294E-2</v>
      </c>
      <c r="AY223" s="4">
        <f t="shared" si="122"/>
        <v>1.0954616588419452E-2</v>
      </c>
      <c r="AZ223" s="4">
        <f t="shared" si="123"/>
        <v>5.1813471502590858E-3</v>
      </c>
      <c r="BA223" s="4">
        <f t="shared" si="124"/>
        <v>6.8686868686869129E-3</v>
      </c>
      <c r="BB223" s="4">
        <f t="shared" si="125"/>
        <v>3.8508309687879994E-2</v>
      </c>
      <c r="BC223" s="4">
        <f t="shared" si="126"/>
        <v>1.5829046299960403E-2</v>
      </c>
      <c r="BD223" s="4">
        <f t="shared" si="127"/>
        <v>7.7881619937694158E-3</v>
      </c>
      <c r="BE223" s="4">
        <f t="shared" si="128"/>
        <v>2.352487466255293E-2</v>
      </c>
      <c r="BF223" s="4">
        <f t="shared" si="129"/>
        <v>1.3368983957219305E-2</v>
      </c>
      <c r="BG223" s="4">
        <f t="shared" si="130"/>
        <v>3.4870641169853833E-2</v>
      </c>
      <c r="BH223" s="4">
        <f t="shared" si="131"/>
        <v>2.2286125089863384E-2</v>
      </c>
      <c r="BI223" s="4">
        <f t="shared" si="132"/>
        <v>1.4414414414414378E-2</v>
      </c>
      <c r="BJ223" s="4">
        <f t="shared" si="133"/>
        <v>3.2798833819241979E-3</v>
      </c>
      <c r="BK223" s="4">
        <f t="shared" si="134"/>
        <v>2.0094994519546994E-2</v>
      </c>
      <c r="BL223" s="4">
        <f t="shared" si="135"/>
        <v>2.6012634708287852E-3</v>
      </c>
      <c r="BM223" s="4">
        <f t="shared" si="145"/>
        <v>1.8151008721640254E-2</v>
      </c>
      <c r="BN223" s="14">
        <f t="shared" si="146"/>
        <v>13699.221822349671</v>
      </c>
      <c r="BO223" s="15">
        <f t="shared" si="147"/>
        <v>13083.137808784144</v>
      </c>
      <c r="BP223" s="16">
        <v>13490</v>
      </c>
      <c r="BQ223" s="16">
        <v>13495</v>
      </c>
      <c r="BR223" s="16">
        <v>13490</v>
      </c>
      <c r="BS223" s="16">
        <v>13490</v>
      </c>
      <c r="BT223" s="16">
        <v>1214</v>
      </c>
      <c r="BU223" s="15">
        <f t="shared" si="136"/>
        <v>13491.666666666666</v>
      </c>
      <c r="BV223" s="15">
        <f t="shared" si="137"/>
        <v>16378883.333333332</v>
      </c>
      <c r="BW223" s="15">
        <f>SUM($BV$3:BV223)</f>
        <v>212670509886.6666</v>
      </c>
      <c r="BX223" s="15">
        <f>SUM($BT$3:BT223)</f>
        <v>15684302</v>
      </c>
      <c r="BY223" s="15">
        <f t="shared" si="138"/>
        <v>13559.450072222953</v>
      </c>
      <c r="BZ223" s="3">
        <v>221</v>
      </c>
      <c r="CA223" s="3">
        <f t="shared" si="139"/>
        <v>0</v>
      </c>
      <c r="CB223" s="3">
        <f t="shared" si="140"/>
        <v>0</v>
      </c>
      <c r="CC223" s="3">
        <f t="shared" si="141"/>
        <v>0</v>
      </c>
      <c r="CD223" s="3" t="str">
        <f t="shared" si="142"/>
        <v/>
      </c>
      <c r="CE223" s="3">
        <f t="shared" si="143"/>
        <v>0</v>
      </c>
    </row>
    <row r="224" spans="1:83" x14ac:dyDescent="0.3">
      <c r="A224" s="3" t="s">
        <v>264</v>
      </c>
      <c r="B224" s="3">
        <v>11675</v>
      </c>
      <c r="C224" s="3">
        <v>11680</v>
      </c>
      <c r="D224" s="3">
        <v>11690</v>
      </c>
      <c r="E224" s="3">
        <v>11650</v>
      </c>
      <c r="F224" s="3">
        <v>11675</v>
      </c>
      <c r="G224" s="3">
        <v>11665</v>
      </c>
      <c r="H224" s="3">
        <v>11375</v>
      </c>
      <c r="I224" s="3">
        <v>11400</v>
      </c>
      <c r="J224" s="3">
        <v>11795</v>
      </c>
      <c r="K224" s="3">
        <v>11800</v>
      </c>
      <c r="L224" s="3">
        <v>12045</v>
      </c>
      <c r="M224" s="3">
        <v>12055</v>
      </c>
      <c r="N224" s="3">
        <v>12565</v>
      </c>
      <c r="O224" s="3">
        <v>12565</v>
      </c>
      <c r="P224" s="3">
        <v>12640</v>
      </c>
      <c r="Q224" s="3">
        <v>12645</v>
      </c>
      <c r="R224" s="3">
        <v>12480</v>
      </c>
      <c r="S224" s="3">
        <v>12485</v>
      </c>
      <c r="T224" s="3">
        <v>12285</v>
      </c>
      <c r="U224" s="3">
        <v>12285</v>
      </c>
      <c r="V224" s="3">
        <v>12815</v>
      </c>
      <c r="W224" s="3">
        <v>12795</v>
      </c>
      <c r="X224" s="3">
        <v>12435</v>
      </c>
      <c r="Y224" s="3">
        <v>12450</v>
      </c>
      <c r="Z224" s="3">
        <v>12740</v>
      </c>
      <c r="AA224" s="3">
        <v>12750</v>
      </c>
      <c r="AB224" s="3">
        <v>13270</v>
      </c>
      <c r="AC224" s="3">
        <v>13270</v>
      </c>
      <c r="AD224" s="3">
        <v>13270</v>
      </c>
      <c r="AE224" s="3">
        <v>13245</v>
      </c>
      <c r="AF224" s="3">
        <v>13805</v>
      </c>
      <c r="AG224" s="3">
        <v>13800</v>
      </c>
      <c r="AH224" s="3">
        <v>14220</v>
      </c>
      <c r="AI224" s="3">
        <v>14180</v>
      </c>
      <c r="AJ224" s="3">
        <v>13675</v>
      </c>
      <c r="AK224" s="3">
        <v>13670</v>
      </c>
      <c r="AL224" s="3">
        <v>13670</v>
      </c>
      <c r="AM224" s="3">
        <v>13670</v>
      </c>
      <c r="AN224" s="3">
        <v>13410</v>
      </c>
      <c r="AO224" s="3">
        <v>13400</v>
      </c>
      <c r="AP224" s="3">
        <v>13490</v>
      </c>
      <c r="AQ224" s="3">
        <v>13505</v>
      </c>
      <c r="AR224" s="4">
        <f t="shared" si="144"/>
        <v>1.3009540329575131E-2</v>
      </c>
      <c r="AS224" s="4">
        <f t="shared" si="116"/>
        <v>8.6580086580085869E-3</v>
      </c>
      <c r="AT224" s="4">
        <f t="shared" si="117"/>
        <v>2.6848591549295753E-2</v>
      </c>
      <c r="AU224" s="4">
        <f t="shared" si="118"/>
        <v>3.2258064516129004E-2</v>
      </c>
      <c r="AV224" s="4">
        <f t="shared" si="119"/>
        <v>9.4097519247220429E-3</v>
      </c>
      <c r="AW224" s="4">
        <f t="shared" si="120"/>
        <v>1.6441821247892063E-2</v>
      </c>
      <c r="AX224" s="4">
        <f t="shared" si="121"/>
        <v>3.7144036318613294E-2</v>
      </c>
      <c r="AY224" s="4">
        <f t="shared" si="122"/>
        <v>1.0563380281690127E-2</v>
      </c>
      <c r="AZ224" s="4">
        <f t="shared" si="123"/>
        <v>4.7827819848544895E-3</v>
      </c>
      <c r="BA224" s="4">
        <f t="shared" si="124"/>
        <v>7.2727272727273196E-3</v>
      </c>
      <c r="BB224" s="4">
        <f t="shared" si="125"/>
        <v>3.7292257802999496E-2</v>
      </c>
      <c r="BC224" s="4">
        <f t="shared" si="126"/>
        <v>1.4641867827463351E-2</v>
      </c>
      <c r="BD224" s="4">
        <f t="shared" si="127"/>
        <v>7.0093457943924964E-3</v>
      </c>
      <c r="BE224" s="4">
        <f t="shared" si="128"/>
        <v>2.352487466255293E-2</v>
      </c>
      <c r="BF224" s="4">
        <f t="shared" si="129"/>
        <v>1.1841100076394273E-2</v>
      </c>
      <c r="BG224" s="4">
        <f t="shared" si="130"/>
        <v>3.4870641169853833E-2</v>
      </c>
      <c r="BH224" s="4">
        <f t="shared" si="131"/>
        <v>1.9410496046009973E-2</v>
      </c>
      <c r="BI224" s="4">
        <f t="shared" si="132"/>
        <v>1.4774774774774735E-2</v>
      </c>
      <c r="BJ224" s="4">
        <f t="shared" si="133"/>
        <v>3.6443148688046767E-3</v>
      </c>
      <c r="BK224" s="4">
        <f t="shared" si="134"/>
        <v>2.0825721592985014E-2</v>
      </c>
      <c r="BL224" s="4">
        <f t="shared" si="135"/>
        <v>3.7160906726123599E-3</v>
      </c>
      <c r="BM224" s="4">
        <f t="shared" si="145"/>
        <v>1.7685594319579716E-2</v>
      </c>
      <c r="BN224" s="14">
        <f t="shared" si="146"/>
        <v>13692.959671569944</v>
      </c>
      <c r="BO224" s="15">
        <f t="shared" si="147"/>
        <v>13089.339455691601</v>
      </c>
      <c r="BP224" s="16">
        <v>13490</v>
      </c>
      <c r="BQ224" s="16">
        <v>13505</v>
      </c>
      <c r="BR224" s="16">
        <v>13490</v>
      </c>
      <c r="BS224" s="16">
        <v>13505</v>
      </c>
      <c r="BT224" s="16">
        <v>4043</v>
      </c>
      <c r="BU224" s="15">
        <f t="shared" si="136"/>
        <v>13500</v>
      </c>
      <c r="BV224" s="15">
        <f t="shared" si="137"/>
        <v>54580500</v>
      </c>
      <c r="BW224" s="15">
        <f>SUM($BV$3:BV224)</f>
        <v>212725090386.6666</v>
      </c>
      <c r="BX224" s="15">
        <f>SUM($BT$3:BT224)</f>
        <v>15688345</v>
      </c>
      <c r="BY224" s="15">
        <f t="shared" si="138"/>
        <v>13559.434751509263</v>
      </c>
      <c r="BZ224" s="3">
        <v>222</v>
      </c>
      <c r="CA224" s="3">
        <f t="shared" si="139"/>
        <v>0</v>
      </c>
      <c r="CB224" s="3">
        <f t="shared" si="140"/>
        <v>0</v>
      </c>
      <c r="CC224" s="3">
        <f t="shared" si="141"/>
        <v>0</v>
      </c>
      <c r="CD224" s="3" t="str">
        <f t="shared" si="142"/>
        <v/>
      </c>
      <c r="CE224" s="3">
        <f t="shared" si="143"/>
        <v>0</v>
      </c>
    </row>
    <row r="225" spans="1:83" x14ac:dyDescent="0.3">
      <c r="A225" s="3" t="s">
        <v>265</v>
      </c>
      <c r="B225" s="3">
        <v>11680</v>
      </c>
      <c r="C225" s="3">
        <v>11685</v>
      </c>
      <c r="D225" s="3">
        <v>11650</v>
      </c>
      <c r="E225" s="3">
        <v>11660</v>
      </c>
      <c r="F225" s="3">
        <v>11670</v>
      </c>
      <c r="G225" s="3">
        <v>11675</v>
      </c>
      <c r="H225" s="3">
        <v>11395</v>
      </c>
      <c r="I225" s="3">
        <v>11420</v>
      </c>
      <c r="J225" s="3">
        <v>11800</v>
      </c>
      <c r="K225" s="3">
        <v>11780</v>
      </c>
      <c r="L225" s="3">
        <v>12060</v>
      </c>
      <c r="M225" s="3">
        <v>12045</v>
      </c>
      <c r="N225" s="3">
        <v>12565</v>
      </c>
      <c r="O225" s="3">
        <v>12560</v>
      </c>
      <c r="P225" s="3">
        <v>12645</v>
      </c>
      <c r="Q225" s="3">
        <v>12650</v>
      </c>
      <c r="R225" s="3">
        <v>12480</v>
      </c>
      <c r="S225" s="3">
        <v>12480</v>
      </c>
      <c r="T225" s="3">
        <v>12280</v>
      </c>
      <c r="U225" s="3">
        <v>12270</v>
      </c>
      <c r="V225" s="3">
        <v>12795</v>
      </c>
      <c r="W225" s="3">
        <v>12790</v>
      </c>
      <c r="X225" s="3">
        <v>12455</v>
      </c>
      <c r="Y225" s="3">
        <v>12445</v>
      </c>
      <c r="Z225" s="3">
        <v>12745</v>
      </c>
      <c r="AA225" s="3">
        <v>12730</v>
      </c>
      <c r="AB225" s="3">
        <v>13270</v>
      </c>
      <c r="AC225" s="3">
        <v>13265</v>
      </c>
      <c r="AD225" s="3">
        <v>13250</v>
      </c>
      <c r="AE225" s="3">
        <v>13240</v>
      </c>
      <c r="AF225" s="3">
        <v>13795</v>
      </c>
      <c r="AG225" s="3">
        <v>13810</v>
      </c>
      <c r="AH225" s="3">
        <v>14180</v>
      </c>
      <c r="AI225" s="3">
        <v>14150</v>
      </c>
      <c r="AJ225" s="3">
        <v>13670</v>
      </c>
      <c r="AK225" s="3">
        <v>13665</v>
      </c>
      <c r="AL225" s="3">
        <v>13665</v>
      </c>
      <c r="AM225" s="3">
        <v>13655</v>
      </c>
      <c r="AN225" s="3">
        <v>13400</v>
      </c>
      <c r="AO225" s="3">
        <v>13415</v>
      </c>
      <c r="AP225" s="3">
        <v>13500</v>
      </c>
      <c r="AQ225" s="3">
        <v>13505</v>
      </c>
      <c r="AR225" s="4">
        <f t="shared" si="144"/>
        <v>1.3443191673894184E-2</v>
      </c>
      <c r="AS225" s="4">
        <f t="shared" si="116"/>
        <v>9.52380952380949E-3</v>
      </c>
      <c r="AT225" s="4">
        <f t="shared" si="117"/>
        <v>2.7728873239436513E-2</v>
      </c>
      <c r="AU225" s="4">
        <f t="shared" si="118"/>
        <v>3.0560271646859039E-2</v>
      </c>
      <c r="AV225" s="4">
        <f t="shared" si="119"/>
        <v>7.6988879384090048E-3</v>
      </c>
      <c r="AW225" s="4">
        <f t="shared" si="120"/>
        <v>1.5598650927487245E-2</v>
      </c>
      <c r="AX225" s="4">
        <f t="shared" si="121"/>
        <v>3.6731324803962018E-2</v>
      </c>
      <c r="AY225" s="4">
        <f t="shared" si="122"/>
        <v>1.0172143974960912E-2</v>
      </c>
      <c r="AZ225" s="4">
        <f t="shared" si="123"/>
        <v>5.1813471502590858E-3</v>
      </c>
      <c r="BA225" s="4">
        <f t="shared" si="124"/>
        <v>8.4848484848485395E-3</v>
      </c>
      <c r="BB225" s="4">
        <f t="shared" si="125"/>
        <v>3.6886907174706218E-2</v>
      </c>
      <c r="BC225" s="4">
        <f t="shared" si="126"/>
        <v>1.5037593984962405E-2</v>
      </c>
      <c r="BD225" s="4">
        <f t="shared" si="127"/>
        <v>8.5669781931464462E-3</v>
      </c>
      <c r="BE225" s="4">
        <f t="shared" si="128"/>
        <v>2.3139220979560449E-2</v>
      </c>
      <c r="BF225" s="4">
        <f t="shared" si="129"/>
        <v>1.1459129106187849E-2</v>
      </c>
      <c r="BG225" s="4">
        <f t="shared" si="130"/>
        <v>3.5620547431570948E-2</v>
      </c>
      <c r="BH225" s="4">
        <f t="shared" si="131"/>
        <v>1.7253774263120025E-2</v>
      </c>
      <c r="BI225" s="4">
        <f t="shared" si="132"/>
        <v>1.5135135135135092E-2</v>
      </c>
      <c r="BJ225" s="4">
        <f t="shared" si="133"/>
        <v>4.737609329446113E-3</v>
      </c>
      <c r="BK225" s="4">
        <f t="shared" si="134"/>
        <v>1.9729630982827873E-2</v>
      </c>
      <c r="BL225" s="4">
        <f t="shared" si="135"/>
        <v>3.7160906726123599E-3</v>
      </c>
      <c r="BM225" s="4">
        <f t="shared" si="145"/>
        <v>1.772401364247814E-2</v>
      </c>
      <c r="BN225" s="14">
        <f t="shared" si="146"/>
        <v>13693.476603559542</v>
      </c>
      <c r="BO225" s="15">
        <f t="shared" si="147"/>
        <v>13088.827518213979</v>
      </c>
      <c r="BP225" s="16">
        <v>13500</v>
      </c>
      <c r="BQ225" s="16">
        <v>13505</v>
      </c>
      <c r="BR225" s="16">
        <v>13495</v>
      </c>
      <c r="BS225" s="16">
        <v>13505</v>
      </c>
      <c r="BT225" s="16">
        <v>3610</v>
      </c>
      <c r="BU225" s="15">
        <f t="shared" si="136"/>
        <v>13501.666666666666</v>
      </c>
      <c r="BV225" s="15">
        <f t="shared" si="137"/>
        <v>48741016.666666664</v>
      </c>
      <c r="BW225" s="15">
        <f>SUM($BV$3:BV225)</f>
        <v>212773831403.33325</v>
      </c>
      <c r="BX225" s="15">
        <f>SUM($BT$3:BT225)</f>
        <v>15691955</v>
      </c>
      <c r="BY225" s="15">
        <f t="shared" si="138"/>
        <v>13559.421461719285</v>
      </c>
      <c r="BZ225" s="3">
        <v>223</v>
      </c>
      <c r="CA225" s="3">
        <f t="shared" si="139"/>
        <v>0</v>
      </c>
      <c r="CB225" s="3">
        <f t="shared" si="140"/>
        <v>0</v>
      </c>
      <c r="CC225" s="3">
        <f t="shared" si="141"/>
        <v>0</v>
      </c>
      <c r="CD225" s="3" t="str">
        <f t="shared" si="142"/>
        <v/>
      </c>
      <c r="CE225" s="3">
        <f t="shared" si="143"/>
        <v>0</v>
      </c>
    </row>
    <row r="226" spans="1:83" x14ac:dyDescent="0.3">
      <c r="A226" s="3" t="s">
        <v>266</v>
      </c>
      <c r="B226" s="3">
        <v>11685</v>
      </c>
      <c r="C226" s="3">
        <v>11685</v>
      </c>
      <c r="D226" s="3">
        <v>11660</v>
      </c>
      <c r="E226" s="3">
        <v>11650</v>
      </c>
      <c r="F226" s="3">
        <v>11675</v>
      </c>
      <c r="G226" s="3">
        <v>11680</v>
      </c>
      <c r="H226" s="3">
        <v>11420</v>
      </c>
      <c r="I226" s="3">
        <v>11405</v>
      </c>
      <c r="J226" s="3">
        <v>11780</v>
      </c>
      <c r="K226" s="3">
        <v>11800</v>
      </c>
      <c r="L226" s="3">
        <v>12045</v>
      </c>
      <c r="M226" s="3">
        <v>12035</v>
      </c>
      <c r="N226" s="3">
        <v>12565</v>
      </c>
      <c r="O226" s="3">
        <v>12565</v>
      </c>
      <c r="P226" s="3">
        <v>12655</v>
      </c>
      <c r="Q226" s="3">
        <v>12645</v>
      </c>
      <c r="R226" s="3">
        <v>12475</v>
      </c>
      <c r="S226" s="3">
        <v>12485</v>
      </c>
      <c r="T226" s="3">
        <v>12270</v>
      </c>
      <c r="U226" s="3">
        <v>12275</v>
      </c>
      <c r="V226" s="3">
        <v>12790</v>
      </c>
      <c r="W226" s="3">
        <v>12775</v>
      </c>
      <c r="X226" s="3">
        <v>12445</v>
      </c>
      <c r="Y226" s="3">
        <v>12455</v>
      </c>
      <c r="Z226" s="3">
        <v>12730</v>
      </c>
      <c r="AA226" s="3">
        <v>12730</v>
      </c>
      <c r="AB226" s="3">
        <v>13260</v>
      </c>
      <c r="AC226" s="3">
        <v>13260</v>
      </c>
      <c r="AD226" s="3">
        <v>13240</v>
      </c>
      <c r="AE226" s="3">
        <v>13245</v>
      </c>
      <c r="AF226" s="3">
        <v>13810</v>
      </c>
      <c r="AG226" s="3">
        <v>13825</v>
      </c>
      <c r="AH226" s="3">
        <v>14150</v>
      </c>
      <c r="AI226" s="3">
        <v>14120</v>
      </c>
      <c r="AJ226" s="3">
        <v>13660</v>
      </c>
      <c r="AK226" s="3">
        <v>13650</v>
      </c>
      <c r="AL226" s="3">
        <v>13650</v>
      </c>
      <c r="AM226" s="3">
        <v>13645</v>
      </c>
      <c r="AN226" s="3">
        <v>13415</v>
      </c>
      <c r="AO226" s="3">
        <v>13420</v>
      </c>
      <c r="AP226" s="3">
        <v>13505</v>
      </c>
      <c r="AQ226" s="3">
        <v>13505</v>
      </c>
      <c r="AR226" s="4">
        <f t="shared" si="144"/>
        <v>1.3443191673894184E-2</v>
      </c>
      <c r="AS226" s="4">
        <f t="shared" si="116"/>
        <v>8.6580086580085869E-3</v>
      </c>
      <c r="AT226" s="4">
        <f t="shared" si="117"/>
        <v>2.8169014084507005E-2</v>
      </c>
      <c r="AU226" s="4">
        <f t="shared" si="118"/>
        <v>3.183361629881154E-2</v>
      </c>
      <c r="AV226" s="4">
        <f t="shared" si="119"/>
        <v>9.4097519247220429E-3</v>
      </c>
      <c r="AW226" s="4">
        <f t="shared" si="120"/>
        <v>1.4755480607082649E-2</v>
      </c>
      <c r="AX226" s="4">
        <f t="shared" si="121"/>
        <v>3.7144036318613294E-2</v>
      </c>
      <c r="AY226" s="4">
        <f t="shared" si="122"/>
        <v>1.0563380281690127E-2</v>
      </c>
      <c r="AZ226" s="4">
        <f t="shared" si="123"/>
        <v>4.7827819848544895E-3</v>
      </c>
      <c r="BA226" s="4">
        <f t="shared" si="124"/>
        <v>8.0808080808081328E-3</v>
      </c>
      <c r="BB226" s="4">
        <f t="shared" si="125"/>
        <v>3.567085528982572E-2</v>
      </c>
      <c r="BC226" s="4">
        <f t="shared" si="126"/>
        <v>1.4246141669964407E-2</v>
      </c>
      <c r="BD226" s="4">
        <f t="shared" si="127"/>
        <v>8.5669781931464462E-3</v>
      </c>
      <c r="BE226" s="4">
        <f t="shared" si="128"/>
        <v>2.2753567296567745E-2</v>
      </c>
      <c r="BF226" s="4">
        <f t="shared" si="129"/>
        <v>1.1841100076394273E-2</v>
      </c>
      <c r="BG226" s="4">
        <f t="shared" si="130"/>
        <v>3.6745406824147064E-2</v>
      </c>
      <c r="BH226" s="4">
        <f t="shared" si="131"/>
        <v>1.5097052480230078E-2</v>
      </c>
      <c r="BI226" s="4">
        <f t="shared" si="132"/>
        <v>1.6216216216216162E-2</v>
      </c>
      <c r="BJ226" s="4">
        <f t="shared" si="133"/>
        <v>5.4664723032069595E-3</v>
      </c>
      <c r="BK226" s="4">
        <f t="shared" si="134"/>
        <v>1.9364267446108863E-2</v>
      </c>
      <c r="BL226" s="4">
        <f t="shared" si="135"/>
        <v>3.7160906726123599E-3</v>
      </c>
      <c r="BM226" s="4">
        <f t="shared" si="145"/>
        <v>1.7609933175840982E-2</v>
      </c>
      <c r="BN226" s="14">
        <f t="shared" si="146"/>
        <v>13691.941650880941</v>
      </c>
      <c r="BO226" s="15">
        <f t="shared" si="147"/>
        <v>13090.347640431919</v>
      </c>
      <c r="BP226" s="16">
        <v>13505</v>
      </c>
      <c r="BQ226" s="16">
        <v>13510</v>
      </c>
      <c r="BR226" s="16">
        <v>13495</v>
      </c>
      <c r="BS226" s="16">
        <v>13505</v>
      </c>
      <c r="BT226" s="16">
        <v>23026</v>
      </c>
      <c r="BU226" s="15">
        <f t="shared" si="136"/>
        <v>13503.333333333334</v>
      </c>
      <c r="BV226" s="15">
        <f t="shared" si="137"/>
        <v>310927753.33333337</v>
      </c>
      <c r="BW226" s="15">
        <f>SUM($BV$3:BV226)</f>
        <v>213084759156.6666</v>
      </c>
      <c r="BX226" s="15">
        <f>SUM($BT$3:BT226)</f>
        <v>15714981</v>
      </c>
      <c r="BY226" s="15">
        <f t="shared" si="138"/>
        <v>13559.339279930826</v>
      </c>
      <c r="BZ226" s="3">
        <v>224</v>
      </c>
      <c r="CA226" s="3">
        <f t="shared" si="139"/>
        <v>0</v>
      </c>
      <c r="CB226" s="3">
        <f t="shared" si="140"/>
        <v>0</v>
      </c>
      <c r="CC226" s="3">
        <f t="shared" si="141"/>
        <v>0</v>
      </c>
      <c r="CD226" s="3" t="str">
        <f t="shared" si="142"/>
        <v/>
      </c>
      <c r="CE226" s="3">
        <f t="shared" si="143"/>
        <v>0</v>
      </c>
    </row>
    <row r="227" spans="1:83" x14ac:dyDescent="0.3">
      <c r="A227" s="3" t="s">
        <v>267</v>
      </c>
      <c r="B227" s="3">
        <v>11685</v>
      </c>
      <c r="C227" s="3">
        <v>11675</v>
      </c>
      <c r="D227" s="3">
        <v>11650</v>
      </c>
      <c r="E227" s="3">
        <v>11635</v>
      </c>
      <c r="F227" s="3">
        <v>11680</v>
      </c>
      <c r="G227" s="3">
        <v>11680</v>
      </c>
      <c r="H227" s="3">
        <v>11400</v>
      </c>
      <c r="I227" s="3">
        <v>11415</v>
      </c>
      <c r="J227" s="3">
        <v>11800</v>
      </c>
      <c r="K227" s="3">
        <v>11790</v>
      </c>
      <c r="L227" s="3">
        <v>12030</v>
      </c>
      <c r="M227" s="3">
        <v>12040</v>
      </c>
      <c r="N227" s="3">
        <v>12565</v>
      </c>
      <c r="O227" s="3">
        <v>12555</v>
      </c>
      <c r="P227" s="3">
        <v>12645</v>
      </c>
      <c r="Q227" s="3">
        <v>12645</v>
      </c>
      <c r="R227" s="3">
        <v>12485</v>
      </c>
      <c r="S227" s="3">
        <v>12485</v>
      </c>
      <c r="T227" s="3">
        <v>12275</v>
      </c>
      <c r="U227" s="3">
        <v>12280</v>
      </c>
      <c r="V227" s="3">
        <v>12775</v>
      </c>
      <c r="W227" s="3">
        <v>12780</v>
      </c>
      <c r="X227" s="3">
        <v>12450</v>
      </c>
      <c r="Y227" s="3">
        <v>12435</v>
      </c>
      <c r="Z227" s="3">
        <v>12730</v>
      </c>
      <c r="AA227" s="3">
        <v>12725</v>
      </c>
      <c r="AB227" s="3">
        <v>13260</v>
      </c>
      <c r="AC227" s="3">
        <v>13260</v>
      </c>
      <c r="AD227" s="3">
        <v>13250</v>
      </c>
      <c r="AE227" s="3">
        <v>13240</v>
      </c>
      <c r="AF227" s="3">
        <v>13825</v>
      </c>
      <c r="AG227" s="3">
        <v>13815</v>
      </c>
      <c r="AH227" s="3">
        <v>14120</v>
      </c>
      <c r="AI227" s="3">
        <v>14075</v>
      </c>
      <c r="AJ227" s="3">
        <v>13640</v>
      </c>
      <c r="AK227" s="3">
        <v>13635</v>
      </c>
      <c r="AL227" s="3">
        <v>13640</v>
      </c>
      <c r="AM227" s="3">
        <v>13625</v>
      </c>
      <c r="AN227" s="3">
        <v>13420</v>
      </c>
      <c r="AO227" s="3">
        <v>13415</v>
      </c>
      <c r="AP227" s="3">
        <v>13510</v>
      </c>
      <c r="AQ227" s="3">
        <v>13510</v>
      </c>
      <c r="AR227" s="4">
        <f t="shared" si="144"/>
        <v>1.2575888985255856E-2</v>
      </c>
      <c r="AS227" s="4">
        <f t="shared" si="116"/>
        <v>7.3593073593074543E-3</v>
      </c>
      <c r="AT227" s="4">
        <f t="shared" si="117"/>
        <v>2.8169014084507005E-2</v>
      </c>
      <c r="AU227" s="4">
        <f t="shared" si="118"/>
        <v>3.0984719864176613E-2</v>
      </c>
      <c r="AV227" s="4">
        <f t="shared" si="119"/>
        <v>8.5543199315654128E-3</v>
      </c>
      <c r="AW227" s="4">
        <f t="shared" si="120"/>
        <v>1.5177065767284947E-2</v>
      </c>
      <c r="AX227" s="4">
        <f t="shared" si="121"/>
        <v>3.6318613289310742E-2</v>
      </c>
      <c r="AY227" s="4">
        <f t="shared" si="122"/>
        <v>1.0563380281690127E-2</v>
      </c>
      <c r="AZ227" s="4">
        <f t="shared" si="123"/>
        <v>4.7827819848544895E-3</v>
      </c>
      <c r="BA227" s="4">
        <f t="shared" si="124"/>
        <v>7.6767676767677262E-3</v>
      </c>
      <c r="BB227" s="4">
        <f t="shared" si="125"/>
        <v>3.607620591811922E-2</v>
      </c>
      <c r="BC227" s="4">
        <f t="shared" si="126"/>
        <v>1.5829046299960403E-2</v>
      </c>
      <c r="BD227" s="4">
        <f t="shared" si="127"/>
        <v>8.9563862928349058E-3</v>
      </c>
      <c r="BE227" s="4">
        <f t="shared" si="128"/>
        <v>2.2753567296567745E-2</v>
      </c>
      <c r="BF227" s="4">
        <f t="shared" si="129"/>
        <v>1.1459129106187849E-2</v>
      </c>
      <c r="BG227" s="4">
        <f t="shared" si="130"/>
        <v>3.5995500562429728E-2</v>
      </c>
      <c r="BH227" s="4">
        <f t="shared" si="131"/>
        <v>1.1861969805895045E-2</v>
      </c>
      <c r="BI227" s="4">
        <f t="shared" si="132"/>
        <v>1.7297297297297343E-2</v>
      </c>
      <c r="BJ227" s="4">
        <f t="shared" si="133"/>
        <v>6.9241982507288746E-3</v>
      </c>
      <c r="BK227" s="4">
        <f t="shared" si="134"/>
        <v>1.9729630982827873E-2</v>
      </c>
      <c r="BL227" s="4">
        <f t="shared" si="135"/>
        <v>4.0876997398735515E-3</v>
      </c>
      <c r="BM227" s="4">
        <f t="shared" si="145"/>
        <v>1.7587462503248004E-2</v>
      </c>
      <c r="BN227" s="14">
        <f t="shared" si="146"/>
        <v>13691.639307981201</v>
      </c>
      <c r="BO227" s="15">
        <f t="shared" si="147"/>
        <v>13090.64706214422</v>
      </c>
      <c r="BP227" s="16">
        <v>13510</v>
      </c>
      <c r="BQ227" s="16">
        <v>13515</v>
      </c>
      <c r="BR227" s="16">
        <v>13500</v>
      </c>
      <c r="BS227" s="16">
        <v>13510</v>
      </c>
      <c r="BT227" s="16">
        <v>34600</v>
      </c>
      <c r="BU227" s="15">
        <f t="shared" si="136"/>
        <v>13508.333333333334</v>
      </c>
      <c r="BV227" s="15">
        <f t="shared" si="137"/>
        <v>467388333.33333337</v>
      </c>
      <c r="BW227" s="15">
        <f>SUM($BV$3:BV227)</f>
        <v>213552147489.99994</v>
      </c>
      <c r="BX227" s="15">
        <f>SUM($BT$3:BT227)</f>
        <v>15749581</v>
      </c>
      <c r="BY227" s="15">
        <f t="shared" si="138"/>
        <v>13559.227225790955</v>
      </c>
      <c r="BZ227" s="3">
        <v>225</v>
      </c>
      <c r="CA227" s="3">
        <f t="shared" si="139"/>
        <v>0</v>
      </c>
      <c r="CB227" s="3">
        <f t="shared" si="140"/>
        <v>0</v>
      </c>
      <c r="CC227" s="3">
        <f t="shared" si="141"/>
        <v>0</v>
      </c>
      <c r="CD227" s="3">
        <f t="shared" si="142"/>
        <v>0</v>
      </c>
      <c r="CE227" s="3">
        <f t="shared" si="143"/>
        <v>0</v>
      </c>
    </row>
    <row r="228" spans="1:83" x14ac:dyDescent="0.3">
      <c r="A228" s="3" t="s">
        <v>268</v>
      </c>
      <c r="B228" s="3">
        <v>11675</v>
      </c>
      <c r="C228" s="3">
        <v>11685</v>
      </c>
      <c r="D228" s="3">
        <v>11635</v>
      </c>
      <c r="E228" s="3">
        <v>11620</v>
      </c>
      <c r="F228" s="3">
        <v>11680</v>
      </c>
      <c r="G228" s="3">
        <v>11675</v>
      </c>
      <c r="H228" s="3">
        <v>11415</v>
      </c>
      <c r="I228" s="3">
        <v>11410</v>
      </c>
      <c r="J228" s="3">
        <v>11795</v>
      </c>
      <c r="K228" s="3">
        <v>11805</v>
      </c>
      <c r="L228" s="3">
        <v>12040</v>
      </c>
      <c r="M228" s="3">
        <v>12040</v>
      </c>
      <c r="N228" s="3">
        <v>12555</v>
      </c>
      <c r="O228" s="3">
        <v>12560</v>
      </c>
      <c r="P228" s="3">
        <v>12645</v>
      </c>
      <c r="Q228" s="3">
        <v>12625</v>
      </c>
      <c r="R228" s="3">
        <v>12485</v>
      </c>
      <c r="S228" s="3">
        <v>12490</v>
      </c>
      <c r="T228" s="3">
        <v>12280</v>
      </c>
      <c r="U228" s="3">
        <v>12280</v>
      </c>
      <c r="V228" s="3">
        <v>12780</v>
      </c>
      <c r="W228" s="3">
        <v>12785</v>
      </c>
      <c r="X228" s="3">
        <v>12435</v>
      </c>
      <c r="Y228" s="3">
        <v>12435</v>
      </c>
      <c r="Z228" s="3">
        <v>12730</v>
      </c>
      <c r="AA228" s="3">
        <v>12720</v>
      </c>
      <c r="AB228" s="3">
        <v>13260</v>
      </c>
      <c r="AC228" s="3">
        <v>13265</v>
      </c>
      <c r="AD228" s="3">
        <v>13240</v>
      </c>
      <c r="AE228" s="3">
        <v>13230</v>
      </c>
      <c r="AF228" s="3">
        <v>13820</v>
      </c>
      <c r="AG228" s="3">
        <v>13805</v>
      </c>
      <c r="AH228" s="3">
        <v>14075</v>
      </c>
      <c r="AI228" s="3">
        <v>14110</v>
      </c>
      <c r="AJ228" s="3">
        <v>13630</v>
      </c>
      <c r="AK228" s="3">
        <v>13630</v>
      </c>
      <c r="AL228" s="3">
        <v>13625</v>
      </c>
      <c r="AM228" s="3">
        <v>13640</v>
      </c>
      <c r="AN228" s="3">
        <v>13420</v>
      </c>
      <c r="AO228" s="3">
        <v>13420</v>
      </c>
      <c r="AP228" s="3">
        <v>13505</v>
      </c>
      <c r="AQ228" s="3">
        <v>13505</v>
      </c>
      <c r="AR228" s="4">
        <f t="shared" si="144"/>
        <v>1.3443191673894184E-2</v>
      </c>
      <c r="AS228" s="4">
        <f t="shared" si="116"/>
        <v>6.0606060606060996E-3</v>
      </c>
      <c r="AT228" s="4">
        <f t="shared" si="117"/>
        <v>2.7728873239436513E-2</v>
      </c>
      <c r="AU228" s="4">
        <f t="shared" si="118"/>
        <v>3.1409168081494077E-2</v>
      </c>
      <c r="AV228" s="4">
        <f t="shared" si="119"/>
        <v>9.8374679213002469E-3</v>
      </c>
      <c r="AW228" s="4">
        <f t="shared" si="120"/>
        <v>1.5177065767284947E-2</v>
      </c>
      <c r="AX228" s="4">
        <f t="shared" si="121"/>
        <v>3.6731324803962018E-2</v>
      </c>
      <c r="AY228" s="4">
        <f t="shared" si="122"/>
        <v>1.2128325508607207E-2</v>
      </c>
      <c r="AZ228" s="4">
        <f t="shared" si="123"/>
        <v>4.3842168194500042E-3</v>
      </c>
      <c r="BA228" s="4">
        <f t="shared" si="124"/>
        <v>7.6767676767677262E-3</v>
      </c>
      <c r="BB228" s="4">
        <f t="shared" si="125"/>
        <v>3.6481556546412719E-2</v>
      </c>
      <c r="BC228" s="4">
        <f t="shared" si="126"/>
        <v>1.5829046299960403E-2</v>
      </c>
      <c r="BD228" s="4">
        <f t="shared" si="127"/>
        <v>9.3457943925233655E-3</v>
      </c>
      <c r="BE228" s="4">
        <f t="shared" si="128"/>
        <v>2.3139220979560449E-2</v>
      </c>
      <c r="BF228" s="4">
        <f t="shared" si="129"/>
        <v>1.0695187165775444E-2</v>
      </c>
      <c r="BG228" s="4">
        <f t="shared" si="130"/>
        <v>3.5245594300712391E-2</v>
      </c>
      <c r="BH228" s="4">
        <f t="shared" si="131"/>
        <v>1.4378145219266614E-2</v>
      </c>
      <c r="BI228" s="4">
        <f t="shared" si="132"/>
        <v>1.7657657657657699E-2</v>
      </c>
      <c r="BJ228" s="4">
        <f t="shared" si="133"/>
        <v>5.8309037900874383E-3</v>
      </c>
      <c r="BK228" s="4">
        <f t="shared" si="134"/>
        <v>1.9364267446108863E-2</v>
      </c>
      <c r="BL228" s="4">
        <f t="shared" si="135"/>
        <v>3.7160906726123599E-3</v>
      </c>
      <c r="BM228" s="4">
        <f t="shared" si="145"/>
        <v>1.7777714900489454E-2</v>
      </c>
      <c r="BN228" s="14">
        <f t="shared" si="146"/>
        <v>13694.199153986085</v>
      </c>
      <c r="BO228" s="15">
        <f t="shared" si="147"/>
        <v>13088.111948950978</v>
      </c>
      <c r="BP228" s="16">
        <v>13505</v>
      </c>
      <c r="BQ228" s="16">
        <v>13510</v>
      </c>
      <c r="BR228" s="16">
        <v>13500</v>
      </c>
      <c r="BS228" s="16">
        <v>13505</v>
      </c>
      <c r="BT228" s="16">
        <v>7489</v>
      </c>
      <c r="BU228" s="15">
        <f t="shared" si="136"/>
        <v>13505</v>
      </c>
      <c r="BV228" s="15">
        <f t="shared" si="137"/>
        <v>101138945</v>
      </c>
      <c r="BW228" s="15">
        <f>SUM($BV$3:BV228)</f>
        <v>213653286434.99994</v>
      </c>
      <c r="BX228" s="15">
        <f>SUM($BT$3:BT228)</f>
        <v>15757070</v>
      </c>
      <c r="BY228" s="15">
        <f t="shared" si="138"/>
        <v>13559.201452744701</v>
      </c>
      <c r="BZ228" s="3">
        <v>226</v>
      </c>
      <c r="CA228" s="3">
        <f t="shared" si="139"/>
        <v>0</v>
      </c>
      <c r="CB228" s="3">
        <f t="shared" si="140"/>
        <v>0</v>
      </c>
      <c r="CC228" s="3">
        <f t="shared" si="141"/>
        <v>0</v>
      </c>
      <c r="CD228" s="3" t="str">
        <f t="shared" si="142"/>
        <v/>
      </c>
      <c r="CE228" s="3">
        <f t="shared" si="143"/>
        <v>0</v>
      </c>
    </row>
    <row r="229" spans="1:83" x14ac:dyDescent="0.3">
      <c r="A229" s="3" t="s">
        <v>269</v>
      </c>
      <c r="B229" s="3">
        <v>11685</v>
      </c>
      <c r="C229" s="3">
        <v>11685</v>
      </c>
      <c r="D229" s="3">
        <v>11620</v>
      </c>
      <c r="E229" s="3">
        <v>11610</v>
      </c>
      <c r="F229" s="3">
        <v>11675</v>
      </c>
      <c r="G229" s="3">
        <v>11680</v>
      </c>
      <c r="H229" s="3">
        <v>11405</v>
      </c>
      <c r="I229" s="3">
        <v>11405</v>
      </c>
      <c r="J229" s="3">
        <v>11805</v>
      </c>
      <c r="K229" s="3">
        <v>11815</v>
      </c>
      <c r="L229" s="3">
        <v>12040</v>
      </c>
      <c r="M229" s="3">
        <v>12035</v>
      </c>
      <c r="N229" s="3">
        <v>12560</v>
      </c>
      <c r="O229" s="3">
        <v>12565</v>
      </c>
      <c r="P229" s="3">
        <v>12625</v>
      </c>
      <c r="Q229" s="3">
        <v>12635</v>
      </c>
      <c r="R229" s="3">
        <v>12495</v>
      </c>
      <c r="S229" s="3">
        <v>12510</v>
      </c>
      <c r="T229" s="3">
        <v>12280</v>
      </c>
      <c r="U229" s="3">
        <v>12280</v>
      </c>
      <c r="V229" s="3">
        <v>12785</v>
      </c>
      <c r="W229" s="3">
        <v>12785</v>
      </c>
      <c r="X229" s="3">
        <v>12435</v>
      </c>
      <c r="Y229" s="3">
        <v>12445</v>
      </c>
      <c r="Z229" s="3">
        <v>12715</v>
      </c>
      <c r="AA229" s="3">
        <v>12720</v>
      </c>
      <c r="AB229" s="3">
        <v>13265</v>
      </c>
      <c r="AC229" s="3">
        <v>13255</v>
      </c>
      <c r="AD229" s="3">
        <v>13245</v>
      </c>
      <c r="AE229" s="3">
        <v>13225</v>
      </c>
      <c r="AF229" s="3">
        <v>13810</v>
      </c>
      <c r="AG229" s="3">
        <v>13805</v>
      </c>
      <c r="AH229" s="3">
        <v>14110</v>
      </c>
      <c r="AI229" s="3">
        <v>14115</v>
      </c>
      <c r="AJ229" s="3">
        <v>13635</v>
      </c>
      <c r="AK229" s="3">
        <v>13615</v>
      </c>
      <c r="AL229" s="3">
        <v>13640</v>
      </c>
      <c r="AM229" s="3">
        <v>13650</v>
      </c>
      <c r="AN229" s="3">
        <v>13420</v>
      </c>
      <c r="AO229" s="3">
        <v>13425</v>
      </c>
      <c r="AP229" s="3">
        <v>13505</v>
      </c>
      <c r="AQ229" s="3">
        <v>13495</v>
      </c>
      <c r="AR229" s="4">
        <f t="shared" si="144"/>
        <v>1.3443191673894184E-2</v>
      </c>
      <c r="AS229" s="4">
        <f t="shared" si="116"/>
        <v>5.1948051948051965E-3</v>
      </c>
      <c r="AT229" s="4">
        <f t="shared" si="117"/>
        <v>2.8169014084507005E-2</v>
      </c>
      <c r="AU229" s="4">
        <f t="shared" si="118"/>
        <v>3.183361629881154E-2</v>
      </c>
      <c r="AV229" s="4">
        <f t="shared" si="119"/>
        <v>1.0692899914456877E-2</v>
      </c>
      <c r="AW229" s="4">
        <f t="shared" si="120"/>
        <v>1.4755480607082649E-2</v>
      </c>
      <c r="AX229" s="4">
        <f t="shared" si="121"/>
        <v>3.7144036318613294E-2</v>
      </c>
      <c r="AY229" s="4">
        <f t="shared" si="122"/>
        <v>1.1345852895148667E-2</v>
      </c>
      <c r="AZ229" s="4">
        <f t="shared" si="123"/>
        <v>2.789956157831841E-3</v>
      </c>
      <c r="BA229" s="4">
        <f t="shared" si="124"/>
        <v>7.6767676767677262E-3</v>
      </c>
      <c r="BB229" s="4">
        <f t="shared" si="125"/>
        <v>3.6481556546412719E-2</v>
      </c>
      <c r="BC229" s="4">
        <f t="shared" si="126"/>
        <v>1.5037593984962405E-2</v>
      </c>
      <c r="BD229" s="4">
        <f t="shared" si="127"/>
        <v>9.3457943925233655E-3</v>
      </c>
      <c r="BE229" s="4">
        <f t="shared" si="128"/>
        <v>2.2367913613575041E-2</v>
      </c>
      <c r="BF229" s="4">
        <f t="shared" si="129"/>
        <v>1.0313216195569241E-2</v>
      </c>
      <c r="BG229" s="4">
        <f t="shared" si="130"/>
        <v>3.5245594300712391E-2</v>
      </c>
      <c r="BH229" s="4">
        <f t="shared" si="131"/>
        <v>1.4737598849748457E-2</v>
      </c>
      <c r="BI229" s="4">
        <f t="shared" si="132"/>
        <v>1.8738738738738769E-2</v>
      </c>
      <c r="BJ229" s="4">
        <f t="shared" si="133"/>
        <v>5.1020408163264808E-3</v>
      </c>
      <c r="BK229" s="4">
        <f t="shared" si="134"/>
        <v>1.8998903909389853E-2</v>
      </c>
      <c r="BL229" s="4">
        <f t="shared" si="135"/>
        <v>2.9728725380899768E-3</v>
      </c>
      <c r="BM229" s="4">
        <f t="shared" si="145"/>
        <v>1.7523254599737161E-2</v>
      </c>
      <c r="BN229" s="14">
        <f t="shared" si="146"/>
        <v>13690.775390639465</v>
      </c>
      <c r="BO229" s="15">
        <f t="shared" si="147"/>
        <v>13091.502632458503</v>
      </c>
      <c r="BP229" s="16">
        <v>13505</v>
      </c>
      <c r="BQ229" s="16">
        <v>13505</v>
      </c>
      <c r="BR229" s="16">
        <v>13495</v>
      </c>
      <c r="BS229" s="16">
        <v>13495</v>
      </c>
      <c r="BT229" s="16">
        <v>7684</v>
      </c>
      <c r="BU229" s="15">
        <f t="shared" si="136"/>
        <v>13498.333333333334</v>
      </c>
      <c r="BV229" s="15">
        <f t="shared" si="137"/>
        <v>103721193.33333334</v>
      </c>
      <c r="BW229" s="15">
        <f>SUM($BV$3:BV229)</f>
        <v>213757007628.33328</v>
      </c>
      <c r="BX229" s="15">
        <f>SUM($BT$3:BT229)</f>
        <v>15764754</v>
      </c>
      <c r="BY229" s="15">
        <f t="shared" si="138"/>
        <v>13559.171784623679</v>
      </c>
      <c r="BZ229" s="3">
        <v>227</v>
      </c>
      <c r="CA229" s="3">
        <f t="shared" si="139"/>
        <v>0</v>
      </c>
      <c r="CB229" s="3">
        <f t="shared" si="140"/>
        <v>0</v>
      </c>
      <c r="CC229" s="3">
        <f t="shared" si="141"/>
        <v>0</v>
      </c>
      <c r="CD229" s="3" t="str">
        <f t="shared" si="142"/>
        <v/>
      </c>
      <c r="CE229" s="3">
        <f t="shared" si="143"/>
        <v>0</v>
      </c>
    </row>
    <row r="230" spans="1:83" x14ac:dyDescent="0.3">
      <c r="A230" s="3" t="s">
        <v>270</v>
      </c>
      <c r="B230" s="3">
        <v>11685</v>
      </c>
      <c r="C230" s="3">
        <v>11690</v>
      </c>
      <c r="D230" s="3">
        <v>11610</v>
      </c>
      <c r="E230" s="3">
        <v>11605</v>
      </c>
      <c r="F230" s="3">
        <v>11680</v>
      </c>
      <c r="G230" s="3">
        <v>11675</v>
      </c>
      <c r="H230" s="3">
        <v>11405</v>
      </c>
      <c r="I230" s="3">
        <v>11395</v>
      </c>
      <c r="J230" s="3">
        <v>11815</v>
      </c>
      <c r="K230" s="3">
        <v>11800</v>
      </c>
      <c r="L230" s="3">
        <v>12040</v>
      </c>
      <c r="M230" s="3">
        <v>12050</v>
      </c>
      <c r="N230" s="3">
        <v>12570</v>
      </c>
      <c r="O230" s="3">
        <v>12570</v>
      </c>
      <c r="P230" s="3">
        <v>12635</v>
      </c>
      <c r="Q230" s="3">
        <v>12650</v>
      </c>
      <c r="R230" s="3">
        <v>12515</v>
      </c>
      <c r="S230" s="3">
        <v>12520</v>
      </c>
      <c r="T230" s="3">
        <v>12285</v>
      </c>
      <c r="U230" s="3">
        <v>12290</v>
      </c>
      <c r="V230" s="3">
        <v>12785</v>
      </c>
      <c r="W230" s="3">
        <v>12775</v>
      </c>
      <c r="X230" s="3">
        <v>12450</v>
      </c>
      <c r="Y230" s="3">
        <v>12440</v>
      </c>
      <c r="Z230" s="3">
        <v>12725</v>
      </c>
      <c r="AA230" s="3">
        <v>12720</v>
      </c>
      <c r="AB230" s="3">
        <v>13260</v>
      </c>
      <c r="AC230" s="3">
        <v>13265</v>
      </c>
      <c r="AD230" s="3">
        <v>13230</v>
      </c>
      <c r="AE230" s="3">
        <v>13225</v>
      </c>
      <c r="AF230" s="3">
        <v>13805</v>
      </c>
      <c r="AG230" s="3">
        <v>13820</v>
      </c>
      <c r="AH230" s="3">
        <v>14115</v>
      </c>
      <c r="AI230" s="3">
        <v>14115</v>
      </c>
      <c r="AJ230" s="3">
        <v>13620</v>
      </c>
      <c r="AK230" s="3">
        <v>13635</v>
      </c>
      <c r="AL230" s="3">
        <v>13650</v>
      </c>
      <c r="AM230" s="3">
        <v>13665</v>
      </c>
      <c r="AN230" s="3">
        <v>13425</v>
      </c>
      <c r="AO230" s="3">
        <v>13435</v>
      </c>
      <c r="AP230" s="3">
        <v>13495</v>
      </c>
      <c r="AQ230" s="3">
        <v>13505</v>
      </c>
      <c r="AR230" s="4">
        <f t="shared" si="144"/>
        <v>1.3876843018213458E-2</v>
      </c>
      <c r="AS230" s="4">
        <f t="shared" si="116"/>
        <v>4.761904761904745E-3</v>
      </c>
      <c r="AT230" s="4">
        <f t="shared" si="117"/>
        <v>2.7728873239436513E-2</v>
      </c>
      <c r="AU230" s="4">
        <f t="shared" si="118"/>
        <v>3.2682512733446467E-2</v>
      </c>
      <c r="AV230" s="4">
        <f t="shared" si="119"/>
        <v>9.4097519247220429E-3</v>
      </c>
      <c r="AW230" s="4">
        <f t="shared" si="120"/>
        <v>1.6020236087689765E-2</v>
      </c>
      <c r="AX230" s="4">
        <f t="shared" si="121"/>
        <v>3.755674783326457E-2</v>
      </c>
      <c r="AY230" s="4">
        <f t="shared" si="122"/>
        <v>1.0172143974960912E-2</v>
      </c>
      <c r="AZ230" s="4">
        <f t="shared" si="123"/>
        <v>1.9928258270227595E-3</v>
      </c>
      <c r="BA230" s="4">
        <f t="shared" si="124"/>
        <v>6.8686868686869129E-3</v>
      </c>
      <c r="BB230" s="4">
        <f t="shared" si="125"/>
        <v>3.567085528982572E-2</v>
      </c>
      <c r="BC230" s="4">
        <f t="shared" si="126"/>
        <v>1.543332014246146E-2</v>
      </c>
      <c r="BD230" s="4">
        <f t="shared" si="127"/>
        <v>9.3457943925233655E-3</v>
      </c>
      <c r="BE230" s="4">
        <f t="shared" si="128"/>
        <v>2.3139220979560449E-2</v>
      </c>
      <c r="BF230" s="4">
        <f t="shared" si="129"/>
        <v>1.0313216195569241E-2</v>
      </c>
      <c r="BG230" s="4">
        <f t="shared" si="130"/>
        <v>3.6370453693288285E-2</v>
      </c>
      <c r="BH230" s="4">
        <f t="shared" si="131"/>
        <v>1.4737598849748457E-2</v>
      </c>
      <c r="BI230" s="4">
        <f t="shared" si="132"/>
        <v>1.7297297297297343E-2</v>
      </c>
      <c r="BJ230" s="4">
        <f t="shared" si="133"/>
        <v>4.0087463556851555E-3</v>
      </c>
      <c r="BK230" s="4">
        <f t="shared" si="134"/>
        <v>1.8268176835951722E-2</v>
      </c>
      <c r="BL230" s="4">
        <f t="shared" si="135"/>
        <v>3.7160906726123599E-3</v>
      </c>
      <c r="BM230" s="4">
        <f t="shared" si="145"/>
        <v>1.7226791752560453E-2</v>
      </c>
      <c r="BN230" s="14">
        <f t="shared" si="146"/>
        <v>13686.786483030699</v>
      </c>
      <c r="BO230" s="15">
        <f t="shared" si="147"/>
        <v>13095.452999897132</v>
      </c>
      <c r="BP230" s="16">
        <v>13495</v>
      </c>
      <c r="BQ230" s="16">
        <v>13505</v>
      </c>
      <c r="BR230" s="16">
        <v>13495</v>
      </c>
      <c r="BS230" s="16">
        <v>13505</v>
      </c>
      <c r="BT230" s="16">
        <v>5474</v>
      </c>
      <c r="BU230" s="15">
        <f t="shared" si="136"/>
        <v>13501.666666666666</v>
      </c>
      <c r="BV230" s="15">
        <f t="shared" si="137"/>
        <v>73908123.333333328</v>
      </c>
      <c r="BW230" s="15">
        <f>SUM($BV$3:BV230)</f>
        <v>213830915751.66663</v>
      </c>
      <c r="BX230" s="15">
        <f>SUM($BT$3:BT230)</f>
        <v>15770228</v>
      </c>
      <c r="BY230" s="15">
        <f t="shared" si="138"/>
        <v>13559.151824036191</v>
      </c>
      <c r="BZ230" s="3">
        <v>228</v>
      </c>
      <c r="CA230" s="3">
        <f t="shared" si="139"/>
        <v>0</v>
      </c>
      <c r="CB230" s="3">
        <f t="shared" si="140"/>
        <v>0</v>
      </c>
      <c r="CC230" s="3">
        <f t="shared" si="141"/>
        <v>0</v>
      </c>
      <c r="CD230" s="3" t="str">
        <f t="shared" si="142"/>
        <v/>
      </c>
      <c r="CE230" s="3">
        <f t="shared" si="143"/>
        <v>0</v>
      </c>
    </row>
    <row r="231" spans="1:83" x14ac:dyDescent="0.3">
      <c r="A231" s="3" t="s">
        <v>271</v>
      </c>
      <c r="B231" s="3">
        <v>11690</v>
      </c>
      <c r="C231" s="3">
        <v>11695</v>
      </c>
      <c r="D231" s="3">
        <v>11605</v>
      </c>
      <c r="E231" s="3">
        <v>11610</v>
      </c>
      <c r="F231" s="3">
        <v>11680</v>
      </c>
      <c r="G231" s="3">
        <v>11675</v>
      </c>
      <c r="H231" s="3">
        <v>11400</v>
      </c>
      <c r="I231" s="3">
        <v>11410</v>
      </c>
      <c r="J231" s="3">
        <v>11800</v>
      </c>
      <c r="K231" s="3">
        <v>11795</v>
      </c>
      <c r="L231" s="3">
        <v>12050</v>
      </c>
      <c r="M231" s="3">
        <v>12045</v>
      </c>
      <c r="N231" s="3">
        <v>12570</v>
      </c>
      <c r="O231" s="3">
        <v>12570</v>
      </c>
      <c r="P231" s="3">
        <v>12655</v>
      </c>
      <c r="Q231" s="3">
        <v>12665</v>
      </c>
      <c r="R231" s="3">
        <v>12525</v>
      </c>
      <c r="S231" s="3">
        <v>12525</v>
      </c>
      <c r="T231" s="3">
        <v>12295</v>
      </c>
      <c r="U231" s="3">
        <v>12295</v>
      </c>
      <c r="V231" s="3">
        <v>12770</v>
      </c>
      <c r="W231" s="3">
        <v>12765</v>
      </c>
      <c r="X231" s="3">
        <v>12445</v>
      </c>
      <c r="Y231" s="3">
        <v>12440</v>
      </c>
      <c r="Z231" s="3">
        <v>12715</v>
      </c>
      <c r="AA231" s="3">
        <v>12730</v>
      </c>
      <c r="AB231" s="3">
        <v>13265</v>
      </c>
      <c r="AC231" s="3">
        <v>13260</v>
      </c>
      <c r="AD231" s="3">
        <v>13225</v>
      </c>
      <c r="AE231" s="3">
        <v>13220</v>
      </c>
      <c r="AF231" s="3">
        <v>13815</v>
      </c>
      <c r="AG231" s="3">
        <v>13840</v>
      </c>
      <c r="AH231" s="3">
        <v>14110</v>
      </c>
      <c r="AI231" s="3">
        <v>14080</v>
      </c>
      <c r="AJ231" s="3">
        <v>13640</v>
      </c>
      <c r="AK231" s="3">
        <v>13635</v>
      </c>
      <c r="AL231" s="3">
        <v>13660</v>
      </c>
      <c r="AM231" s="3">
        <v>13655</v>
      </c>
      <c r="AN231" s="3">
        <v>13435</v>
      </c>
      <c r="AO231" s="3">
        <v>13440</v>
      </c>
      <c r="AP231" s="3">
        <v>13505</v>
      </c>
      <c r="AQ231" s="3">
        <v>13500</v>
      </c>
      <c r="AR231" s="4">
        <f t="shared" si="144"/>
        <v>1.4310494362532511E-2</v>
      </c>
      <c r="AS231" s="4">
        <f t="shared" si="116"/>
        <v>5.1948051948051965E-3</v>
      </c>
      <c r="AT231" s="4">
        <f t="shared" si="117"/>
        <v>2.7728873239436513E-2</v>
      </c>
      <c r="AU231" s="4">
        <f t="shared" si="118"/>
        <v>3.1409168081494077E-2</v>
      </c>
      <c r="AV231" s="4">
        <f t="shared" si="119"/>
        <v>8.9820359281436168E-3</v>
      </c>
      <c r="AW231" s="4">
        <f t="shared" si="120"/>
        <v>1.5598650927487245E-2</v>
      </c>
      <c r="AX231" s="4">
        <f t="shared" si="121"/>
        <v>3.755674783326457E-2</v>
      </c>
      <c r="AY231" s="4">
        <f t="shared" si="122"/>
        <v>8.9984350547730463E-3</v>
      </c>
      <c r="AZ231" s="4">
        <f t="shared" si="123"/>
        <v>1.5942606616181632E-3</v>
      </c>
      <c r="BA231" s="4">
        <f t="shared" si="124"/>
        <v>6.4646464646465063E-3</v>
      </c>
      <c r="BB231" s="4">
        <f t="shared" si="125"/>
        <v>3.4860154033238722E-2</v>
      </c>
      <c r="BC231" s="4">
        <f t="shared" si="126"/>
        <v>1.543332014246146E-2</v>
      </c>
      <c r="BD231" s="4">
        <f t="shared" si="127"/>
        <v>8.5669781931464462E-3</v>
      </c>
      <c r="BE231" s="4">
        <f t="shared" si="128"/>
        <v>2.2753567296567745E-2</v>
      </c>
      <c r="BF231" s="4">
        <f t="shared" si="129"/>
        <v>9.931245225362817E-3</v>
      </c>
      <c r="BG231" s="4">
        <f t="shared" si="130"/>
        <v>3.7870266216722959E-2</v>
      </c>
      <c r="BH231" s="4">
        <f t="shared" si="131"/>
        <v>1.2221423436376666E-2</v>
      </c>
      <c r="BI231" s="4">
        <f t="shared" si="132"/>
        <v>1.7297297297297343E-2</v>
      </c>
      <c r="BJ231" s="4">
        <f t="shared" si="133"/>
        <v>4.737609329446113E-3</v>
      </c>
      <c r="BK231" s="4">
        <f t="shared" si="134"/>
        <v>1.7902813299232712E-2</v>
      </c>
      <c r="BL231" s="4">
        <f t="shared" si="135"/>
        <v>3.3444816053511683E-3</v>
      </c>
      <c r="BM231" s="4">
        <f t="shared" si="145"/>
        <v>1.6870626034582521E-2</v>
      </c>
      <c r="BN231" s="14">
        <f t="shared" si="146"/>
        <v>13681.994273295308</v>
      </c>
      <c r="BO231" s="15">
        <f t="shared" si="147"/>
        <v>13100.198908089187</v>
      </c>
      <c r="BP231" s="16">
        <v>13505</v>
      </c>
      <c r="BQ231" s="16">
        <v>13505</v>
      </c>
      <c r="BR231" s="16">
        <v>13495</v>
      </c>
      <c r="BS231" s="16">
        <v>13500</v>
      </c>
      <c r="BT231" s="16">
        <v>6533</v>
      </c>
      <c r="BU231" s="15">
        <f t="shared" si="136"/>
        <v>13500</v>
      </c>
      <c r="BV231" s="15">
        <f t="shared" si="137"/>
        <v>88195500</v>
      </c>
      <c r="BW231" s="15">
        <f>SUM($BV$3:BV231)</f>
        <v>213919111251.66663</v>
      </c>
      <c r="BX231" s="15">
        <f>SUM($BT$3:BT231)</f>
        <v>15776761</v>
      </c>
      <c r="BY231" s="15">
        <f t="shared" si="138"/>
        <v>13559.127329853487</v>
      </c>
      <c r="BZ231" s="3">
        <v>229</v>
      </c>
      <c r="CA231" s="3">
        <f t="shared" si="139"/>
        <v>0</v>
      </c>
      <c r="CB231" s="3">
        <f t="shared" si="140"/>
        <v>0</v>
      </c>
      <c r="CC231" s="3">
        <f t="shared" si="141"/>
        <v>0</v>
      </c>
      <c r="CD231" s="3" t="str">
        <f t="shared" si="142"/>
        <v/>
      </c>
      <c r="CE231" s="3">
        <f t="shared" si="143"/>
        <v>0</v>
      </c>
    </row>
    <row r="232" spans="1:83" x14ac:dyDescent="0.3">
      <c r="A232" s="3" t="s">
        <v>272</v>
      </c>
      <c r="B232" s="3">
        <v>11695</v>
      </c>
      <c r="C232" s="3">
        <v>11705</v>
      </c>
      <c r="D232" s="3">
        <v>11610</v>
      </c>
      <c r="E232" s="3">
        <v>11600</v>
      </c>
      <c r="F232" s="3">
        <v>11675</v>
      </c>
      <c r="G232" s="3">
        <v>11670</v>
      </c>
      <c r="H232" s="3">
        <v>11405</v>
      </c>
      <c r="I232" s="3">
        <v>11410</v>
      </c>
      <c r="J232" s="3">
        <v>11795</v>
      </c>
      <c r="K232" s="3">
        <v>11790</v>
      </c>
      <c r="L232" s="3">
        <v>12045</v>
      </c>
      <c r="M232" s="3">
        <v>12055</v>
      </c>
      <c r="N232" s="3">
        <v>12570</v>
      </c>
      <c r="O232" s="3">
        <v>12565</v>
      </c>
      <c r="P232" s="3">
        <v>12670</v>
      </c>
      <c r="Q232" s="3">
        <v>12680</v>
      </c>
      <c r="R232" s="3">
        <v>12525</v>
      </c>
      <c r="S232" s="3">
        <v>12515</v>
      </c>
      <c r="T232" s="3">
        <v>12295</v>
      </c>
      <c r="U232" s="3">
        <v>12285</v>
      </c>
      <c r="V232" s="3">
        <v>12765</v>
      </c>
      <c r="W232" s="3">
        <v>12750</v>
      </c>
      <c r="X232" s="3">
        <v>12445</v>
      </c>
      <c r="Y232" s="3">
        <v>12470</v>
      </c>
      <c r="Z232" s="3">
        <v>12730</v>
      </c>
      <c r="AA232" s="3">
        <v>12735</v>
      </c>
      <c r="AB232" s="3">
        <v>13265</v>
      </c>
      <c r="AC232" s="3">
        <v>13265</v>
      </c>
      <c r="AD232" s="3">
        <v>13225</v>
      </c>
      <c r="AE232" s="3">
        <v>13230</v>
      </c>
      <c r="AF232" s="3">
        <v>13840</v>
      </c>
      <c r="AG232" s="3">
        <v>13835</v>
      </c>
      <c r="AH232" s="3">
        <v>14080</v>
      </c>
      <c r="AI232" s="3">
        <v>14110</v>
      </c>
      <c r="AJ232" s="3">
        <v>13630</v>
      </c>
      <c r="AK232" s="3">
        <v>13630</v>
      </c>
      <c r="AL232" s="3">
        <v>13655</v>
      </c>
      <c r="AM232" s="3">
        <v>13645</v>
      </c>
      <c r="AN232" s="3">
        <v>13435</v>
      </c>
      <c r="AO232" s="3">
        <v>13440</v>
      </c>
      <c r="AP232" s="3">
        <v>13500</v>
      </c>
      <c r="AQ232" s="3">
        <v>13505</v>
      </c>
      <c r="AR232" s="4">
        <f t="shared" si="144"/>
        <v>1.5177797051170838E-2</v>
      </c>
      <c r="AS232" s="4">
        <f t="shared" si="116"/>
        <v>4.3290043290042934E-3</v>
      </c>
      <c r="AT232" s="4">
        <f t="shared" si="117"/>
        <v>2.7288732394366244E-2</v>
      </c>
      <c r="AU232" s="4">
        <f t="shared" si="118"/>
        <v>3.1409168081494077E-2</v>
      </c>
      <c r="AV232" s="4">
        <f t="shared" si="119"/>
        <v>8.5543199315654128E-3</v>
      </c>
      <c r="AW232" s="4">
        <f t="shared" si="120"/>
        <v>1.6441821247892063E-2</v>
      </c>
      <c r="AX232" s="4">
        <f t="shared" si="121"/>
        <v>3.7144036318613294E-2</v>
      </c>
      <c r="AY232" s="4">
        <f t="shared" si="122"/>
        <v>7.8247261345852914E-3</v>
      </c>
      <c r="AZ232" s="4">
        <f t="shared" si="123"/>
        <v>2.3913909924272447E-3</v>
      </c>
      <c r="BA232" s="4">
        <f t="shared" si="124"/>
        <v>7.2727272727273196E-3</v>
      </c>
      <c r="BB232" s="4">
        <f t="shared" si="125"/>
        <v>3.3644102148358224E-2</v>
      </c>
      <c r="BC232" s="4">
        <f t="shared" si="126"/>
        <v>1.3058963197467355E-2</v>
      </c>
      <c r="BD232" s="4">
        <f t="shared" si="127"/>
        <v>8.1775700934579865E-3</v>
      </c>
      <c r="BE232" s="4">
        <f t="shared" si="128"/>
        <v>2.3139220979560449E-2</v>
      </c>
      <c r="BF232" s="4">
        <f t="shared" si="129"/>
        <v>1.0695187165775444E-2</v>
      </c>
      <c r="BG232" s="4">
        <f t="shared" si="130"/>
        <v>3.7495313085864179E-2</v>
      </c>
      <c r="BH232" s="4">
        <f t="shared" si="131"/>
        <v>1.4378145219266614E-2</v>
      </c>
      <c r="BI232" s="4">
        <f t="shared" si="132"/>
        <v>1.7657657657657699E-2</v>
      </c>
      <c r="BJ232" s="4">
        <f t="shared" si="133"/>
        <v>5.4664723032069595E-3</v>
      </c>
      <c r="BK232" s="4">
        <f t="shared" si="134"/>
        <v>1.7902813299232712E-2</v>
      </c>
      <c r="BL232" s="4">
        <f t="shared" si="135"/>
        <v>3.7160906726123599E-3</v>
      </c>
      <c r="BM232" s="4">
        <f t="shared" si="145"/>
        <v>1.6874880419157197E-2</v>
      </c>
      <c r="BN232" s="14">
        <f t="shared" si="146"/>
        <v>13682.051516039761</v>
      </c>
      <c r="BO232" s="15">
        <f t="shared" si="147"/>
        <v>13100.14221841473</v>
      </c>
      <c r="BP232" s="16">
        <v>13500</v>
      </c>
      <c r="BQ232" s="16">
        <v>13510</v>
      </c>
      <c r="BR232" s="16">
        <v>13500</v>
      </c>
      <c r="BS232" s="16">
        <v>13505</v>
      </c>
      <c r="BT232" s="16">
        <v>5048</v>
      </c>
      <c r="BU232" s="15">
        <f t="shared" si="136"/>
        <v>13505</v>
      </c>
      <c r="BV232" s="15">
        <f t="shared" si="137"/>
        <v>68173240</v>
      </c>
      <c r="BW232" s="15">
        <f>SUM($BV$3:BV232)</f>
        <v>213987284491.66663</v>
      </c>
      <c r="BX232" s="15">
        <f>SUM($BT$3:BT232)</f>
        <v>15781809</v>
      </c>
      <c r="BY232" s="15">
        <f t="shared" si="138"/>
        <v>13559.110016580902</v>
      </c>
      <c r="BZ232" s="3">
        <v>230</v>
      </c>
      <c r="CA232" s="3">
        <f t="shared" si="139"/>
        <v>0</v>
      </c>
      <c r="CB232" s="3">
        <f t="shared" si="140"/>
        <v>0</v>
      </c>
      <c r="CC232" s="3">
        <f t="shared" si="141"/>
        <v>0</v>
      </c>
      <c r="CD232" s="3" t="str">
        <f t="shared" si="142"/>
        <v/>
      </c>
      <c r="CE232" s="3">
        <f t="shared" si="143"/>
        <v>0</v>
      </c>
    </row>
    <row r="233" spans="1:83" x14ac:dyDescent="0.3">
      <c r="A233" s="3" t="s">
        <v>273</v>
      </c>
      <c r="B233" s="3">
        <v>11705</v>
      </c>
      <c r="C233" s="3">
        <v>11705</v>
      </c>
      <c r="D233" s="3">
        <v>11600</v>
      </c>
      <c r="E233" s="3">
        <v>11585</v>
      </c>
      <c r="F233" s="3">
        <v>11665</v>
      </c>
      <c r="G233" s="3">
        <v>11670</v>
      </c>
      <c r="H233" s="3">
        <v>11415</v>
      </c>
      <c r="I233" s="3">
        <v>11430</v>
      </c>
      <c r="J233" s="3">
        <v>11790</v>
      </c>
      <c r="K233" s="3">
        <v>11800</v>
      </c>
      <c r="L233" s="3">
        <v>12055</v>
      </c>
      <c r="M233" s="3">
        <v>12050</v>
      </c>
      <c r="N233" s="3">
        <v>12565</v>
      </c>
      <c r="O233" s="3">
        <v>12575</v>
      </c>
      <c r="P233" s="3">
        <v>12675</v>
      </c>
      <c r="Q233" s="3">
        <v>12675</v>
      </c>
      <c r="R233" s="3">
        <v>12510</v>
      </c>
      <c r="S233" s="3">
        <v>12505</v>
      </c>
      <c r="T233" s="3">
        <v>12280</v>
      </c>
      <c r="U233" s="3">
        <v>12295</v>
      </c>
      <c r="V233" s="3">
        <v>12750</v>
      </c>
      <c r="W233" s="3">
        <v>12750</v>
      </c>
      <c r="X233" s="3">
        <v>12475</v>
      </c>
      <c r="Y233" s="3">
        <v>12455</v>
      </c>
      <c r="Z233" s="3">
        <v>12735</v>
      </c>
      <c r="AA233" s="3">
        <v>12730</v>
      </c>
      <c r="AB233" s="3">
        <v>13265</v>
      </c>
      <c r="AC233" s="3">
        <v>13250</v>
      </c>
      <c r="AD233" s="3">
        <v>13230</v>
      </c>
      <c r="AE233" s="3">
        <v>13215</v>
      </c>
      <c r="AF233" s="3">
        <v>13840</v>
      </c>
      <c r="AG233" s="3">
        <v>13840</v>
      </c>
      <c r="AH233" s="3">
        <v>14115</v>
      </c>
      <c r="AI233" s="3">
        <v>14080</v>
      </c>
      <c r="AJ233" s="3">
        <v>13630</v>
      </c>
      <c r="AK233" s="3">
        <v>13635</v>
      </c>
      <c r="AL233" s="3">
        <v>13650</v>
      </c>
      <c r="AM233" s="3">
        <v>13645</v>
      </c>
      <c r="AN233" s="3">
        <v>13440</v>
      </c>
      <c r="AO233" s="3">
        <v>13450</v>
      </c>
      <c r="AP233" s="3">
        <v>13505</v>
      </c>
      <c r="AQ233" s="3">
        <v>13505</v>
      </c>
      <c r="AR233" s="4">
        <f t="shared" si="144"/>
        <v>1.5177797051170838E-2</v>
      </c>
      <c r="AS233" s="4">
        <f t="shared" si="116"/>
        <v>3.0303030303029388E-3</v>
      </c>
      <c r="AT233" s="4">
        <f t="shared" si="117"/>
        <v>2.7288732394366244E-2</v>
      </c>
      <c r="AU233" s="4">
        <f t="shared" si="118"/>
        <v>2.9711375212224111E-2</v>
      </c>
      <c r="AV233" s="4">
        <f t="shared" si="119"/>
        <v>9.4097519247220429E-3</v>
      </c>
      <c r="AW233" s="4">
        <f t="shared" si="120"/>
        <v>1.6020236087689765E-2</v>
      </c>
      <c r="AX233" s="4">
        <f t="shared" si="121"/>
        <v>3.7969459347915846E-2</v>
      </c>
      <c r="AY233" s="4">
        <f t="shared" si="122"/>
        <v>8.215962441314506E-3</v>
      </c>
      <c r="AZ233" s="4">
        <f t="shared" si="123"/>
        <v>3.1885213232363263E-3</v>
      </c>
      <c r="BA233" s="4">
        <f t="shared" si="124"/>
        <v>6.4646464646465063E-3</v>
      </c>
      <c r="BB233" s="4">
        <f t="shared" si="125"/>
        <v>3.3644102148358224E-2</v>
      </c>
      <c r="BC233" s="4">
        <f t="shared" si="126"/>
        <v>1.4246141669964407E-2</v>
      </c>
      <c r="BD233" s="4">
        <f t="shared" si="127"/>
        <v>8.5669781931464462E-3</v>
      </c>
      <c r="BE233" s="4">
        <f t="shared" si="128"/>
        <v>2.1982259930582337E-2</v>
      </c>
      <c r="BF233" s="4">
        <f t="shared" si="129"/>
        <v>9.5492742551566145E-3</v>
      </c>
      <c r="BG233" s="4">
        <f t="shared" si="130"/>
        <v>3.7870266216722959E-2</v>
      </c>
      <c r="BH233" s="4">
        <f t="shared" si="131"/>
        <v>1.2221423436376666E-2</v>
      </c>
      <c r="BI233" s="4">
        <f t="shared" si="132"/>
        <v>1.7297297297297343E-2</v>
      </c>
      <c r="BJ233" s="4">
        <f t="shared" si="133"/>
        <v>5.4664723032069595E-3</v>
      </c>
      <c r="BK233" s="4">
        <f t="shared" si="134"/>
        <v>1.7172086225794692E-2</v>
      </c>
      <c r="BL233" s="4">
        <f t="shared" si="135"/>
        <v>3.7160906726123599E-3</v>
      </c>
      <c r="BM233" s="4">
        <f t="shared" si="145"/>
        <v>1.6703920803837129E-2</v>
      </c>
      <c r="BN233" s="14">
        <f t="shared" si="146"/>
        <v>13679.751254415629</v>
      </c>
      <c r="BO233" s="15">
        <f t="shared" si="147"/>
        <v>13102.420255288871</v>
      </c>
      <c r="BP233" s="16">
        <v>13505</v>
      </c>
      <c r="BQ233" s="16">
        <v>13510</v>
      </c>
      <c r="BR233" s="16">
        <v>13500</v>
      </c>
      <c r="BS233" s="16">
        <v>13505</v>
      </c>
      <c r="BT233" s="16">
        <v>2410</v>
      </c>
      <c r="BU233" s="15">
        <f t="shared" si="136"/>
        <v>13505</v>
      </c>
      <c r="BV233" s="15">
        <f t="shared" si="137"/>
        <v>32547050</v>
      </c>
      <c r="BW233" s="15">
        <f>SUM($BV$3:BV233)</f>
        <v>214019831541.66663</v>
      </c>
      <c r="BX233" s="15">
        <f>SUM($BT$3:BT233)</f>
        <v>15784219</v>
      </c>
      <c r="BY233" s="15">
        <f t="shared" si="138"/>
        <v>13559.101754839225</v>
      </c>
      <c r="BZ233" s="3">
        <v>231</v>
      </c>
      <c r="CA233" s="3">
        <f t="shared" si="139"/>
        <v>0</v>
      </c>
      <c r="CB233" s="3">
        <f t="shared" si="140"/>
        <v>0</v>
      </c>
      <c r="CC233" s="3">
        <f t="shared" si="141"/>
        <v>0</v>
      </c>
      <c r="CD233" s="3" t="str">
        <f t="shared" si="142"/>
        <v/>
      </c>
      <c r="CE233" s="3">
        <f t="shared" si="143"/>
        <v>0</v>
      </c>
    </row>
    <row r="234" spans="1:83" x14ac:dyDescent="0.3">
      <c r="A234" s="3" t="s">
        <v>274</v>
      </c>
      <c r="B234" s="3">
        <v>11710</v>
      </c>
      <c r="C234" s="3">
        <v>11710</v>
      </c>
      <c r="D234" s="3">
        <v>11585</v>
      </c>
      <c r="E234" s="3">
        <v>11575</v>
      </c>
      <c r="F234" s="3">
        <v>11670</v>
      </c>
      <c r="G234" s="3">
        <v>11675</v>
      </c>
      <c r="H234" s="3">
        <v>11425</v>
      </c>
      <c r="I234" s="3">
        <v>11450</v>
      </c>
      <c r="J234" s="3">
        <v>11795</v>
      </c>
      <c r="K234" s="3">
        <v>11795</v>
      </c>
      <c r="L234" s="3">
        <v>12050</v>
      </c>
      <c r="M234" s="3">
        <v>12050</v>
      </c>
      <c r="N234" s="3">
        <v>12575</v>
      </c>
      <c r="O234" s="3">
        <v>12575</v>
      </c>
      <c r="P234" s="3">
        <v>12675</v>
      </c>
      <c r="Q234" s="3">
        <v>12665</v>
      </c>
      <c r="R234" s="3">
        <v>12510</v>
      </c>
      <c r="S234" s="3">
        <v>12505</v>
      </c>
      <c r="T234" s="3">
        <v>12300</v>
      </c>
      <c r="U234" s="3">
        <v>12290</v>
      </c>
      <c r="V234" s="3">
        <v>12750</v>
      </c>
      <c r="W234" s="3">
        <v>12755</v>
      </c>
      <c r="X234" s="3">
        <v>12455</v>
      </c>
      <c r="Y234" s="3">
        <v>12460</v>
      </c>
      <c r="Z234" s="3">
        <v>12730</v>
      </c>
      <c r="AA234" s="3">
        <v>12740</v>
      </c>
      <c r="AB234" s="3">
        <v>13255</v>
      </c>
      <c r="AC234" s="3">
        <v>13250</v>
      </c>
      <c r="AD234" s="3">
        <v>13215</v>
      </c>
      <c r="AE234" s="3">
        <v>13205</v>
      </c>
      <c r="AF234" s="3">
        <v>13840</v>
      </c>
      <c r="AG234" s="3">
        <v>13840</v>
      </c>
      <c r="AH234" s="3">
        <v>14085</v>
      </c>
      <c r="AI234" s="3">
        <v>13990</v>
      </c>
      <c r="AJ234" s="3">
        <v>13635</v>
      </c>
      <c r="AK234" s="3">
        <v>13650</v>
      </c>
      <c r="AL234" s="3">
        <v>13645</v>
      </c>
      <c r="AM234" s="3">
        <v>13645</v>
      </c>
      <c r="AN234" s="3">
        <v>13450</v>
      </c>
      <c r="AO234" s="3">
        <v>13440</v>
      </c>
      <c r="AP234" s="3">
        <v>13505</v>
      </c>
      <c r="AQ234" s="3">
        <v>13495</v>
      </c>
      <c r="AR234" s="4">
        <f t="shared" si="144"/>
        <v>1.5611448395490113E-2</v>
      </c>
      <c r="AS234" s="4">
        <f t="shared" si="116"/>
        <v>2.1645021645022577E-3</v>
      </c>
      <c r="AT234" s="4">
        <f t="shared" si="117"/>
        <v>2.7728873239436513E-2</v>
      </c>
      <c r="AU234" s="4">
        <f t="shared" si="118"/>
        <v>2.8013582342954146E-2</v>
      </c>
      <c r="AV234" s="4">
        <f t="shared" si="119"/>
        <v>8.9820359281436168E-3</v>
      </c>
      <c r="AW234" s="4">
        <f t="shared" si="120"/>
        <v>1.6020236087689765E-2</v>
      </c>
      <c r="AX234" s="4">
        <f t="shared" si="121"/>
        <v>3.7969459347915846E-2</v>
      </c>
      <c r="AY234" s="4">
        <f t="shared" si="122"/>
        <v>8.9984350547730463E-3</v>
      </c>
      <c r="AZ234" s="4">
        <f t="shared" si="123"/>
        <v>3.1885213232363263E-3</v>
      </c>
      <c r="BA234" s="4">
        <f t="shared" si="124"/>
        <v>6.8686868686869129E-3</v>
      </c>
      <c r="BB234" s="4">
        <f t="shared" si="125"/>
        <v>3.4049452776651723E-2</v>
      </c>
      <c r="BC234" s="4">
        <f t="shared" si="126"/>
        <v>1.3850415512465353E-2</v>
      </c>
      <c r="BD234" s="4">
        <f t="shared" si="127"/>
        <v>7.7881619937694158E-3</v>
      </c>
      <c r="BE234" s="4">
        <f t="shared" si="128"/>
        <v>2.1982259930582337E-2</v>
      </c>
      <c r="BF234" s="4">
        <f t="shared" si="129"/>
        <v>8.7853323147439877E-3</v>
      </c>
      <c r="BG234" s="4">
        <f t="shared" si="130"/>
        <v>3.7870266216722959E-2</v>
      </c>
      <c r="BH234" s="4">
        <f t="shared" si="131"/>
        <v>5.7512580877066011E-3</v>
      </c>
      <c r="BI234" s="4">
        <f t="shared" si="132"/>
        <v>1.6216216216216162E-2</v>
      </c>
      <c r="BJ234" s="4">
        <f t="shared" si="133"/>
        <v>5.4664723032069595E-3</v>
      </c>
      <c r="BK234" s="4">
        <f t="shared" si="134"/>
        <v>1.7902813299232712E-2</v>
      </c>
      <c r="BL234" s="4">
        <f t="shared" si="135"/>
        <v>2.9728725380899768E-3</v>
      </c>
      <c r="BM234" s="4">
        <f t="shared" si="145"/>
        <v>1.6191982231850737E-2</v>
      </c>
      <c r="BN234" s="14">
        <f t="shared" si="146"/>
        <v>13672.863120929553</v>
      </c>
      <c r="BO234" s="15">
        <f t="shared" si="147"/>
        <v>13109.24183676059</v>
      </c>
      <c r="BP234" s="16">
        <v>13505</v>
      </c>
      <c r="BQ234" s="16">
        <v>13505</v>
      </c>
      <c r="BR234" s="16">
        <v>13495</v>
      </c>
      <c r="BS234" s="16">
        <v>13495</v>
      </c>
      <c r="BT234" s="16">
        <v>3776</v>
      </c>
      <c r="BU234" s="15">
        <f t="shared" si="136"/>
        <v>13498.333333333334</v>
      </c>
      <c r="BV234" s="15">
        <f t="shared" si="137"/>
        <v>50969706.666666672</v>
      </c>
      <c r="BW234" s="15">
        <f>SUM($BV$3:BV234)</f>
        <v>214070801248.33328</v>
      </c>
      <c r="BX234" s="15">
        <f>SUM($BT$3:BT234)</f>
        <v>15787995</v>
      </c>
      <c r="BY234" s="15">
        <f t="shared" si="138"/>
        <v>13559.087220912679</v>
      </c>
      <c r="BZ234" s="3">
        <v>232</v>
      </c>
      <c r="CA234" s="3">
        <f t="shared" si="139"/>
        <v>0</v>
      </c>
      <c r="CB234" s="3">
        <f t="shared" si="140"/>
        <v>0</v>
      </c>
      <c r="CC234" s="3">
        <f t="shared" si="141"/>
        <v>0</v>
      </c>
      <c r="CD234" s="3" t="str">
        <f t="shared" si="142"/>
        <v/>
      </c>
      <c r="CE234" s="3">
        <f t="shared" si="143"/>
        <v>0</v>
      </c>
    </row>
    <row r="235" spans="1:83" x14ac:dyDescent="0.3">
      <c r="A235" s="3" t="s">
        <v>275</v>
      </c>
      <c r="B235" s="3">
        <v>11710</v>
      </c>
      <c r="C235" s="3">
        <v>11690</v>
      </c>
      <c r="D235" s="3">
        <v>11580</v>
      </c>
      <c r="E235" s="3">
        <v>11580</v>
      </c>
      <c r="F235" s="3">
        <v>11675</v>
      </c>
      <c r="G235" s="3">
        <v>11665</v>
      </c>
      <c r="H235" s="3">
        <v>11450</v>
      </c>
      <c r="I235" s="3">
        <v>11455</v>
      </c>
      <c r="J235" s="3">
        <v>11790</v>
      </c>
      <c r="K235" s="3">
        <v>11800</v>
      </c>
      <c r="L235" s="3">
        <v>12055</v>
      </c>
      <c r="M235" s="3">
        <v>12045</v>
      </c>
      <c r="N235" s="3">
        <v>12575</v>
      </c>
      <c r="O235" s="3">
        <v>12575</v>
      </c>
      <c r="P235" s="3">
        <v>12665</v>
      </c>
      <c r="Q235" s="3">
        <v>12665</v>
      </c>
      <c r="R235" s="3">
        <v>12505</v>
      </c>
      <c r="S235" s="3">
        <v>12480</v>
      </c>
      <c r="T235" s="3">
        <v>12295</v>
      </c>
      <c r="U235" s="3">
        <v>12295</v>
      </c>
      <c r="V235" s="3">
        <v>12760</v>
      </c>
      <c r="W235" s="3">
        <v>12770</v>
      </c>
      <c r="X235" s="3">
        <v>12465</v>
      </c>
      <c r="Y235" s="3">
        <v>12465</v>
      </c>
      <c r="Z235" s="3">
        <v>12735</v>
      </c>
      <c r="AA235" s="3">
        <v>12730</v>
      </c>
      <c r="AB235" s="3">
        <v>13250</v>
      </c>
      <c r="AC235" s="3">
        <v>13255</v>
      </c>
      <c r="AD235" s="3">
        <v>13210</v>
      </c>
      <c r="AE235" s="3">
        <v>13220</v>
      </c>
      <c r="AF235" s="3">
        <v>13840</v>
      </c>
      <c r="AG235" s="3">
        <v>13830</v>
      </c>
      <c r="AH235" s="3">
        <v>13990</v>
      </c>
      <c r="AI235" s="3">
        <v>13995</v>
      </c>
      <c r="AJ235" s="3">
        <v>13655</v>
      </c>
      <c r="AK235" s="3">
        <v>13650</v>
      </c>
      <c r="AL235" s="3">
        <v>13645</v>
      </c>
      <c r="AM235" s="3">
        <v>13635</v>
      </c>
      <c r="AN235" s="3">
        <v>13435</v>
      </c>
      <c r="AO235" s="3">
        <v>13455</v>
      </c>
      <c r="AP235" s="3">
        <v>13495</v>
      </c>
      <c r="AQ235" s="3">
        <v>13500</v>
      </c>
      <c r="AR235" s="4">
        <f t="shared" si="144"/>
        <v>1.3876843018213458E-2</v>
      </c>
      <c r="AS235" s="4">
        <f t="shared" si="116"/>
        <v>2.5974025974024872E-3</v>
      </c>
      <c r="AT235" s="4">
        <f t="shared" si="117"/>
        <v>2.6848591549295753E-2</v>
      </c>
      <c r="AU235" s="4">
        <f t="shared" si="118"/>
        <v>2.7589134125636683E-2</v>
      </c>
      <c r="AV235" s="4">
        <f t="shared" si="119"/>
        <v>9.4097519247220429E-3</v>
      </c>
      <c r="AW235" s="4">
        <f t="shared" si="120"/>
        <v>1.5598650927487245E-2</v>
      </c>
      <c r="AX235" s="4">
        <f t="shared" si="121"/>
        <v>3.7969459347915846E-2</v>
      </c>
      <c r="AY235" s="4">
        <f t="shared" si="122"/>
        <v>8.9984350547730463E-3</v>
      </c>
      <c r="AZ235" s="4">
        <f t="shared" si="123"/>
        <v>5.1813471502590858E-3</v>
      </c>
      <c r="BA235" s="4">
        <f t="shared" si="124"/>
        <v>6.4646464646465063E-3</v>
      </c>
      <c r="BB235" s="4">
        <f t="shared" si="125"/>
        <v>3.5265504661532221E-2</v>
      </c>
      <c r="BC235" s="4">
        <f t="shared" si="126"/>
        <v>1.3454689354966409E-2</v>
      </c>
      <c r="BD235" s="4">
        <f t="shared" si="127"/>
        <v>8.5669781931464462E-3</v>
      </c>
      <c r="BE235" s="4">
        <f t="shared" si="128"/>
        <v>2.2367913613575041E-2</v>
      </c>
      <c r="BF235" s="4">
        <f t="shared" si="129"/>
        <v>9.931245225362817E-3</v>
      </c>
      <c r="BG235" s="4">
        <f t="shared" si="130"/>
        <v>3.7120359955005622E-2</v>
      </c>
      <c r="BH235" s="4">
        <f t="shared" si="131"/>
        <v>6.1107117181884441E-3</v>
      </c>
      <c r="BI235" s="4">
        <f t="shared" si="132"/>
        <v>1.6216216216216162E-2</v>
      </c>
      <c r="BJ235" s="4">
        <f t="shared" si="133"/>
        <v>6.1953352769679171E-3</v>
      </c>
      <c r="BK235" s="4">
        <f t="shared" si="134"/>
        <v>1.6806722689075682E-2</v>
      </c>
      <c r="BL235" s="4">
        <f t="shared" si="135"/>
        <v>3.3444816053511683E-3</v>
      </c>
      <c r="BM235" s="4">
        <f t="shared" si="145"/>
        <v>1.6474968922973659E-2</v>
      </c>
      <c r="BN235" s="14">
        <f t="shared" si="146"/>
        <v>13676.670706858611</v>
      </c>
      <c r="BO235" s="15">
        <f t="shared" si="147"/>
        <v>13105.471039101376</v>
      </c>
      <c r="BP235" s="16">
        <v>13495</v>
      </c>
      <c r="BQ235" s="16">
        <v>13500</v>
      </c>
      <c r="BR235" s="16">
        <v>13490</v>
      </c>
      <c r="BS235" s="16">
        <v>13500</v>
      </c>
      <c r="BT235" s="16">
        <v>4416</v>
      </c>
      <c r="BU235" s="15">
        <f t="shared" si="136"/>
        <v>13496.666666666666</v>
      </c>
      <c r="BV235" s="15">
        <f t="shared" si="137"/>
        <v>59601280</v>
      </c>
      <c r="BW235" s="15">
        <f>SUM($BV$3:BV235)</f>
        <v>214130402528.33328</v>
      </c>
      <c r="BX235" s="15">
        <f>SUM($BT$3:BT235)</f>
        <v>15792411</v>
      </c>
      <c r="BY235" s="15">
        <f t="shared" si="138"/>
        <v>13559.069766379134</v>
      </c>
      <c r="BZ235" s="3">
        <v>233</v>
      </c>
      <c r="CA235" s="3">
        <f t="shared" si="139"/>
        <v>0</v>
      </c>
      <c r="CB235" s="3">
        <f t="shared" si="140"/>
        <v>0</v>
      </c>
      <c r="CC235" s="3">
        <f t="shared" si="141"/>
        <v>0</v>
      </c>
      <c r="CD235" s="3" t="str">
        <f t="shared" si="142"/>
        <v/>
      </c>
      <c r="CE235" s="3">
        <f t="shared" si="143"/>
        <v>0</v>
      </c>
    </row>
    <row r="236" spans="1:83" x14ac:dyDescent="0.3">
      <c r="A236" s="3" t="s">
        <v>276</v>
      </c>
      <c r="B236" s="3">
        <v>11695</v>
      </c>
      <c r="C236" s="3">
        <v>11690</v>
      </c>
      <c r="D236" s="3">
        <v>11580</v>
      </c>
      <c r="E236" s="3">
        <v>11595</v>
      </c>
      <c r="F236" s="3">
        <v>11670</v>
      </c>
      <c r="G236" s="3">
        <v>11670</v>
      </c>
      <c r="H236" s="3">
        <v>11460</v>
      </c>
      <c r="I236" s="3">
        <v>11460</v>
      </c>
      <c r="J236" s="3">
        <v>11800</v>
      </c>
      <c r="K236" s="3">
        <v>11795</v>
      </c>
      <c r="L236" s="3">
        <v>12045</v>
      </c>
      <c r="M236" s="3">
        <v>12040</v>
      </c>
      <c r="N236" s="3">
        <v>12575</v>
      </c>
      <c r="O236" s="3">
        <v>12575</v>
      </c>
      <c r="P236" s="3">
        <v>12675</v>
      </c>
      <c r="Q236" s="3">
        <v>12675</v>
      </c>
      <c r="R236" s="3">
        <v>12480</v>
      </c>
      <c r="S236" s="3">
        <v>12475</v>
      </c>
      <c r="T236" s="3">
        <v>12295</v>
      </c>
      <c r="U236" s="3">
        <v>12290</v>
      </c>
      <c r="V236" s="3">
        <v>12770</v>
      </c>
      <c r="W236" s="3">
        <v>12765</v>
      </c>
      <c r="X236" s="3">
        <v>12465</v>
      </c>
      <c r="Y236" s="3">
        <v>12455</v>
      </c>
      <c r="Z236" s="3">
        <v>12725</v>
      </c>
      <c r="AA236" s="3">
        <v>12720</v>
      </c>
      <c r="AB236" s="3">
        <v>13255</v>
      </c>
      <c r="AC236" s="3">
        <v>13255</v>
      </c>
      <c r="AD236" s="3">
        <v>13220</v>
      </c>
      <c r="AE236" s="3">
        <v>13225</v>
      </c>
      <c r="AF236" s="3">
        <v>13835</v>
      </c>
      <c r="AG236" s="3">
        <v>13830</v>
      </c>
      <c r="AH236" s="3">
        <v>14000</v>
      </c>
      <c r="AI236" s="3">
        <v>13900</v>
      </c>
      <c r="AJ236" s="3">
        <v>13645</v>
      </c>
      <c r="AK236" s="3">
        <v>13660</v>
      </c>
      <c r="AL236" s="3">
        <v>13635</v>
      </c>
      <c r="AM236" s="3">
        <v>13640</v>
      </c>
      <c r="AN236" s="3">
        <v>13455</v>
      </c>
      <c r="AO236" s="3">
        <v>13450</v>
      </c>
      <c r="AP236" s="3">
        <v>13500</v>
      </c>
      <c r="AQ236" s="3">
        <v>13485</v>
      </c>
      <c r="AR236" s="4">
        <f t="shared" si="144"/>
        <v>1.3876843018213458E-2</v>
      </c>
      <c r="AS236" s="4">
        <f t="shared" si="116"/>
        <v>3.8961038961038419E-3</v>
      </c>
      <c r="AT236" s="4">
        <f t="shared" si="117"/>
        <v>2.7288732394366244E-2</v>
      </c>
      <c r="AU236" s="4">
        <f t="shared" si="118"/>
        <v>2.7164685908319219E-2</v>
      </c>
      <c r="AV236" s="4">
        <f t="shared" si="119"/>
        <v>8.9820359281436168E-3</v>
      </c>
      <c r="AW236" s="4">
        <f t="shared" si="120"/>
        <v>1.5177065767284947E-2</v>
      </c>
      <c r="AX236" s="4">
        <f t="shared" si="121"/>
        <v>3.7969459347915846E-2</v>
      </c>
      <c r="AY236" s="4">
        <f t="shared" si="122"/>
        <v>8.215962441314506E-3</v>
      </c>
      <c r="AZ236" s="4">
        <f t="shared" si="123"/>
        <v>5.579912315663571E-3</v>
      </c>
      <c r="BA236" s="4">
        <f t="shared" si="124"/>
        <v>6.8686868686869129E-3</v>
      </c>
      <c r="BB236" s="4">
        <f t="shared" si="125"/>
        <v>3.4860154033238722E-2</v>
      </c>
      <c r="BC236" s="4">
        <f t="shared" si="126"/>
        <v>1.4246141669964407E-2</v>
      </c>
      <c r="BD236" s="4">
        <f t="shared" si="127"/>
        <v>9.3457943925233655E-3</v>
      </c>
      <c r="BE236" s="4">
        <f t="shared" si="128"/>
        <v>2.2367913613575041E-2</v>
      </c>
      <c r="BF236" s="4">
        <f t="shared" si="129"/>
        <v>1.0313216195569241E-2</v>
      </c>
      <c r="BG236" s="4">
        <f t="shared" si="130"/>
        <v>3.7120359955005622E-2</v>
      </c>
      <c r="BH236" s="4">
        <f t="shared" si="131"/>
        <v>7.1890726096335289E-4</v>
      </c>
      <c r="BI236" s="4">
        <f t="shared" si="132"/>
        <v>1.5495495495495448E-2</v>
      </c>
      <c r="BJ236" s="4">
        <f t="shared" si="133"/>
        <v>5.8309037900874383E-3</v>
      </c>
      <c r="BK236" s="4">
        <f t="shared" si="134"/>
        <v>1.7172086225794692E-2</v>
      </c>
      <c r="BL236" s="4">
        <f t="shared" si="135"/>
        <v>2.2296544035673715E-3</v>
      </c>
      <c r="BM236" s="4">
        <f t="shared" si="145"/>
        <v>1.615035668612844E-2</v>
      </c>
      <c r="BN236" s="14">
        <f t="shared" si="146"/>
        <v>13672.30304921186</v>
      </c>
      <c r="BO236" s="15">
        <f t="shared" si="147"/>
        <v>13109.796497157338</v>
      </c>
      <c r="BP236" s="16">
        <v>13500</v>
      </c>
      <c r="BQ236" s="16">
        <v>13500</v>
      </c>
      <c r="BR236" s="16">
        <v>13485</v>
      </c>
      <c r="BS236" s="16">
        <v>13485</v>
      </c>
      <c r="BT236" s="16">
        <v>15487</v>
      </c>
      <c r="BU236" s="15">
        <f t="shared" si="136"/>
        <v>13490</v>
      </c>
      <c r="BV236" s="15">
        <f t="shared" si="137"/>
        <v>208919630</v>
      </c>
      <c r="BW236" s="15">
        <f>SUM($BV$3:BV236)</f>
        <v>214339322158.33328</v>
      </c>
      <c r="BX236" s="15">
        <f>SUM($BT$3:BT236)</f>
        <v>15807898</v>
      </c>
      <c r="BY236" s="15">
        <f t="shared" si="138"/>
        <v>13559.002098718836</v>
      </c>
      <c r="BZ236" s="3">
        <v>234</v>
      </c>
      <c r="CA236" s="3">
        <f t="shared" si="139"/>
        <v>0</v>
      </c>
      <c r="CB236" s="3">
        <f t="shared" si="140"/>
        <v>0</v>
      </c>
      <c r="CC236" s="3">
        <f t="shared" si="141"/>
        <v>0</v>
      </c>
      <c r="CD236" s="3" t="str">
        <f t="shared" si="142"/>
        <v/>
      </c>
      <c r="CE236" s="3">
        <f t="shared" si="143"/>
        <v>0</v>
      </c>
    </row>
    <row r="237" spans="1:83" x14ac:dyDescent="0.3">
      <c r="A237" s="3" t="s">
        <v>277</v>
      </c>
      <c r="B237" s="3">
        <v>11690</v>
      </c>
      <c r="C237" s="3">
        <v>11670</v>
      </c>
      <c r="D237" s="3">
        <v>11595</v>
      </c>
      <c r="E237" s="3">
        <v>11605</v>
      </c>
      <c r="F237" s="3">
        <v>11675</v>
      </c>
      <c r="G237" s="3">
        <v>11675</v>
      </c>
      <c r="H237" s="3">
        <v>11460</v>
      </c>
      <c r="I237" s="3">
        <v>11470</v>
      </c>
      <c r="J237" s="3">
        <v>11795</v>
      </c>
      <c r="K237" s="3">
        <v>11800</v>
      </c>
      <c r="L237" s="3">
        <v>12040</v>
      </c>
      <c r="M237" s="3">
        <v>12035</v>
      </c>
      <c r="N237" s="3">
        <v>12575</v>
      </c>
      <c r="O237" s="3">
        <v>12575</v>
      </c>
      <c r="P237" s="3">
        <v>12675</v>
      </c>
      <c r="Q237" s="3">
        <v>12690</v>
      </c>
      <c r="R237" s="3">
        <v>12480</v>
      </c>
      <c r="S237" s="3">
        <v>12490</v>
      </c>
      <c r="T237" s="3">
        <v>12290</v>
      </c>
      <c r="U237" s="3">
        <v>12290</v>
      </c>
      <c r="V237" s="3">
        <v>12765</v>
      </c>
      <c r="W237" s="3">
        <v>12760</v>
      </c>
      <c r="X237" s="3">
        <v>12450</v>
      </c>
      <c r="Y237" s="3">
        <v>12450</v>
      </c>
      <c r="Z237" s="3">
        <v>12715</v>
      </c>
      <c r="AA237" s="3">
        <v>12715</v>
      </c>
      <c r="AB237" s="3">
        <v>13255</v>
      </c>
      <c r="AC237" s="3">
        <v>13255</v>
      </c>
      <c r="AD237" s="3">
        <v>13230</v>
      </c>
      <c r="AE237" s="3">
        <v>13230</v>
      </c>
      <c r="AF237" s="3">
        <v>13830</v>
      </c>
      <c r="AG237" s="3">
        <v>13820</v>
      </c>
      <c r="AH237" s="3">
        <v>13900</v>
      </c>
      <c r="AI237" s="3">
        <v>13925</v>
      </c>
      <c r="AJ237" s="3">
        <v>13660</v>
      </c>
      <c r="AK237" s="3">
        <v>13645</v>
      </c>
      <c r="AL237" s="3">
        <v>13635</v>
      </c>
      <c r="AM237" s="3">
        <v>13640</v>
      </c>
      <c r="AN237" s="3">
        <v>13455</v>
      </c>
      <c r="AO237" s="3">
        <v>13460</v>
      </c>
      <c r="AP237" s="3">
        <v>13485</v>
      </c>
      <c r="AQ237" s="3">
        <v>13480</v>
      </c>
      <c r="AR237" s="4">
        <f t="shared" si="144"/>
        <v>1.2142237640936582E-2</v>
      </c>
      <c r="AS237" s="4">
        <f t="shared" si="116"/>
        <v>4.761904761904745E-3</v>
      </c>
      <c r="AT237" s="4">
        <f t="shared" si="117"/>
        <v>2.7728873239436513E-2</v>
      </c>
      <c r="AU237" s="4">
        <f t="shared" si="118"/>
        <v>2.6315789473684181E-2</v>
      </c>
      <c r="AV237" s="4">
        <f t="shared" si="119"/>
        <v>9.4097519247220429E-3</v>
      </c>
      <c r="AW237" s="4">
        <f t="shared" si="120"/>
        <v>1.4755480607082649E-2</v>
      </c>
      <c r="AX237" s="4">
        <f t="shared" si="121"/>
        <v>3.7969459347915846E-2</v>
      </c>
      <c r="AY237" s="4">
        <f t="shared" si="122"/>
        <v>7.0422535211267512E-3</v>
      </c>
      <c r="AZ237" s="4">
        <f t="shared" si="123"/>
        <v>4.3842168194500042E-3</v>
      </c>
      <c r="BA237" s="4">
        <f t="shared" si="124"/>
        <v>6.8686868686869129E-3</v>
      </c>
      <c r="BB237" s="4">
        <f t="shared" si="125"/>
        <v>3.4454803404945222E-2</v>
      </c>
      <c r="BC237" s="4">
        <f t="shared" si="126"/>
        <v>1.4641867827463351E-2</v>
      </c>
      <c r="BD237" s="4">
        <f t="shared" si="127"/>
        <v>9.7352024922118252E-3</v>
      </c>
      <c r="BE237" s="4">
        <f t="shared" si="128"/>
        <v>2.2367913613575041E-2</v>
      </c>
      <c r="BF237" s="4">
        <f t="shared" si="129"/>
        <v>1.0695187165775444E-2</v>
      </c>
      <c r="BG237" s="4">
        <f t="shared" si="130"/>
        <v>3.6370453693288285E-2</v>
      </c>
      <c r="BH237" s="4">
        <f t="shared" si="131"/>
        <v>1.0783608914450848E-3</v>
      </c>
      <c r="BI237" s="4">
        <f t="shared" si="132"/>
        <v>1.6576576576576629E-2</v>
      </c>
      <c r="BJ237" s="4">
        <f t="shared" si="133"/>
        <v>5.8309037900874383E-3</v>
      </c>
      <c r="BK237" s="4">
        <f t="shared" si="134"/>
        <v>1.6441359152356561E-2</v>
      </c>
      <c r="BL237" s="4">
        <f t="shared" si="135"/>
        <v>1.85804533630618E-3</v>
      </c>
      <c r="BM237" s="4">
        <f t="shared" si="145"/>
        <v>1.6032660368921741E-2</v>
      </c>
      <c r="BN237" s="14">
        <f t="shared" si="146"/>
        <v>13670.719445263843</v>
      </c>
      <c r="BO237" s="15">
        <f t="shared" si="147"/>
        <v>13111.364800584119</v>
      </c>
      <c r="BP237" s="16">
        <v>13485</v>
      </c>
      <c r="BQ237" s="16">
        <v>13485</v>
      </c>
      <c r="BR237" s="16">
        <v>13480</v>
      </c>
      <c r="BS237" s="16">
        <v>13480</v>
      </c>
      <c r="BT237" s="16">
        <v>2631</v>
      </c>
      <c r="BU237" s="15">
        <f t="shared" si="136"/>
        <v>13481.666666666666</v>
      </c>
      <c r="BV237" s="15">
        <f t="shared" si="137"/>
        <v>35470265</v>
      </c>
      <c r="BW237" s="15">
        <f>SUM($BV$3:BV237)</f>
        <v>214374792423.33328</v>
      </c>
      <c r="BX237" s="15">
        <f>SUM($BT$3:BT237)</f>
        <v>15810529</v>
      </c>
      <c r="BY237" s="15">
        <f t="shared" si="138"/>
        <v>13558.989229476969</v>
      </c>
      <c r="BZ237" s="3">
        <v>235</v>
      </c>
      <c r="CA237" s="3">
        <f t="shared" si="139"/>
        <v>0</v>
      </c>
      <c r="CB237" s="3">
        <f t="shared" si="140"/>
        <v>0</v>
      </c>
      <c r="CC237" s="3">
        <f t="shared" si="141"/>
        <v>0</v>
      </c>
      <c r="CD237" s="3" t="str">
        <f t="shared" si="142"/>
        <v/>
      </c>
      <c r="CE237" s="3">
        <f t="shared" si="143"/>
        <v>0</v>
      </c>
    </row>
    <row r="238" spans="1:83" x14ac:dyDescent="0.3">
      <c r="A238" s="3" t="s">
        <v>278</v>
      </c>
      <c r="B238" s="3">
        <v>11670</v>
      </c>
      <c r="C238" s="3">
        <v>11665</v>
      </c>
      <c r="D238" s="3">
        <v>11610</v>
      </c>
      <c r="E238" s="3">
        <v>11605</v>
      </c>
      <c r="F238" s="3">
        <v>11675</v>
      </c>
      <c r="G238" s="3">
        <v>11675</v>
      </c>
      <c r="H238" s="3">
        <v>11465</v>
      </c>
      <c r="I238" s="3">
        <v>11465</v>
      </c>
      <c r="J238" s="3">
        <v>11800</v>
      </c>
      <c r="K238" s="3">
        <v>11805</v>
      </c>
      <c r="L238" s="3">
        <v>12040</v>
      </c>
      <c r="M238" s="3">
        <v>12030</v>
      </c>
      <c r="N238" s="3">
        <v>12575</v>
      </c>
      <c r="O238" s="3">
        <v>12560</v>
      </c>
      <c r="P238" s="3">
        <v>12695</v>
      </c>
      <c r="Q238" s="3">
        <v>12685</v>
      </c>
      <c r="R238" s="3">
        <v>12490</v>
      </c>
      <c r="S238" s="3">
        <v>12480</v>
      </c>
      <c r="T238" s="3">
        <v>12290</v>
      </c>
      <c r="U238" s="3">
        <v>12290</v>
      </c>
      <c r="V238" s="3">
        <v>12755</v>
      </c>
      <c r="W238" s="3">
        <v>12765</v>
      </c>
      <c r="X238" s="3">
        <v>12450</v>
      </c>
      <c r="Y238" s="3">
        <v>12465</v>
      </c>
      <c r="Z238" s="3">
        <v>12720</v>
      </c>
      <c r="AA238" s="3">
        <v>12720</v>
      </c>
      <c r="AB238" s="3">
        <v>13255</v>
      </c>
      <c r="AC238" s="3">
        <v>13255</v>
      </c>
      <c r="AD238" s="3">
        <v>13230</v>
      </c>
      <c r="AE238" s="3">
        <v>13235</v>
      </c>
      <c r="AF238" s="3">
        <v>13825</v>
      </c>
      <c r="AG238" s="3">
        <v>13840</v>
      </c>
      <c r="AH238" s="3">
        <v>13930</v>
      </c>
      <c r="AI238" s="3">
        <v>13970</v>
      </c>
      <c r="AJ238" s="3">
        <v>13655</v>
      </c>
      <c r="AK238" s="3">
        <v>13645</v>
      </c>
      <c r="AL238" s="3">
        <v>13645</v>
      </c>
      <c r="AM238" s="3">
        <v>13625</v>
      </c>
      <c r="AN238" s="3">
        <v>13455</v>
      </c>
      <c r="AO238" s="3">
        <v>13465</v>
      </c>
      <c r="AP238" s="3">
        <v>13485</v>
      </c>
      <c r="AQ238" s="3">
        <v>13485</v>
      </c>
      <c r="AR238" s="4">
        <f t="shared" si="144"/>
        <v>1.1708586296617529E-2</v>
      </c>
      <c r="AS238" s="4">
        <f t="shared" si="116"/>
        <v>4.761904761904745E-3</v>
      </c>
      <c r="AT238" s="4">
        <f t="shared" si="117"/>
        <v>2.7728873239436513E-2</v>
      </c>
      <c r="AU238" s="4">
        <f t="shared" si="118"/>
        <v>2.6740237691001645E-2</v>
      </c>
      <c r="AV238" s="4">
        <f t="shared" si="119"/>
        <v>9.8374679213002469E-3</v>
      </c>
      <c r="AW238" s="4">
        <f t="shared" si="120"/>
        <v>1.4333895446880351E-2</v>
      </c>
      <c r="AX238" s="4">
        <f t="shared" si="121"/>
        <v>3.6731324803962018E-2</v>
      </c>
      <c r="AY238" s="4">
        <f t="shared" si="122"/>
        <v>7.4334898278560768E-3</v>
      </c>
      <c r="AZ238" s="4">
        <f t="shared" si="123"/>
        <v>5.1813471502590858E-3</v>
      </c>
      <c r="BA238" s="4">
        <f t="shared" si="124"/>
        <v>6.8686868686869129E-3</v>
      </c>
      <c r="BB238" s="4">
        <f t="shared" si="125"/>
        <v>3.4860154033238722E-2</v>
      </c>
      <c r="BC238" s="4">
        <f t="shared" si="126"/>
        <v>1.3454689354966409E-2</v>
      </c>
      <c r="BD238" s="4">
        <f t="shared" si="127"/>
        <v>9.3457943925233655E-3</v>
      </c>
      <c r="BE238" s="4">
        <f t="shared" si="128"/>
        <v>2.2367913613575041E-2</v>
      </c>
      <c r="BF238" s="4">
        <f t="shared" si="129"/>
        <v>1.1077158135981646E-2</v>
      </c>
      <c r="BG238" s="4">
        <f t="shared" si="130"/>
        <v>3.7870266216722959E-2</v>
      </c>
      <c r="BH238" s="4">
        <f t="shared" si="131"/>
        <v>4.3134435657801173E-3</v>
      </c>
      <c r="BI238" s="4">
        <f t="shared" si="132"/>
        <v>1.6576576576576629E-2</v>
      </c>
      <c r="BJ238" s="4">
        <f t="shared" si="133"/>
        <v>6.9241982507288746E-3</v>
      </c>
      <c r="BK238" s="4">
        <f t="shared" si="134"/>
        <v>1.6075995615637551E-2</v>
      </c>
      <c r="BL238" s="4">
        <f t="shared" si="135"/>
        <v>2.2296544035673715E-3</v>
      </c>
      <c r="BM238" s="4">
        <f t="shared" si="145"/>
        <v>1.6362931314749671E-2</v>
      </c>
      <c r="BN238" s="14">
        <f t="shared" si="146"/>
        <v>13675.163240839958</v>
      </c>
      <c r="BO238" s="15">
        <f t="shared" si="147"/>
        <v>13106.96394023096</v>
      </c>
      <c r="BP238" s="16">
        <v>13485</v>
      </c>
      <c r="BQ238" s="16">
        <v>13490</v>
      </c>
      <c r="BR238" s="16">
        <v>13475</v>
      </c>
      <c r="BS238" s="16">
        <v>13485</v>
      </c>
      <c r="BT238" s="16">
        <v>7740</v>
      </c>
      <c r="BU238" s="15">
        <f t="shared" si="136"/>
        <v>13483.333333333334</v>
      </c>
      <c r="BV238" s="15">
        <f t="shared" si="137"/>
        <v>104361000</v>
      </c>
      <c r="BW238" s="15">
        <f>SUM($BV$3:BV238)</f>
        <v>214479153423.33328</v>
      </c>
      <c r="BX238" s="15">
        <f>SUM($BT$3:BT238)</f>
        <v>15818269</v>
      </c>
      <c r="BY238" s="15">
        <f t="shared" si="138"/>
        <v>13558.952210468369</v>
      </c>
      <c r="BZ238" s="3">
        <v>236</v>
      </c>
      <c r="CA238" s="3">
        <f t="shared" si="139"/>
        <v>0</v>
      </c>
      <c r="CB238" s="3">
        <f t="shared" si="140"/>
        <v>0</v>
      </c>
      <c r="CC238" s="3">
        <f t="shared" si="141"/>
        <v>0</v>
      </c>
      <c r="CD238" s="3" t="str">
        <f t="shared" si="142"/>
        <v/>
      </c>
      <c r="CE238" s="3">
        <f t="shared" si="143"/>
        <v>0</v>
      </c>
    </row>
    <row r="239" spans="1:83" x14ac:dyDescent="0.3">
      <c r="A239" s="3" t="s">
        <v>279</v>
      </c>
      <c r="B239" s="3">
        <v>11665</v>
      </c>
      <c r="C239" s="3">
        <v>11675</v>
      </c>
      <c r="D239" s="3">
        <v>11610</v>
      </c>
      <c r="E239" s="3">
        <v>11595</v>
      </c>
      <c r="F239" s="3">
        <v>11675</v>
      </c>
      <c r="G239" s="3">
        <v>11675</v>
      </c>
      <c r="H239" s="3">
        <v>11470</v>
      </c>
      <c r="I239" s="3">
        <v>11465</v>
      </c>
      <c r="J239" s="3">
        <v>11810</v>
      </c>
      <c r="K239" s="3">
        <v>11815</v>
      </c>
      <c r="L239" s="3">
        <v>12030</v>
      </c>
      <c r="M239" s="3">
        <v>12040</v>
      </c>
      <c r="N239" s="3">
        <v>12560</v>
      </c>
      <c r="O239" s="3">
        <v>12560</v>
      </c>
      <c r="P239" s="3">
        <v>12685</v>
      </c>
      <c r="Q239" s="3">
        <v>12700</v>
      </c>
      <c r="R239" s="3">
        <v>12480</v>
      </c>
      <c r="S239" s="3">
        <v>12490</v>
      </c>
      <c r="T239" s="3">
        <v>12290</v>
      </c>
      <c r="U239" s="3">
        <v>12290</v>
      </c>
      <c r="V239" s="3">
        <v>12765</v>
      </c>
      <c r="W239" s="3">
        <v>12745</v>
      </c>
      <c r="X239" s="3">
        <v>12460</v>
      </c>
      <c r="Y239" s="3">
        <v>12460</v>
      </c>
      <c r="Z239" s="3">
        <v>12720</v>
      </c>
      <c r="AA239" s="3">
        <v>12730</v>
      </c>
      <c r="AB239" s="3">
        <v>13255</v>
      </c>
      <c r="AC239" s="3">
        <v>13255</v>
      </c>
      <c r="AD239" s="3">
        <v>13235</v>
      </c>
      <c r="AE239" s="3">
        <v>13235</v>
      </c>
      <c r="AF239" s="3">
        <v>13840</v>
      </c>
      <c r="AG239" s="3">
        <v>13855</v>
      </c>
      <c r="AH239" s="3">
        <v>13975</v>
      </c>
      <c r="AI239" s="3">
        <v>13920</v>
      </c>
      <c r="AJ239" s="3">
        <v>13650</v>
      </c>
      <c r="AK239" s="3">
        <v>13630</v>
      </c>
      <c r="AL239" s="3">
        <v>13625</v>
      </c>
      <c r="AM239" s="3">
        <v>13625</v>
      </c>
      <c r="AN239" s="3">
        <v>13465</v>
      </c>
      <c r="AO239" s="3">
        <v>13465</v>
      </c>
      <c r="AP239" s="3">
        <v>13485</v>
      </c>
      <c r="AQ239" s="3">
        <v>13475</v>
      </c>
      <c r="AR239" s="4">
        <f t="shared" si="144"/>
        <v>1.2575888985255856E-2</v>
      </c>
      <c r="AS239" s="4">
        <f t="shared" si="116"/>
        <v>3.8961038961038419E-3</v>
      </c>
      <c r="AT239" s="4">
        <f t="shared" si="117"/>
        <v>2.7728873239436513E-2</v>
      </c>
      <c r="AU239" s="4">
        <f t="shared" si="118"/>
        <v>2.6740237691001645E-2</v>
      </c>
      <c r="AV239" s="4">
        <f t="shared" si="119"/>
        <v>1.0692899914456877E-2</v>
      </c>
      <c r="AW239" s="4">
        <f t="shared" si="120"/>
        <v>1.5177065767284947E-2</v>
      </c>
      <c r="AX239" s="4">
        <f t="shared" si="121"/>
        <v>3.6731324803962018E-2</v>
      </c>
      <c r="AY239" s="4">
        <f t="shared" si="122"/>
        <v>6.2597809076682109E-3</v>
      </c>
      <c r="AZ239" s="4">
        <f t="shared" si="123"/>
        <v>4.3842168194500042E-3</v>
      </c>
      <c r="BA239" s="4">
        <f t="shared" si="124"/>
        <v>6.8686868686869129E-3</v>
      </c>
      <c r="BB239" s="4">
        <f t="shared" si="125"/>
        <v>3.3238751520064946E-2</v>
      </c>
      <c r="BC239" s="4">
        <f t="shared" si="126"/>
        <v>1.3850415512465353E-2</v>
      </c>
      <c r="BD239" s="4">
        <f t="shared" si="127"/>
        <v>8.5669781931464462E-3</v>
      </c>
      <c r="BE239" s="4">
        <f t="shared" si="128"/>
        <v>2.2367913613575041E-2</v>
      </c>
      <c r="BF239" s="4">
        <f t="shared" si="129"/>
        <v>1.1077158135981646E-2</v>
      </c>
      <c r="BG239" s="4">
        <f t="shared" si="130"/>
        <v>3.8995125609298853E-2</v>
      </c>
      <c r="BH239" s="4">
        <f t="shared" si="131"/>
        <v>7.1890726096324187E-4</v>
      </c>
      <c r="BI239" s="4">
        <f t="shared" si="132"/>
        <v>1.7657657657657699E-2</v>
      </c>
      <c r="BJ239" s="4">
        <f t="shared" si="133"/>
        <v>6.9241982507288746E-3</v>
      </c>
      <c r="BK239" s="4">
        <f t="shared" si="134"/>
        <v>1.6075995615637551E-2</v>
      </c>
      <c r="BL239" s="4">
        <f t="shared" si="135"/>
        <v>1.4864362690449884E-3</v>
      </c>
      <c r="BM239" s="4">
        <f t="shared" si="145"/>
        <v>1.5979793626377629E-2</v>
      </c>
      <c r="BN239" s="14">
        <f t="shared" si="146"/>
        <v>13670.008123242911</v>
      </c>
      <c r="BO239" s="15">
        <f t="shared" si="147"/>
        <v>13112.06924992852</v>
      </c>
      <c r="BP239" s="16">
        <v>13485</v>
      </c>
      <c r="BQ239" s="16">
        <v>13485</v>
      </c>
      <c r="BR239" s="16">
        <v>13475</v>
      </c>
      <c r="BS239" s="16">
        <v>13475</v>
      </c>
      <c r="BT239" s="16">
        <v>8130</v>
      </c>
      <c r="BU239" s="15">
        <f t="shared" si="136"/>
        <v>13478.333333333334</v>
      </c>
      <c r="BV239" s="15">
        <f t="shared" si="137"/>
        <v>109578850</v>
      </c>
      <c r="BW239" s="15">
        <f>SUM($BV$3:BV239)</f>
        <v>214588732273.33328</v>
      </c>
      <c r="BX239" s="15">
        <f>SUM($BT$3:BT239)</f>
        <v>15826399</v>
      </c>
      <c r="BY239" s="15">
        <f t="shared" si="138"/>
        <v>13558.910796659005</v>
      </c>
      <c r="BZ239" s="3">
        <v>237</v>
      </c>
      <c r="CA239" s="3">
        <f t="shared" si="139"/>
        <v>0</v>
      </c>
      <c r="CB239" s="3">
        <f t="shared" si="140"/>
        <v>0</v>
      </c>
      <c r="CC239" s="3">
        <f t="shared" si="141"/>
        <v>0</v>
      </c>
      <c r="CD239" s="3" t="str">
        <f t="shared" si="142"/>
        <v/>
      </c>
      <c r="CE239" s="3">
        <f t="shared" si="143"/>
        <v>0</v>
      </c>
    </row>
    <row r="240" spans="1:83" x14ac:dyDescent="0.3">
      <c r="A240" s="3" t="s">
        <v>280</v>
      </c>
      <c r="B240" s="3">
        <v>11675</v>
      </c>
      <c r="C240" s="3">
        <v>11645</v>
      </c>
      <c r="D240" s="3">
        <v>11600</v>
      </c>
      <c r="E240" s="3">
        <v>11620</v>
      </c>
      <c r="F240" s="3">
        <v>11675</v>
      </c>
      <c r="G240" s="3">
        <v>11675</v>
      </c>
      <c r="H240" s="3">
        <v>11470</v>
      </c>
      <c r="I240" s="3">
        <v>11455</v>
      </c>
      <c r="J240" s="3">
        <v>11815</v>
      </c>
      <c r="K240" s="3">
        <v>11805</v>
      </c>
      <c r="L240" s="3">
        <v>12035</v>
      </c>
      <c r="M240" s="3">
        <v>12025</v>
      </c>
      <c r="N240" s="3">
        <v>12560</v>
      </c>
      <c r="O240" s="3">
        <v>12570</v>
      </c>
      <c r="P240" s="3">
        <v>12695</v>
      </c>
      <c r="Q240" s="3">
        <v>12705</v>
      </c>
      <c r="R240" s="3">
        <v>12490</v>
      </c>
      <c r="S240" s="3">
        <v>12490</v>
      </c>
      <c r="T240" s="3">
        <v>12285</v>
      </c>
      <c r="U240" s="3">
        <v>12280</v>
      </c>
      <c r="V240" s="3">
        <v>12745</v>
      </c>
      <c r="W240" s="3">
        <v>12750</v>
      </c>
      <c r="X240" s="3">
        <v>12455</v>
      </c>
      <c r="Y240" s="3">
        <v>12450</v>
      </c>
      <c r="Z240" s="3">
        <v>12730</v>
      </c>
      <c r="AA240" s="3">
        <v>12725</v>
      </c>
      <c r="AB240" s="3">
        <v>13255</v>
      </c>
      <c r="AC240" s="3">
        <v>13260</v>
      </c>
      <c r="AD240" s="3">
        <v>13230</v>
      </c>
      <c r="AE240" s="3">
        <v>13240</v>
      </c>
      <c r="AF240" s="3">
        <v>13855</v>
      </c>
      <c r="AG240" s="3">
        <v>13855</v>
      </c>
      <c r="AH240" s="3">
        <v>13915</v>
      </c>
      <c r="AI240" s="3">
        <v>13895</v>
      </c>
      <c r="AJ240" s="3">
        <v>13635</v>
      </c>
      <c r="AK240" s="3">
        <v>13645</v>
      </c>
      <c r="AL240" s="3">
        <v>13630</v>
      </c>
      <c r="AM240" s="3">
        <v>13660</v>
      </c>
      <c r="AN240" s="3">
        <v>13465</v>
      </c>
      <c r="AO240" s="3">
        <v>13470</v>
      </c>
      <c r="AP240" s="3">
        <v>13475</v>
      </c>
      <c r="AQ240" s="3">
        <v>13475</v>
      </c>
      <c r="AR240" s="4">
        <f t="shared" si="144"/>
        <v>9.9739809193408746E-3</v>
      </c>
      <c r="AS240" s="4">
        <f t="shared" si="116"/>
        <v>6.0606060606060996E-3</v>
      </c>
      <c r="AT240" s="4">
        <f t="shared" si="117"/>
        <v>2.7728873239436513E-2</v>
      </c>
      <c r="AU240" s="4">
        <f t="shared" si="118"/>
        <v>2.7589134125636683E-2</v>
      </c>
      <c r="AV240" s="4">
        <f t="shared" si="119"/>
        <v>9.8374679213002469E-3</v>
      </c>
      <c r="AW240" s="4">
        <f t="shared" si="120"/>
        <v>1.3912310286677831E-2</v>
      </c>
      <c r="AX240" s="4">
        <f t="shared" si="121"/>
        <v>3.755674783326457E-2</v>
      </c>
      <c r="AY240" s="4">
        <f t="shared" si="122"/>
        <v>5.8685446009389963E-3</v>
      </c>
      <c r="AZ240" s="4">
        <f t="shared" si="123"/>
        <v>4.3842168194500042E-3</v>
      </c>
      <c r="BA240" s="4">
        <f t="shared" si="124"/>
        <v>7.6767676767677262E-3</v>
      </c>
      <c r="BB240" s="4">
        <f t="shared" si="125"/>
        <v>3.3644102148358224E-2</v>
      </c>
      <c r="BC240" s="4">
        <f t="shared" si="126"/>
        <v>1.4641867827463351E-2</v>
      </c>
      <c r="BD240" s="4">
        <f t="shared" si="127"/>
        <v>8.9563862928349058E-3</v>
      </c>
      <c r="BE240" s="4">
        <f t="shared" si="128"/>
        <v>2.2753567296567745E-2</v>
      </c>
      <c r="BF240" s="4">
        <f t="shared" si="129"/>
        <v>1.1459129106187849E-2</v>
      </c>
      <c r="BG240" s="4">
        <f t="shared" si="130"/>
        <v>3.8995125609298853E-2</v>
      </c>
      <c r="BH240" s="4">
        <f t="shared" si="131"/>
        <v>1.0783608914449738E-3</v>
      </c>
      <c r="BI240" s="4">
        <f t="shared" si="132"/>
        <v>1.6576576576576629E-2</v>
      </c>
      <c r="BJ240" s="4">
        <f t="shared" si="133"/>
        <v>4.3731778425656342E-3</v>
      </c>
      <c r="BK240" s="4">
        <f t="shared" si="134"/>
        <v>1.5710632078918541E-2</v>
      </c>
      <c r="BL240" s="4">
        <f t="shared" si="135"/>
        <v>1.4864362690449884E-3</v>
      </c>
      <c r="BM240" s="4">
        <f t="shared" si="145"/>
        <v>1.5976800185759858E-2</v>
      </c>
      <c r="BN240" s="14">
        <f t="shared" si="146"/>
        <v>13669.967846499399</v>
      </c>
      <c r="BO240" s="15">
        <f t="shared" si="147"/>
        <v>13112.109137524751</v>
      </c>
      <c r="BP240" s="16">
        <v>13475</v>
      </c>
      <c r="BQ240" s="16">
        <v>13475</v>
      </c>
      <c r="BR240" s="16">
        <v>13460</v>
      </c>
      <c r="BS240" s="16">
        <v>13475</v>
      </c>
      <c r="BT240" s="16">
        <v>33014</v>
      </c>
      <c r="BU240" s="15">
        <f t="shared" si="136"/>
        <v>13470</v>
      </c>
      <c r="BV240" s="15">
        <f t="shared" si="137"/>
        <v>444698580</v>
      </c>
      <c r="BW240" s="15">
        <f>SUM($BV$3:BV240)</f>
        <v>215033430853.33328</v>
      </c>
      <c r="BX240" s="15">
        <f>SUM($BT$3:BT240)</f>
        <v>15859413</v>
      </c>
      <c r="BY240" s="15">
        <f t="shared" si="138"/>
        <v>13558.725714081176</v>
      </c>
      <c r="BZ240" s="3">
        <v>238</v>
      </c>
      <c r="CA240" s="3">
        <f t="shared" si="139"/>
        <v>0</v>
      </c>
      <c r="CB240" s="3">
        <f t="shared" si="140"/>
        <v>0</v>
      </c>
      <c r="CC240" s="3">
        <f t="shared" si="141"/>
        <v>0</v>
      </c>
      <c r="CD240" s="3" t="str">
        <f t="shared" si="142"/>
        <v/>
      </c>
      <c r="CE240" s="3">
        <f t="shared" si="143"/>
        <v>0</v>
      </c>
    </row>
    <row r="241" spans="1:83" x14ac:dyDescent="0.3">
      <c r="A241" s="3" t="s">
        <v>281</v>
      </c>
      <c r="B241" s="3">
        <v>11645</v>
      </c>
      <c r="C241" s="3">
        <v>11630</v>
      </c>
      <c r="D241" s="3">
        <v>11620</v>
      </c>
      <c r="E241" s="3">
        <v>11635</v>
      </c>
      <c r="F241" s="3">
        <v>11675</v>
      </c>
      <c r="G241" s="3">
        <v>11670</v>
      </c>
      <c r="H241" s="3">
        <v>11455</v>
      </c>
      <c r="I241" s="3">
        <v>11470</v>
      </c>
      <c r="J241" s="3">
        <v>11810</v>
      </c>
      <c r="K241" s="3">
        <v>11810</v>
      </c>
      <c r="L241" s="3">
        <v>12025</v>
      </c>
      <c r="M241" s="3">
        <v>12025</v>
      </c>
      <c r="N241" s="3">
        <v>12570</v>
      </c>
      <c r="O241" s="3">
        <v>12560</v>
      </c>
      <c r="P241" s="3">
        <v>12705</v>
      </c>
      <c r="Q241" s="3">
        <v>12710</v>
      </c>
      <c r="R241" s="3">
        <v>12490</v>
      </c>
      <c r="S241" s="3">
        <v>12490</v>
      </c>
      <c r="T241" s="3">
        <v>12285</v>
      </c>
      <c r="U241" s="3">
        <v>12280</v>
      </c>
      <c r="V241" s="3">
        <v>12755</v>
      </c>
      <c r="W241" s="3">
        <v>12740</v>
      </c>
      <c r="X241" s="3">
        <v>12450</v>
      </c>
      <c r="Y241" s="3">
        <v>12470</v>
      </c>
      <c r="Z241" s="3">
        <v>12730</v>
      </c>
      <c r="AA241" s="3">
        <v>12725</v>
      </c>
      <c r="AB241" s="3">
        <v>13255</v>
      </c>
      <c r="AC241" s="3">
        <v>13255</v>
      </c>
      <c r="AD241" s="3">
        <v>13235</v>
      </c>
      <c r="AE241" s="3">
        <v>13235</v>
      </c>
      <c r="AF241" s="3">
        <v>13855</v>
      </c>
      <c r="AG241" s="3">
        <v>13855</v>
      </c>
      <c r="AH241" s="3">
        <v>13895</v>
      </c>
      <c r="AI241" s="3">
        <v>13915</v>
      </c>
      <c r="AJ241" s="3">
        <v>13640</v>
      </c>
      <c r="AK241" s="3">
        <v>13630</v>
      </c>
      <c r="AL241" s="3">
        <v>13660</v>
      </c>
      <c r="AM241" s="3">
        <v>13660</v>
      </c>
      <c r="AN241" s="3">
        <v>13475</v>
      </c>
      <c r="AO241" s="3">
        <v>13470</v>
      </c>
      <c r="AP241" s="3">
        <v>13475</v>
      </c>
      <c r="AQ241" s="3">
        <v>13485</v>
      </c>
      <c r="AR241" s="4">
        <f t="shared" si="144"/>
        <v>8.6730268863832727E-3</v>
      </c>
      <c r="AS241" s="4">
        <f t="shared" si="116"/>
        <v>7.3593073593074543E-3</v>
      </c>
      <c r="AT241" s="4">
        <f t="shared" si="117"/>
        <v>2.7288732394366244E-2</v>
      </c>
      <c r="AU241" s="4">
        <f t="shared" si="118"/>
        <v>2.6315789473684181E-2</v>
      </c>
      <c r="AV241" s="4">
        <f t="shared" si="119"/>
        <v>1.0265183917878451E-2</v>
      </c>
      <c r="AW241" s="4">
        <f t="shared" si="120"/>
        <v>1.3912310286677831E-2</v>
      </c>
      <c r="AX241" s="4">
        <f t="shared" si="121"/>
        <v>3.6731324803962018E-2</v>
      </c>
      <c r="AY241" s="4">
        <f t="shared" si="122"/>
        <v>5.4773082942096707E-3</v>
      </c>
      <c r="AZ241" s="4">
        <f t="shared" si="123"/>
        <v>4.3842168194500042E-3</v>
      </c>
      <c r="BA241" s="4">
        <f t="shared" si="124"/>
        <v>7.6767676767677262E-3</v>
      </c>
      <c r="BB241" s="4">
        <f t="shared" si="125"/>
        <v>3.2833400891771447E-2</v>
      </c>
      <c r="BC241" s="4">
        <f t="shared" si="126"/>
        <v>1.3058963197467355E-2</v>
      </c>
      <c r="BD241" s="4">
        <f t="shared" si="127"/>
        <v>8.9563862928349058E-3</v>
      </c>
      <c r="BE241" s="4">
        <f t="shared" si="128"/>
        <v>2.2367913613575041E-2</v>
      </c>
      <c r="BF241" s="4">
        <f t="shared" si="129"/>
        <v>1.1077158135981646E-2</v>
      </c>
      <c r="BG241" s="4">
        <f t="shared" si="130"/>
        <v>3.8995125609298853E-2</v>
      </c>
      <c r="BH241" s="4">
        <f t="shared" si="131"/>
        <v>3.5945363048162093E-4</v>
      </c>
      <c r="BI241" s="4">
        <f t="shared" si="132"/>
        <v>1.7657657657657699E-2</v>
      </c>
      <c r="BJ241" s="4">
        <f t="shared" si="133"/>
        <v>4.3731778425656342E-3</v>
      </c>
      <c r="BK241" s="4">
        <f t="shared" si="134"/>
        <v>1.5710632078918541E-2</v>
      </c>
      <c r="BL241" s="4">
        <f t="shared" si="135"/>
        <v>2.2296544035673715E-3</v>
      </c>
      <c r="BM241" s="4">
        <f t="shared" si="145"/>
        <v>1.5689963324638727E-2</v>
      </c>
      <c r="BN241" s="14">
        <f t="shared" si="146"/>
        <v>13666.108456533015</v>
      </c>
      <c r="BO241" s="15">
        <f t="shared" si="147"/>
        <v>13115.93123869919</v>
      </c>
      <c r="BP241" s="16">
        <v>13475</v>
      </c>
      <c r="BQ241" s="16">
        <v>13485</v>
      </c>
      <c r="BR241" s="16">
        <v>13475</v>
      </c>
      <c r="BS241" s="16">
        <v>13485</v>
      </c>
      <c r="BT241" s="16">
        <v>4409</v>
      </c>
      <c r="BU241" s="15">
        <f t="shared" si="136"/>
        <v>13481.666666666666</v>
      </c>
      <c r="BV241" s="15">
        <f t="shared" si="137"/>
        <v>59440668.333333328</v>
      </c>
      <c r="BW241" s="15">
        <f>SUM($BV$3:BV241)</f>
        <v>215092871521.66663</v>
      </c>
      <c r="BX241" s="15">
        <f>SUM($BT$3:BT241)</f>
        <v>15863822</v>
      </c>
      <c r="BY241" s="15">
        <f t="shared" si="138"/>
        <v>13558.704297215805</v>
      </c>
      <c r="BZ241" s="3">
        <v>239</v>
      </c>
      <c r="CA241" s="3">
        <f t="shared" si="139"/>
        <v>0</v>
      </c>
      <c r="CB241" s="3">
        <f t="shared" si="140"/>
        <v>0</v>
      </c>
      <c r="CC241" s="3">
        <f t="shared" si="141"/>
        <v>0</v>
      </c>
      <c r="CD241" s="3" t="str">
        <f t="shared" si="142"/>
        <v/>
      </c>
      <c r="CE241" s="3">
        <f t="shared" si="143"/>
        <v>0</v>
      </c>
    </row>
    <row r="242" spans="1:83" x14ac:dyDescent="0.3">
      <c r="A242" s="3" t="s">
        <v>282</v>
      </c>
      <c r="B242" s="3">
        <v>11630</v>
      </c>
      <c r="C242" s="3">
        <v>11635</v>
      </c>
      <c r="D242" s="3">
        <v>11635</v>
      </c>
      <c r="E242" s="3">
        <v>11630</v>
      </c>
      <c r="F242" s="3">
        <v>11670</v>
      </c>
      <c r="G242" s="3">
        <v>11670</v>
      </c>
      <c r="H242" s="3">
        <v>11470</v>
      </c>
      <c r="I242" s="3">
        <v>11485</v>
      </c>
      <c r="J242" s="3">
        <v>11815</v>
      </c>
      <c r="K242" s="3">
        <v>11835</v>
      </c>
      <c r="L242" s="3">
        <v>12025</v>
      </c>
      <c r="M242" s="3">
        <v>12025</v>
      </c>
      <c r="N242" s="3">
        <v>12560</v>
      </c>
      <c r="O242" s="3">
        <v>12560</v>
      </c>
      <c r="P242" s="3">
        <v>12710</v>
      </c>
      <c r="Q242" s="3">
        <v>12705</v>
      </c>
      <c r="R242" s="3">
        <v>12490</v>
      </c>
      <c r="S242" s="3">
        <v>12485</v>
      </c>
      <c r="T242" s="3">
        <v>12280</v>
      </c>
      <c r="U242" s="3">
        <v>12275</v>
      </c>
      <c r="V242" s="3">
        <v>12745</v>
      </c>
      <c r="W242" s="3">
        <v>12755</v>
      </c>
      <c r="X242" s="3">
        <v>12470</v>
      </c>
      <c r="Y242" s="3">
        <v>12485</v>
      </c>
      <c r="Z242" s="3">
        <v>12720</v>
      </c>
      <c r="AA242" s="3">
        <v>12725</v>
      </c>
      <c r="AB242" s="3">
        <v>13255</v>
      </c>
      <c r="AC242" s="3">
        <v>13255</v>
      </c>
      <c r="AD242" s="3">
        <v>13240</v>
      </c>
      <c r="AE242" s="3">
        <v>13245</v>
      </c>
      <c r="AF242" s="3">
        <v>13860</v>
      </c>
      <c r="AG242" s="3">
        <v>13860</v>
      </c>
      <c r="AH242" s="3">
        <v>13915</v>
      </c>
      <c r="AI242" s="3">
        <v>13845</v>
      </c>
      <c r="AJ242" s="3">
        <v>13625</v>
      </c>
      <c r="AK242" s="3">
        <v>13660</v>
      </c>
      <c r="AL242" s="3">
        <v>13660</v>
      </c>
      <c r="AM242" s="3">
        <v>13650</v>
      </c>
      <c r="AN242" s="3">
        <v>13475</v>
      </c>
      <c r="AO242" s="3">
        <v>13480</v>
      </c>
      <c r="AP242" s="3">
        <v>13480</v>
      </c>
      <c r="AQ242" s="3">
        <v>13475</v>
      </c>
      <c r="AR242" s="4">
        <f t="shared" si="144"/>
        <v>9.1066782307025473E-3</v>
      </c>
      <c r="AS242" s="4">
        <f t="shared" si="116"/>
        <v>6.9264069264070027E-3</v>
      </c>
      <c r="AT242" s="4">
        <f t="shared" si="117"/>
        <v>2.7288732394366244E-2</v>
      </c>
      <c r="AU242" s="4">
        <f t="shared" si="118"/>
        <v>2.5042444821731791E-2</v>
      </c>
      <c r="AV242" s="4">
        <f t="shared" si="119"/>
        <v>1.2403763900769915E-2</v>
      </c>
      <c r="AW242" s="4">
        <f t="shared" si="120"/>
        <v>1.3912310286677831E-2</v>
      </c>
      <c r="AX242" s="4">
        <f t="shared" si="121"/>
        <v>3.6731324803962018E-2</v>
      </c>
      <c r="AY242" s="4">
        <f t="shared" si="122"/>
        <v>5.8685446009389963E-3</v>
      </c>
      <c r="AZ242" s="4">
        <f t="shared" si="123"/>
        <v>4.7827819848544895E-3</v>
      </c>
      <c r="BA242" s="4">
        <f t="shared" si="124"/>
        <v>8.0808080808081328E-3</v>
      </c>
      <c r="BB242" s="4">
        <f t="shared" si="125"/>
        <v>3.4049452776651723E-2</v>
      </c>
      <c r="BC242" s="4">
        <f t="shared" si="126"/>
        <v>1.1871784724970302E-2</v>
      </c>
      <c r="BD242" s="4">
        <f t="shared" si="127"/>
        <v>8.9563862928349058E-3</v>
      </c>
      <c r="BE242" s="4">
        <f t="shared" si="128"/>
        <v>2.2367913613575041E-2</v>
      </c>
      <c r="BF242" s="4">
        <f t="shared" si="129"/>
        <v>1.1841100076394273E-2</v>
      </c>
      <c r="BG242" s="4">
        <f t="shared" si="130"/>
        <v>3.937007874015741E-2</v>
      </c>
      <c r="BH242" s="4">
        <f t="shared" si="131"/>
        <v>4.6728971962616273E-3</v>
      </c>
      <c r="BI242" s="4">
        <f t="shared" si="132"/>
        <v>1.5495495495495448E-2</v>
      </c>
      <c r="BJ242" s="4">
        <f t="shared" si="133"/>
        <v>5.1020408163264808E-3</v>
      </c>
      <c r="BK242" s="4">
        <f t="shared" si="134"/>
        <v>1.4979905005480409E-2</v>
      </c>
      <c r="BL242" s="4">
        <f t="shared" si="135"/>
        <v>1.4864362690449884E-3</v>
      </c>
      <c r="BM242" s="4">
        <f t="shared" si="145"/>
        <v>1.6012179586336519E-2</v>
      </c>
      <c r="BN242" s="14">
        <f t="shared" si="146"/>
        <v>13670.443876334159</v>
      </c>
      <c r="BO242" s="15">
        <f t="shared" si="147"/>
        <v>13111.637707012067</v>
      </c>
      <c r="BP242" s="16">
        <v>13480</v>
      </c>
      <c r="BQ242" s="16">
        <v>13485</v>
      </c>
      <c r="BR242" s="16">
        <v>13475</v>
      </c>
      <c r="BS242" s="16">
        <v>13475</v>
      </c>
      <c r="BT242" s="16">
        <v>9326</v>
      </c>
      <c r="BU242" s="15">
        <f t="shared" si="136"/>
        <v>13478.333333333334</v>
      </c>
      <c r="BV242" s="15">
        <f t="shared" si="137"/>
        <v>125698936.66666667</v>
      </c>
      <c r="BW242" s="15">
        <f>SUM($BV$3:BV242)</f>
        <v>215218570458.33328</v>
      </c>
      <c r="BX242" s="15">
        <f>SUM($BT$3:BT242)</f>
        <v>15873148</v>
      </c>
      <c r="BY242" s="15">
        <f t="shared" si="138"/>
        <v>13558.657076613492</v>
      </c>
      <c r="BZ242" s="3">
        <v>240</v>
      </c>
      <c r="CA242" s="3">
        <f t="shared" si="139"/>
        <v>0</v>
      </c>
      <c r="CB242" s="3">
        <f t="shared" si="140"/>
        <v>0</v>
      </c>
      <c r="CC242" s="3">
        <f t="shared" si="141"/>
        <v>0</v>
      </c>
      <c r="CD242" s="3">
        <f t="shared" si="142"/>
        <v>0</v>
      </c>
      <c r="CE242" s="3">
        <f t="shared" si="143"/>
        <v>0</v>
      </c>
    </row>
    <row r="243" spans="1:83" x14ac:dyDescent="0.3">
      <c r="A243" s="3" t="s">
        <v>283</v>
      </c>
      <c r="B243" s="3">
        <v>11635</v>
      </c>
      <c r="C243" s="3">
        <v>11635</v>
      </c>
      <c r="D243" s="3">
        <v>11630</v>
      </c>
      <c r="E243" s="3">
        <v>11625</v>
      </c>
      <c r="F243" s="3">
        <v>11670</v>
      </c>
      <c r="G243" s="3">
        <v>11670</v>
      </c>
      <c r="H243" s="3">
        <v>11485</v>
      </c>
      <c r="I243" s="3">
        <v>11495</v>
      </c>
      <c r="J243" s="3">
        <v>11835</v>
      </c>
      <c r="K243" s="3">
        <v>11825</v>
      </c>
      <c r="L243" s="3">
        <v>12025</v>
      </c>
      <c r="M243" s="3">
        <v>12020</v>
      </c>
      <c r="N243" s="3">
        <v>12560</v>
      </c>
      <c r="O243" s="3">
        <v>12560</v>
      </c>
      <c r="P243" s="3">
        <v>12705</v>
      </c>
      <c r="Q243" s="3">
        <v>12695</v>
      </c>
      <c r="R243" s="3">
        <v>12485</v>
      </c>
      <c r="S243" s="3">
        <v>12495</v>
      </c>
      <c r="T243" s="3">
        <v>12275</v>
      </c>
      <c r="U243" s="3">
        <v>12285</v>
      </c>
      <c r="V243" s="3">
        <v>12755</v>
      </c>
      <c r="W243" s="3">
        <v>12750</v>
      </c>
      <c r="X243" s="3">
        <v>12485</v>
      </c>
      <c r="Y243" s="3">
        <v>12480</v>
      </c>
      <c r="Z243" s="3">
        <v>12720</v>
      </c>
      <c r="AA243" s="3">
        <v>12725</v>
      </c>
      <c r="AB243" s="3">
        <v>13255</v>
      </c>
      <c r="AC243" s="3">
        <v>13255</v>
      </c>
      <c r="AD243" s="3">
        <v>13245</v>
      </c>
      <c r="AE243" s="3">
        <v>13250</v>
      </c>
      <c r="AF243" s="3">
        <v>13860</v>
      </c>
      <c r="AG243" s="3">
        <v>13885</v>
      </c>
      <c r="AH243" s="3">
        <v>13850</v>
      </c>
      <c r="AI243" s="3">
        <v>13790</v>
      </c>
      <c r="AJ243" s="3">
        <v>13665</v>
      </c>
      <c r="AK243" s="3">
        <v>13700</v>
      </c>
      <c r="AL243" s="3">
        <v>13650</v>
      </c>
      <c r="AM243" s="3">
        <v>13660</v>
      </c>
      <c r="AN243" s="3">
        <v>13480</v>
      </c>
      <c r="AO243" s="3">
        <v>13465</v>
      </c>
      <c r="AP243" s="3">
        <v>13485</v>
      </c>
      <c r="AQ243" s="3">
        <v>13490</v>
      </c>
      <c r="AR243" s="4">
        <f t="shared" si="144"/>
        <v>9.1066782307025473E-3</v>
      </c>
      <c r="AS243" s="4">
        <f t="shared" si="116"/>
        <v>6.4935064935065512E-3</v>
      </c>
      <c r="AT243" s="4">
        <f t="shared" si="117"/>
        <v>2.7288732394366244E-2</v>
      </c>
      <c r="AU243" s="4">
        <f t="shared" si="118"/>
        <v>2.4193548387096753E-2</v>
      </c>
      <c r="AV243" s="4">
        <f t="shared" si="119"/>
        <v>1.1548331907613285E-2</v>
      </c>
      <c r="AW243" s="4">
        <f t="shared" si="120"/>
        <v>1.3490725126475533E-2</v>
      </c>
      <c r="AX243" s="4">
        <f t="shared" si="121"/>
        <v>3.6731324803962018E-2</v>
      </c>
      <c r="AY243" s="4">
        <f t="shared" si="122"/>
        <v>6.6510172143975366E-3</v>
      </c>
      <c r="AZ243" s="4">
        <f t="shared" si="123"/>
        <v>3.9856516540454079E-3</v>
      </c>
      <c r="BA243" s="4">
        <f t="shared" si="124"/>
        <v>7.2727272727273196E-3</v>
      </c>
      <c r="BB243" s="4">
        <f t="shared" si="125"/>
        <v>3.3644102148358224E-2</v>
      </c>
      <c r="BC243" s="4">
        <f t="shared" si="126"/>
        <v>1.2267510882469357E-2</v>
      </c>
      <c r="BD243" s="4">
        <f t="shared" si="127"/>
        <v>8.9563862928349058E-3</v>
      </c>
      <c r="BE243" s="4">
        <f t="shared" si="128"/>
        <v>2.2367913613575041E-2</v>
      </c>
      <c r="BF243" s="4">
        <f t="shared" si="129"/>
        <v>1.2223071046600475E-2</v>
      </c>
      <c r="BG243" s="4">
        <f t="shared" si="130"/>
        <v>4.1244844394450642E-2</v>
      </c>
      <c r="BH243" s="4">
        <f t="shared" si="131"/>
        <v>8.6268871315600126E-3</v>
      </c>
      <c r="BI243" s="4">
        <f t="shared" si="132"/>
        <v>1.2612612612612595E-2</v>
      </c>
      <c r="BJ243" s="4">
        <f t="shared" si="133"/>
        <v>4.3731778425656342E-3</v>
      </c>
      <c r="BK243" s="4">
        <f t="shared" si="134"/>
        <v>1.6075995615637551E-2</v>
      </c>
      <c r="BL243" s="4">
        <f t="shared" si="135"/>
        <v>2.6012634708287852E-3</v>
      </c>
      <c r="BM243" s="4">
        <f t="shared" si="145"/>
        <v>1.6216658751842621E-2</v>
      </c>
      <c r="BN243" s="14">
        <f t="shared" si="146"/>
        <v>13673.195143506042</v>
      </c>
      <c r="BO243" s="15">
        <f t="shared" si="147"/>
        <v>13108.913022131697</v>
      </c>
      <c r="BP243" s="16">
        <v>13485</v>
      </c>
      <c r="BQ243" s="16">
        <v>13495</v>
      </c>
      <c r="BR243" s="16">
        <v>13485</v>
      </c>
      <c r="BS243" s="16">
        <v>13490</v>
      </c>
      <c r="BT243" s="16">
        <v>10517</v>
      </c>
      <c r="BU243" s="15">
        <f t="shared" si="136"/>
        <v>13490</v>
      </c>
      <c r="BV243" s="15">
        <f t="shared" si="137"/>
        <v>141874330</v>
      </c>
      <c r="BW243" s="15">
        <f>SUM($BV$3:BV243)</f>
        <v>215360444788.33328</v>
      </c>
      <c r="BX243" s="15">
        <f>SUM($BT$3:BT243)</f>
        <v>15883665</v>
      </c>
      <c r="BY243" s="15">
        <f t="shared" si="138"/>
        <v>13558.61161692426</v>
      </c>
      <c r="BZ243" s="3">
        <v>241</v>
      </c>
      <c r="CA243" s="3">
        <f t="shared" si="139"/>
        <v>0</v>
      </c>
      <c r="CB243" s="3">
        <f t="shared" si="140"/>
        <v>0</v>
      </c>
      <c r="CC243" s="3">
        <f t="shared" si="141"/>
        <v>0</v>
      </c>
      <c r="CD243" s="3" t="str">
        <f t="shared" si="142"/>
        <v/>
      </c>
      <c r="CE243" s="3">
        <f t="shared" si="143"/>
        <v>0</v>
      </c>
    </row>
    <row r="244" spans="1:83" x14ac:dyDescent="0.3">
      <c r="A244" s="3" t="s">
        <v>284</v>
      </c>
      <c r="B244" s="3">
        <v>11635</v>
      </c>
      <c r="C244" s="3">
        <v>11640</v>
      </c>
      <c r="D244" s="3">
        <v>11625</v>
      </c>
      <c r="E244" s="3">
        <v>11635</v>
      </c>
      <c r="F244" s="3">
        <v>11670</v>
      </c>
      <c r="G244" s="3">
        <v>11665</v>
      </c>
      <c r="H244" s="3">
        <v>11495</v>
      </c>
      <c r="I244" s="3">
        <v>11490</v>
      </c>
      <c r="J244" s="3">
        <v>11835</v>
      </c>
      <c r="K244" s="3">
        <v>11830</v>
      </c>
      <c r="L244" s="3">
        <v>12020</v>
      </c>
      <c r="M244" s="3">
        <v>12010</v>
      </c>
      <c r="N244" s="3">
        <v>12560</v>
      </c>
      <c r="O244" s="3">
        <v>12565</v>
      </c>
      <c r="P244" s="3">
        <v>12700</v>
      </c>
      <c r="Q244" s="3">
        <v>12705</v>
      </c>
      <c r="R244" s="3">
        <v>12500</v>
      </c>
      <c r="S244" s="3">
        <v>12490</v>
      </c>
      <c r="T244" s="3">
        <v>12285</v>
      </c>
      <c r="U244" s="3">
        <v>12290</v>
      </c>
      <c r="V244" s="3">
        <v>12750</v>
      </c>
      <c r="W244" s="3">
        <v>12765</v>
      </c>
      <c r="X244" s="3">
        <v>12480</v>
      </c>
      <c r="Y244" s="3">
        <v>12490</v>
      </c>
      <c r="Z244" s="3">
        <v>12725</v>
      </c>
      <c r="AA244" s="3">
        <v>12730</v>
      </c>
      <c r="AB244" s="3">
        <v>13255</v>
      </c>
      <c r="AC244" s="3">
        <v>13255</v>
      </c>
      <c r="AD244" s="3">
        <v>13250</v>
      </c>
      <c r="AE244" s="3">
        <v>13255</v>
      </c>
      <c r="AF244" s="3">
        <v>13890</v>
      </c>
      <c r="AG244" s="3">
        <v>13870</v>
      </c>
      <c r="AH244" s="3">
        <v>13790</v>
      </c>
      <c r="AI244" s="3">
        <v>13785</v>
      </c>
      <c r="AJ244" s="3">
        <v>13700</v>
      </c>
      <c r="AK244" s="3">
        <v>13675</v>
      </c>
      <c r="AL244" s="3">
        <v>13660</v>
      </c>
      <c r="AM244" s="3">
        <v>13650</v>
      </c>
      <c r="AN244" s="3">
        <v>13465</v>
      </c>
      <c r="AO244" s="3">
        <v>13460</v>
      </c>
      <c r="AP244" s="3">
        <v>13495</v>
      </c>
      <c r="AQ244" s="3">
        <v>13500</v>
      </c>
      <c r="AR244" s="4">
        <f t="shared" si="144"/>
        <v>9.5403295750216E-3</v>
      </c>
      <c r="AS244" s="4">
        <f t="shared" si="116"/>
        <v>7.3593073593074543E-3</v>
      </c>
      <c r="AT244" s="4">
        <f t="shared" si="117"/>
        <v>2.6848591549295753E-2</v>
      </c>
      <c r="AU244" s="4">
        <f t="shared" si="118"/>
        <v>2.4617996604414216E-2</v>
      </c>
      <c r="AV244" s="4">
        <f t="shared" si="119"/>
        <v>1.1976047904191711E-2</v>
      </c>
      <c r="AW244" s="4">
        <f t="shared" si="120"/>
        <v>1.2647554806070715E-2</v>
      </c>
      <c r="AX244" s="4">
        <f t="shared" si="121"/>
        <v>3.7144036318613294E-2</v>
      </c>
      <c r="AY244" s="4">
        <f t="shared" si="122"/>
        <v>5.8685446009389963E-3</v>
      </c>
      <c r="AZ244" s="4">
        <f t="shared" si="123"/>
        <v>4.3842168194500042E-3</v>
      </c>
      <c r="BA244" s="4">
        <f t="shared" si="124"/>
        <v>6.8686868686869129E-3</v>
      </c>
      <c r="BB244" s="4">
        <f t="shared" si="125"/>
        <v>3.4860154033238722E-2</v>
      </c>
      <c r="BC244" s="4">
        <f t="shared" si="126"/>
        <v>1.1476058567471359E-2</v>
      </c>
      <c r="BD244" s="4">
        <f t="shared" si="127"/>
        <v>8.5669781931464462E-3</v>
      </c>
      <c r="BE244" s="4">
        <f t="shared" si="128"/>
        <v>2.2367913613575041E-2</v>
      </c>
      <c r="BF244" s="4">
        <f t="shared" si="129"/>
        <v>1.2605042016806678E-2</v>
      </c>
      <c r="BG244" s="4">
        <f t="shared" si="130"/>
        <v>4.0119985001874747E-2</v>
      </c>
      <c r="BH244" s="4">
        <f t="shared" si="131"/>
        <v>8.9863407620417446E-3</v>
      </c>
      <c r="BI244" s="4">
        <f t="shared" si="132"/>
        <v>1.4414414414414378E-2</v>
      </c>
      <c r="BJ244" s="4">
        <f t="shared" si="133"/>
        <v>5.1020408163264808E-3</v>
      </c>
      <c r="BK244" s="4">
        <f t="shared" si="134"/>
        <v>1.6441359152356561E-2</v>
      </c>
      <c r="BL244" s="4">
        <f t="shared" si="135"/>
        <v>3.3444816053511683E-3</v>
      </c>
      <c r="BM244" s="4">
        <f t="shared" si="145"/>
        <v>1.6371840798495813E-2</v>
      </c>
      <c r="BN244" s="14">
        <f t="shared" si="146"/>
        <v>13675.283117943762</v>
      </c>
      <c r="BO244" s="15">
        <f t="shared" si="147"/>
        <v>13106.845221360043</v>
      </c>
      <c r="BP244" s="16">
        <v>13495</v>
      </c>
      <c r="BQ244" s="16">
        <v>13500</v>
      </c>
      <c r="BR244" s="16">
        <v>13490</v>
      </c>
      <c r="BS244" s="16">
        <v>13500</v>
      </c>
      <c r="BT244" s="16">
        <v>16663</v>
      </c>
      <c r="BU244" s="15">
        <f t="shared" si="136"/>
        <v>13496.666666666666</v>
      </c>
      <c r="BV244" s="15">
        <f t="shared" si="137"/>
        <v>224894956.66666666</v>
      </c>
      <c r="BW244" s="15">
        <f>SUM($BV$3:BV244)</f>
        <v>215585339744.99994</v>
      </c>
      <c r="BX244" s="15">
        <f>SUM($BT$3:BT244)</f>
        <v>15900328</v>
      </c>
      <c r="BY244" s="15">
        <f t="shared" si="138"/>
        <v>13558.546700734723</v>
      </c>
      <c r="BZ244" s="3">
        <v>242</v>
      </c>
      <c r="CA244" s="3">
        <f t="shared" si="139"/>
        <v>0</v>
      </c>
      <c r="CB244" s="3">
        <f t="shared" si="140"/>
        <v>0</v>
      </c>
      <c r="CC244" s="3">
        <f t="shared" si="141"/>
        <v>0</v>
      </c>
      <c r="CD244" s="3" t="str">
        <f t="shared" si="142"/>
        <v/>
      </c>
      <c r="CE244" s="3">
        <f t="shared" si="143"/>
        <v>0</v>
      </c>
    </row>
    <row r="245" spans="1:83" x14ac:dyDescent="0.3">
      <c r="A245" s="3" t="s">
        <v>285</v>
      </c>
      <c r="B245" s="3">
        <v>11645</v>
      </c>
      <c r="C245" s="3">
        <v>11645</v>
      </c>
      <c r="D245" s="3">
        <v>11635</v>
      </c>
      <c r="E245" s="3">
        <v>11630</v>
      </c>
      <c r="F245" s="3">
        <v>11665</v>
      </c>
      <c r="G245" s="3">
        <v>11665</v>
      </c>
      <c r="H245" s="3">
        <v>11490</v>
      </c>
      <c r="I245" s="3">
        <v>11490</v>
      </c>
      <c r="J245" s="3">
        <v>11830</v>
      </c>
      <c r="K245" s="3">
        <v>11835</v>
      </c>
      <c r="L245" s="3">
        <v>12010</v>
      </c>
      <c r="M245" s="3">
        <v>12010</v>
      </c>
      <c r="N245" s="3">
        <v>12565</v>
      </c>
      <c r="O245" s="3">
        <v>12565</v>
      </c>
      <c r="P245" s="3">
        <v>12705</v>
      </c>
      <c r="Q245" s="3">
        <v>12710</v>
      </c>
      <c r="R245" s="3">
        <v>12485</v>
      </c>
      <c r="S245" s="3">
        <v>12480</v>
      </c>
      <c r="T245" s="3">
        <v>12290</v>
      </c>
      <c r="U245" s="3">
        <v>12285</v>
      </c>
      <c r="V245" s="3">
        <v>12770</v>
      </c>
      <c r="W245" s="3">
        <v>12775</v>
      </c>
      <c r="X245" s="3">
        <v>12495</v>
      </c>
      <c r="Y245" s="3">
        <v>12500</v>
      </c>
      <c r="Z245" s="3">
        <v>12730</v>
      </c>
      <c r="AA245" s="3">
        <v>12740</v>
      </c>
      <c r="AB245" s="3">
        <v>13255</v>
      </c>
      <c r="AC245" s="3">
        <v>13265</v>
      </c>
      <c r="AD245" s="3">
        <v>13255</v>
      </c>
      <c r="AE245" s="3">
        <v>13250</v>
      </c>
      <c r="AF245" s="3">
        <v>13870</v>
      </c>
      <c r="AG245" s="3">
        <v>13865</v>
      </c>
      <c r="AH245" s="3">
        <v>13785</v>
      </c>
      <c r="AI245" s="3">
        <v>13825</v>
      </c>
      <c r="AJ245" s="3">
        <v>13680</v>
      </c>
      <c r="AK245" s="3">
        <v>13705</v>
      </c>
      <c r="AL245" s="3">
        <v>13650</v>
      </c>
      <c r="AM245" s="3">
        <v>13650</v>
      </c>
      <c r="AN245" s="3">
        <v>13465</v>
      </c>
      <c r="AO245" s="3">
        <v>13450</v>
      </c>
      <c r="AP245" s="3">
        <v>13505</v>
      </c>
      <c r="AQ245" s="3">
        <v>13500</v>
      </c>
      <c r="AR245" s="4">
        <f t="shared" si="144"/>
        <v>9.9739809193408746E-3</v>
      </c>
      <c r="AS245" s="4">
        <f t="shared" si="116"/>
        <v>6.9264069264070027E-3</v>
      </c>
      <c r="AT245" s="4">
        <f t="shared" si="117"/>
        <v>2.6848591549295753E-2</v>
      </c>
      <c r="AU245" s="4">
        <f t="shared" si="118"/>
        <v>2.4617996604414216E-2</v>
      </c>
      <c r="AV245" s="4">
        <f t="shared" si="119"/>
        <v>1.2403763900769915E-2</v>
      </c>
      <c r="AW245" s="4">
        <f t="shared" si="120"/>
        <v>1.2647554806070715E-2</v>
      </c>
      <c r="AX245" s="4">
        <f t="shared" si="121"/>
        <v>3.7144036318613294E-2</v>
      </c>
      <c r="AY245" s="4">
        <f t="shared" si="122"/>
        <v>5.4773082942096707E-3</v>
      </c>
      <c r="AZ245" s="4">
        <f t="shared" si="123"/>
        <v>5.1813471502590858E-3</v>
      </c>
      <c r="BA245" s="4">
        <f t="shared" si="124"/>
        <v>7.2727272727273196E-3</v>
      </c>
      <c r="BB245" s="4">
        <f t="shared" si="125"/>
        <v>3.567085528982572E-2</v>
      </c>
      <c r="BC245" s="4">
        <f t="shared" si="126"/>
        <v>1.068460625247325E-2</v>
      </c>
      <c r="BD245" s="4">
        <f t="shared" si="127"/>
        <v>7.7881619937694158E-3</v>
      </c>
      <c r="BE245" s="4">
        <f t="shared" si="128"/>
        <v>2.3139220979560449E-2</v>
      </c>
      <c r="BF245" s="4">
        <f t="shared" si="129"/>
        <v>1.2223071046600475E-2</v>
      </c>
      <c r="BG245" s="4">
        <f t="shared" si="130"/>
        <v>3.974503187101619E-2</v>
      </c>
      <c r="BH245" s="4">
        <f t="shared" si="131"/>
        <v>6.110711718188333E-3</v>
      </c>
      <c r="BI245" s="4">
        <f t="shared" si="132"/>
        <v>1.2252252252252238E-2</v>
      </c>
      <c r="BJ245" s="4">
        <f t="shared" si="133"/>
        <v>5.1020408163264808E-3</v>
      </c>
      <c r="BK245" s="4">
        <f t="shared" si="134"/>
        <v>1.7172086225794692E-2</v>
      </c>
      <c r="BL245" s="4">
        <f t="shared" si="135"/>
        <v>3.3444816053511683E-3</v>
      </c>
      <c r="BM245" s="4">
        <f t="shared" si="145"/>
        <v>1.6068818391544042E-2</v>
      </c>
      <c r="BN245" s="14">
        <f t="shared" si="146"/>
        <v>13671.205951458225</v>
      </c>
      <c r="BO245" s="15">
        <f t="shared" si="147"/>
        <v>13110.882994932676</v>
      </c>
      <c r="BP245" s="16">
        <v>13505</v>
      </c>
      <c r="BQ245" s="16">
        <v>13505</v>
      </c>
      <c r="BR245" s="16">
        <v>13500</v>
      </c>
      <c r="BS245" s="16">
        <v>13500</v>
      </c>
      <c r="BT245" s="16">
        <v>12104</v>
      </c>
      <c r="BU245" s="15">
        <f t="shared" si="136"/>
        <v>13501.666666666666</v>
      </c>
      <c r="BV245" s="15">
        <f t="shared" si="137"/>
        <v>163424173.33333331</v>
      </c>
      <c r="BW245" s="15">
        <f>SUM($BV$3:BV245)</f>
        <v>215748763918.33328</v>
      </c>
      <c r="BX245" s="15">
        <f>SUM($BT$3:BT245)</f>
        <v>15912432</v>
      </c>
      <c r="BY245" s="15">
        <f t="shared" si="138"/>
        <v>13558.503434191158</v>
      </c>
      <c r="BZ245" s="3">
        <v>243</v>
      </c>
      <c r="CA245" s="3">
        <f t="shared" si="139"/>
        <v>0</v>
      </c>
      <c r="CB245" s="3">
        <f t="shared" si="140"/>
        <v>0</v>
      </c>
      <c r="CC245" s="3">
        <f t="shared" si="141"/>
        <v>0</v>
      </c>
      <c r="CD245" s="3" t="str">
        <f t="shared" si="142"/>
        <v/>
      </c>
      <c r="CE245" s="3">
        <f t="shared" si="143"/>
        <v>0</v>
      </c>
    </row>
    <row r="246" spans="1:83" x14ac:dyDescent="0.3">
      <c r="A246" s="3" t="s">
        <v>286</v>
      </c>
      <c r="B246" s="3">
        <v>11645</v>
      </c>
      <c r="C246" s="3">
        <v>11655</v>
      </c>
      <c r="D246" s="3">
        <v>11630</v>
      </c>
      <c r="E246" s="3">
        <v>11610</v>
      </c>
      <c r="F246" s="3">
        <v>11670</v>
      </c>
      <c r="G246" s="3">
        <v>11665</v>
      </c>
      <c r="H246" s="3">
        <v>11490</v>
      </c>
      <c r="I246" s="3">
        <v>11500</v>
      </c>
      <c r="J246" s="3">
        <v>11835</v>
      </c>
      <c r="K246" s="3">
        <v>11835</v>
      </c>
      <c r="L246" s="3">
        <v>12010</v>
      </c>
      <c r="M246" s="3">
        <v>12000</v>
      </c>
      <c r="N246" s="3">
        <v>12565</v>
      </c>
      <c r="O246" s="3">
        <v>12580</v>
      </c>
      <c r="P246" s="3">
        <v>12710</v>
      </c>
      <c r="Q246" s="3">
        <v>12715</v>
      </c>
      <c r="R246" s="3">
        <v>12480</v>
      </c>
      <c r="S246" s="3">
        <v>12485</v>
      </c>
      <c r="T246" s="3">
        <v>12285</v>
      </c>
      <c r="U246" s="3">
        <v>12290</v>
      </c>
      <c r="V246" s="3">
        <v>12775</v>
      </c>
      <c r="W246" s="3">
        <v>12775</v>
      </c>
      <c r="X246" s="3">
        <v>12495</v>
      </c>
      <c r="Y246" s="3">
        <v>12505</v>
      </c>
      <c r="Z246" s="3">
        <v>12740</v>
      </c>
      <c r="AA246" s="3">
        <v>12740</v>
      </c>
      <c r="AB246" s="3">
        <v>13265</v>
      </c>
      <c r="AC246" s="3">
        <v>13260</v>
      </c>
      <c r="AD246" s="3">
        <v>13250</v>
      </c>
      <c r="AE246" s="3">
        <v>13250</v>
      </c>
      <c r="AF246" s="3">
        <v>13865</v>
      </c>
      <c r="AG246" s="3">
        <v>13865</v>
      </c>
      <c r="AH246" s="3">
        <v>13825</v>
      </c>
      <c r="AI246" s="3">
        <v>13825</v>
      </c>
      <c r="AJ246" s="3">
        <v>13710</v>
      </c>
      <c r="AK246" s="3">
        <v>13705</v>
      </c>
      <c r="AL246" s="3">
        <v>13650</v>
      </c>
      <c r="AM246" s="3">
        <v>13660</v>
      </c>
      <c r="AN246" s="3">
        <v>13450</v>
      </c>
      <c r="AO246" s="3">
        <v>13445</v>
      </c>
      <c r="AP246" s="3">
        <v>13500</v>
      </c>
      <c r="AQ246" s="3">
        <v>13495</v>
      </c>
      <c r="AR246" s="4">
        <f t="shared" si="144"/>
        <v>1.0841283607979202E-2</v>
      </c>
      <c r="AS246" s="4">
        <f t="shared" si="116"/>
        <v>5.1948051948051965E-3</v>
      </c>
      <c r="AT246" s="4">
        <f t="shared" si="117"/>
        <v>2.6848591549295753E-2</v>
      </c>
      <c r="AU246" s="4">
        <f t="shared" si="118"/>
        <v>2.3769100169779289E-2</v>
      </c>
      <c r="AV246" s="4">
        <f t="shared" si="119"/>
        <v>1.2403763900769915E-2</v>
      </c>
      <c r="AW246" s="4">
        <f t="shared" si="120"/>
        <v>1.180438448566612E-2</v>
      </c>
      <c r="AX246" s="4">
        <f t="shared" si="121"/>
        <v>3.8382170862567122E-2</v>
      </c>
      <c r="AY246" s="4">
        <f t="shared" si="122"/>
        <v>5.0860719874804561E-3</v>
      </c>
      <c r="AZ246" s="4">
        <f t="shared" si="123"/>
        <v>4.7827819848544895E-3</v>
      </c>
      <c r="BA246" s="4">
        <f t="shared" si="124"/>
        <v>6.8686868686869129E-3</v>
      </c>
      <c r="BB246" s="4">
        <f t="shared" si="125"/>
        <v>3.567085528982572E-2</v>
      </c>
      <c r="BC246" s="4">
        <f t="shared" si="126"/>
        <v>1.0288880094974306E-2</v>
      </c>
      <c r="BD246" s="4">
        <f t="shared" si="127"/>
        <v>7.7881619937694158E-3</v>
      </c>
      <c r="BE246" s="4">
        <f t="shared" si="128"/>
        <v>2.2753567296567745E-2</v>
      </c>
      <c r="BF246" s="4">
        <f t="shared" si="129"/>
        <v>1.2223071046600475E-2</v>
      </c>
      <c r="BG246" s="4">
        <f t="shared" si="130"/>
        <v>3.974503187101619E-2</v>
      </c>
      <c r="BH246" s="4">
        <f t="shared" si="131"/>
        <v>6.110711718188333E-3</v>
      </c>
      <c r="BI246" s="4">
        <f t="shared" si="132"/>
        <v>1.2252252252252238E-2</v>
      </c>
      <c r="BJ246" s="4">
        <f t="shared" si="133"/>
        <v>4.3731778425656342E-3</v>
      </c>
      <c r="BK246" s="4">
        <f t="shared" si="134"/>
        <v>1.7537449762513702E-2</v>
      </c>
      <c r="BL246" s="4">
        <f t="shared" si="135"/>
        <v>2.9728725380899768E-3</v>
      </c>
      <c r="BM246" s="4">
        <f t="shared" si="145"/>
        <v>1.5990205062275911E-2</v>
      </c>
      <c r="BN246" s="14">
        <f t="shared" si="146"/>
        <v>13670.148209112924</v>
      </c>
      <c r="BO246" s="15">
        <f t="shared" si="147"/>
        <v>13111.930517545174</v>
      </c>
      <c r="BP246" s="16">
        <v>13500</v>
      </c>
      <c r="BQ246" s="16">
        <v>13505</v>
      </c>
      <c r="BR246" s="16">
        <v>13490</v>
      </c>
      <c r="BS246" s="16">
        <v>13495</v>
      </c>
      <c r="BT246" s="16">
        <v>10325</v>
      </c>
      <c r="BU246" s="15">
        <f t="shared" si="136"/>
        <v>13496.666666666666</v>
      </c>
      <c r="BV246" s="15">
        <f t="shared" si="137"/>
        <v>139353083.33333331</v>
      </c>
      <c r="BW246" s="15">
        <f>SUM($BV$3:BV246)</f>
        <v>215888117001.66663</v>
      </c>
      <c r="BX246" s="15">
        <f>SUM($BT$3:BT246)</f>
        <v>15922757</v>
      </c>
      <c r="BY246" s="15">
        <f t="shared" si="138"/>
        <v>13558.463336573348</v>
      </c>
      <c r="BZ246" s="3">
        <v>244</v>
      </c>
      <c r="CA246" s="3">
        <f t="shared" si="139"/>
        <v>0</v>
      </c>
      <c r="CB246" s="3">
        <f t="shared" si="140"/>
        <v>0</v>
      </c>
      <c r="CC246" s="3">
        <f t="shared" si="141"/>
        <v>0</v>
      </c>
      <c r="CD246" s="3" t="str">
        <f t="shared" si="142"/>
        <v/>
      </c>
      <c r="CE246" s="3">
        <f t="shared" si="143"/>
        <v>0</v>
      </c>
    </row>
    <row r="247" spans="1:83" x14ac:dyDescent="0.3">
      <c r="A247" s="3" t="s">
        <v>287</v>
      </c>
      <c r="B247" s="3">
        <v>11655</v>
      </c>
      <c r="C247" s="3">
        <v>11655</v>
      </c>
      <c r="D247" s="3">
        <v>11610</v>
      </c>
      <c r="E247" s="3">
        <v>11605</v>
      </c>
      <c r="F247" s="3">
        <v>11665</v>
      </c>
      <c r="G247" s="3">
        <v>11665</v>
      </c>
      <c r="H247" s="3">
        <v>11500</v>
      </c>
      <c r="I247" s="3">
        <v>11500</v>
      </c>
      <c r="J247" s="3">
        <v>11835</v>
      </c>
      <c r="K247" s="3">
        <v>11840</v>
      </c>
      <c r="L247" s="3">
        <v>12000</v>
      </c>
      <c r="M247" s="3">
        <v>11995</v>
      </c>
      <c r="N247" s="3">
        <v>12585</v>
      </c>
      <c r="O247" s="3">
        <v>12580</v>
      </c>
      <c r="P247" s="3">
        <v>12720</v>
      </c>
      <c r="Q247" s="3">
        <v>12700</v>
      </c>
      <c r="R247" s="3">
        <v>12480</v>
      </c>
      <c r="S247" s="3">
        <v>12485</v>
      </c>
      <c r="T247" s="3">
        <v>12285</v>
      </c>
      <c r="U247" s="3">
        <v>12275</v>
      </c>
      <c r="V247" s="3">
        <v>12775</v>
      </c>
      <c r="W247" s="3">
        <v>12775</v>
      </c>
      <c r="X247" s="3">
        <v>12510</v>
      </c>
      <c r="Y247" s="3">
        <v>12525</v>
      </c>
      <c r="Z247" s="3">
        <v>12735</v>
      </c>
      <c r="AA247" s="3">
        <v>12745</v>
      </c>
      <c r="AB247" s="3">
        <v>13260</v>
      </c>
      <c r="AC247" s="3">
        <v>13250</v>
      </c>
      <c r="AD247" s="3">
        <v>13250</v>
      </c>
      <c r="AE247" s="3">
        <v>13240</v>
      </c>
      <c r="AF247" s="3">
        <v>13865</v>
      </c>
      <c r="AG247" s="3">
        <v>13860</v>
      </c>
      <c r="AH247" s="3">
        <v>13820</v>
      </c>
      <c r="AI247" s="3">
        <v>13795</v>
      </c>
      <c r="AJ247" s="3">
        <v>13705</v>
      </c>
      <c r="AK247" s="3">
        <v>13715</v>
      </c>
      <c r="AL247" s="3">
        <v>13655</v>
      </c>
      <c r="AM247" s="3">
        <v>13655</v>
      </c>
      <c r="AN247" s="3">
        <v>13440</v>
      </c>
      <c r="AO247" s="3">
        <v>13450</v>
      </c>
      <c r="AP247" s="3">
        <v>13495</v>
      </c>
      <c r="AQ247" s="3">
        <v>13490</v>
      </c>
      <c r="AR247" s="4">
        <f t="shared" si="144"/>
        <v>1.0841283607979202E-2</v>
      </c>
      <c r="AS247" s="4">
        <f t="shared" si="116"/>
        <v>4.761904761904745E-3</v>
      </c>
      <c r="AT247" s="4">
        <f t="shared" si="117"/>
        <v>2.6848591549295753E-2</v>
      </c>
      <c r="AU247" s="4">
        <f t="shared" si="118"/>
        <v>2.3769100169779289E-2</v>
      </c>
      <c r="AV247" s="4">
        <f t="shared" si="119"/>
        <v>1.2831479897348119E-2</v>
      </c>
      <c r="AW247" s="4">
        <f t="shared" si="120"/>
        <v>1.1382799325463822E-2</v>
      </c>
      <c r="AX247" s="4">
        <f t="shared" si="121"/>
        <v>3.8382170862567122E-2</v>
      </c>
      <c r="AY247" s="4">
        <f t="shared" si="122"/>
        <v>6.2597809076682109E-3</v>
      </c>
      <c r="AZ247" s="4">
        <f t="shared" si="123"/>
        <v>4.7827819848544895E-3</v>
      </c>
      <c r="BA247" s="4">
        <f t="shared" si="124"/>
        <v>8.0808080808081328E-3</v>
      </c>
      <c r="BB247" s="4">
        <f t="shared" si="125"/>
        <v>3.567085528982572E-2</v>
      </c>
      <c r="BC247" s="4">
        <f t="shared" si="126"/>
        <v>8.7059754649781995E-3</v>
      </c>
      <c r="BD247" s="4">
        <f t="shared" si="127"/>
        <v>7.3987538940809561E-3</v>
      </c>
      <c r="BE247" s="4">
        <f t="shared" si="128"/>
        <v>2.1982259930582337E-2</v>
      </c>
      <c r="BF247" s="4">
        <f t="shared" si="129"/>
        <v>1.1459129106187849E-2</v>
      </c>
      <c r="BG247" s="4">
        <f t="shared" si="130"/>
        <v>3.937007874015741E-2</v>
      </c>
      <c r="BH247" s="4">
        <f t="shared" si="131"/>
        <v>8.2674335010783917E-3</v>
      </c>
      <c r="BI247" s="4">
        <f t="shared" si="132"/>
        <v>1.1531531531531525E-2</v>
      </c>
      <c r="BJ247" s="4">
        <f t="shared" si="133"/>
        <v>4.737609329446113E-3</v>
      </c>
      <c r="BK247" s="4">
        <f t="shared" si="134"/>
        <v>1.7172086225794692E-2</v>
      </c>
      <c r="BL247" s="4">
        <f t="shared" si="135"/>
        <v>2.6012634708287852E-3</v>
      </c>
      <c r="BM247" s="4">
        <f t="shared" si="145"/>
        <v>1.5985803917825798E-2</v>
      </c>
      <c r="BN247" s="14">
        <f t="shared" si="146"/>
        <v>13670.088991714347</v>
      </c>
      <c r="BO247" s="15">
        <f t="shared" si="147"/>
        <v>13111.989162794971</v>
      </c>
      <c r="BP247" s="16">
        <v>13495</v>
      </c>
      <c r="BQ247" s="16">
        <v>13495</v>
      </c>
      <c r="BR247" s="16">
        <v>13485</v>
      </c>
      <c r="BS247" s="16">
        <v>13490</v>
      </c>
      <c r="BT247" s="16">
        <v>16517</v>
      </c>
      <c r="BU247" s="15">
        <f t="shared" si="136"/>
        <v>13490</v>
      </c>
      <c r="BV247" s="15">
        <f t="shared" si="137"/>
        <v>222814330</v>
      </c>
      <c r="BW247" s="15">
        <f>SUM($BV$3:BV247)</f>
        <v>216110931331.66663</v>
      </c>
      <c r="BX247" s="15">
        <f>SUM($BT$3:BT247)</f>
        <v>15939274</v>
      </c>
      <c r="BY247" s="15">
        <f t="shared" si="138"/>
        <v>13558.392391753014</v>
      </c>
      <c r="BZ247" s="3">
        <v>245</v>
      </c>
      <c r="CA247" s="3">
        <f t="shared" si="139"/>
        <v>0</v>
      </c>
      <c r="CB247" s="3">
        <f t="shared" si="140"/>
        <v>0</v>
      </c>
      <c r="CC247" s="3">
        <f t="shared" si="141"/>
        <v>0</v>
      </c>
      <c r="CD247" s="3" t="str">
        <f t="shared" si="142"/>
        <v/>
      </c>
      <c r="CE247" s="3">
        <f t="shared" si="143"/>
        <v>0</v>
      </c>
    </row>
    <row r="248" spans="1:83" x14ac:dyDescent="0.3">
      <c r="A248" s="3" t="s">
        <v>288</v>
      </c>
      <c r="B248" s="3">
        <v>11655</v>
      </c>
      <c r="C248" s="3">
        <v>11655</v>
      </c>
      <c r="D248" s="3">
        <v>11605</v>
      </c>
      <c r="E248" s="3">
        <v>11585</v>
      </c>
      <c r="F248" s="3">
        <v>11665</v>
      </c>
      <c r="G248" s="3">
        <v>11660</v>
      </c>
      <c r="H248" s="3">
        <v>11500</v>
      </c>
      <c r="I248" s="3">
        <v>11495</v>
      </c>
      <c r="J248" s="3">
        <v>11840</v>
      </c>
      <c r="K248" s="3">
        <v>11840</v>
      </c>
      <c r="L248" s="3">
        <v>11995</v>
      </c>
      <c r="M248" s="3">
        <v>11980</v>
      </c>
      <c r="N248" s="3">
        <v>12580</v>
      </c>
      <c r="O248" s="3">
        <v>12590</v>
      </c>
      <c r="P248" s="3">
        <v>12695</v>
      </c>
      <c r="Q248" s="3">
        <v>12700</v>
      </c>
      <c r="R248" s="3">
        <v>12480</v>
      </c>
      <c r="S248" s="3">
        <v>12475</v>
      </c>
      <c r="T248" s="3">
        <v>12275</v>
      </c>
      <c r="U248" s="3">
        <v>12280</v>
      </c>
      <c r="V248" s="3">
        <v>12775</v>
      </c>
      <c r="W248" s="3">
        <v>12780</v>
      </c>
      <c r="X248" s="3">
        <v>12525</v>
      </c>
      <c r="Y248" s="3">
        <v>12535</v>
      </c>
      <c r="Z248" s="3">
        <v>12745</v>
      </c>
      <c r="AA248" s="3">
        <v>12750</v>
      </c>
      <c r="AB248" s="3">
        <v>13255</v>
      </c>
      <c r="AC248" s="3">
        <v>13250</v>
      </c>
      <c r="AD248" s="3">
        <v>13240</v>
      </c>
      <c r="AE248" s="3">
        <v>13255</v>
      </c>
      <c r="AF248" s="3">
        <v>13860</v>
      </c>
      <c r="AG248" s="3">
        <v>13870</v>
      </c>
      <c r="AH248" s="3">
        <v>13800</v>
      </c>
      <c r="AI248" s="3">
        <v>13795</v>
      </c>
      <c r="AJ248" s="3">
        <v>13715</v>
      </c>
      <c r="AK248" s="3">
        <v>13710</v>
      </c>
      <c r="AL248" s="3">
        <v>13650</v>
      </c>
      <c r="AM248" s="3">
        <v>13640</v>
      </c>
      <c r="AN248" s="3">
        <v>13450</v>
      </c>
      <c r="AO248" s="3">
        <v>13450</v>
      </c>
      <c r="AP248" s="3">
        <v>13495</v>
      </c>
      <c r="AQ248" s="3">
        <v>13490</v>
      </c>
      <c r="AR248" s="4">
        <f t="shared" si="144"/>
        <v>1.0841283607979202E-2</v>
      </c>
      <c r="AS248" s="4">
        <f t="shared" si="116"/>
        <v>3.0303030303029388E-3</v>
      </c>
      <c r="AT248" s="4">
        <f t="shared" si="117"/>
        <v>2.6408450704225261E-2</v>
      </c>
      <c r="AU248" s="4">
        <f t="shared" si="118"/>
        <v>2.4193548387096753E-2</v>
      </c>
      <c r="AV248" s="4">
        <f t="shared" si="119"/>
        <v>1.2831479897348119E-2</v>
      </c>
      <c r="AW248" s="4">
        <f t="shared" si="120"/>
        <v>1.0118043844856706E-2</v>
      </c>
      <c r="AX248" s="4">
        <f t="shared" si="121"/>
        <v>3.9207593891869674E-2</v>
      </c>
      <c r="AY248" s="4">
        <f t="shared" si="122"/>
        <v>6.2597809076682109E-3</v>
      </c>
      <c r="AZ248" s="4">
        <f t="shared" si="123"/>
        <v>5.579912315663571E-3</v>
      </c>
      <c r="BA248" s="4">
        <f t="shared" si="124"/>
        <v>7.6767676767677262E-3</v>
      </c>
      <c r="BB248" s="4">
        <f t="shared" si="125"/>
        <v>3.607620591811922E-2</v>
      </c>
      <c r="BC248" s="4">
        <f t="shared" si="126"/>
        <v>7.9145231499802016E-3</v>
      </c>
      <c r="BD248" s="4">
        <f t="shared" si="127"/>
        <v>7.0093457943924964E-3</v>
      </c>
      <c r="BE248" s="4">
        <f t="shared" si="128"/>
        <v>2.1982259930582337E-2</v>
      </c>
      <c r="BF248" s="4">
        <f t="shared" si="129"/>
        <v>1.2605042016806678E-2</v>
      </c>
      <c r="BG248" s="4">
        <f t="shared" si="130"/>
        <v>4.0119985001874747E-2</v>
      </c>
      <c r="BH248" s="4">
        <f t="shared" si="131"/>
        <v>8.2674335010783917E-3</v>
      </c>
      <c r="BI248" s="4">
        <f t="shared" si="132"/>
        <v>1.1891891891891881E-2</v>
      </c>
      <c r="BJ248" s="4">
        <f t="shared" si="133"/>
        <v>5.8309037900874383E-3</v>
      </c>
      <c r="BK248" s="4">
        <f t="shared" si="134"/>
        <v>1.7172086225794692E-2</v>
      </c>
      <c r="BL248" s="4">
        <f t="shared" si="135"/>
        <v>2.6012634708287852E-3</v>
      </c>
      <c r="BM248" s="4">
        <f t="shared" si="145"/>
        <v>1.6256695143755519E-2</v>
      </c>
      <c r="BN248" s="14">
        <f t="shared" si="146"/>
        <v>13673.733833159231</v>
      </c>
      <c r="BO248" s="15">
        <f t="shared" si="147"/>
        <v>13108.379537209457</v>
      </c>
      <c r="BP248" s="16">
        <v>13495</v>
      </c>
      <c r="BQ248" s="16">
        <v>13500</v>
      </c>
      <c r="BR248" s="16">
        <v>13490</v>
      </c>
      <c r="BS248" s="16">
        <v>13490</v>
      </c>
      <c r="BT248" s="16">
        <v>15616</v>
      </c>
      <c r="BU248" s="15">
        <f t="shared" si="136"/>
        <v>13493.333333333334</v>
      </c>
      <c r="BV248" s="15">
        <f t="shared" si="137"/>
        <v>210711893.33333334</v>
      </c>
      <c r="BW248" s="15">
        <f>SUM($BV$3:BV248)</f>
        <v>216321643224.99997</v>
      </c>
      <c r="BX248" s="15">
        <f>SUM($BT$3:BT248)</f>
        <v>15954890</v>
      </c>
      <c r="BY248" s="15">
        <f t="shared" si="138"/>
        <v>13558.328714582172</v>
      </c>
      <c r="BZ248" s="3">
        <v>246</v>
      </c>
      <c r="CA248" s="3">
        <f t="shared" si="139"/>
        <v>0</v>
      </c>
      <c r="CB248" s="3">
        <f t="shared" si="140"/>
        <v>0</v>
      </c>
      <c r="CC248" s="3">
        <f t="shared" si="141"/>
        <v>0</v>
      </c>
      <c r="CD248" s="3" t="str">
        <f t="shared" si="142"/>
        <v/>
      </c>
      <c r="CE248" s="3">
        <f t="shared" si="143"/>
        <v>0</v>
      </c>
    </row>
    <row r="249" spans="1:83" x14ac:dyDescent="0.3">
      <c r="A249" s="3" t="s">
        <v>289</v>
      </c>
      <c r="B249" s="3">
        <v>11655</v>
      </c>
      <c r="C249" s="3">
        <v>11660</v>
      </c>
      <c r="D249" s="3">
        <v>11590</v>
      </c>
      <c r="E249" s="3">
        <v>11595</v>
      </c>
      <c r="F249" s="3">
        <v>11660</v>
      </c>
      <c r="G249" s="3">
        <v>11660</v>
      </c>
      <c r="H249" s="3">
        <v>11495</v>
      </c>
      <c r="I249" s="3">
        <v>11490</v>
      </c>
      <c r="J249" s="3">
        <v>11845</v>
      </c>
      <c r="K249" s="3">
        <v>11850</v>
      </c>
      <c r="L249" s="3">
        <v>11985</v>
      </c>
      <c r="M249" s="3">
        <v>11985</v>
      </c>
      <c r="N249" s="3">
        <v>12585</v>
      </c>
      <c r="O249" s="3">
        <v>12585</v>
      </c>
      <c r="P249" s="3">
        <v>12695</v>
      </c>
      <c r="Q249" s="3">
        <v>12695</v>
      </c>
      <c r="R249" s="3">
        <v>12475</v>
      </c>
      <c r="S249" s="3">
        <v>12475</v>
      </c>
      <c r="T249" s="3">
        <v>12280</v>
      </c>
      <c r="U249" s="3">
        <v>12280</v>
      </c>
      <c r="V249" s="3">
        <v>12780</v>
      </c>
      <c r="W249" s="3">
        <v>12785</v>
      </c>
      <c r="X249" s="3">
        <v>12535</v>
      </c>
      <c r="Y249" s="3">
        <v>12520</v>
      </c>
      <c r="Z249" s="3">
        <v>12750</v>
      </c>
      <c r="AA249" s="3">
        <v>12750</v>
      </c>
      <c r="AB249" s="3">
        <v>13255</v>
      </c>
      <c r="AC249" s="3">
        <v>13250</v>
      </c>
      <c r="AD249" s="3">
        <v>13260</v>
      </c>
      <c r="AE249" s="3">
        <v>13270</v>
      </c>
      <c r="AF249" s="3">
        <v>13870</v>
      </c>
      <c r="AG249" s="3">
        <v>13870</v>
      </c>
      <c r="AH249" s="3">
        <v>13795</v>
      </c>
      <c r="AI249" s="3">
        <v>13815</v>
      </c>
      <c r="AJ249" s="3">
        <v>13710</v>
      </c>
      <c r="AK249" s="3">
        <v>13725</v>
      </c>
      <c r="AL249" s="3">
        <v>13645</v>
      </c>
      <c r="AM249" s="3">
        <v>13635</v>
      </c>
      <c r="AN249" s="3">
        <v>13450</v>
      </c>
      <c r="AO249" s="3">
        <v>13450</v>
      </c>
      <c r="AP249" s="3">
        <v>13490</v>
      </c>
      <c r="AQ249" s="3">
        <v>13480</v>
      </c>
      <c r="AR249" s="4">
        <f t="shared" si="144"/>
        <v>1.1274934952298254E-2</v>
      </c>
      <c r="AS249" s="4">
        <f t="shared" si="116"/>
        <v>3.8961038961038419E-3</v>
      </c>
      <c r="AT249" s="4">
        <f t="shared" si="117"/>
        <v>2.6408450704225261E-2</v>
      </c>
      <c r="AU249" s="4">
        <f t="shared" si="118"/>
        <v>2.4617996604414216E-2</v>
      </c>
      <c r="AV249" s="4">
        <f t="shared" si="119"/>
        <v>1.3686911890504749E-2</v>
      </c>
      <c r="AW249" s="4">
        <f t="shared" si="120"/>
        <v>1.0539629005059004E-2</v>
      </c>
      <c r="AX249" s="4">
        <f t="shared" si="121"/>
        <v>3.8794882377218398E-2</v>
      </c>
      <c r="AY249" s="4">
        <f t="shared" si="122"/>
        <v>6.6510172143975366E-3</v>
      </c>
      <c r="AZ249" s="4">
        <f t="shared" si="123"/>
        <v>5.579912315663571E-3</v>
      </c>
      <c r="BA249" s="4">
        <f t="shared" si="124"/>
        <v>7.6767676767677262E-3</v>
      </c>
      <c r="BB249" s="4">
        <f t="shared" si="125"/>
        <v>3.6481556546412719E-2</v>
      </c>
      <c r="BC249" s="4">
        <f t="shared" si="126"/>
        <v>9.101701622477254E-3</v>
      </c>
      <c r="BD249" s="4">
        <f t="shared" si="127"/>
        <v>7.0093457943924964E-3</v>
      </c>
      <c r="BE249" s="4">
        <f t="shared" si="128"/>
        <v>2.1982259930582337E-2</v>
      </c>
      <c r="BF249" s="4">
        <f t="shared" si="129"/>
        <v>1.3750954927425507E-2</v>
      </c>
      <c r="BG249" s="4">
        <f t="shared" si="130"/>
        <v>4.0119985001874747E-2</v>
      </c>
      <c r="BH249" s="4">
        <f t="shared" si="131"/>
        <v>6.8296189791516859E-3</v>
      </c>
      <c r="BI249" s="4">
        <f t="shared" si="132"/>
        <v>1.0810810810810811E-2</v>
      </c>
      <c r="BJ249" s="4">
        <f t="shared" si="133"/>
        <v>6.1953352769679171E-3</v>
      </c>
      <c r="BK249" s="4">
        <f t="shared" si="134"/>
        <v>1.7172086225794692E-2</v>
      </c>
      <c r="BL249" s="4">
        <f t="shared" si="135"/>
        <v>1.85804533630618E-3</v>
      </c>
      <c r="BM249" s="4">
        <f t="shared" si="145"/>
        <v>1.6296873907138385E-2</v>
      </c>
      <c r="BN249" s="14">
        <f t="shared" si="146"/>
        <v>13674.274438420545</v>
      </c>
      <c r="BO249" s="15">
        <f t="shared" si="147"/>
        <v>13107.84415518738</v>
      </c>
      <c r="BP249" s="16">
        <v>13490</v>
      </c>
      <c r="BQ249" s="16">
        <v>13490</v>
      </c>
      <c r="BR249" s="16">
        <v>13480</v>
      </c>
      <c r="BS249" s="16">
        <v>13480</v>
      </c>
      <c r="BT249" s="16">
        <v>4627</v>
      </c>
      <c r="BU249" s="15">
        <f t="shared" si="136"/>
        <v>13483.333333333334</v>
      </c>
      <c r="BV249" s="15">
        <f t="shared" si="137"/>
        <v>62387383.333333336</v>
      </c>
      <c r="BW249" s="15">
        <f>SUM($BV$3:BV249)</f>
        <v>216384030608.33331</v>
      </c>
      <c r="BX249" s="15">
        <f>SUM($BT$3:BT249)</f>
        <v>15959517</v>
      </c>
      <c r="BY249" s="15">
        <f t="shared" si="138"/>
        <v>13558.30697184215</v>
      </c>
      <c r="BZ249" s="3">
        <v>247</v>
      </c>
      <c r="CA249" s="3">
        <f t="shared" si="139"/>
        <v>0</v>
      </c>
      <c r="CB249" s="3">
        <f t="shared" si="140"/>
        <v>0</v>
      </c>
      <c r="CC249" s="3">
        <f t="shared" si="141"/>
        <v>0</v>
      </c>
      <c r="CD249" s="3" t="str">
        <f t="shared" si="142"/>
        <v/>
      </c>
      <c r="CE249" s="3">
        <f t="shared" si="143"/>
        <v>0</v>
      </c>
    </row>
    <row r="250" spans="1:83" x14ac:dyDescent="0.3">
      <c r="A250" s="3" t="s">
        <v>290</v>
      </c>
      <c r="B250" s="3">
        <v>11660</v>
      </c>
      <c r="C250" s="3">
        <v>11665</v>
      </c>
      <c r="D250" s="3">
        <v>11595</v>
      </c>
      <c r="E250" s="3">
        <v>11570</v>
      </c>
      <c r="F250" s="3">
        <v>11660</v>
      </c>
      <c r="G250" s="3">
        <v>11645</v>
      </c>
      <c r="H250" s="3">
        <v>11485</v>
      </c>
      <c r="I250" s="3">
        <v>11475</v>
      </c>
      <c r="J250" s="3">
        <v>11850</v>
      </c>
      <c r="K250" s="3">
        <v>11845</v>
      </c>
      <c r="L250" s="3">
        <v>11985</v>
      </c>
      <c r="M250" s="3">
        <v>11970</v>
      </c>
      <c r="N250" s="3">
        <v>12585</v>
      </c>
      <c r="O250" s="3">
        <v>12590</v>
      </c>
      <c r="P250" s="3">
        <v>12695</v>
      </c>
      <c r="Q250" s="3">
        <v>12685</v>
      </c>
      <c r="R250" s="3">
        <v>12470</v>
      </c>
      <c r="S250" s="3">
        <v>12475</v>
      </c>
      <c r="T250" s="3">
        <v>12275</v>
      </c>
      <c r="U250" s="3">
        <v>12275</v>
      </c>
      <c r="V250" s="3">
        <v>12785</v>
      </c>
      <c r="W250" s="3">
        <v>12790</v>
      </c>
      <c r="X250" s="3">
        <v>12525</v>
      </c>
      <c r="Y250" s="3">
        <v>12505</v>
      </c>
      <c r="Z250" s="3">
        <v>12750</v>
      </c>
      <c r="AA250" s="3">
        <v>12740</v>
      </c>
      <c r="AB250" s="3">
        <v>13255</v>
      </c>
      <c r="AC250" s="3">
        <v>13245</v>
      </c>
      <c r="AD250" s="3">
        <v>13270</v>
      </c>
      <c r="AE250" s="3">
        <v>13270</v>
      </c>
      <c r="AF250" s="3">
        <v>13865</v>
      </c>
      <c r="AG250" s="3">
        <v>13880</v>
      </c>
      <c r="AH250" s="3">
        <v>13810</v>
      </c>
      <c r="AI250" s="3">
        <v>13800</v>
      </c>
      <c r="AJ250" s="3">
        <v>13725</v>
      </c>
      <c r="AK250" s="3">
        <v>13705</v>
      </c>
      <c r="AL250" s="3">
        <v>13635</v>
      </c>
      <c r="AM250" s="3">
        <v>13625</v>
      </c>
      <c r="AN250" s="3">
        <v>13455</v>
      </c>
      <c r="AO250" s="3">
        <v>13455</v>
      </c>
      <c r="AP250" s="3">
        <v>13480</v>
      </c>
      <c r="AQ250" s="3">
        <v>13480</v>
      </c>
      <c r="AR250" s="4">
        <f t="shared" si="144"/>
        <v>1.1708586296617529E-2</v>
      </c>
      <c r="AS250" s="4">
        <f t="shared" si="116"/>
        <v>1.7316017316018062E-3</v>
      </c>
      <c r="AT250" s="4">
        <f t="shared" si="117"/>
        <v>2.5088028169014009E-2</v>
      </c>
      <c r="AU250" s="4">
        <f t="shared" si="118"/>
        <v>2.5891341256366718E-2</v>
      </c>
      <c r="AV250" s="4">
        <f t="shared" si="119"/>
        <v>1.3259195893926323E-2</v>
      </c>
      <c r="AW250" s="4">
        <f t="shared" si="120"/>
        <v>9.2748735244518876E-3</v>
      </c>
      <c r="AX250" s="4">
        <f t="shared" si="121"/>
        <v>3.9207593891869674E-2</v>
      </c>
      <c r="AY250" s="4">
        <f t="shared" si="122"/>
        <v>7.4334898278560768E-3</v>
      </c>
      <c r="AZ250" s="4">
        <f t="shared" si="123"/>
        <v>5.579912315663571E-3</v>
      </c>
      <c r="BA250" s="4">
        <f t="shared" si="124"/>
        <v>8.0808080808081328E-3</v>
      </c>
      <c r="BB250" s="4">
        <f t="shared" si="125"/>
        <v>3.6886907174706218E-2</v>
      </c>
      <c r="BC250" s="4">
        <f t="shared" si="126"/>
        <v>1.0288880094974306E-2</v>
      </c>
      <c r="BD250" s="4">
        <f t="shared" si="127"/>
        <v>7.7881619937694158E-3</v>
      </c>
      <c r="BE250" s="4">
        <f t="shared" si="128"/>
        <v>2.1596606247589634E-2</v>
      </c>
      <c r="BF250" s="4">
        <f t="shared" si="129"/>
        <v>1.3750954927425507E-2</v>
      </c>
      <c r="BG250" s="4">
        <f t="shared" si="130"/>
        <v>4.0869891263592084E-2</v>
      </c>
      <c r="BH250" s="4">
        <f t="shared" si="131"/>
        <v>7.9079798705966597E-3</v>
      </c>
      <c r="BI250" s="4">
        <f t="shared" si="132"/>
        <v>1.2252252252252238E-2</v>
      </c>
      <c r="BJ250" s="4">
        <f t="shared" si="133"/>
        <v>6.9241982507288746E-3</v>
      </c>
      <c r="BK250" s="4">
        <f t="shared" si="134"/>
        <v>1.6806722689075682E-2</v>
      </c>
      <c r="BL250" s="4">
        <f t="shared" si="135"/>
        <v>1.85804533630618E-3</v>
      </c>
      <c r="BM250" s="4">
        <f t="shared" si="145"/>
        <v>1.6812454205779148E-2</v>
      </c>
      <c r="BN250" s="14">
        <f t="shared" si="146"/>
        <v>13681.211571338757</v>
      </c>
      <c r="BO250" s="15">
        <f t="shared" si="147"/>
        <v>13100.974047707992</v>
      </c>
      <c r="BP250" s="16">
        <v>13480</v>
      </c>
      <c r="BQ250" s="16">
        <v>13480</v>
      </c>
      <c r="BR250" s="16">
        <v>13475</v>
      </c>
      <c r="BS250" s="16">
        <v>13480</v>
      </c>
      <c r="BT250" s="16">
        <v>5727</v>
      </c>
      <c r="BU250" s="15">
        <f t="shared" si="136"/>
        <v>13478.333333333334</v>
      </c>
      <c r="BV250" s="15">
        <f t="shared" si="137"/>
        <v>77190415</v>
      </c>
      <c r="BW250" s="15">
        <f>SUM($BV$3:BV250)</f>
        <v>216461221023.33331</v>
      </c>
      <c r="BX250" s="15">
        <f>SUM($BT$3:BT250)</f>
        <v>15965244</v>
      </c>
      <c r="BY250" s="15">
        <f t="shared" si="138"/>
        <v>13558.278283960666</v>
      </c>
      <c r="BZ250" s="3">
        <v>248</v>
      </c>
      <c r="CA250" s="3">
        <f t="shared" si="139"/>
        <v>0</v>
      </c>
      <c r="CB250" s="3">
        <f t="shared" si="140"/>
        <v>0</v>
      </c>
      <c r="CC250" s="3">
        <f t="shared" si="141"/>
        <v>0</v>
      </c>
      <c r="CD250" s="3" t="str">
        <f t="shared" si="142"/>
        <v/>
      </c>
      <c r="CE250" s="3">
        <f t="shared" si="143"/>
        <v>0</v>
      </c>
    </row>
    <row r="251" spans="1:83" x14ac:dyDescent="0.3">
      <c r="A251" s="3" t="s">
        <v>291</v>
      </c>
      <c r="B251" s="3">
        <v>11665</v>
      </c>
      <c r="C251" s="3">
        <v>11665</v>
      </c>
      <c r="D251" s="3">
        <v>11570</v>
      </c>
      <c r="E251" s="3">
        <v>11575</v>
      </c>
      <c r="F251" s="3">
        <v>11650</v>
      </c>
      <c r="G251" s="3">
        <v>11650</v>
      </c>
      <c r="H251" s="3">
        <v>11480</v>
      </c>
      <c r="I251" s="3">
        <v>11480</v>
      </c>
      <c r="J251" s="3">
        <v>11845</v>
      </c>
      <c r="K251" s="3">
        <v>11875</v>
      </c>
      <c r="L251" s="3">
        <v>11970</v>
      </c>
      <c r="M251" s="3">
        <v>11965</v>
      </c>
      <c r="N251" s="3">
        <v>12590</v>
      </c>
      <c r="O251" s="3">
        <v>12585</v>
      </c>
      <c r="P251" s="3">
        <v>12690</v>
      </c>
      <c r="Q251" s="3">
        <v>12695</v>
      </c>
      <c r="R251" s="3">
        <v>12480</v>
      </c>
      <c r="S251" s="3">
        <v>12480</v>
      </c>
      <c r="T251" s="3">
        <v>12280</v>
      </c>
      <c r="U251" s="3">
        <v>12290</v>
      </c>
      <c r="V251" s="3">
        <v>12795</v>
      </c>
      <c r="W251" s="3">
        <v>12795</v>
      </c>
      <c r="X251" s="3">
        <v>12510</v>
      </c>
      <c r="Y251" s="3">
        <v>12495</v>
      </c>
      <c r="Z251" s="3">
        <v>12735</v>
      </c>
      <c r="AA251" s="3">
        <v>12740</v>
      </c>
      <c r="AB251" s="3">
        <v>13245</v>
      </c>
      <c r="AC251" s="3">
        <v>13250</v>
      </c>
      <c r="AD251" s="3">
        <v>13260</v>
      </c>
      <c r="AE251" s="3">
        <v>13265</v>
      </c>
      <c r="AF251" s="3">
        <v>13880</v>
      </c>
      <c r="AG251" s="3">
        <v>13880</v>
      </c>
      <c r="AH251" s="3">
        <v>13805</v>
      </c>
      <c r="AI251" s="3">
        <v>13820</v>
      </c>
      <c r="AJ251" s="3">
        <v>13710</v>
      </c>
      <c r="AK251" s="3">
        <v>13725</v>
      </c>
      <c r="AL251" s="3">
        <v>13625</v>
      </c>
      <c r="AM251" s="3">
        <v>13640</v>
      </c>
      <c r="AN251" s="3">
        <v>13460</v>
      </c>
      <c r="AO251" s="3">
        <v>13460</v>
      </c>
      <c r="AP251" s="3">
        <v>13475</v>
      </c>
      <c r="AQ251" s="3">
        <v>13470</v>
      </c>
      <c r="AR251" s="4">
        <f t="shared" si="144"/>
        <v>1.1708586296617529E-2</v>
      </c>
      <c r="AS251" s="4">
        <f t="shared" si="116"/>
        <v>2.1645021645022577E-3</v>
      </c>
      <c r="AT251" s="4">
        <f t="shared" si="117"/>
        <v>2.5528169014084501E-2</v>
      </c>
      <c r="AU251" s="4">
        <f t="shared" si="118"/>
        <v>2.5466893039049254E-2</v>
      </c>
      <c r="AV251" s="4">
        <f t="shared" si="119"/>
        <v>1.5825491873395992E-2</v>
      </c>
      <c r="AW251" s="4">
        <f t="shared" si="120"/>
        <v>8.8532883642495896E-3</v>
      </c>
      <c r="AX251" s="4">
        <f t="shared" si="121"/>
        <v>3.8794882377218398E-2</v>
      </c>
      <c r="AY251" s="4">
        <f t="shared" si="122"/>
        <v>6.6510172143975366E-3</v>
      </c>
      <c r="AZ251" s="4">
        <f t="shared" si="123"/>
        <v>5.1813471502590858E-3</v>
      </c>
      <c r="BA251" s="4">
        <f t="shared" si="124"/>
        <v>6.8686868686869129E-3</v>
      </c>
      <c r="BB251" s="4">
        <f t="shared" si="125"/>
        <v>3.7292257802999496E-2</v>
      </c>
      <c r="BC251" s="4">
        <f t="shared" si="126"/>
        <v>1.1080332409972304E-2</v>
      </c>
      <c r="BD251" s="4">
        <f t="shared" si="127"/>
        <v>7.7881619937694158E-3</v>
      </c>
      <c r="BE251" s="4">
        <f t="shared" si="128"/>
        <v>2.1982259930582337E-2</v>
      </c>
      <c r="BF251" s="4">
        <f t="shared" si="129"/>
        <v>1.3368983957219305E-2</v>
      </c>
      <c r="BG251" s="4">
        <f t="shared" si="130"/>
        <v>4.0869891263592084E-2</v>
      </c>
      <c r="BH251" s="4">
        <f t="shared" si="131"/>
        <v>6.470165348670065E-3</v>
      </c>
      <c r="BI251" s="4">
        <f t="shared" si="132"/>
        <v>1.0810810810810811E-2</v>
      </c>
      <c r="BJ251" s="4">
        <f t="shared" si="133"/>
        <v>5.8309037900874383E-3</v>
      </c>
      <c r="BK251" s="4">
        <f t="shared" si="134"/>
        <v>1.6441359152356561E-2</v>
      </c>
      <c r="BL251" s="4">
        <f t="shared" si="135"/>
        <v>1.1148272017837968E-3</v>
      </c>
      <c r="BM251" s="4">
        <f t="shared" si="145"/>
        <v>1.6387932862187267E-2</v>
      </c>
      <c r="BN251" s="14">
        <f t="shared" si="146"/>
        <v>13675.499636660728</v>
      </c>
      <c r="BO251" s="15">
        <f t="shared" si="147"/>
        <v>13106.630794611354</v>
      </c>
      <c r="BP251" s="16">
        <v>13475</v>
      </c>
      <c r="BQ251" s="16">
        <v>13475</v>
      </c>
      <c r="BR251" s="16">
        <v>13455</v>
      </c>
      <c r="BS251" s="16">
        <v>13470</v>
      </c>
      <c r="BT251" s="16">
        <v>79546</v>
      </c>
      <c r="BU251" s="15">
        <f t="shared" si="136"/>
        <v>13466.666666666666</v>
      </c>
      <c r="BV251" s="15">
        <f t="shared" si="137"/>
        <v>1071219466.6666666</v>
      </c>
      <c r="BW251" s="15">
        <f>SUM($BV$3:BV251)</f>
        <v>217532440489.99997</v>
      </c>
      <c r="BX251" s="15">
        <f>SUM($BT$3:BT251)</f>
        <v>16044790</v>
      </c>
      <c r="BY251" s="15">
        <f t="shared" si="138"/>
        <v>13557.824096794035</v>
      </c>
      <c r="BZ251" s="3">
        <v>249</v>
      </c>
      <c r="CA251" s="3">
        <f t="shared" si="139"/>
        <v>0</v>
      </c>
      <c r="CB251" s="3">
        <f t="shared" si="140"/>
        <v>0</v>
      </c>
      <c r="CC251" s="3">
        <f t="shared" si="141"/>
        <v>0</v>
      </c>
      <c r="CD251" s="3" t="str">
        <f t="shared" si="142"/>
        <v/>
      </c>
      <c r="CE251" s="3">
        <f t="shared" si="143"/>
        <v>0</v>
      </c>
    </row>
    <row r="252" spans="1:83" x14ac:dyDescent="0.3">
      <c r="A252" s="3" t="s">
        <v>292</v>
      </c>
      <c r="B252" s="3">
        <v>11670</v>
      </c>
      <c r="C252" s="3">
        <v>11660</v>
      </c>
      <c r="D252" s="3">
        <v>11580</v>
      </c>
      <c r="E252" s="3">
        <v>11580</v>
      </c>
      <c r="F252" s="3">
        <v>11650</v>
      </c>
      <c r="G252" s="3">
        <v>11650</v>
      </c>
      <c r="H252" s="3">
        <v>11475</v>
      </c>
      <c r="I252" s="3">
        <v>11460</v>
      </c>
      <c r="J252" s="3">
        <v>11875</v>
      </c>
      <c r="K252" s="3">
        <v>11880</v>
      </c>
      <c r="L252" s="3">
        <v>11965</v>
      </c>
      <c r="M252" s="3">
        <v>11980</v>
      </c>
      <c r="N252" s="3">
        <v>12585</v>
      </c>
      <c r="O252" s="3">
        <v>12580</v>
      </c>
      <c r="P252" s="3">
        <v>12695</v>
      </c>
      <c r="Q252" s="3">
        <v>12710</v>
      </c>
      <c r="R252" s="3">
        <v>12480</v>
      </c>
      <c r="S252" s="3">
        <v>12485</v>
      </c>
      <c r="T252" s="3">
        <v>12295</v>
      </c>
      <c r="U252" s="3">
        <v>12295</v>
      </c>
      <c r="V252" s="3">
        <v>12800</v>
      </c>
      <c r="W252" s="3">
        <v>12790</v>
      </c>
      <c r="X252" s="3">
        <v>12500</v>
      </c>
      <c r="Y252" s="3">
        <v>12525</v>
      </c>
      <c r="Z252" s="3">
        <v>12735</v>
      </c>
      <c r="AA252" s="3">
        <v>12730</v>
      </c>
      <c r="AB252" s="3">
        <v>13250</v>
      </c>
      <c r="AC252" s="3">
        <v>13245</v>
      </c>
      <c r="AD252" s="3">
        <v>13265</v>
      </c>
      <c r="AE252" s="3">
        <v>13265</v>
      </c>
      <c r="AF252" s="3">
        <v>13880</v>
      </c>
      <c r="AG252" s="3">
        <v>13860</v>
      </c>
      <c r="AH252" s="3">
        <v>13815</v>
      </c>
      <c r="AI252" s="3">
        <v>13810</v>
      </c>
      <c r="AJ252" s="3">
        <v>13725</v>
      </c>
      <c r="AK252" s="3">
        <v>13720</v>
      </c>
      <c r="AL252" s="3">
        <v>13635</v>
      </c>
      <c r="AM252" s="3">
        <v>13645</v>
      </c>
      <c r="AN252" s="3">
        <v>13455</v>
      </c>
      <c r="AO252" s="3">
        <v>13465</v>
      </c>
      <c r="AP252" s="3">
        <v>13470</v>
      </c>
      <c r="AQ252" s="3">
        <v>13470</v>
      </c>
      <c r="AR252" s="4">
        <f t="shared" si="144"/>
        <v>1.1274934952298254E-2</v>
      </c>
      <c r="AS252" s="4">
        <f t="shared" si="116"/>
        <v>2.5974025974024872E-3</v>
      </c>
      <c r="AT252" s="4">
        <f t="shared" si="117"/>
        <v>2.5528169014084501E-2</v>
      </c>
      <c r="AU252" s="4">
        <f t="shared" si="118"/>
        <v>2.7164685908319219E-2</v>
      </c>
      <c r="AV252" s="4">
        <f t="shared" si="119"/>
        <v>1.6253207869974418E-2</v>
      </c>
      <c r="AW252" s="4">
        <f t="shared" si="120"/>
        <v>1.0118043844856706E-2</v>
      </c>
      <c r="AX252" s="4">
        <f t="shared" si="121"/>
        <v>3.8382170862567122E-2</v>
      </c>
      <c r="AY252" s="4">
        <f t="shared" si="122"/>
        <v>5.4773082942096707E-3</v>
      </c>
      <c r="AZ252" s="4">
        <f t="shared" si="123"/>
        <v>4.7827819848544895E-3</v>
      </c>
      <c r="BA252" s="4">
        <f t="shared" si="124"/>
        <v>6.4646464646465063E-3</v>
      </c>
      <c r="BB252" s="4">
        <f t="shared" si="125"/>
        <v>3.6886907174706218E-2</v>
      </c>
      <c r="BC252" s="4">
        <f t="shared" si="126"/>
        <v>8.7059754649781995E-3</v>
      </c>
      <c r="BD252" s="4">
        <f t="shared" si="127"/>
        <v>8.5669781931464462E-3</v>
      </c>
      <c r="BE252" s="4">
        <f t="shared" si="128"/>
        <v>2.1596606247589634E-2</v>
      </c>
      <c r="BF252" s="4">
        <f t="shared" si="129"/>
        <v>1.3368983957219305E-2</v>
      </c>
      <c r="BG252" s="4">
        <f t="shared" si="130"/>
        <v>3.937007874015741E-2</v>
      </c>
      <c r="BH252" s="4">
        <f t="shared" si="131"/>
        <v>7.1890726096333069E-3</v>
      </c>
      <c r="BI252" s="4">
        <f t="shared" si="132"/>
        <v>1.1171171171171168E-2</v>
      </c>
      <c r="BJ252" s="4">
        <f t="shared" si="133"/>
        <v>5.4664723032069595E-3</v>
      </c>
      <c r="BK252" s="4">
        <f t="shared" si="134"/>
        <v>1.6075995615637551E-2</v>
      </c>
      <c r="BL252" s="4">
        <f t="shared" si="135"/>
        <v>1.1148272017837968E-3</v>
      </c>
      <c r="BM252" s="4">
        <f t="shared" si="145"/>
        <v>1.5964653505980284E-2</v>
      </c>
      <c r="BN252" s="14">
        <f t="shared" si="146"/>
        <v>13669.804412922966</v>
      </c>
      <c r="BO252" s="15">
        <f t="shared" si="147"/>
        <v>13112.270992032813</v>
      </c>
      <c r="BP252" s="16">
        <v>13470</v>
      </c>
      <c r="BQ252" s="16">
        <v>13470</v>
      </c>
      <c r="BR252" s="16">
        <v>13460</v>
      </c>
      <c r="BS252" s="16">
        <v>13470</v>
      </c>
      <c r="BT252" s="16">
        <v>16039</v>
      </c>
      <c r="BU252" s="15">
        <f t="shared" si="136"/>
        <v>13466.666666666666</v>
      </c>
      <c r="BV252" s="15">
        <f t="shared" si="137"/>
        <v>215991866.66666666</v>
      </c>
      <c r="BW252" s="15">
        <f>SUM($BV$3:BV252)</f>
        <v>217748432356.66663</v>
      </c>
      <c r="BX252" s="15">
        <f>SUM($BT$3:BT252)</f>
        <v>16060829</v>
      </c>
      <c r="BY252" s="15">
        <f t="shared" si="138"/>
        <v>13557.733063260099</v>
      </c>
      <c r="BZ252" s="3">
        <v>250</v>
      </c>
      <c r="CA252" s="3">
        <f t="shared" si="139"/>
        <v>0</v>
      </c>
      <c r="CB252" s="3">
        <f t="shared" si="140"/>
        <v>0</v>
      </c>
      <c r="CC252" s="3">
        <f t="shared" si="141"/>
        <v>0</v>
      </c>
      <c r="CD252" s="3" t="str">
        <f t="shared" si="142"/>
        <v/>
      </c>
      <c r="CE252" s="3">
        <f t="shared" si="143"/>
        <v>0</v>
      </c>
    </row>
    <row r="253" spans="1:83" x14ac:dyDescent="0.3">
      <c r="A253" s="3" t="s">
        <v>293</v>
      </c>
      <c r="B253" s="3">
        <v>11665</v>
      </c>
      <c r="C253" s="3">
        <v>11670</v>
      </c>
      <c r="D253" s="3">
        <v>11575</v>
      </c>
      <c r="E253" s="3">
        <v>11580</v>
      </c>
      <c r="F253" s="3">
        <v>11650</v>
      </c>
      <c r="G253" s="3">
        <v>11645</v>
      </c>
      <c r="H253" s="3">
        <v>11460</v>
      </c>
      <c r="I253" s="3">
        <v>11475</v>
      </c>
      <c r="J253" s="3">
        <v>11880</v>
      </c>
      <c r="K253" s="3">
        <v>11880</v>
      </c>
      <c r="L253" s="3">
        <v>11980</v>
      </c>
      <c r="M253" s="3">
        <v>11990</v>
      </c>
      <c r="N253" s="3">
        <v>12580</v>
      </c>
      <c r="O253" s="3">
        <v>12580</v>
      </c>
      <c r="P253" s="3">
        <v>12710</v>
      </c>
      <c r="Q253" s="3">
        <v>12695</v>
      </c>
      <c r="R253" s="3">
        <v>12490</v>
      </c>
      <c r="S253" s="3">
        <v>12505</v>
      </c>
      <c r="T253" s="3">
        <v>12295</v>
      </c>
      <c r="U253" s="3">
        <v>12300</v>
      </c>
      <c r="V253" s="3">
        <v>12790</v>
      </c>
      <c r="W253" s="3">
        <v>12785</v>
      </c>
      <c r="X253" s="3">
        <v>12525</v>
      </c>
      <c r="Y253" s="3">
        <v>12515</v>
      </c>
      <c r="Z253" s="3">
        <v>12730</v>
      </c>
      <c r="AA253" s="3">
        <v>12730</v>
      </c>
      <c r="AB253" s="3">
        <v>13245</v>
      </c>
      <c r="AC253" s="3">
        <v>13250</v>
      </c>
      <c r="AD253" s="3">
        <v>13265</v>
      </c>
      <c r="AE253" s="3">
        <v>13270</v>
      </c>
      <c r="AF253" s="3">
        <v>13865</v>
      </c>
      <c r="AG253" s="3">
        <v>13860</v>
      </c>
      <c r="AH253" s="3">
        <v>13815</v>
      </c>
      <c r="AI253" s="3">
        <v>13840</v>
      </c>
      <c r="AJ253" s="3">
        <v>13720</v>
      </c>
      <c r="AK253" s="3">
        <v>13730</v>
      </c>
      <c r="AL253" s="3">
        <v>13645</v>
      </c>
      <c r="AM253" s="3">
        <v>13645</v>
      </c>
      <c r="AN253" s="3">
        <v>13465</v>
      </c>
      <c r="AO253" s="3">
        <v>13455</v>
      </c>
      <c r="AP253" s="3">
        <v>13470</v>
      </c>
      <c r="AQ253" s="3">
        <v>13460</v>
      </c>
      <c r="AR253" s="4">
        <f t="shared" si="144"/>
        <v>1.2142237640936582E-2</v>
      </c>
      <c r="AS253" s="4">
        <f t="shared" si="116"/>
        <v>2.5974025974024872E-3</v>
      </c>
      <c r="AT253" s="4">
        <f t="shared" si="117"/>
        <v>2.5088028169014009E-2</v>
      </c>
      <c r="AU253" s="4">
        <f t="shared" si="118"/>
        <v>2.5891341256366718E-2</v>
      </c>
      <c r="AV253" s="4">
        <f t="shared" si="119"/>
        <v>1.6253207869974418E-2</v>
      </c>
      <c r="AW253" s="4">
        <f t="shared" si="120"/>
        <v>1.0961214165261302E-2</v>
      </c>
      <c r="AX253" s="4">
        <f t="shared" si="121"/>
        <v>3.8382170862567122E-2</v>
      </c>
      <c r="AY253" s="4">
        <f t="shared" si="122"/>
        <v>6.6510172143975366E-3</v>
      </c>
      <c r="AZ253" s="4">
        <f t="shared" si="123"/>
        <v>3.1885213232363263E-3</v>
      </c>
      <c r="BA253" s="4">
        <f t="shared" si="124"/>
        <v>6.0606060606060996E-3</v>
      </c>
      <c r="BB253" s="4">
        <f t="shared" si="125"/>
        <v>3.6481556546412719E-2</v>
      </c>
      <c r="BC253" s="4">
        <f t="shared" si="126"/>
        <v>9.4974277799763085E-3</v>
      </c>
      <c r="BD253" s="4">
        <f t="shared" si="127"/>
        <v>8.5669781931464462E-3</v>
      </c>
      <c r="BE253" s="4">
        <f t="shared" si="128"/>
        <v>2.1982259930582337E-2</v>
      </c>
      <c r="BF253" s="4">
        <f t="shared" si="129"/>
        <v>1.3750954927425507E-2</v>
      </c>
      <c r="BG253" s="4">
        <f t="shared" si="130"/>
        <v>3.937007874015741E-2</v>
      </c>
      <c r="BH253" s="4">
        <f t="shared" si="131"/>
        <v>5.0323508267433592E-3</v>
      </c>
      <c r="BI253" s="4">
        <f t="shared" si="132"/>
        <v>1.0450450450450455E-2</v>
      </c>
      <c r="BJ253" s="4">
        <f t="shared" si="133"/>
        <v>5.4664723032069595E-3</v>
      </c>
      <c r="BK253" s="4">
        <f t="shared" si="134"/>
        <v>1.6806722689075682E-2</v>
      </c>
      <c r="BL253" s="4">
        <f t="shared" si="135"/>
        <v>3.7160906726119158E-4</v>
      </c>
      <c r="BM253" s="4">
        <f t="shared" si="145"/>
        <v>1.583482627485602E-2</v>
      </c>
      <c r="BN253" s="14">
        <f t="shared" si="146"/>
        <v>13668.057587528187</v>
      </c>
      <c r="BO253" s="15">
        <f t="shared" si="147"/>
        <v>13114.000939887545</v>
      </c>
      <c r="BP253" s="16">
        <v>13470</v>
      </c>
      <c r="BQ253" s="16">
        <v>13475</v>
      </c>
      <c r="BR253" s="16">
        <v>13455</v>
      </c>
      <c r="BS253" s="16">
        <v>13460</v>
      </c>
      <c r="BT253" s="16">
        <v>29030</v>
      </c>
      <c r="BU253" s="15">
        <f t="shared" si="136"/>
        <v>13463.333333333334</v>
      </c>
      <c r="BV253" s="15">
        <f t="shared" si="137"/>
        <v>390840566.66666669</v>
      </c>
      <c r="BW253" s="15">
        <f>SUM($BV$3:BV253)</f>
        <v>218139272923.33328</v>
      </c>
      <c r="BX253" s="15">
        <f>SUM($BT$3:BT253)</f>
        <v>16089859</v>
      </c>
      <c r="BY253" s="15">
        <f t="shared" si="138"/>
        <v>13557.562743298949</v>
      </c>
      <c r="BZ253" s="3">
        <v>251</v>
      </c>
      <c r="CA253" s="3">
        <f t="shared" si="139"/>
        <v>0</v>
      </c>
      <c r="CB253" s="3">
        <f t="shared" si="140"/>
        <v>0</v>
      </c>
      <c r="CC253" s="3">
        <f t="shared" si="141"/>
        <v>0</v>
      </c>
      <c r="CD253" s="3" t="str">
        <f t="shared" si="142"/>
        <v/>
      </c>
      <c r="CE253" s="3">
        <f t="shared" si="143"/>
        <v>0</v>
      </c>
    </row>
    <row r="254" spans="1:83" x14ac:dyDescent="0.3">
      <c r="A254" s="3" t="s">
        <v>294</v>
      </c>
      <c r="B254" s="3">
        <v>11670</v>
      </c>
      <c r="C254" s="3">
        <v>11675</v>
      </c>
      <c r="D254" s="3">
        <v>11580</v>
      </c>
      <c r="E254" s="3">
        <v>11590</v>
      </c>
      <c r="F254" s="3">
        <v>11645</v>
      </c>
      <c r="G254" s="3">
        <v>11645</v>
      </c>
      <c r="H254" s="3">
        <v>11475</v>
      </c>
      <c r="I254" s="3">
        <v>11465</v>
      </c>
      <c r="J254" s="3">
        <v>11880</v>
      </c>
      <c r="K254" s="3">
        <v>11870</v>
      </c>
      <c r="L254" s="3">
        <v>11990</v>
      </c>
      <c r="M254" s="3">
        <v>11985</v>
      </c>
      <c r="N254" s="3">
        <v>12580</v>
      </c>
      <c r="O254" s="3">
        <v>12570</v>
      </c>
      <c r="P254" s="3">
        <v>12700</v>
      </c>
      <c r="Q254" s="3">
        <v>12620</v>
      </c>
      <c r="R254" s="3">
        <v>12505</v>
      </c>
      <c r="S254" s="3">
        <v>12505</v>
      </c>
      <c r="T254" s="3">
        <v>12300</v>
      </c>
      <c r="U254" s="3">
        <v>12305</v>
      </c>
      <c r="V254" s="3">
        <v>12785</v>
      </c>
      <c r="W254" s="3">
        <v>12800</v>
      </c>
      <c r="X254" s="3">
        <v>12520</v>
      </c>
      <c r="Y254" s="3">
        <v>12535</v>
      </c>
      <c r="Z254" s="3">
        <v>12725</v>
      </c>
      <c r="AA254" s="3">
        <v>12730</v>
      </c>
      <c r="AB254" s="3">
        <v>13250</v>
      </c>
      <c r="AC254" s="3">
        <v>13255</v>
      </c>
      <c r="AD254" s="3">
        <v>13270</v>
      </c>
      <c r="AE254" s="3">
        <v>13280</v>
      </c>
      <c r="AF254" s="3">
        <v>13865</v>
      </c>
      <c r="AG254" s="3">
        <v>13860</v>
      </c>
      <c r="AH254" s="3">
        <v>13840</v>
      </c>
      <c r="AI254" s="3">
        <v>13800</v>
      </c>
      <c r="AJ254" s="3">
        <v>13730</v>
      </c>
      <c r="AK254" s="3">
        <v>13740</v>
      </c>
      <c r="AL254" s="3">
        <v>13645</v>
      </c>
      <c r="AM254" s="3">
        <v>13650</v>
      </c>
      <c r="AN254" s="3">
        <v>13455</v>
      </c>
      <c r="AO254" s="3">
        <v>13445</v>
      </c>
      <c r="AP254" s="3">
        <v>13460</v>
      </c>
      <c r="AQ254" s="3">
        <v>13460</v>
      </c>
      <c r="AR254" s="4">
        <f t="shared" si="144"/>
        <v>1.2575888985255856E-2</v>
      </c>
      <c r="AS254" s="4">
        <f t="shared" si="116"/>
        <v>3.4632034632033903E-3</v>
      </c>
      <c r="AT254" s="4">
        <f t="shared" si="117"/>
        <v>2.5088028169014009E-2</v>
      </c>
      <c r="AU254" s="4">
        <f t="shared" si="118"/>
        <v>2.6740237691001645E-2</v>
      </c>
      <c r="AV254" s="4">
        <f t="shared" si="119"/>
        <v>1.5397775876817787E-2</v>
      </c>
      <c r="AW254" s="4">
        <f t="shared" si="120"/>
        <v>1.0539629005059004E-2</v>
      </c>
      <c r="AX254" s="4">
        <f t="shared" si="121"/>
        <v>3.755674783326457E-2</v>
      </c>
      <c r="AY254" s="4">
        <f t="shared" si="122"/>
        <v>1.2519561815336422E-2</v>
      </c>
      <c r="AZ254" s="4">
        <f t="shared" si="123"/>
        <v>3.1885213232363263E-3</v>
      </c>
      <c r="BA254" s="4">
        <f t="shared" si="124"/>
        <v>5.656565656565693E-3</v>
      </c>
      <c r="BB254" s="4">
        <f t="shared" si="125"/>
        <v>3.7697608431292995E-2</v>
      </c>
      <c r="BC254" s="4">
        <f t="shared" si="126"/>
        <v>7.9145231499802016E-3</v>
      </c>
      <c r="BD254" s="4">
        <f t="shared" si="127"/>
        <v>8.5669781931464462E-3</v>
      </c>
      <c r="BE254" s="4">
        <f t="shared" si="128"/>
        <v>2.2367913613575041E-2</v>
      </c>
      <c r="BF254" s="4">
        <f t="shared" si="129"/>
        <v>1.4514896867838134E-2</v>
      </c>
      <c r="BG254" s="4">
        <f t="shared" si="130"/>
        <v>3.937007874015741E-2</v>
      </c>
      <c r="BH254" s="4">
        <f t="shared" si="131"/>
        <v>7.9079798705966597E-3</v>
      </c>
      <c r="BI254" s="4">
        <f t="shared" si="132"/>
        <v>9.7297297297297414E-3</v>
      </c>
      <c r="BJ254" s="4">
        <f t="shared" si="133"/>
        <v>5.1020408163264808E-3</v>
      </c>
      <c r="BK254" s="4">
        <f t="shared" si="134"/>
        <v>1.7537449762513702E-2</v>
      </c>
      <c r="BL254" s="4">
        <f t="shared" si="135"/>
        <v>3.7160906726119158E-4</v>
      </c>
      <c r="BM254" s="4">
        <f t="shared" si="145"/>
        <v>1.6402185414539989E-2</v>
      </c>
      <c r="BN254" s="14">
        <f t="shared" si="146"/>
        <v>13675.691404752635</v>
      </c>
      <c r="BO254" s="15">
        <f t="shared" si="147"/>
        <v>13106.440879351256</v>
      </c>
      <c r="BP254" s="16">
        <v>13460</v>
      </c>
      <c r="BQ254" s="16">
        <v>13460</v>
      </c>
      <c r="BR254" s="16">
        <v>13450</v>
      </c>
      <c r="BS254" s="16">
        <v>13460</v>
      </c>
      <c r="BT254" s="16">
        <v>30439</v>
      </c>
      <c r="BU254" s="15">
        <f t="shared" si="136"/>
        <v>13456.666666666666</v>
      </c>
      <c r="BV254" s="15">
        <f t="shared" si="137"/>
        <v>409607476.66666663</v>
      </c>
      <c r="BW254" s="15">
        <f>SUM($BV$3:BV254)</f>
        <v>218548880399.99994</v>
      </c>
      <c r="BX254" s="15">
        <f>SUM($BT$3:BT254)</f>
        <v>16120298</v>
      </c>
      <c r="BY254" s="15">
        <f t="shared" si="138"/>
        <v>13557.372227237978</v>
      </c>
      <c r="BZ254" s="3">
        <v>252</v>
      </c>
      <c r="CA254" s="3">
        <f t="shared" si="139"/>
        <v>0</v>
      </c>
      <c r="CB254" s="3">
        <f t="shared" si="140"/>
        <v>0</v>
      </c>
      <c r="CC254" s="3">
        <f t="shared" si="141"/>
        <v>0</v>
      </c>
      <c r="CD254" s="3" t="str">
        <f t="shared" si="142"/>
        <v/>
      </c>
      <c r="CE254" s="3">
        <f t="shared" si="143"/>
        <v>0</v>
      </c>
    </row>
    <row r="255" spans="1:83" x14ac:dyDescent="0.3">
      <c r="A255" s="3" t="s">
        <v>295</v>
      </c>
      <c r="B255" s="3">
        <v>11675</v>
      </c>
      <c r="C255" s="3">
        <v>11670</v>
      </c>
      <c r="D255" s="3">
        <v>11595</v>
      </c>
      <c r="E255" s="3">
        <v>11585</v>
      </c>
      <c r="F255" s="3">
        <v>11645</v>
      </c>
      <c r="G255" s="3">
        <v>11645</v>
      </c>
      <c r="H255" s="3">
        <v>11460</v>
      </c>
      <c r="I255" s="3">
        <v>11445</v>
      </c>
      <c r="J255" s="3">
        <v>11870</v>
      </c>
      <c r="K255" s="3">
        <v>11875</v>
      </c>
      <c r="L255" s="3">
        <v>11985</v>
      </c>
      <c r="M255" s="3">
        <v>12005</v>
      </c>
      <c r="N255" s="3">
        <v>12570</v>
      </c>
      <c r="O255" s="3">
        <v>12565</v>
      </c>
      <c r="P255" s="3">
        <v>12615</v>
      </c>
      <c r="Q255" s="3">
        <v>12510</v>
      </c>
      <c r="R255" s="3">
        <v>12510</v>
      </c>
      <c r="S255" s="3">
        <v>12510</v>
      </c>
      <c r="T255" s="3">
        <v>12305</v>
      </c>
      <c r="U255" s="3">
        <v>12310</v>
      </c>
      <c r="V255" s="3">
        <v>12800</v>
      </c>
      <c r="W255" s="3">
        <v>12800</v>
      </c>
      <c r="X255" s="3">
        <v>12530</v>
      </c>
      <c r="Y255" s="3">
        <v>12555</v>
      </c>
      <c r="Z255" s="3">
        <v>12730</v>
      </c>
      <c r="AA255" s="3">
        <v>12730</v>
      </c>
      <c r="AB255" s="3">
        <v>13255</v>
      </c>
      <c r="AC255" s="3">
        <v>13250</v>
      </c>
      <c r="AD255" s="3">
        <v>13280</v>
      </c>
      <c r="AE255" s="3">
        <v>13290</v>
      </c>
      <c r="AF255" s="3">
        <v>13860</v>
      </c>
      <c r="AG255" s="3">
        <v>13875</v>
      </c>
      <c r="AH255" s="3">
        <v>13790</v>
      </c>
      <c r="AI255" s="3">
        <v>13820</v>
      </c>
      <c r="AJ255" s="3">
        <v>13740</v>
      </c>
      <c r="AK255" s="3">
        <v>13740</v>
      </c>
      <c r="AL255" s="3">
        <v>13650</v>
      </c>
      <c r="AM255" s="3">
        <v>13645</v>
      </c>
      <c r="AN255" s="3">
        <v>13450</v>
      </c>
      <c r="AO255" s="3">
        <v>13470</v>
      </c>
      <c r="AP255" s="3">
        <v>13460</v>
      </c>
      <c r="AQ255" s="3">
        <v>13410</v>
      </c>
      <c r="AR255" s="4">
        <f t="shared" si="144"/>
        <v>1.2142237640936582E-2</v>
      </c>
      <c r="AS255" s="4">
        <f t="shared" si="116"/>
        <v>3.0303030303029388E-3</v>
      </c>
      <c r="AT255" s="4">
        <f t="shared" si="117"/>
        <v>2.5088028169014009E-2</v>
      </c>
      <c r="AU255" s="4">
        <f t="shared" si="118"/>
        <v>2.843803056027161E-2</v>
      </c>
      <c r="AV255" s="4">
        <f t="shared" si="119"/>
        <v>1.5825491873395992E-2</v>
      </c>
      <c r="AW255" s="4">
        <f t="shared" si="120"/>
        <v>1.2225969645868418E-2</v>
      </c>
      <c r="AX255" s="4">
        <f t="shared" si="121"/>
        <v>3.7144036318613294E-2</v>
      </c>
      <c r="AY255" s="4">
        <f t="shared" si="122"/>
        <v>2.1126760563380254E-2</v>
      </c>
      <c r="AZ255" s="4">
        <f t="shared" si="123"/>
        <v>2.789956157831841E-3</v>
      </c>
      <c r="BA255" s="4">
        <f t="shared" si="124"/>
        <v>5.2525252525252863E-3</v>
      </c>
      <c r="BB255" s="4">
        <f t="shared" si="125"/>
        <v>3.7697608431292995E-2</v>
      </c>
      <c r="BC255" s="4">
        <f t="shared" si="126"/>
        <v>6.3316185199842057E-3</v>
      </c>
      <c r="BD255" s="4">
        <f t="shared" si="127"/>
        <v>8.5669781931464462E-3</v>
      </c>
      <c r="BE255" s="4">
        <f t="shared" si="128"/>
        <v>2.1982259930582337E-2</v>
      </c>
      <c r="BF255" s="4">
        <f t="shared" si="129"/>
        <v>1.5278838808250539E-2</v>
      </c>
      <c r="BG255" s="4">
        <f t="shared" si="130"/>
        <v>4.0494938132733305E-2</v>
      </c>
      <c r="BH255" s="4">
        <f t="shared" si="131"/>
        <v>6.470165348670065E-3</v>
      </c>
      <c r="BI255" s="4">
        <f t="shared" si="132"/>
        <v>9.7297297297297414E-3</v>
      </c>
      <c r="BJ255" s="4">
        <f t="shared" si="133"/>
        <v>5.4664723032069595E-3</v>
      </c>
      <c r="BK255" s="4">
        <f t="shared" si="134"/>
        <v>1.5710632078918541E-2</v>
      </c>
      <c r="BL255" s="4">
        <f t="shared" si="135"/>
        <v>3.3444816053511683E-3</v>
      </c>
      <c r="BM255" s="4">
        <f t="shared" si="145"/>
        <v>1.6717322840633271E-2</v>
      </c>
      <c r="BN255" s="14">
        <f t="shared" si="146"/>
        <v>13679.93157882072</v>
      </c>
      <c r="BO255" s="15">
        <f t="shared" si="147"/>
        <v>13102.241673148561</v>
      </c>
      <c r="BP255" s="16">
        <v>13460</v>
      </c>
      <c r="BQ255" s="16">
        <v>13460</v>
      </c>
      <c r="BR255" s="16">
        <v>13400</v>
      </c>
      <c r="BS255" s="16">
        <v>13410</v>
      </c>
      <c r="BT255" s="16">
        <v>198628</v>
      </c>
      <c r="BU255" s="15">
        <f t="shared" si="136"/>
        <v>13423.333333333334</v>
      </c>
      <c r="BV255" s="15">
        <f t="shared" si="137"/>
        <v>2666249853.3333335</v>
      </c>
      <c r="BW255" s="15">
        <f>SUM($BV$3:BV255)</f>
        <v>221215130253.33328</v>
      </c>
      <c r="BX255" s="15">
        <f>SUM($BT$3:BT255)</f>
        <v>16318926</v>
      </c>
      <c r="BY255" s="15">
        <f t="shared" si="138"/>
        <v>13555.740754834802</v>
      </c>
      <c r="BZ255" s="3">
        <v>253</v>
      </c>
      <c r="CA255" s="3">
        <f t="shared" si="139"/>
        <v>0</v>
      </c>
      <c r="CB255" s="3">
        <f t="shared" si="140"/>
        <v>0</v>
      </c>
      <c r="CC255" s="3">
        <f t="shared" si="141"/>
        <v>0</v>
      </c>
      <c r="CD255" s="3" t="str">
        <f t="shared" si="142"/>
        <v/>
      </c>
      <c r="CE255" s="3">
        <f t="shared" si="143"/>
        <v>0</v>
      </c>
    </row>
    <row r="256" spans="1:83" x14ac:dyDescent="0.3">
      <c r="A256" s="3" t="s">
        <v>296</v>
      </c>
      <c r="B256" s="3">
        <v>11670</v>
      </c>
      <c r="C256" s="3">
        <v>11670</v>
      </c>
      <c r="D256" s="3">
        <v>11585</v>
      </c>
      <c r="E256" s="3">
        <v>11590</v>
      </c>
      <c r="F256" s="3">
        <v>11640</v>
      </c>
      <c r="G256" s="3">
        <v>11610</v>
      </c>
      <c r="H256" s="3">
        <v>11445</v>
      </c>
      <c r="I256" s="3">
        <v>11430</v>
      </c>
      <c r="J256" s="3">
        <v>11875</v>
      </c>
      <c r="K256" s="3">
        <v>11870</v>
      </c>
      <c r="L256" s="3">
        <v>12005</v>
      </c>
      <c r="M256" s="3">
        <v>12010</v>
      </c>
      <c r="N256" s="3">
        <v>12570</v>
      </c>
      <c r="O256" s="3">
        <v>12570</v>
      </c>
      <c r="P256" s="3">
        <v>12505</v>
      </c>
      <c r="Q256" s="3">
        <v>12510</v>
      </c>
      <c r="R256" s="3">
        <v>12510</v>
      </c>
      <c r="S256" s="3">
        <v>12525</v>
      </c>
      <c r="T256" s="3">
        <v>12310</v>
      </c>
      <c r="U256" s="3">
        <v>12320</v>
      </c>
      <c r="V256" s="3">
        <v>12800</v>
      </c>
      <c r="W256" s="3">
        <v>12800</v>
      </c>
      <c r="X256" s="3">
        <v>12550</v>
      </c>
      <c r="Y256" s="3">
        <v>12540</v>
      </c>
      <c r="Z256" s="3">
        <v>12730</v>
      </c>
      <c r="AA256" s="3">
        <v>12740</v>
      </c>
      <c r="AB256" s="3">
        <v>13250</v>
      </c>
      <c r="AC256" s="3">
        <v>13250</v>
      </c>
      <c r="AD256" s="3">
        <v>13290</v>
      </c>
      <c r="AE256" s="3">
        <v>13300</v>
      </c>
      <c r="AF256" s="3">
        <v>13875</v>
      </c>
      <c r="AG256" s="3">
        <v>13865</v>
      </c>
      <c r="AH256" s="3">
        <v>13820</v>
      </c>
      <c r="AI256" s="3">
        <v>13820</v>
      </c>
      <c r="AJ256" s="3">
        <v>13735</v>
      </c>
      <c r="AK256" s="3">
        <v>13745</v>
      </c>
      <c r="AL256" s="3">
        <v>13645</v>
      </c>
      <c r="AM256" s="3">
        <v>13630</v>
      </c>
      <c r="AN256" s="3">
        <v>13470</v>
      </c>
      <c r="AO256" s="3">
        <v>13460</v>
      </c>
      <c r="AP256" s="3">
        <v>13410</v>
      </c>
      <c r="AQ256" s="3">
        <v>13420</v>
      </c>
      <c r="AR256" s="4">
        <f t="shared" si="144"/>
        <v>1.2142237640936582E-2</v>
      </c>
      <c r="AS256" s="4">
        <f t="shared" si="116"/>
        <v>3.4632034632033903E-3</v>
      </c>
      <c r="AT256" s="4">
        <f t="shared" si="117"/>
        <v>2.2007042253521236E-2</v>
      </c>
      <c r="AU256" s="4">
        <f t="shared" si="118"/>
        <v>2.9711375212224111E-2</v>
      </c>
      <c r="AV256" s="4">
        <f t="shared" si="119"/>
        <v>1.5397775876817787E-2</v>
      </c>
      <c r="AW256" s="4">
        <f t="shared" si="120"/>
        <v>1.2647554806070715E-2</v>
      </c>
      <c r="AX256" s="4">
        <f t="shared" si="121"/>
        <v>3.755674783326457E-2</v>
      </c>
      <c r="AY256" s="4">
        <f t="shared" si="122"/>
        <v>2.1126760563380254E-2</v>
      </c>
      <c r="AZ256" s="4">
        <f t="shared" si="123"/>
        <v>1.5942606616181632E-3</v>
      </c>
      <c r="BA256" s="4">
        <f t="shared" si="124"/>
        <v>4.4444444444444731E-3</v>
      </c>
      <c r="BB256" s="4">
        <f t="shared" si="125"/>
        <v>3.7697608431292995E-2</v>
      </c>
      <c r="BC256" s="4">
        <f t="shared" si="126"/>
        <v>7.5187969924812581E-3</v>
      </c>
      <c r="BD256" s="4">
        <f t="shared" si="127"/>
        <v>7.7881619937694158E-3</v>
      </c>
      <c r="BE256" s="4">
        <f t="shared" si="128"/>
        <v>2.1982259930582337E-2</v>
      </c>
      <c r="BF256" s="4">
        <f t="shared" si="129"/>
        <v>1.6042780748663166E-2</v>
      </c>
      <c r="BG256" s="4">
        <f t="shared" si="130"/>
        <v>3.974503187101619E-2</v>
      </c>
      <c r="BH256" s="4">
        <f t="shared" si="131"/>
        <v>6.470165348670065E-3</v>
      </c>
      <c r="BI256" s="4">
        <f t="shared" si="132"/>
        <v>9.3693693693693847E-3</v>
      </c>
      <c r="BJ256" s="4">
        <f t="shared" si="133"/>
        <v>6.5597667638483959E-3</v>
      </c>
      <c r="BK256" s="4">
        <f t="shared" si="134"/>
        <v>1.6441359152356561E-2</v>
      </c>
      <c r="BL256" s="4">
        <f t="shared" si="135"/>
        <v>2.6012634708286742E-3</v>
      </c>
      <c r="BM256" s="4">
        <f t="shared" si="145"/>
        <v>1.6738393864625518E-2</v>
      </c>
      <c r="BN256" s="14">
        <f t="shared" si="146"/>
        <v>13680.215089448537</v>
      </c>
      <c r="BO256" s="15">
        <f t="shared" si="147"/>
        <v>13101.960901753866</v>
      </c>
      <c r="BP256" s="16">
        <v>13410</v>
      </c>
      <c r="BQ256" s="16">
        <v>13420</v>
      </c>
      <c r="BR256" s="16">
        <v>13405</v>
      </c>
      <c r="BS256" s="16">
        <v>13420</v>
      </c>
      <c r="BT256" s="16">
        <v>43374</v>
      </c>
      <c r="BU256" s="15">
        <f t="shared" si="136"/>
        <v>13415</v>
      </c>
      <c r="BV256" s="15">
        <f t="shared" si="137"/>
        <v>581862210</v>
      </c>
      <c r="BW256" s="15">
        <f>SUM($BV$3:BV256)</f>
        <v>221796992463.33328</v>
      </c>
      <c r="BX256" s="15">
        <f>SUM($BT$3:BT256)</f>
        <v>16362300</v>
      </c>
      <c r="BY256" s="15">
        <f t="shared" si="138"/>
        <v>13555.367672230266</v>
      </c>
      <c r="BZ256" s="3">
        <v>254</v>
      </c>
      <c r="CA256" s="3">
        <f t="shared" si="139"/>
        <v>0</v>
      </c>
      <c r="CB256" s="3">
        <f t="shared" si="140"/>
        <v>0</v>
      </c>
      <c r="CC256" s="3">
        <f t="shared" si="141"/>
        <v>0</v>
      </c>
      <c r="CD256" s="3" t="str">
        <f t="shared" si="142"/>
        <v/>
      </c>
      <c r="CE256" s="3">
        <f t="shared" si="143"/>
        <v>0</v>
      </c>
    </row>
    <row r="257" spans="1:83" x14ac:dyDescent="0.3">
      <c r="A257" s="3" t="s">
        <v>297</v>
      </c>
      <c r="B257" s="3">
        <v>11675</v>
      </c>
      <c r="C257" s="3">
        <v>11670</v>
      </c>
      <c r="D257" s="3">
        <v>11585</v>
      </c>
      <c r="E257" s="3">
        <v>11575</v>
      </c>
      <c r="F257" s="3">
        <v>11610</v>
      </c>
      <c r="G257" s="3">
        <v>11600</v>
      </c>
      <c r="H257" s="3">
        <v>11435</v>
      </c>
      <c r="I257" s="3">
        <v>11455</v>
      </c>
      <c r="J257" s="3">
        <v>11870</v>
      </c>
      <c r="K257" s="3">
        <v>11890</v>
      </c>
      <c r="L257" s="3">
        <v>12010</v>
      </c>
      <c r="M257" s="3">
        <v>12005</v>
      </c>
      <c r="N257" s="3">
        <v>12575</v>
      </c>
      <c r="O257" s="3">
        <v>12575</v>
      </c>
      <c r="P257" s="3">
        <v>12510</v>
      </c>
      <c r="Q257" s="3">
        <v>12560</v>
      </c>
      <c r="R257" s="3">
        <v>12525</v>
      </c>
      <c r="S257" s="3">
        <v>12520</v>
      </c>
      <c r="T257" s="3">
        <v>12320</v>
      </c>
      <c r="U257" s="3">
        <v>12330</v>
      </c>
      <c r="V257" s="3">
        <v>12800</v>
      </c>
      <c r="W257" s="3">
        <v>12800</v>
      </c>
      <c r="X257" s="3">
        <v>12535</v>
      </c>
      <c r="Y257" s="3">
        <v>12545</v>
      </c>
      <c r="Z257" s="3">
        <v>12735</v>
      </c>
      <c r="AA257" s="3">
        <v>12740</v>
      </c>
      <c r="AB257" s="3">
        <v>13250</v>
      </c>
      <c r="AC257" s="3">
        <v>13250</v>
      </c>
      <c r="AD257" s="3">
        <v>13300</v>
      </c>
      <c r="AE257" s="3">
        <v>13325</v>
      </c>
      <c r="AF257" s="3">
        <v>13870</v>
      </c>
      <c r="AG257" s="3">
        <v>13865</v>
      </c>
      <c r="AH257" s="3">
        <v>13820</v>
      </c>
      <c r="AI257" s="3">
        <v>13855</v>
      </c>
      <c r="AJ257" s="3">
        <v>13745</v>
      </c>
      <c r="AK257" s="3">
        <v>13755</v>
      </c>
      <c r="AL257" s="3">
        <v>13630</v>
      </c>
      <c r="AM257" s="3">
        <v>13630</v>
      </c>
      <c r="AN257" s="3">
        <v>13460</v>
      </c>
      <c r="AO257" s="3">
        <v>13445</v>
      </c>
      <c r="AP257" s="3">
        <v>13425</v>
      </c>
      <c r="AQ257" s="3">
        <v>13440</v>
      </c>
      <c r="AR257" s="4">
        <f t="shared" si="144"/>
        <v>1.2142237640936582E-2</v>
      </c>
      <c r="AS257" s="4">
        <f t="shared" si="116"/>
        <v>2.1645021645022577E-3</v>
      </c>
      <c r="AT257" s="4">
        <f t="shared" si="117"/>
        <v>2.1126760563380254E-2</v>
      </c>
      <c r="AU257" s="4">
        <f t="shared" si="118"/>
        <v>2.7589134125636683E-2</v>
      </c>
      <c r="AV257" s="4">
        <f t="shared" si="119"/>
        <v>1.7108639863130826E-2</v>
      </c>
      <c r="AW257" s="4">
        <f t="shared" si="120"/>
        <v>1.2225969645868418E-2</v>
      </c>
      <c r="AX257" s="4">
        <f t="shared" si="121"/>
        <v>3.7969459347915846E-2</v>
      </c>
      <c r="AY257" s="4">
        <f t="shared" si="122"/>
        <v>1.7214397496087663E-2</v>
      </c>
      <c r="AZ257" s="4">
        <f t="shared" si="123"/>
        <v>1.9928258270227595E-3</v>
      </c>
      <c r="BA257" s="4">
        <f t="shared" si="124"/>
        <v>3.6363636363636598E-3</v>
      </c>
      <c r="BB257" s="4">
        <f t="shared" si="125"/>
        <v>3.7697608431292995E-2</v>
      </c>
      <c r="BC257" s="4">
        <f t="shared" si="126"/>
        <v>7.1230708349822036E-3</v>
      </c>
      <c r="BD257" s="4">
        <f t="shared" si="127"/>
        <v>7.7881619937694158E-3</v>
      </c>
      <c r="BE257" s="4">
        <f t="shared" si="128"/>
        <v>2.1982259930582337E-2</v>
      </c>
      <c r="BF257" s="4">
        <f t="shared" si="129"/>
        <v>1.79526355996944E-2</v>
      </c>
      <c r="BG257" s="4">
        <f t="shared" si="130"/>
        <v>3.974503187101619E-2</v>
      </c>
      <c r="BH257" s="4">
        <f t="shared" si="131"/>
        <v>3.9539899352983854E-3</v>
      </c>
      <c r="BI257" s="4">
        <f t="shared" si="132"/>
        <v>8.6486486486486713E-3</v>
      </c>
      <c r="BJ257" s="4">
        <f t="shared" si="133"/>
        <v>6.5597667638483959E-3</v>
      </c>
      <c r="BK257" s="4">
        <f t="shared" si="134"/>
        <v>1.7537449762513702E-2</v>
      </c>
      <c r="BL257" s="4">
        <f t="shared" si="135"/>
        <v>1.1148272017836858E-3</v>
      </c>
      <c r="BM257" s="4">
        <f t="shared" si="145"/>
        <v>1.6414405005645474E-2</v>
      </c>
      <c r="BN257" s="14">
        <f t="shared" si="146"/>
        <v>13675.855819350958</v>
      </c>
      <c r="BO257" s="15">
        <f t="shared" si="147"/>
        <v>13106.278053299773</v>
      </c>
      <c r="BP257" s="16">
        <v>13425</v>
      </c>
      <c r="BQ257" s="16">
        <v>13480</v>
      </c>
      <c r="BR257" s="16">
        <v>13380</v>
      </c>
      <c r="BS257" s="16">
        <v>13440</v>
      </c>
      <c r="BT257" s="16">
        <v>523532</v>
      </c>
      <c r="BU257" s="15">
        <f t="shared" si="136"/>
        <v>13433.333333333334</v>
      </c>
      <c r="BV257" s="15">
        <f t="shared" si="137"/>
        <v>7032779866.666667</v>
      </c>
      <c r="BW257" s="15">
        <f>SUM($BV$3:BV257)</f>
        <v>228829772329.99994</v>
      </c>
      <c r="BX257" s="15">
        <f>SUM($BT$3:BT257)</f>
        <v>16885832</v>
      </c>
      <c r="BY257" s="15">
        <f t="shared" si="138"/>
        <v>13551.584093102427</v>
      </c>
      <c r="BZ257" s="3">
        <v>255</v>
      </c>
      <c r="CA257" s="3">
        <f t="shared" si="139"/>
        <v>0</v>
      </c>
      <c r="CB257" s="3">
        <f t="shared" si="140"/>
        <v>0</v>
      </c>
      <c r="CC257" s="3">
        <f t="shared" si="141"/>
        <v>0</v>
      </c>
      <c r="CD257" s="3">
        <f t="shared" si="142"/>
        <v>0</v>
      </c>
      <c r="CE257" s="3">
        <f t="shared" si="143"/>
        <v>0</v>
      </c>
    </row>
    <row r="258" spans="1:83" x14ac:dyDescent="0.3">
      <c r="A258" s="3" t="s">
        <v>298</v>
      </c>
      <c r="B258" s="3">
        <v>11670</v>
      </c>
      <c r="C258" s="3">
        <v>11665</v>
      </c>
      <c r="D258" s="3">
        <v>11575</v>
      </c>
      <c r="E258" s="3">
        <v>11560</v>
      </c>
      <c r="F258" s="3">
        <v>11600</v>
      </c>
      <c r="G258" s="3">
        <v>11595</v>
      </c>
      <c r="H258" s="3">
        <v>11460</v>
      </c>
      <c r="I258" s="3">
        <v>11460</v>
      </c>
      <c r="J258" s="3">
        <v>11890</v>
      </c>
      <c r="K258" s="3">
        <v>11910</v>
      </c>
      <c r="L258" s="3">
        <v>12005</v>
      </c>
      <c r="M258" s="3">
        <v>12005</v>
      </c>
      <c r="N258" s="3">
        <v>12575</v>
      </c>
      <c r="O258" s="3">
        <v>12580</v>
      </c>
      <c r="P258" s="3">
        <v>12555</v>
      </c>
      <c r="Q258" s="3">
        <v>12410</v>
      </c>
      <c r="R258" s="3">
        <v>12520</v>
      </c>
      <c r="S258" s="3">
        <v>12520</v>
      </c>
      <c r="T258" s="3">
        <v>12325</v>
      </c>
      <c r="U258" s="3">
        <v>12325</v>
      </c>
      <c r="V258" s="3">
        <v>12800</v>
      </c>
      <c r="W258" s="3">
        <v>12800</v>
      </c>
      <c r="X258" s="3">
        <v>12550</v>
      </c>
      <c r="Y258" s="3">
        <v>12555</v>
      </c>
      <c r="Z258" s="3">
        <v>12735</v>
      </c>
      <c r="AA258" s="3">
        <v>12755</v>
      </c>
      <c r="AB258" s="3">
        <v>13255</v>
      </c>
      <c r="AC258" s="3">
        <v>13255</v>
      </c>
      <c r="AD258" s="3">
        <v>13325</v>
      </c>
      <c r="AE258" s="3">
        <v>13330</v>
      </c>
      <c r="AF258" s="3">
        <v>13865</v>
      </c>
      <c r="AG258" s="3">
        <v>13860</v>
      </c>
      <c r="AH258" s="3">
        <v>13850</v>
      </c>
      <c r="AI258" s="3">
        <v>13830</v>
      </c>
      <c r="AJ258" s="3">
        <v>13750</v>
      </c>
      <c r="AK258" s="3">
        <v>13775</v>
      </c>
      <c r="AL258" s="3">
        <v>13630</v>
      </c>
      <c r="AM258" s="3">
        <v>13630</v>
      </c>
      <c r="AN258" s="3">
        <v>13445</v>
      </c>
      <c r="AO258" s="3">
        <v>13445</v>
      </c>
      <c r="AP258" s="3">
        <v>13440</v>
      </c>
      <c r="AQ258" s="3">
        <v>13430</v>
      </c>
      <c r="AR258" s="4">
        <f t="shared" si="144"/>
        <v>1.1708586296617529E-2</v>
      </c>
      <c r="AS258" s="4">
        <f t="shared" si="116"/>
        <v>8.658008658009031E-4</v>
      </c>
      <c r="AT258" s="4">
        <f t="shared" si="117"/>
        <v>2.0686619718309762E-2</v>
      </c>
      <c r="AU258" s="4">
        <f t="shared" si="118"/>
        <v>2.7164685908319219E-2</v>
      </c>
      <c r="AV258" s="4">
        <f t="shared" si="119"/>
        <v>1.8819503849443864E-2</v>
      </c>
      <c r="AW258" s="4">
        <f t="shared" si="120"/>
        <v>1.2225969645868418E-2</v>
      </c>
      <c r="AX258" s="4">
        <f t="shared" si="121"/>
        <v>3.8382170862567122E-2</v>
      </c>
      <c r="AY258" s="4">
        <f t="shared" si="122"/>
        <v>2.8951486697965545E-2</v>
      </c>
      <c r="AZ258" s="4">
        <f t="shared" si="123"/>
        <v>1.9928258270227595E-3</v>
      </c>
      <c r="BA258" s="4">
        <f t="shared" si="124"/>
        <v>4.0404040404040664E-3</v>
      </c>
      <c r="BB258" s="4">
        <f t="shared" si="125"/>
        <v>3.7697608431292995E-2</v>
      </c>
      <c r="BC258" s="4">
        <f t="shared" si="126"/>
        <v>6.3316185199842057E-3</v>
      </c>
      <c r="BD258" s="4">
        <f t="shared" si="127"/>
        <v>6.6199376947040367E-3</v>
      </c>
      <c r="BE258" s="4">
        <f t="shared" si="128"/>
        <v>2.2367913613575041E-2</v>
      </c>
      <c r="BF258" s="4">
        <f t="shared" si="129"/>
        <v>1.8334606569900602E-2</v>
      </c>
      <c r="BG258" s="4">
        <f t="shared" si="130"/>
        <v>3.937007874015741E-2</v>
      </c>
      <c r="BH258" s="4">
        <f t="shared" si="131"/>
        <v>5.7512580877067121E-3</v>
      </c>
      <c r="BI258" s="4">
        <f t="shared" si="132"/>
        <v>7.2072072072072446E-3</v>
      </c>
      <c r="BJ258" s="4">
        <f t="shared" si="133"/>
        <v>6.5597667638483959E-3</v>
      </c>
      <c r="BK258" s="4">
        <f t="shared" si="134"/>
        <v>1.7537449762513702E-2</v>
      </c>
      <c r="BL258" s="4">
        <f t="shared" si="135"/>
        <v>1.85804533630618E-3</v>
      </c>
      <c r="BM258" s="4">
        <f t="shared" si="145"/>
        <v>1.7224595201346418E-2</v>
      </c>
      <c r="BN258" s="14">
        <f t="shared" si="146"/>
        <v>13686.756928434115</v>
      </c>
      <c r="BO258" s="15">
        <f t="shared" si="147"/>
        <v>13095.482268942058</v>
      </c>
      <c r="BP258" s="16">
        <v>13440</v>
      </c>
      <c r="BQ258" s="16">
        <v>13445</v>
      </c>
      <c r="BR258" s="16">
        <v>13430</v>
      </c>
      <c r="BS258" s="16">
        <v>13430</v>
      </c>
      <c r="BT258" s="16">
        <v>25223</v>
      </c>
      <c r="BU258" s="15">
        <f t="shared" si="136"/>
        <v>13435</v>
      </c>
      <c r="BV258" s="15">
        <f t="shared" si="137"/>
        <v>338871005</v>
      </c>
      <c r="BW258" s="15">
        <f>SUM($BV$3:BV258)</f>
        <v>229168643334.99994</v>
      </c>
      <c r="BX258" s="15">
        <f>SUM($BT$3:BT258)</f>
        <v>16911055</v>
      </c>
      <c r="BY258" s="15">
        <f t="shared" si="138"/>
        <v>13551.410206814415</v>
      </c>
      <c r="BZ258" s="3">
        <v>256</v>
      </c>
      <c r="CA258" s="3">
        <f t="shared" si="139"/>
        <v>0</v>
      </c>
      <c r="CB258" s="3">
        <f t="shared" si="140"/>
        <v>0</v>
      </c>
      <c r="CC258" s="3">
        <f t="shared" si="141"/>
        <v>0</v>
      </c>
      <c r="CD258" s="3" t="str">
        <f t="shared" si="142"/>
        <v/>
      </c>
      <c r="CE258" s="3">
        <f t="shared" si="143"/>
        <v>0</v>
      </c>
    </row>
    <row r="259" spans="1:83" x14ac:dyDescent="0.3">
      <c r="A259" s="3" t="s">
        <v>299</v>
      </c>
      <c r="B259" s="3">
        <v>11665</v>
      </c>
      <c r="C259" s="3">
        <v>11670</v>
      </c>
      <c r="D259" s="3">
        <v>11560</v>
      </c>
      <c r="E259" s="3">
        <v>11555</v>
      </c>
      <c r="F259" s="3">
        <v>11595</v>
      </c>
      <c r="G259" s="3">
        <v>11620</v>
      </c>
      <c r="H259" s="3">
        <v>11460</v>
      </c>
      <c r="I259" s="3">
        <v>11460</v>
      </c>
      <c r="J259" s="3">
        <v>11910</v>
      </c>
      <c r="K259" s="3">
        <v>11900</v>
      </c>
      <c r="L259" s="3">
        <v>12005</v>
      </c>
      <c r="M259" s="3">
        <v>12005</v>
      </c>
      <c r="N259" s="3">
        <v>12585</v>
      </c>
      <c r="O259" s="3">
        <v>12585</v>
      </c>
      <c r="P259" s="3">
        <v>12420</v>
      </c>
      <c r="Q259" s="3">
        <v>12415</v>
      </c>
      <c r="R259" s="3">
        <v>12520</v>
      </c>
      <c r="S259" s="3">
        <v>12525</v>
      </c>
      <c r="T259" s="3">
        <v>12325</v>
      </c>
      <c r="U259" s="3">
        <v>12335</v>
      </c>
      <c r="V259" s="3">
        <v>12800</v>
      </c>
      <c r="W259" s="3">
        <v>12800</v>
      </c>
      <c r="X259" s="3">
        <v>12555</v>
      </c>
      <c r="Y259" s="3">
        <v>12570</v>
      </c>
      <c r="Z259" s="3">
        <v>12750</v>
      </c>
      <c r="AA259" s="3">
        <v>12740</v>
      </c>
      <c r="AB259" s="3">
        <v>13255</v>
      </c>
      <c r="AC259" s="3">
        <v>13260</v>
      </c>
      <c r="AD259" s="3">
        <v>13330</v>
      </c>
      <c r="AE259" s="3">
        <v>13350</v>
      </c>
      <c r="AF259" s="3">
        <v>13860</v>
      </c>
      <c r="AG259" s="3">
        <v>13855</v>
      </c>
      <c r="AH259" s="3">
        <v>13830</v>
      </c>
      <c r="AI259" s="3">
        <v>13850</v>
      </c>
      <c r="AJ259" s="3">
        <v>13775</v>
      </c>
      <c r="AK259" s="3">
        <v>13750</v>
      </c>
      <c r="AL259" s="3">
        <v>13630</v>
      </c>
      <c r="AM259" s="3">
        <v>13615</v>
      </c>
      <c r="AN259" s="3">
        <v>13440</v>
      </c>
      <c r="AO259" s="3">
        <v>13445</v>
      </c>
      <c r="AP259" s="3">
        <v>13440</v>
      </c>
      <c r="AQ259" s="3">
        <v>13450</v>
      </c>
      <c r="AR259" s="4">
        <f t="shared" si="144"/>
        <v>1.2142237640936582E-2</v>
      </c>
      <c r="AS259" s="4">
        <f t="shared" si="116"/>
        <v>4.3290043290045155E-4</v>
      </c>
      <c r="AT259" s="4">
        <f t="shared" si="117"/>
        <v>2.2887323943661997E-2</v>
      </c>
      <c r="AU259" s="4">
        <f t="shared" si="118"/>
        <v>2.7164685908319219E-2</v>
      </c>
      <c r="AV259" s="4">
        <f t="shared" si="119"/>
        <v>1.7964071856287456E-2</v>
      </c>
      <c r="AW259" s="4">
        <f t="shared" si="120"/>
        <v>1.2225969645868418E-2</v>
      </c>
      <c r="AX259" s="4">
        <f t="shared" si="121"/>
        <v>3.8794882377218398E-2</v>
      </c>
      <c r="AY259" s="4">
        <f t="shared" si="122"/>
        <v>2.856025039123633E-2</v>
      </c>
      <c r="AZ259" s="4">
        <f t="shared" si="123"/>
        <v>1.5942606616181632E-3</v>
      </c>
      <c r="BA259" s="4">
        <f t="shared" si="124"/>
        <v>3.2323232323232531E-3</v>
      </c>
      <c r="BB259" s="4">
        <f t="shared" si="125"/>
        <v>3.7697608431292995E-2</v>
      </c>
      <c r="BC259" s="4">
        <f t="shared" si="126"/>
        <v>5.1444400474871532E-3</v>
      </c>
      <c r="BD259" s="4">
        <f t="shared" si="127"/>
        <v>7.7881619937694158E-3</v>
      </c>
      <c r="BE259" s="4">
        <f t="shared" si="128"/>
        <v>2.2753567296567745E-2</v>
      </c>
      <c r="BF259" s="4">
        <f t="shared" si="129"/>
        <v>1.9862490450725634E-2</v>
      </c>
      <c r="BG259" s="4">
        <f t="shared" si="130"/>
        <v>3.8995125609298853E-2</v>
      </c>
      <c r="BH259" s="4">
        <f t="shared" si="131"/>
        <v>4.3134435657800063E-3</v>
      </c>
      <c r="BI259" s="4">
        <f t="shared" si="132"/>
        <v>9.009009009009028E-3</v>
      </c>
      <c r="BJ259" s="4">
        <f t="shared" si="133"/>
        <v>7.6530612244898322E-3</v>
      </c>
      <c r="BK259" s="4">
        <f t="shared" si="134"/>
        <v>1.7537449762513702E-2</v>
      </c>
      <c r="BL259" s="4">
        <f t="shared" si="135"/>
        <v>3.7160906726119158E-4</v>
      </c>
      <c r="BM259" s="4">
        <f t="shared" si="145"/>
        <v>1.7352576718095036E-2</v>
      </c>
      <c r="BN259" s="14">
        <f t="shared" si="146"/>
        <v>13688.478919741969</v>
      </c>
      <c r="BO259" s="15">
        <f t="shared" si="147"/>
        <v>13093.776915231383</v>
      </c>
      <c r="BP259" s="16">
        <v>13440</v>
      </c>
      <c r="BQ259" s="16">
        <v>13455</v>
      </c>
      <c r="BR259" s="16">
        <v>13435</v>
      </c>
      <c r="BS259" s="16">
        <v>13450</v>
      </c>
      <c r="BT259" s="16">
        <v>42448</v>
      </c>
      <c r="BU259" s="15">
        <f t="shared" si="136"/>
        <v>13446.666666666666</v>
      </c>
      <c r="BV259" s="15">
        <f t="shared" si="137"/>
        <v>570784106.66666663</v>
      </c>
      <c r="BW259" s="15">
        <f>SUM($BV$3:BV259)</f>
        <v>229739427441.6666</v>
      </c>
      <c r="BX259" s="15">
        <f>SUM($BT$3:BT259)</f>
        <v>16953503</v>
      </c>
      <c r="BY259" s="15">
        <f t="shared" si="138"/>
        <v>13551.147951055696</v>
      </c>
      <c r="BZ259" s="3">
        <v>257</v>
      </c>
      <c r="CA259" s="3">
        <f t="shared" si="139"/>
        <v>0</v>
      </c>
      <c r="CB259" s="3">
        <f t="shared" si="140"/>
        <v>0</v>
      </c>
      <c r="CC259" s="3">
        <f t="shared" si="141"/>
        <v>0</v>
      </c>
      <c r="CD259" s="3" t="str">
        <f t="shared" si="142"/>
        <v/>
      </c>
      <c r="CE259" s="3">
        <f t="shared" si="143"/>
        <v>0</v>
      </c>
    </row>
    <row r="260" spans="1:83" x14ac:dyDescent="0.3">
      <c r="A260" s="3" t="s">
        <v>300</v>
      </c>
      <c r="B260" s="3">
        <v>11670</v>
      </c>
      <c r="C260" s="3">
        <v>11675</v>
      </c>
      <c r="D260" s="3">
        <v>11560</v>
      </c>
      <c r="E260" s="3">
        <v>11570</v>
      </c>
      <c r="F260" s="3">
        <v>11620</v>
      </c>
      <c r="G260" s="3">
        <v>11615</v>
      </c>
      <c r="H260" s="3">
        <v>11460</v>
      </c>
      <c r="I260" s="3">
        <v>11465</v>
      </c>
      <c r="J260" s="3">
        <v>11905</v>
      </c>
      <c r="K260" s="3">
        <v>11905</v>
      </c>
      <c r="L260" s="3">
        <v>12005</v>
      </c>
      <c r="M260" s="3">
        <v>12000</v>
      </c>
      <c r="N260" s="3">
        <v>12590</v>
      </c>
      <c r="O260" s="3">
        <v>12580</v>
      </c>
      <c r="P260" s="3">
        <v>12410</v>
      </c>
      <c r="Q260" s="3">
        <v>12460</v>
      </c>
      <c r="R260" s="3">
        <v>12525</v>
      </c>
      <c r="S260" s="3">
        <v>12530</v>
      </c>
      <c r="T260" s="3">
        <v>12335</v>
      </c>
      <c r="U260" s="3">
        <v>12335</v>
      </c>
      <c r="V260" s="3">
        <v>12800</v>
      </c>
      <c r="W260" s="3">
        <v>12790</v>
      </c>
      <c r="X260" s="3">
        <v>12570</v>
      </c>
      <c r="Y260" s="3">
        <v>12565</v>
      </c>
      <c r="Z260" s="3">
        <v>12740</v>
      </c>
      <c r="AA260" s="3">
        <v>12735</v>
      </c>
      <c r="AB260" s="3">
        <v>13260</v>
      </c>
      <c r="AC260" s="3">
        <v>13255</v>
      </c>
      <c r="AD260" s="3">
        <v>13350</v>
      </c>
      <c r="AE260" s="3">
        <v>13350</v>
      </c>
      <c r="AF260" s="3">
        <v>13855</v>
      </c>
      <c r="AG260" s="3">
        <v>13845</v>
      </c>
      <c r="AH260" s="3">
        <v>13850</v>
      </c>
      <c r="AI260" s="3">
        <v>13890</v>
      </c>
      <c r="AJ260" s="3">
        <v>13750</v>
      </c>
      <c r="AK260" s="3">
        <v>13770</v>
      </c>
      <c r="AL260" s="3">
        <v>13615</v>
      </c>
      <c r="AM260" s="3">
        <v>13625</v>
      </c>
      <c r="AN260" s="3">
        <v>13445</v>
      </c>
      <c r="AO260" s="3">
        <v>13440</v>
      </c>
      <c r="AP260" s="3">
        <v>13455</v>
      </c>
      <c r="AQ260" s="3">
        <v>13455</v>
      </c>
      <c r="AR260" s="4">
        <f t="shared" si="144"/>
        <v>1.2575888985255856E-2</v>
      </c>
      <c r="AS260" s="4">
        <f t="shared" ref="AS260:AS323" si="148">ABS(E260/D$3-1)</f>
        <v>1.7316017316018062E-3</v>
      </c>
      <c r="AT260" s="4">
        <f t="shared" ref="AT260:AT323" si="149">ABS(G260/F$3-1)</f>
        <v>2.2447183098591506E-2</v>
      </c>
      <c r="AU260" s="4">
        <f t="shared" ref="AU260:AU323" si="150">ABS(I260/H$3-1)</f>
        <v>2.6740237691001645E-2</v>
      </c>
      <c r="AV260" s="4">
        <f t="shared" ref="AV260:AV323" si="151">ABS(K260/J$3-1)</f>
        <v>1.839178785286566E-2</v>
      </c>
      <c r="AW260" s="4">
        <f t="shared" ref="AW260:AW323" si="152">ABS(M260/L$3-1)</f>
        <v>1.180438448566612E-2</v>
      </c>
      <c r="AX260" s="4">
        <f t="shared" ref="AX260:AX323" si="153">ABS(O260/N$3-1)</f>
        <v>3.8382170862567122E-2</v>
      </c>
      <c r="AY260" s="4">
        <f t="shared" ref="AY260:AY323" si="154">ABS(Q260/P$3-1)</f>
        <v>2.5039123630672955E-2</v>
      </c>
      <c r="AZ260" s="4">
        <f t="shared" ref="AZ260:AZ323" si="155">ABS(S260/R$3-1)</f>
        <v>1.1956954962136779E-3</v>
      </c>
      <c r="BA260" s="4">
        <f t="shared" ref="BA260:BA323" si="156">ABS(U260/T$3-1)</f>
        <v>3.2323232323232531E-3</v>
      </c>
      <c r="BB260" s="4">
        <f t="shared" ref="BB260:BB323" si="157">ABS(W260/V$3-1)</f>
        <v>3.6886907174706218E-2</v>
      </c>
      <c r="BC260" s="4">
        <f t="shared" ref="BC260:BC323" si="158">ABS(Y260/X$3-1)</f>
        <v>5.5401662049860967E-3</v>
      </c>
      <c r="BD260" s="4">
        <f t="shared" ref="BD260:BD323" si="159">ABS(AA260/Z$3-1)</f>
        <v>8.1775700934579865E-3</v>
      </c>
      <c r="BE260" s="4">
        <f t="shared" ref="BE260:BE323" si="160">ABS(AC260/AB$3-1)</f>
        <v>2.2367913613575041E-2</v>
      </c>
      <c r="BF260" s="4">
        <f t="shared" ref="BF260:BF323" si="161">ABS(AE260/AD$3-1)</f>
        <v>1.9862490450725634E-2</v>
      </c>
      <c r="BG260" s="4">
        <f t="shared" ref="BG260:BG323" si="162">ABS(AG260/AF$3-1)</f>
        <v>3.8245219347581516E-2</v>
      </c>
      <c r="BH260" s="4">
        <f t="shared" ref="BH260:BH323" si="163">ABS(AI260/AH$3-1)</f>
        <v>1.4378145219267058E-3</v>
      </c>
      <c r="BI260" s="4">
        <f t="shared" ref="BI260:BI323" si="164">ABS(AK260/AJ$3-1)</f>
        <v>7.5675675675676013E-3</v>
      </c>
      <c r="BJ260" s="4">
        <f t="shared" ref="BJ260:BJ323" si="165">ABS(AM260/AL$3-1)</f>
        <v>6.9241982507288746E-3</v>
      </c>
      <c r="BK260" s="4">
        <f t="shared" ref="BK260:BK323" si="166">ABS(AO260/AN$3-1)</f>
        <v>1.7902813299232712E-2</v>
      </c>
      <c r="BL260" s="4">
        <f t="shared" ref="BL260:BL323" si="167">ABS(AQ260/AP$3-1)</f>
        <v>0</v>
      </c>
      <c r="BM260" s="4">
        <f t="shared" si="145"/>
        <v>1.6625855267590386E-2</v>
      </c>
      <c r="BN260" s="14">
        <f t="shared" si="146"/>
        <v>13678.70088262543</v>
      </c>
      <c r="BO260" s="15">
        <f t="shared" si="147"/>
        <v>13103.460478559358</v>
      </c>
      <c r="BP260" s="16">
        <v>13455</v>
      </c>
      <c r="BQ260" s="16">
        <v>13455</v>
      </c>
      <c r="BR260" s="16">
        <v>13440</v>
      </c>
      <c r="BS260" s="16">
        <v>13455</v>
      </c>
      <c r="BT260" s="16">
        <v>22747</v>
      </c>
      <c r="BU260" s="15">
        <f t="shared" ref="BU260:BU323" si="168">SUM(BQ260:BS260)/3</f>
        <v>13450</v>
      </c>
      <c r="BV260" s="15">
        <f t="shared" ref="BV260:BV323" si="169">BU260*BT260</f>
        <v>305947150</v>
      </c>
      <c r="BW260" s="15">
        <f>SUM($BV$3:BV260)</f>
        <v>230045374591.6666</v>
      </c>
      <c r="BX260" s="15">
        <f>SUM($BT$3:BT260)</f>
        <v>16976250</v>
      </c>
      <c r="BY260" s="15">
        <f t="shared" ref="BY260:BY323" si="170">BW260/BX260</f>
        <v>13551.012419802171</v>
      </c>
      <c r="BZ260" s="3">
        <v>258</v>
      </c>
      <c r="CA260" s="3">
        <f t="shared" ref="CA260:CA323" si="171">IF(AND(BS260&gt;BN260,BS260&gt;BY260), 1, 0)</f>
        <v>0</v>
      </c>
      <c r="CB260" s="3">
        <f t="shared" ref="CB260:CB323" si="172">IF(AND(BS260&lt;BO260, BS260&lt;BY260), -1, 0)</f>
        <v>0</v>
      </c>
      <c r="CC260" s="3">
        <f t="shared" ref="CC260:CC323" si="173">SUM(CA260:CB260)</f>
        <v>0</v>
      </c>
      <c r="CD260" s="3" t="str">
        <f t="shared" ref="CD260:CD323" si="174">IF(MOD(BZ260,$CD$2)=0,CC260,"")</f>
        <v/>
      </c>
      <c r="CE260" s="3">
        <f t="shared" ref="CE260:CE323" si="175">IF(OR(CD260=1, AND(CE259=1, CD260&lt;&gt;0)), 1, 0)</f>
        <v>0</v>
      </c>
    </row>
    <row r="261" spans="1:83" x14ac:dyDescent="0.3">
      <c r="A261" s="3" t="s">
        <v>301</v>
      </c>
      <c r="B261" s="3">
        <v>11675</v>
      </c>
      <c r="C261" s="3">
        <v>11670</v>
      </c>
      <c r="D261" s="3">
        <v>11570</v>
      </c>
      <c r="E261" s="3">
        <v>11565</v>
      </c>
      <c r="F261" s="3">
        <v>11615</v>
      </c>
      <c r="G261" s="3">
        <v>11605</v>
      </c>
      <c r="H261" s="3">
        <v>11460</v>
      </c>
      <c r="I261" s="3">
        <v>11460</v>
      </c>
      <c r="J261" s="3">
        <v>11905</v>
      </c>
      <c r="K261" s="3">
        <v>11905</v>
      </c>
      <c r="L261" s="3">
        <v>12000</v>
      </c>
      <c r="M261" s="3">
        <v>12010</v>
      </c>
      <c r="N261" s="3">
        <v>12580</v>
      </c>
      <c r="O261" s="3">
        <v>12585</v>
      </c>
      <c r="P261" s="3">
        <v>12460</v>
      </c>
      <c r="Q261" s="3">
        <v>12470</v>
      </c>
      <c r="R261" s="3">
        <v>12525</v>
      </c>
      <c r="S261" s="3">
        <v>12525</v>
      </c>
      <c r="T261" s="3">
        <v>12335</v>
      </c>
      <c r="U261" s="3">
        <v>12335</v>
      </c>
      <c r="V261" s="3">
        <v>12795</v>
      </c>
      <c r="W261" s="3">
        <v>12800</v>
      </c>
      <c r="X261" s="3">
        <v>12570</v>
      </c>
      <c r="Y261" s="3">
        <v>12555</v>
      </c>
      <c r="Z261" s="3">
        <v>12740</v>
      </c>
      <c r="AA261" s="3">
        <v>12735</v>
      </c>
      <c r="AB261" s="3">
        <v>13255</v>
      </c>
      <c r="AC261" s="3">
        <v>13260</v>
      </c>
      <c r="AD261" s="3">
        <v>13345</v>
      </c>
      <c r="AE261" s="3">
        <v>13345</v>
      </c>
      <c r="AF261" s="3">
        <v>13845</v>
      </c>
      <c r="AG261" s="3">
        <v>13850</v>
      </c>
      <c r="AH261" s="3">
        <v>13895</v>
      </c>
      <c r="AI261" s="3">
        <v>13885</v>
      </c>
      <c r="AJ261" s="3">
        <v>13770</v>
      </c>
      <c r="AK261" s="3">
        <v>13780</v>
      </c>
      <c r="AL261" s="3">
        <v>13630</v>
      </c>
      <c r="AM261" s="3">
        <v>13635</v>
      </c>
      <c r="AN261" s="3">
        <v>13445</v>
      </c>
      <c r="AO261" s="3">
        <v>13455</v>
      </c>
      <c r="AP261" s="3">
        <v>13450</v>
      </c>
      <c r="AQ261" s="3">
        <v>13445</v>
      </c>
      <c r="AR261" s="4">
        <f t="shared" ref="AR261:AR324" si="176">ABS(C261/B$3-1)</f>
        <v>1.2142237640936582E-2</v>
      </c>
      <c r="AS261" s="4">
        <f t="shared" si="148"/>
        <v>1.2987012987013546E-3</v>
      </c>
      <c r="AT261" s="4">
        <f t="shared" si="149"/>
        <v>2.1566901408450745E-2</v>
      </c>
      <c r="AU261" s="4">
        <f t="shared" si="150"/>
        <v>2.7164685908319219E-2</v>
      </c>
      <c r="AV261" s="4">
        <f t="shared" si="151"/>
        <v>1.839178785286566E-2</v>
      </c>
      <c r="AW261" s="4">
        <f t="shared" si="152"/>
        <v>1.2647554806070715E-2</v>
      </c>
      <c r="AX261" s="4">
        <f t="shared" si="153"/>
        <v>3.8794882377218398E-2</v>
      </c>
      <c r="AY261" s="4">
        <f t="shared" si="154"/>
        <v>2.4256651017214415E-2</v>
      </c>
      <c r="AZ261" s="4">
        <f t="shared" si="155"/>
        <v>1.5942606616181632E-3</v>
      </c>
      <c r="BA261" s="4">
        <f t="shared" si="156"/>
        <v>3.2323232323232531E-3</v>
      </c>
      <c r="BB261" s="4">
        <f t="shared" si="157"/>
        <v>3.7697608431292995E-2</v>
      </c>
      <c r="BC261" s="4">
        <f t="shared" si="158"/>
        <v>6.3316185199842057E-3</v>
      </c>
      <c r="BD261" s="4">
        <f t="shared" si="159"/>
        <v>8.1775700934579865E-3</v>
      </c>
      <c r="BE261" s="4">
        <f t="shared" si="160"/>
        <v>2.2753567296567745E-2</v>
      </c>
      <c r="BF261" s="4">
        <f t="shared" si="161"/>
        <v>1.9480519480519431E-2</v>
      </c>
      <c r="BG261" s="4">
        <f t="shared" si="162"/>
        <v>3.8620172478440296E-2</v>
      </c>
      <c r="BH261" s="4">
        <f t="shared" si="163"/>
        <v>1.7972681524083267E-3</v>
      </c>
      <c r="BI261" s="4">
        <f t="shared" si="164"/>
        <v>6.8468468468468879E-3</v>
      </c>
      <c r="BJ261" s="4">
        <f t="shared" si="165"/>
        <v>6.1953352769679171E-3</v>
      </c>
      <c r="BK261" s="4">
        <f t="shared" si="166"/>
        <v>1.6806722689075682E-2</v>
      </c>
      <c r="BL261" s="4">
        <f t="shared" si="167"/>
        <v>7.4321813452249419E-4</v>
      </c>
      <c r="BM261" s="4">
        <f t="shared" ref="BM261:BM324" si="177">AVERAGE(AX261:BK261)</f>
        <v>1.6613239039566834E-2</v>
      </c>
      <c r="BN261" s="14">
        <f t="shared" ref="BN261:BN324" si="178">MAX($AP$3,$AO$383)*(1+BM261)</f>
        <v>13678.531131277372</v>
      </c>
      <c r="BO261" s="15">
        <f t="shared" ref="BO261:BO324" si="179">MIN($AP$3,$AO$383)*(1-BM261)</f>
        <v>13103.628589797772</v>
      </c>
      <c r="BP261" s="16">
        <v>13450</v>
      </c>
      <c r="BQ261" s="16">
        <v>13455</v>
      </c>
      <c r="BR261" s="16">
        <v>13445</v>
      </c>
      <c r="BS261" s="16">
        <v>13445</v>
      </c>
      <c r="BT261" s="16">
        <v>13880</v>
      </c>
      <c r="BU261" s="15">
        <f t="shared" si="168"/>
        <v>13448.333333333334</v>
      </c>
      <c r="BV261" s="15">
        <f t="shared" si="169"/>
        <v>186662866.66666669</v>
      </c>
      <c r="BW261" s="15">
        <f>SUM($BV$3:BV261)</f>
        <v>230232037458.33325</v>
      </c>
      <c r="BX261" s="15">
        <f>SUM($BT$3:BT261)</f>
        <v>16990130</v>
      </c>
      <c r="BY261" s="15">
        <f t="shared" si="170"/>
        <v>13550.928536646468</v>
      </c>
      <c r="BZ261" s="3">
        <v>259</v>
      </c>
      <c r="CA261" s="3">
        <f t="shared" si="171"/>
        <v>0</v>
      </c>
      <c r="CB261" s="3">
        <f t="shared" si="172"/>
        <v>0</v>
      </c>
      <c r="CC261" s="3">
        <f t="shared" si="173"/>
        <v>0</v>
      </c>
      <c r="CD261" s="3" t="str">
        <f t="shared" si="174"/>
        <v/>
      </c>
      <c r="CE261" s="3">
        <f t="shared" si="175"/>
        <v>0</v>
      </c>
    </row>
    <row r="262" spans="1:83" x14ac:dyDescent="0.3">
      <c r="A262" s="3" t="s">
        <v>302</v>
      </c>
      <c r="B262" s="3">
        <v>11670</v>
      </c>
      <c r="C262" s="3">
        <v>11670</v>
      </c>
      <c r="D262" s="3">
        <v>11565</v>
      </c>
      <c r="E262" s="3">
        <v>11570</v>
      </c>
      <c r="F262" s="3">
        <v>11605</v>
      </c>
      <c r="G262" s="3">
        <v>11610</v>
      </c>
      <c r="H262" s="3">
        <v>11460</v>
      </c>
      <c r="I262" s="3">
        <v>11460</v>
      </c>
      <c r="J262" s="3">
        <v>11905</v>
      </c>
      <c r="K262" s="3">
        <v>11910</v>
      </c>
      <c r="L262" s="3">
        <v>12015</v>
      </c>
      <c r="M262" s="3">
        <v>12000</v>
      </c>
      <c r="N262" s="3">
        <v>12585</v>
      </c>
      <c r="O262" s="3">
        <v>12595</v>
      </c>
      <c r="P262" s="3">
        <v>12470</v>
      </c>
      <c r="Q262" s="3">
        <v>12435</v>
      </c>
      <c r="R262" s="3">
        <v>12520</v>
      </c>
      <c r="S262" s="3">
        <v>12520</v>
      </c>
      <c r="T262" s="3">
        <v>12340</v>
      </c>
      <c r="U262" s="3">
        <v>12345</v>
      </c>
      <c r="V262" s="3">
        <v>12800</v>
      </c>
      <c r="W262" s="3">
        <v>12800</v>
      </c>
      <c r="X262" s="3">
        <v>12555</v>
      </c>
      <c r="Y262" s="3">
        <v>12555</v>
      </c>
      <c r="Z262" s="3">
        <v>12735</v>
      </c>
      <c r="AA262" s="3">
        <v>12740</v>
      </c>
      <c r="AB262" s="3">
        <v>13260</v>
      </c>
      <c r="AC262" s="3">
        <v>13260</v>
      </c>
      <c r="AD262" s="3">
        <v>13345</v>
      </c>
      <c r="AE262" s="3">
        <v>13320</v>
      </c>
      <c r="AF262" s="3">
        <v>13850</v>
      </c>
      <c r="AG262" s="3">
        <v>13855</v>
      </c>
      <c r="AH262" s="3">
        <v>13885</v>
      </c>
      <c r="AI262" s="3">
        <v>13920</v>
      </c>
      <c r="AJ262" s="3">
        <v>13780</v>
      </c>
      <c r="AK262" s="3">
        <v>13785</v>
      </c>
      <c r="AL262" s="3">
        <v>13640</v>
      </c>
      <c r="AM262" s="3">
        <v>13660</v>
      </c>
      <c r="AN262" s="3">
        <v>13455</v>
      </c>
      <c r="AO262" s="3">
        <v>13455</v>
      </c>
      <c r="AP262" s="3">
        <v>13450</v>
      </c>
      <c r="AQ262" s="3">
        <v>13425</v>
      </c>
      <c r="AR262" s="4">
        <f t="shared" si="176"/>
        <v>1.2142237640936582E-2</v>
      </c>
      <c r="AS262" s="4">
        <f t="shared" si="148"/>
        <v>1.7316017316018062E-3</v>
      </c>
      <c r="AT262" s="4">
        <f t="shared" si="149"/>
        <v>2.2007042253521236E-2</v>
      </c>
      <c r="AU262" s="4">
        <f t="shared" si="150"/>
        <v>2.7164685908319219E-2</v>
      </c>
      <c r="AV262" s="4">
        <f t="shared" si="151"/>
        <v>1.8819503849443864E-2</v>
      </c>
      <c r="AW262" s="4">
        <f t="shared" si="152"/>
        <v>1.180438448566612E-2</v>
      </c>
      <c r="AX262" s="4">
        <f t="shared" si="153"/>
        <v>3.962030540652095E-2</v>
      </c>
      <c r="AY262" s="4">
        <f t="shared" si="154"/>
        <v>2.699530516431925E-2</v>
      </c>
      <c r="AZ262" s="4">
        <f t="shared" si="155"/>
        <v>1.9928258270227595E-3</v>
      </c>
      <c r="BA262" s="4">
        <f t="shared" si="156"/>
        <v>2.4242424242424399E-3</v>
      </c>
      <c r="BB262" s="4">
        <f t="shared" si="157"/>
        <v>3.7697608431292995E-2</v>
      </c>
      <c r="BC262" s="4">
        <f t="shared" si="158"/>
        <v>6.3316185199842057E-3</v>
      </c>
      <c r="BD262" s="4">
        <f t="shared" si="159"/>
        <v>7.7881619937694158E-3</v>
      </c>
      <c r="BE262" s="4">
        <f t="shared" si="160"/>
        <v>2.2753567296567745E-2</v>
      </c>
      <c r="BF262" s="4">
        <f t="shared" si="161"/>
        <v>1.7570664629488197E-2</v>
      </c>
      <c r="BG262" s="4">
        <f t="shared" si="162"/>
        <v>3.8995125609298853E-2</v>
      </c>
      <c r="BH262" s="4">
        <f t="shared" si="163"/>
        <v>7.1890726096324187E-4</v>
      </c>
      <c r="BI262" s="4">
        <f t="shared" si="164"/>
        <v>6.4864864864865313E-3</v>
      </c>
      <c r="BJ262" s="4">
        <f t="shared" si="165"/>
        <v>4.3731778425656342E-3</v>
      </c>
      <c r="BK262" s="4">
        <f t="shared" si="166"/>
        <v>1.6806722689075682E-2</v>
      </c>
      <c r="BL262" s="4">
        <f t="shared" si="167"/>
        <v>2.2296544035674826E-3</v>
      </c>
      <c r="BM262" s="4">
        <f t="shared" si="177"/>
        <v>1.6468194255828423E-2</v>
      </c>
      <c r="BN262" s="14">
        <f t="shared" si="178"/>
        <v>13676.579553712172</v>
      </c>
      <c r="BO262" s="15">
        <f t="shared" si="179"/>
        <v>13105.561311541085</v>
      </c>
      <c r="BP262" s="16">
        <v>13450</v>
      </c>
      <c r="BQ262" s="16">
        <v>13450</v>
      </c>
      <c r="BR262" s="16">
        <v>13425</v>
      </c>
      <c r="BS262" s="16">
        <v>13425</v>
      </c>
      <c r="BT262" s="16">
        <v>18288</v>
      </c>
      <c r="BU262" s="15">
        <f t="shared" si="168"/>
        <v>13433.333333333334</v>
      </c>
      <c r="BV262" s="15">
        <f t="shared" si="169"/>
        <v>245668800</v>
      </c>
      <c r="BW262" s="15">
        <f>SUM($BV$3:BV262)</f>
        <v>230477706258.33325</v>
      </c>
      <c r="BX262" s="15">
        <f>SUM($BT$3:BT262)</f>
        <v>17008418</v>
      </c>
      <c r="BY262" s="15">
        <f t="shared" si="170"/>
        <v>13550.802094488345</v>
      </c>
      <c r="BZ262" s="3">
        <v>260</v>
      </c>
      <c r="CA262" s="3">
        <f t="shared" si="171"/>
        <v>0</v>
      </c>
      <c r="CB262" s="3">
        <f t="shared" si="172"/>
        <v>0</v>
      </c>
      <c r="CC262" s="3">
        <f t="shared" si="173"/>
        <v>0</v>
      </c>
      <c r="CD262" s="3" t="str">
        <f t="shared" si="174"/>
        <v/>
      </c>
      <c r="CE262" s="3">
        <f t="shared" si="175"/>
        <v>0</v>
      </c>
    </row>
    <row r="263" spans="1:83" x14ac:dyDescent="0.3">
      <c r="A263" s="3" t="s">
        <v>303</v>
      </c>
      <c r="B263" s="3">
        <v>11670</v>
      </c>
      <c r="C263" s="3">
        <v>11675</v>
      </c>
      <c r="D263" s="3">
        <v>11575</v>
      </c>
      <c r="E263" s="3">
        <v>11570</v>
      </c>
      <c r="F263" s="3">
        <v>11610</v>
      </c>
      <c r="G263" s="3">
        <v>11595</v>
      </c>
      <c r="H263" s="3">
        <v>11460</v>
      </c>
      <c r="I263" s="3">
        <v>11465</v>
      </c>
      <c r="J263" s="3">
        <v>11910</v>
      </c>
      <c r="K263" s="3">
        <v>11910</v>
      </c>
      <c r="L263" s="3">
        <v>12000</v>
      </c>
      <c r="M263" s="3">
        <v>12005</v>
      </c>
      <c r="N263" s="3">
        <v>12595</v>
      </c>
      <c r="O263" s="3">
        <v>12590</v>
      </c>
      <c r="P263" s="3">
        <v>12430</v>
      </c>
      <c r="Q263" s="3">
        <v>12500</v>
      </c>
      <c r="R263" s="3">
        <v>12520</v>
      </c>
      <c r="S263" s="3">
        <v>12505</v>
      </c>
      <c r="T263" s="3">
        <v>12340</v>
      </c>
      <c r="U263" s="3">
        <v>12335</v>
      </c>
      <c r="V263" s="3">
        <v>12800</v>
      </c>
      <c r="W263" s="3">
        <v>12785</v>
      </c>
      <c r="X263" s="3">
        <v>12560</v>
      </c>
      <c r="Y263" s="3">
        <v>12555</v>
      </c>
      <c r="Z263" s="3">
        <v>12740</v>
      </c>
      <c r="AA263" s="3">
        <v>12735</v>
      </c>
      <c r="AB263" s="3">
        <v>13260</v>
      </c>
      <c r="AC263" s="3">
        <v>13260</v>
      </c>
      <c r="AD263" s="3">
        <v>13315</v>
      </c>
      <c r="AE263" s="3">
        <v>13320</v>
      </c>
      <c r="AF263" s="3">
        <v>13855</v>
      </c>
      <c r="AG263" s="3">
        <v>13845</v>
      </c>
      <c r="AH263" s="3">
        <v>13920</v>
      </c>
      <c r="AI263" s="3">
        <v>13870</v>
      </c>
      <c r="AJ263" s="3">
        <v>13785</v>
      </c>
      <c r="AK263" s="3">
        <v>13790</v>
      </c>
      <c r="AL263" s="3">
        <v>13660</v>
      </c>
      <c r="AM263" s="3">
        <v>13655</v>
      </c>
      <c r="AN263" s="3">
        <v>13450</v>
      </c>
      <c r="AO263" s="3">
        <v>13450</v>
      </c>
      <c r="AP263" s="3">
        <v>13420</v>
      </c>
      <c r="AQ263" s="3">
        <v>13415</v>
      </c>
      <c r="AR263" s="4">
        <f t="shared" si="176"/>
        <v>1.2575888985255856E-2</v>
      </c>
      <c r="AS263" s="4">
        <f t="shared" si="148"/>
        <v>1.7316017316018062E-3</v>
      </c>
      <c r="AT263" s="4">
        <f t="shared" si="149"/>
        <v>2.0686619718309762E-2</v>
      </c>
      <c r="AU263" s="4">
        <f t="shared" si="150"/>
        <v>2.6740237691001645E-2</v>
      </c>
      <c r="AV263" s="4">
        <f t="shared" si="151"/>
        <v>1.8819503849443864E-2</v>
      </c>
      <c r="AW263" s="4">
        <f t="shared" si="152"/>
        <v>1.2225969645868418E-2</v>
      </c>
      <c r="AX263" s="4">
        <f t="shared" si="153"/>
        <v>3.9207593891869674E-2</v>
      </c>
      <c r="AY263" s="4">
        <f t="shared" si="154"/>
        <v>2.1909233176838794E-2</v>
      </c>
      <c r="AZ263" s="4">
        <f t="shared" si="155"/>
        <v>3.1885213232363263E-3</v>
      </c>
      <c r="BA263" s="4">
        <f t="shared" si="156"/>
        <v>3.2323232323232531E-3</v>
      </c>
      <c r="BB263" s="4">
        <f t="shared" si="157"/>
        <v>3.6481556546412719E-2</v>
      </c>
      <c r="BC263" s="4">
        <f t="shared" si="158"/>
        <v>6.3316185199842057E-3</v>
      </c>
      <c r="BD263" s="4">
        <f t="shared" si="159"/>
        <v>8.1775700934579865E-3</v>
      </c>
      <c r="BE263" s="4">
        <f t="shared" si="160"/>
        <v>2.2753567296567745E-2</v>
      </c>
      <c r="BF263" s="4">
        <f t="shared" si="161"/>
        <v>1.7570664629488197E-2</v>
      </c>
      <c r="BG263" s="4">
        <f t="shared" si="162"/>
        <v>3.8245219347581516E-2</v>
      </c>
      <c r="BH263" s="4">
        <f t="shared" si="163"/>
        <v>2.8756290438533005E-3</v>
      </c>
      <c r="BI263" s="4">
        <f t="shared" si="164"/>
        <v>6.1261261261261746E-3</v>
      </c>
      <c r="BJ263" s="4">
        <f t="shared" si="165"/>
        <v>4.737609329446113E-3</v>
      </c>
      <c r="BK263" s="4">
        <f t="shared" si="166"/>
        <v>1.7172086225794692E-2</v>
      </c>
      <c r="BL263" s="4">
        <f t="shared" si="167"/>
        <v>2.9728725380899768E-3</v>
      </c>
      <c r="BM263" s="4">
        <f t="shared" si="177"/>
        <v>1.628637991307005E-2</v>
      </c>
      <c r="BN263" s="14">
        <f t="shared" si="178"/>
        <v>13674.133241730358</v>
      </c>
      <c r="BO263" s="15">
        <f t="shared" si="179"/>
        <v>13107.983987658343</v>
      </c>
      <c r="BP263" s="16">
        <v>13420</v>
      </c>
      <c r="BQ263" s="16">
        <v>13430</v>
      </c>
      <c r="BR263" s="16">
        <v>13410</v>
      </c>
      <c r="BS263" s="16">
        <v>13415</v>
      </c>
      <c r="BT263" s="16">
        <v>42655</v>
      </c>
      <c r="BU263" s="15">
        <f t="shared" si="168"/>
        <v>13418.333333333334</v>
      </c>
      <c r="BV263" s="15">
        <f t="shared" si="169"/>
        <v>572359008.33333337</v>
      </c>
      <c r="BW263" s="15">
        <f>SUM($BV$3:BV263)</f>
        <v>231050065266.6666</v>
      </c>
      <c r="BX263" s="15">
        <f>SUM($BT$3:BT263)</f>
        <v>17051073</v>
      </c>
      <c r="BY263" s="15">
        <f t="shared" si="170"/>
        <v>13550.470710357442</v>
      </c>
      <c r="BZ263" s="3">
        <v>261</v>
      </c>
      <c r="CA263" s="3">
        <f t="shared" si="171"/>
        <v>0</v>
      </c>
      <c r="CB263" s="3">
        <f t="shared" si="172"/>
        <v>0</v>
      </c>
      <c r="CC263" s="3">
        <f t="shared" si="173"/>
        <v>0</v>
      </c>
      <c r="CD263" s="3" t="str">
        <f t="shared" si="174"/>
        <v/>
      </c>
      <c r="CE263" s="3">
        <f t="shared" si="175"/>
        <v>0</v>
      </c>
    </row>
    <row r="264" spans="1:83" x14ac:dyDescent="0.3">
      <c r="A264" s="3" t="s">
        <v>304</v>
      </c>
      <c r="B264" s="3">
        <v>11675</v>
      </c>
      <c r="C264" s="3">
        <v>11685</v>
      </c>
      <c r="D264" s="3">
        <v>11570</v>
      </c>
      <c r="E264" s="3">
        <v>11555</v>
      </c>
      <c r="F264" s="3">
        <v>11595</v>
      </c>
      <c r="G264" s="3">
        <v>11605</v>
      </c>
      <c r="H264" s="3">
        <v>11465</v>
      </c>
      <c r="I264" s="3">
        <v>11465</v>
      </c>
      <c r="J264" s="3">
        <v>11910</v>
      </c>
      <c r="K264" s="3">
        <v>11890</v>
      </c>
      <c r="L264" s="3">
        <v>12005</v>
      </c>
      <c r="M264" s="3">
        <v>12015</v>
      </c>
      <c r="N264" s="3">
        <v>12590</v>
      </c>
      <c r="O264" s="3">
        <v>12595</v>
      </c>
      <c r="P264" s="3">
        <v>12500</v>
      </c>
      <c r="Q264" s="3">
        <v>12500</v>
      </c>
      <c r="R264" s="3">
        <v>12505</v>
      </c>
      <c r="S264" s="3">
        <v>12505</v>
      </c>
      <c r="T264" s="3">
        <v>12335</v>
      </c>
      <c r="U264" s="3">
        <v>12320</v>
      </c>
      <c r="V264" s="3">
        <v>12785</v>
      </c>
      <c r="W264" s="3">
        <v>12795</v>
      </c>
      <c r="X264" s="3">
        <v>12560</v>
      </c>
      <c r="Y264" s="3">
        <v>12555</v>
      </c>
      <c r="Z264" s="3">
        <v>12735</v>
      </c>
      <c r="AA264" s="3">
        <v>12735</v>
      </c>
      <c r="AB264" s="3">
        <v>13260</v>
      </c>
      <c r="AC264" s="3">
        <v>13260</v>
      </c>
      <c r="AD264" s="3">
        <v>13320</v>
      </c>
      <c r="AE264" s="3">
        <v>13315</v>
      </c>
      <c r="AF264" s="3">
        <v>13845</v>
      </c>
      <c r="AG264" s="3">
        <v>13850</v>
      </c>
      <c r="AH264" s="3">
        <v>13865</v>
      </c>
      <c r="AI264" s="3">
        <v>13835</v>
      </c>
      <c r="AJ264" s="3">
        <v>13795</v>
      </c>
      <c r="AK264" s="3">
        <v>13780</v>
      </c>
      <c r="AL264" s="3">
        <v>13660</v>
      </c>
      <c r="AM264" s="3">
        <v>13660</v>
      </c>
      <c r="AN264" s="3">
        <v>13450</v>
      </c>
      <c r="AO264" s="3">
        <v>13445</v>
      </c>
      <c r="AP264" s="3">
        <v>13415</v>
      </c>
      <c r="AQ264" s="3">
        <v>13420</v>
      </c>
      <c r="AR264" s="4">
        <f t="shared" si="176"/>
        <v>1.3443191673894184E-2</v>
      </c>
      <c r="AS264" s="4">
        <f t="shared" si="148"/>
        <v>4.3290043290045155E-4</v>
      </c>
      <c r="AT264" s="4">
        <f t="shared" si="149"/>
        <v>2.1566901408450745E-2</v>
      </c>
      <c r="AU264" s="4">
        <f t="shared" si="150"/>
        <v>2.6740237691001645E-2</v>
      </c>
      <c r="AV264" s="4">
        <f t="shared" si="151"/>
        <v>1.7108639863130826E-2</v>
      </c>
      <c r="AW264" s="4">
        <f t="shared" si="152"/>
        <v>1.3069139966273235E-2</v>
      </c>
      <c r="AX264" s="4">
        <f t="shared" si="153"/>
        <v>3.962030540652095E-2</v>
      </c>
      <c r="AY264" s="4">
        <f t="shared" si="154"/>
        <v>2.1909233176838794E-2</v>
      </c>
      <c r="AZ264" s="4">
        <f t="shared" si="155"/>
        <v>3.1885213232363263E-3</v>
      </c>
      <c r="BA264" s="4">
        <f t="shared" si="156"/>
        <v>4.4444444444444731E-3</v>
      </c>
      <c r="BB264" s="4">
        <f t="shared" si="157"/>
        <v>3.7292257802999496E-2</v>
      </c>
      <c r="BC264" s="4">
        <f t="shared" si="158"/>
        <v>6.3316185199842057E-3</v>
      </c>
      <c r="BD264" s="4">
        <f t="shared" si="159"/>
        <v>8.1775700934579865E-3</v>
      </c>
      <c r="BE264" s="4">
        <f t="shared" si="160"/>
        <v>2.2753567296567745E-2</v>
      </c>
      <c r="BF264" s="4">
        <f t="shared" si="161"/>
        <v>1.7188693659281995E-2</v>
      </c>
      <c r="BG264" s="4">
        <f t="shared" si="162"/>
        <v>3.8620172478440296E-2</v>
      </c>
      <c r="BH264" s="4">
        <f t="shared" si="163"/>
        <v>5.3918044572249801E-3</v>
      </c>
      <c r="BI264" s="4">
        <f t="shared" si="164"/>
        <v>6.8468468468468879E-3</v>
      </c>
      <c r="BJ264" s="4">
        <f t="shared" si="165"/>
        <v>4.3731778425656342E-3</v>
      </c>
      <c r="BK264" s="4">
        <f t="shared" si="166"/>
        <v>1.7537449762513702E-2</v>
      </c>
      <c r="BL264" s="4">
        <f t="shared" si="167"/>
        <v>2.6012634708286742E-3</v>
      </c>
      <c r="BM264" s="4">
        <f t="shared" si="177"/>
        <v>1.669111879363739E-2</v>
      </c>
      <c r="BN264" s="14">
        <f t="shared" si="178"/>
        <v>13679.579003368392</v>
      </c>
      <c r="BO264" s="15">
        <f t="shared" si="179"/>
        <v>13102.590842074782</v>
      </c>
      <c r="BP264" s="16">
        <v>13415</v>
      </c>
      <c r="BQ264" s="16">
        <v>13420</v>
      </c>
      <c r="BR264" s="16">
        <v>13395</v>
      </c>
      <c r="BS264" s="16">
        <v>13420</v>
      </c>
      <c r="BT264" s="16">
        <v>62765</v>
      </c>
      <c r="BU264" s="15">
        <f t="shared" si="168"/>
        <v>13411.666666666666</v>
      </c>
      <c r="BV264" s="15">
        <f t="shared" si="169"/>
        <v>841783258.33333325</v>
      </c>
      <c r="BW264" s="15">
        <f>SUM($BV$3:BV264)</f>
        <v>231891848524.99994</v>
      </c>
      <c r="BX264" s="15">
        <f>SUM($BT$3:BT264)</f>
        <v>17113838</v>
      </c>
      <c r="BY264" s="15">
        <f t="shared" si="170"/>
        <v>13549.961646534222</v>
      </c>
      <c r="BZ264" s="3">
        <v>262</v>
      </c>
      <c r="CA264" s="3">
        <f t="shared" si="171"/>
        <v>0</v>
      </c>
      <c r="CB264" s="3">
        <f t="shared" si="172"/>
        <v>0</v>
      </c>
      <c r="CC264" s="3">
        <f t="shared" si="173"/>
        <v>0</v>
      </c>
      <c r="CD264" s="3" t="str">
        <f t="shared" si="174"/>
        <v/>
      </c>
      <c r="CE264" s="3">
        <f t="shared" si="175"/>
        <v>0</v>
      </c>
    </row>
    <row r="265" spans="1:83" x14ac:dyDescent="0.3">
      <c r="A265" s="3" t="s">
        <v>305</v>
      </c>
      <c r="B265" s="3">
        <v>11685</v>
      </c>
      <c r="C265" s="3">
        <v>11690</v>
      </c>
      <c r="D265" s="3">
        <v>11555</v>
      </c>
      <c r="E265" s="3">
        <v>11560</v>
      </c>
      <c r="F265" s="3">
        <v>11605</v>
      </c>
      <c r="G265" s="3">
        <v>11595</v>
      </c>
      <c r="H265" s="3">
        <v>11460</v>
      </c>
      <c r="I265" s="3">
        <v>11450</v>
      </c>
      <c r="J265" s="3">
        <v>11890</v>
      </c>
      <c r="K265" s="3">
        <v>11870</v>
      </c>
      <c r="L265" s="3">
        <v>12015</v>
      </c>
      <c r="M265" s="3">
        <v>12015</v>
      </c>
      <c r="N265" s="3">
        <v>12595</v>
      </c>
      <c r="O265" s="3">
        <v>12590</v>
      </c>
      <c r="P265" s="3">
        <v>12500</v>
      </c>
      <c r="Q265" s="3">
        <v>12480</v>
      </c>
      <c r="R265" s="3">
        <v>12505</v>
      </c>
      <c r="S265" s="3">
        <v>12525</v>
      </c>
      <c r="T265" s="3">
        <v>12320</v>
      </c>
      <c r="U265" s="3">
        <v>12320</v>
      </c>
      <c r="V265" s="3">
        <v>12795</v>
      </c>
      <c r="W265" s="3">
        <v>12785</v>
      </c>
      <c r="X265" s="3">
        <v>12555</v>
      </c>
      <c r="Y265" s="3">
        <v>12550</v>
      </c>
      <c r="Z265" s="3">
        <v>12740</v>
      </c>
      <c r="AA265" s="3">
        <v>12745</v>
      </c>
      <c r="AB265" s="3">
        <v>13260</v>
      </c>
      <c r="AC265" s="3">
        <v>13260</v>
      </c>
      <c r="AD265" s="3">
        <v>13315</v>
      </c>
      <c r="AE265" s="3">
        <v>13330</v>
      </c>
      <c r="AF265" s="3">
        <v>13850</v>
      </c>
      <c r="AG265" s="3">
        <v>13840</v>
      </c>
      <c r="AH265" s="3">
        <v>13835</v>
      </c>
      <c r="AI265" s="3">
        <v>13845</v>
      </c>
      <c r="AJ265" s="3">
        <v>13785</v>
      </c>
      <c r="AK265" s="3">
        <v>13775</v>
      </c>
      <c r="AL265" s="3">
        <v>13660</v>
      </c>
      <c r="AM265" s="3">
        <v>13645</v>
      </c>
      <c r="AN265" s="3">
        <v>13445</v>
      </c>
      <c r="AO265" s="3">
        <v>13460</v>
      </c>
      <c r="AP265" s="3">
        <v>13420</v>
      </c>
      <c r="AQ265" s="3">
        <v>13400</v>
      </c>
      <c r="AR265" s="4">
        <f t="shared" si="176"/>
        <v>1.3876843018213458E-2</v>
      </c>
      <c r="AS265" s="4">
        <f t="shared" si="148"/>
        <v>8.658008658009031E-4</v>
      </c>
      <c r="AT265" s="4">
        <f t="shared" si="149"/>
        <v>2.0686619718309762E-2</v>
      </c>
      <c r="AU265" s="4">
        <f t="shared" si="150"/>
        <v>2.8013582342954146E-2</v>
      </c>
      <c r="AV265" s="4">
        <f t="shared" si="151"/>
        <v>1.5397775876817787E-2</v>
      </c>
      <c r="AW265" s="4">
        <f t="shared" si="152"/>
        <v>1.3069139966273235E-2</v>
      </c>
      <c r="AX265" s="4">
        <f t="shared" si="153"/>
        <v>3.9207593891869674E-2</v>
      </c>
      <c r="AY265" s="4">
        <f t="shared" si="154"/>
        <v>2.3474178403755874E-2</v>
      </c>
      <c r="AZ265" s="4">
        <f t="shared" si="155"/>
        <v>1.5942606616181632E-3</v>
      </c>
      <c r="BA265" s="4">
        <f t="shared" si="156"/>
        <v>4.4444444444444731E-3</v>
      </c>
      <c r="BB265" s="4">
        <f t="shared" si="157"/>
        <v>3.6481556546412719E-2</v>
      </c>
      <c r="BC265" s="4">
        <f t="shared" si="158"/>
        <v>6.7273446774831491E-3</v>
      </c>
      <c r="BD265" s="4">
        <f t="shared" si="159"/>
        <v>7.3987538940809561E-3</v>
      </c>
      <c r="BE265" s="4">
        <f t="shared" si="160"/>
        <v>2.2753567296567745E-2</v>
      </c>
      <c r="BF265" s="4">
        <f t="shared" si="161"/>
        <v>1.8334606569900602E-2</v>
      </c>
      <c r="BG265" s="4">
        <f t="shared" si="162"/>
        <v>3.7870266216722959E-2</v>
      </c>
      <c r="BH265" s="4">
        <f t="shared" si="163"/>
        <v>4.6728971962616273E-3</v>
      </c>
      <c r="BI265" s="4">
        <f t="shared" si="164"/>
        <v>7.2072072072072446E-3</v>
      </c>
      <c r="BJ265" s="4">
        <f t="shared" si="165"/>
        <v>5.4664723032069595E-3</v>
      </c>
      <c r="BK265" s="4">
        <f t="shared" si="166"/>
        <v>1.6441359152356561E-2</v>
      </c>
      <c r="BL265" s="4">
        <f t="shared" si="167"/>
        <v>4.0876997398736625E-3</v>
      </c>
      <c r="BM265" s="4">
        <f t="shared" si="177"/>
        <v>1.6576750604420622E-2</v>
      </c>
      <c r="BN265" s="14">
        <f t="shared" si="178"/>
        <v>13678.040179382479</v>
      </c>
      <c r="BO265" s="15">
        <f t="shared" si="179"/>
        <v>13104.114798196095</v>
      </c>
      <c r="BP265" s="16">
        <v>13420</v>
      </c>
      <c r="BQ265" s="16">
        <v>13420</v>
      </c>
      <c r="BR265" s="16">
        <v>13385</v>
      </c>
      <c r="BS265" s="16">
        <v>13400</v>
      </c>
      <c r="BT265" s="16">
        <v>76401</v>
      </c>
      <c r="BU265" s="15">
        <f t="shared" si="168"/>
        <v>13401.666666666666</v>
      </c>
      <c r="BV265" s="15">
        <f t="shared" si="169"/>
        <v>1023900735</v>
      </c>
      <c r="BW265" s="15">
        <f>SUM($BV$3:BV265)</f>
        <v>232915749259.99994</v>
      </c>
      <c r="BX265" s="15">
        <f>SUM($BT$3:BT265)</f>
        <v>17190239</v>
      </c>
      <c r="BY265" s="15">
        <f t="shared" si="170"/>
        <v>13549.302558271584</v>
      </c>
      <c r="BZ265" s="3">
        <v>263</v>
      </c>
      <c r="CA265" s="3">
        <f t="shared" si="171"/>
        <v>0</v>
      </c>
      <c r="CB265" s="3">
        <f t="shared" si="172"/>
        <v>0</v>
      </c>
      <c r="CC265" s="3">
        <f t="shared" si="173"/>
        <v>0</v>
      </c>
      <c r="CD265" s="3" t="str">
        <f t="shared" si="174"/>
        <v/>
      </c>
      <c r="CE265" s="3">
        <f t="shared" si="175"/>
        <v>0</v>
      </c>
    </row>
    <row r="266" spans="1:83" x14ac:dyDescent="0.3">
      <c r="A266" s="3" t="s">
        <v>306</v>
      </c>
      <c r="B266" s="3">
        <v>11695</v>
      </c>
      <c r="C266" s="3">
        <v>11690</v>
      </c>
      <c r="D266" s="3">
        <v>11560</v>
      </c>
      <c r="E266" s="3">
        <v>11550</v>
      </c>
      <c r="F266" s="3">
        <v>11595</v>
      </c>
      <c r="G266" s="3">
        <v>11685</v>
      </c>
      <c r="H266" s="3">
        <v>11450</v>
      </c>
      <c r="I266" s="3">
        <v>11470</v>
      </c>
      <c r="J266" s="3">
        <v>11870</v>
      </c>
      <c r="K266" s="3">
        <v>11865</v>
      </c>
      <c r="L266" s="3">
        <v>12015</v>
      </c>
      <c r="M266" s="3">
        <v>12000</v>
      </c>
      <c r="N266" s="3">
        <v>12590</v>
      </c>
      <c r="O266" s="3">
        <v>12585</v>
      </c>
      <c r="P266" s="3">
        <v>12480</v>
      </c>
      <c r="Q266" s="3">
        <v>12430</v>
      </c>
      <c r="R266" s="3">
        <v>12520</v>
      </c>
      <c r="S266" s="3">
        <v>12525</v>
      </c>
      <c r="T266" s="3">
        <v>12320</v>
      </c>
      <c r="U266" s="3">
        <v>12315</v>
      </c>
      <c r="V266" s="3">
        <v>12790</v>
      </c>
      <c r="W266" s="3">
        <v>12790</v>
      </c>
      <c r="X266" s="3">
        <v>12545</v>
      </c>
      <c r="Y266" s="3">
        <v>12540</v>
      </c>
      <c r="Z266" s="3">
        <v>12745</v>
      </c>
      <c r="AA266" s="3">
        <v>12740</v>
      </c>
      <c r="AB266" s="3">
        <v>13260</v>
      </c>
      <c r="AC266" s="3">
        <v>13255</v>
      </c>
      <c r="AD266" s="3">
        <v>13330</v>
      </c>
      <c r="AE266" s="3">
        <v>13330</v>
      </c>
      <c r="AF266" s="3">
        <v>13845</v>
      </c>
      <c r="AG266" s="3">
        <v>13835</v>
      </c>
      <c r="AH266" s="3">
        <v>13845</v>
      </c>
      <c r="AI266" s="3">
        <v>13835</v>
      </c>
      <c r="AJ266" s="3">
        <v>13775</v>
      </c>
      <c r="AK266" s="3">
        <v>13770</v>
      </c>
      <c r="AL266" s="3">
        <v>13645</v>
      </c>
      <c r="AM266" s="3">
        <v>13645</v>
      </c>
      <c r="AN266" s="3">
        <v>13460</v>
      </c>
      <c r="AO266" s="3">
        <v>13460</v>
      </c>
      <c r="AP266" s="3">
        <v>13400</v>
      </c>
      <c r="AQ266" s="3">
        <v>13420</v>
      </c>
      <c r="AR266" s="4">
        <f t="shared" si="176"/>
        <v>1.3876843018213458E-2</v>
      </c>
      <c r="AS266" s="4">
        <f t="shared" si="148"/>
        <v>0</v>
      </c>
      <c r="AT266" s="4">
        <f t="shared" si="149"/>
        <v>2.8609154929577496E-2</v>
      </c>
      <c r="AU266" s="4">
        <f t="shared" si="150"/>
        <v>2.6315789473684181E-2</v>
      </c>
      <c r="AV266" s="4">
        <f t="shared" si="151"/>
        <v>1.4970059880239583E-2</v>
      </c>
      <c r="AW266" s="4">
        <f t="shared" si="152"/>
        <v>1.180438448566612E-2</v>
      </c>
      <c r="AX266" s="4">
        <f t="shared" si="153"/>
        <v>3.8794882377218398E-2</v>
      </c>
      <c r="AY266" s="4">
        <f t="shared" si="154"/>
        <v>2.7386541471048464E-2</v>
      </c>
      <c r="AZ266" s="4">
        <f t="shared" si="155"/>
        <v>1.5942606616181632E-3</v>
      </c>
      <c r="BA266" s="4">
        <f t="shared" si="156"/>
        <v>4.8484848484848797E-3</v>
      </c>
      <c r="BB266" s="4">
        <f t="shared" si="157"/>
        <v>3.6886907174706218E-2</v>
      </c>
      <c r="BC266" s="4">
        <f t="shared" si="158"/>
        <v>7.5187969924812581E-3</v>
      </c>
      <c r="BD266" s="4">
        <f t="shared" si="159"/>
        <v>7.7881619937694158E-3</v>
      </c>
      <c r="BE266" s="4">
        <f t="shared" si="160"/>
        <v>2.2367913613575041E-2</v>
      </c>
      <c r="BF266" s="4">
        <f t="shared" si="161"/>
        <v>1.8334606569900602E-2</v>
      </c>
      <c r="BG266" s="4">
        <f t="shared" si="162"/>
        <v>3.7495313085864179E-2</v>
      </c>
      <c r="BH266" s="4">
        <f t="shared" si="163"/>
        <v>5.3918044572249801E-3</v>
      </c>
      <c r="BI266" s="4">
        <f t="shared" si="164"/>
        <v>7.5675675675676013E-3</v>
      </c>
      <c r="BJ266" s="4">
        <f t="shared" si="165"/>
        <v>5.4664723032069595E-3</v>
      </c>
      <c r="BK266" s="4">
        <f t="shared" si="166"/>
        <v>1.6441359152356561E-2</v>
      </c>
      <c r="BL266" s="4">
        <f t="shared" si="167"/>
        <v>2.6012634708286742E-3</v>
      </c>
      <c r="BM266" s="4">
        <f t="shared" si="177"/>
        <v>1.6991648019215908E-2</v>
      </c>
      <c r="BN266" s="14">
        <f t="shared" si="178"/>
        <v>13683.622624098549</v>
      </c>
      <c r="BO266" s="15">
        <f t="shared" si="179"/>
        <v>13098.586290143947</v>
      </c>
      <c r="BP266" s="16">
        <v>13400</v>
      </c>
      <c r="BQ266" s="16">
        <v>13425</v>
      </c>
      <c r="BR266" s="16">
        <v>13400</v>
      </c>
      <c r="BS266" s="16">
        <v>13420</v>
      </c>
      <c r="BT266" s="16">
        <v>15750</v>
      </c>
      <c r="BU266" s="15">
        <f t="shared" si="168"/>
        <v>13415</v>
      </c>
      <c r="BV266" s="15">
        <f t="shared" si="169"/>
        <v>211286250</v>
      </c>
      <c r="BW266" s="15">
        <f>SUM($BV$3:BV266)</f>
        <v>233127035509.99994</v>
      </c>
      <c r="BX266" s="15">
        <f>SUM($BT$3:BT266)</f>
        <v>17205989</v>
      </c>
      <c r="BY266" s="15">
        <f t="shared" si="170"/>
        <v>13549.179620537938</v>
      </c>
      <c r="BZ266" s="3">
        <v>264</v>
      </c>
      <c r="CA266" s="3">
        <f t="shared" si="171"/>
        <v>0</v>
      </c>
      <c r="CB266" s="3">
        <f t="shared" si="172"/>
        <v>0</v>
      </c>
      <c r="CC266" s="3">
        <f t="shared" si="173"/>
        <v>0</v>
      </c>
      <c r="CD266" s="3" t="str">
        <f t="shared" si="174"/>
        <v/>
      </c>
      <c r="CE266" s="3">
        <f t="shared" si="175"/>
        <v>0</v>
      </c>
    </row>
    <row r="267" spans="1:83" x14ac:dyDescent="0.3">
      <c r="A267" s="3" t="s">
        <v>307</v>
      </c>
      <c r="B267" s="3">
        <v>11690</v>
      </c>
      <c r="C267" s="3">
        <v>11680</v>
      </c>
      <c r="D267" s="3">
        <v>11550</v>
      </c>
      <c r="E267" s="3">
        <v>11555</v>
      </c>
      <c r="F267" s="3">
        <v>11685</v>
      </c>
      <c r="G267" s="3">
        <v>11630</v>
      </c>
      <c r="H267" s="3">
        <v>11470</v>
      </c>
      <c r="I267" s="3">
        <v>11450</v>
      </c>
      <c r="J267" s="3">
        <v>11865</v>
      </c>
      <c r="K267" s="3">
        <v>11835</v>
      </c>
      <c r="L267" s="3">
        <v>12005</v>
      </c>
      <c r="M267" s="3">
        <v>12000</v>
      </c>
      <c r="N267" s="3">
        <v>12585</v>
      </c>
      <c r="O267" s="3">
        <v>12590</v>
      </c>
      <c r="P267" s="3">
        <v>12435</v>
      </c>
      <c r="Q267" s="3">
        <v>12455</v>
      </c>
      <c r="R267" s="3">
        <v>12525</v>
      </c>
      <c r="S267" s="3">
        <v>12515</v>
      </c>
      <c r="T267" s="3">
        <v>12315</v>
      </c>
      <c r="U267" s="3">
        <v>12305</v>
      </c>
      <c r="V267" s="3">
        <v>12790</v>
      </c>
      <c r="W267" s="3">
        <v>12785</v>
      </c>
      <c r="X267" s="3">
        <v>12545</v>
      </c>
      <c r="Y267" s="3">
        <v>12545</v>
      </c>
      <c r="Z267" s="3">
        <v>12740</v>
      </c>
      <c r="AA267" s="3">
        <v>12730</v>
      </c>
      <c r="AB267" s="3">
        <v>13255</v>
      </c>
      <c r="AC267" s="3">
        <v>13250</v>
      </c>
      <c r="AD267" s="3">
        <v>13330</v>
      </c>
      <c r="AE267" s="3">
        <v>13325</v>
      </c>
      <c r="AF267" s="3">
        <v>13835</v>
      </c>
      <c r="AG267" s="3">
        <v>13825</v>
      </c>
      <c r="AH267" s="3">
        <v>13835</v>
      </c>
      <c r="AI267" s="3">
        <v>13845</v>
      </c>
      <c r="AJ267" s="3">
        <v>13770</v>
      </c>
      <c r="AK267" s="3">
        <v>13770</v>
      </c>
      <c r="AL267" s="3">
        <v>13645</v>
      </c>
      <c r="AM267" s="3">
        <v>13655</v>
      </c>
      <c r="AN267" s="3">
        <v>13460</v>
      </c>
      <c r="AO267" s="3">
        <v>13450</v>
      </c>
      <c r="AP267" s="3">
        <v>13415</v>
      </c>
      <c r="AQ267" s="3">
        <v>13415</v>
      </c>
      <c r="AR267" s="4">
        <f t="shared" si="176"/>
        <v>1.3009540329575131E-2</v>
      </c>
      <c r="AS267" s="4">
        <f t="shared" si="148"/>
        <v>4.3290043290045155E-4</v>
      </c>
      <c r="AT267" s="4">
        <f t="shared" si="149"/>
        <v>2.3767605633802757E-2</v>
      </c>
      <c r="AU267" s="4">
        <f t="shared" si="150"/>
        <v>2.8013582342954146E-2</v>
      </c>
      <c r="AV267" s="4">
        <f t="shared" si="151"/>
        <v>1.2403763900769915E-2</v>
      </c>
      <c r="AW267" s="4">
        <f t="shared" si="152"/>
        <v>1.180438448566612E-2</v>
      </c>
      <c r="AX267" s="4">
        <f t="shared" si="153"/>
        <v>3.9207593891869674E-2</v>
      </c>
      <c r="AY267" s="4">
        <f t="shared" si="154"/>
        <v>2.5430359937402169E-2</v>
      </c>
      <c r="AZ267" s="4">
        <f t="shared" si="155"/>
        <v>2.3913909924272447E-3</v>
      </c>
      <c r="BA267" s="4">
        <f t="shared" si="156"/>
        <v>5.656565656565693E-3</v>
      </c>
      <c r="BB267" s="4">
        <f t="shared" si="157"/>
        <v>3.6481556546412719E-2</v>
      </c>
      <c r="BC267" s="4">
        <f t="shared" si="158"/>
        <v>7.1230708349822036E-3</v>
      </c>
      <c r="BD267" s="4">
        <f t="shared" si="159"/>
        <v>8.5669781931464462E-3</v>
      </c>
      <c r="BE267" s="4">
        <f t="shared" si="160"/>
        <v>2.1982259930582337E-2</v>
      </c>
      <c r="BF267" s="4">
        <f t="shared" si="161"/>
        <v>1.79526355996944E-2</v>
      </c>
      <c r="BG267" s="4">
        <f t="shared" si="162"/>
        <v>3.6745406824147064E-2</v>
      </c>
      <c r="BH267" s="4">
        <f t="shared" si="163"/>
        <v>4.6728971962616273E-3</v>
      </c>
      <c r="BI267" s="4">
        <f t="shared" si="164"/>
        <v>7.5675675675676013E-3</v>
      </c>
      <c r="BJ267" s="4">
        <f t="shared" si="165"/>
        <v>4.737609329446113E-3</v>
      </c>
      <c r="BK267" s="4">
        <f t="shared" si="166"/>
        <v>1.7172086225794692E-2</v>
      </c>
      <c r="BL267" s="4">
        <f t="shared" si="167"/>
        <v>2.9728725380899768E-3</v>
      </c>
      <c r="BM267" s="4">
        <f t="shared" si="177"/>
        <v>1.6834855623307141E-2</v>
      </c>
      <c r="BN267" s="14">
        <f t="shared" si="178"/>
        <v>13681.512982411597</v>
      </c>
      <c r="BO267" s="15">
        <f t="shared" si="179"/>
        <v>13100.675548819432</v>
      </c>
      <c r="BP267" s="16">
        <v>13415</v>
      </c>
      <c r="BQ267" s="16">
        <v>13420</v>
      </c>
      <c r="BR267" s="16">
        <v>13410</v>
      </c>
      <c r="BS267" s="16">
        <v>13415</v>
      </c>
      <c r="BT267" s="16">
        <v>15338</v>
      </c>
      <c r="BU267" s="15">
        <f t="shared" si="168"/>
        <v>13415</v>
      </c>
      <c r="BV267" s="15">
        <f t="shared" si="169"/>
        <v>205759270</v>
      </c>
      <c r="BW267" s="15">
        <f>SUM($BV$3:BV267)</f>
        <v>233332794779.99994</v>
      </c>
      <c r="BX267" s="15">
        <f>SUM($BT$3:BT267)</f>
        <v>17221327</v>
      </c>
      <c r="BY267" s="15">
        <f t="shared" si="170"/>
        <v>13549.060114821577</v>
      </c>
      <c r="BZ267" s="3">
        <v>265</v>
      </c>
      <c r="CA267" s="3">
        <f t="shared" si="171"/>
        <v>0</v>
      </c>
      <c r="CB267" s="3">
        <f t="shared" si="172"/>
        <v>0</v>
      </c>
      <c r="CC267" s="3">
        <f t="shared" si="173"/>
        <v>0</v>
      </c>
      <c r="CD267" s="3" t="str">
        <f t="shared" si="174"/>
        <v/>
      </c>
      <c r="CE267" s="3">
        <f t="shared" si="175"/>
        <v>0</v>
      </c>
    </row>
    <row r="268" spans="1:83" x14ac:dyDescent="0.3">
      <c r="A268" s="3" t="s">
        <v>308</v>
      </c>
      <c r="B268" s="3">
        <v>11685</v>
      </c>
      <c r="C268" s="3">
        <v>11685</v>
      </c>
      <c r="D268" s="3">
        <v>11550</v>
      </c>
      <c r="E268" s="3">
        <v>11550</v>
      </c>
      <c r="F268" s="3">
        <v>11630</v>
      </c>
      <c r="G268" s="3">
        <v>11615</v>
      </c>
      <c r="H268" s="3">
        <v>11455</v>
      </c>
      <c r="I268" s="3">
        <v>11455</v>
      </c>
      <c r="J268" s="3">
        <v>11835</v>
      </c>
      <c r="K268" s="3">
        <v>11860</v>
      </c>
      <c r="L268" s="3">
        <v>12000</v>
      </c>
      <c r="M268" s="3">
        <v>12010</v>
      </c>
      <c r="N268" s="3">
        <v>12590</v>
      </c>
      <c r="O268" s="3">
        <v>12590</v>
      </c>
      <c r="P268" s="3">
        <v>12455</v>
      </c>
      <c r="Q268" s="3">
        <v>12465</v>
      </c>
      <c r="R268" s="3">
        <v>12510</v>
      </c>
      <c r="S268" s="3">
        <v>12525</v>
      </c>
      <c r="T268" s="3">
        <v>12305</v>
      </c>
      <c r="U268" s="3">
        <v>12290</v>
      </c>
      <c r="V268" s="3">
        <v>12780</v>
      </c>
      <c r="W268" s="3">
        <v>12770</v>
      </c>
      <c r="X268" s="3">
        <v>12545</v>
      </c>
      <c r="Y268" s="3">
        <v>12580</v>
      </c>
      <c r="Z268" s="3">
        <v>12730</v>
      </c>
      <c r="AA268" s="3">
        <v>12735</v>
      </c>
      <c r="AB268" s="3">
        <v>13255</v>
      </c>
      <c r="AC268" s="3">
        <v>13255</v>
      </c>
      <c r="AD268" s="3">
        <v>13325</v>
      </c>
      <c r="AE268" s="3">
        <v>13335</v>
      </c>
      <c r="AF268" s="3">
        <v>13825</v>
      </c>
      <c r="AG268" s="3">
        <v>13830</v>
      </c>
      <c r="AH268" s="3">
        <v>13845</v>
      </c>
      <c r="AI268" s="3">
        <v>13830</v>
      </c>
      <c r="AJ268" s="3">
        <v>13775</v>
      </c>
      <c r="AK268" s="3">
        <v>13760</v>
      </c>
      <c r="AL268" s="3">
        <v>13655</v>
      </c>
      <c r="AM268" s="3">
        <v>13665</v>
      </c>
      <c r="AN268" s="3">
        <v>13450</v>
      </c>
      <c r="AO268" s="3">
        <v>13465</v>
      </c>
      <c r="AP268" s="3">
        <v>13415</v>
      </c>
      <c r="AQ268" s="3">
        <v>13405</v>
      </c>
      <c r="AR268" s="4">
        <f t="shared" si="176"/>
        <v>1.3443191673894184E-2</v>
      </c>
      <c r="AS268" s="4">
        <f t="shared" si="148"/>
        <v>0</v>
      </c>
      <c r="AT268" s="4">
        <f t="shared" si="149"/>
        <v>2.2447183098591506E-2</v>
      </c>
      <c r="AU268" s="4">
        <f t="shared" si="150"/>
        <v>2.7589134125636683E-2</v>
      </c>
      <c r="AV268" s="4">
        <f t="shared" si="151"/>
        <v>1.4542343883661157E-2</v>
      </c>
      <c r="AW268" s="4">
        <f t="shared" si="152"/>
        <v>1.2647554806070715E-2</v>
      </c>
      <c r="AX268" s="4">
        <f t="shared" si="153"/>
        <v>3.9207593891869674E-2</v>
      </c>
      <c r="AY268" s="4">
        <f t="shared" si="154"/>
        <v>2.4647887323943629E-2</v>
      </c>
      <c r="AZ268" s="4">
        <f t="shared" si="155"/>
        <v>1.5942606616181632E-3</v>
      </c>
      <c r="BA268" s="4">
        <f t="shared" si="156"/>
        <v>6.8686868686869129E-3</v>
      </c>
      <c r="BB268" s="4">
        <f t="shared" si="157"/>
        <v>3.5265504661532221E-2</v>
      </c>
      <c r="BC268" s="4">
        <f t="shared" si="158"/>
        <v>4.3529877324891553E-3</v>
      </c>
      <c r="BD268" s="4">
        <f t="shared" si="159"/>
        <v>8.1775700934579865E-3</v>
      </c>
      <c r="BE268" s="4">
        <f t="shared" si="160"/>
        <v>2.2367913613575041E-2</v>
      </c>
      <c r="BF268" s="4">
        <f t="shared" si="161"/>
        <v>1.8716577540107027E-2</v>
      </c>
      <c r="BG268" s="4">
        <f t="shared" si="162"/>
        <v>3.7120359955005622E-2</v>
      </c>
      <c r="BH268" s="4">
        <f t="shared" si="163"/>
        <v>5.7512580877067121E-3</v>
      </c>
      <c r="BI268" s="4">
        <f t="shared" si="164"/>
        <v>8.2882882882883147E-3</v>
      </c>
      <c r="BJ268" s="4">
        <f t="shared" si="165"/>
        <v>4.0087463556851555E-3</v>
      </c>
      <c r="BK268" s="4">
        <f t="shared" si="166"/>
        <v>1.6075995615637551E-2</v>
      </c>
      <c r="BL268" s="4">
        <f t="shared" si="167"/>
        <v>3.7160906726123599E-3</v>
      </c>
      <c r="BM268" s="4">
        <f t="shared" si="177"/>
        <v>1.6603116477828798E-2</v>
      </c>
      <c r="BN268" s="14">
        <f t="shared" si="178"/>
        <v>13678.394932209187</v>
      </c>
      <c r="BO268" s="15">
        <f t="shared" si="179"/>
        <v>13103.763472932931</v>
      </c>
      <c r="BP268" s="16">
        <v>13415</v>
      </c>
      <c r="BQ268" s="16">
        <v>13415</v>
      </c>
      <c r="BR268" s="16">
        <v>13400</v>
      </c>
      <c r="BS268" s="16">
        <v>13405</v>
      </c>
      <c r="BT268" s="16">
        <v>18228</v>
      </c>
      <c r="BU268" s="15">
        <f t="shared" si="168"/>
        <v>13406.666666666666</v>
      </c>
      <c r="BV268" s="15">
        <f t="shared" si="169"/>
        <v>244376720</v>
      </c>
      <c r="BW268" s="15">
        <f>SUM($BV$3:BV268)</f>
        <v>233577171499.99994</v>
      </c>
      <c r="BX268" s="15">
        <f>SUM($BT$3:BT268)</f>
        <v>17239555</v>
      </c>
      <c r="BY268" s="15">
        <f t="shared" si="170"/>
        <v>13548.909557120236</v>
      </c>
      <c r="BZ268" s="3">
        <v>266</v>
      </c>
      <c r="CA268" s="3">
        <f t="shared" si="171"/>
        <v>0</v>
      </c>
      <c r="CB268" s="3">
        <f t="shared" si="172"/>
        <v>0</v>
      </c>
      <c r="CC268" s="3">
        <f t="shared" si="173"/>
        <v>0</v>
      </c>
      <c r="CD268" s="3" t="str">
        <f t="shared" si="174"/>
        <v/>
      </c>
      <c r="CE268" s="3">
        <f t="shared" si="175"/>
        <v>0</v>
      </c>
    </row>
    <row r="269" spans="1:83" x14ac:dyDescent="0.3">
      <c r="A269" s="3" t="s">
        <v>309</v>
      </c>
      <c r="B269" s="3">
        <v>11685</v>
      </c>
      <c r="C269" s="3">
        <v>11685</v>
      </c>
      <c r="D269" s="3">
        <v>11550</v>
      </c>
      <c r="E269" s="3">
        <v>11555</v>
      </c>
      <c r="F269" s="3">
        <v>11615</v>
      </c>
      <c r="G269" s="3">
        <v>11605</v>
      </c>
      <c r="H269" s="3">
        <v>11455</v>
      </c>
      <c r="I269" s="3">
        <v>11455</v>
      </c>
      <c r="J269" s="3">
        <v>11865</v>
      </c>
      <c r="K269" s="3">
        <v>11850</v>
      </c>
      <c r="L269" s="3">
        <v>12015</v>
      </c>
      <c r="M269" s="3">
        <v>12015</v>
      </c>
      <c r="N269" s="3">
        <v>12590</v>
      </c>
      <c r="O269" s="3">
        <v>12600</v>
      </c>
      <c r="P269" s="3">
        <v>12470</v>
      </c>
      <c r="Q269" s="3">
        <v>12455</v>
      </c>
      <c r="R269" s="3">
        <v>12525</v>
      </c>
      <c r="S269" s="3">
        <v>12520</v>
      </c>
      <c r="T269" s="3">
        <v>12295</v>
      </c>
      <c r="U269" s="3">
        <v>12295</v>
      </c>
      <c r="V269" s="3">
        <v>12775</v>
      </c>
      <c r="W269" s="3">
        <v>12780</v>
      </c>
      <c r="X269" s="3">
        <v>12580</v>
      </c>
      <c r="Y269" s="3">
        <v>12590</v>
      </c>
      <c r="Z269" s="3">
        <v>12735</v>
      </c>
      <c r="AA269" s="3">
        <v>12730</v>
      </c>
      <c r="AB269" s="3">
        <v>13255</v>
      </c>
      <c r="AC269" s="3">
        <v>13260</v>
      </c>
      <c r="AD269" s="3">
        <v>13335</v>
      </c>
      <c r="AE269" s="3">
        <v>13345</v>
      </c>
      <c r="AF269" s="3">
        <v>13835</v>
      </c>
      <c r="AG269" s="3">
        <v>13825</v>
      </c>
      <c r="AH269" s="3">
        <v>13830</v>
      </c>
      <c r="AI269" s="3">
        <v>13835</v>
      </c>
      <c r="AJ269" s="3">
        <v>13760</v>
      </c>
      <c r="AK269" s="3">
        <v>13765</v>
      </c>
      <c r="AL269" s="3">
        <v>13670</v>
      </c>
      <c r="AM269" s="3">
        <v>13650</v>
      </c>
      <c r="AN269" s="3">
        <v>13460</v>
      </c>
      <c r="AO269" s="3">
        <v>13455</v>
      </c>
      <c r="AP269" s="3">
        <v>13405</v>
      </c>
      <c r="AQ269" s="3">
        <v>13405</v>
      </c>
      <c r="AR269" s="4">
        <f t="shared" si="176"/>
        <v>1.3443191673894184E-2</v>
      </c>
      <c r="AS269" s="4">
        <f t="shared" si="148"/>
        <v>4.3290043290045155E-4</v>
      </c>
      <c r="AT269" s="4">
        <f t="shared" si="149"/>
        <v>2.1566901408450745E-2</v>
      </c>
      <c r="AU269" s="4">
        <f t="shared" si="150"/>
        <v>2.7589134125636683E-2</v>
      </c>
      <c r="AV269" s="4">
        <f t="shared" si="151"/>
        <v>1.3686911890504749E-2</v>
      </c>
      <c r="AW269" s="4">
        <f t="shared" si="152"/>
        <v>1.3069139966273235E-2</v>
      </c>
      <c r="AX269" s="4">
        <f t="shared" si="153"/>
        <v>4.0033016921172004E-2</v>
      </c>
      <c r="AY269" s="4">
        <f t="shared" si="154"/>
        <v>2.5430359937402169E-2</v>
      </c>
      <c r="AZ269" s="4">
        <f t="shared" si="155"/>
        <v>1.9928258270227595E-3</v>
      </c>
      <c r="BA269" s="4">
        <f t="shared" si="156"/>
        <v>6.4646464646465063E-3</v>
      </c>
      <c r="BB269" s="4">
        <f t="shared" si="157"/>
        <v>3.607620591811922E-2</v>
      </c>
      <c r="BC269" s="4">
        <f t="shared" si="158"/>
        <v>3.5615354174910463E-3</v>
      </c>
      <c r="BD269" s="4">
        <f t="shared" si="159"/>
        <v>8.5669781931464462E-3</v>
      </c>
      <c r="BE269" s="4">
        <f t="shared" si="160"/>
        <v>2.2753567296567745E-2</v>
      </c>
      <c r="BF269" s="4">
        <f t="shared" si="161"/>
        <v>1.9480519480519431E-2</v>
      </c>
      <c r="BG269" s="4">
        <f t="shared" si="162"/>
        <v>3.6745406824147064E-2</v>
      </c>
      <c r="BH269" s="4">
        <f t="shared" si="163"/>
        <v>5.3918044572249801E-3</v>
      </c>
      <c r="BI269" s="4">
        <f t="shared" si="164"/>
        <v>7.927927927927958E-3</v>
      </c>
      <c r="BJ269" s="4">
        <f t="shared" si="165"/>
        <v>5.1020408163264808E-3</v>
      </c>
      <c r="BK269" s="4">
        <f t="shared" si="166"/>
        <v>1.6806722689075682E-2</v>
      </c>
      <c r="BL269" s="4">
        <f t="shared" si="167"/>
        <v>3.7160906726123599E-3</v>
      </c>
      <c r="BM269" s="4">
        <f t="shared" si="177"/>
        <v>1.6880968440770677E-2</v>
      </c>
      <c r="BN269" s="14">
        <f t="shared" si="178"/>
        <v>13682.13343037057</v>
      </c>
      <c r="BO269" s="15">
        <f t="shared" si="179"/>
        <v>13100.061095526731</v>
      </c>
      <c r="BP269" s="16">
        <v>13405</v>
      </c>
      <c r="BQ269" s="16">
        <v>13415</v>
      </c>
      <c r="BR269" s="16">
        <v>13400</v>
      </c>
      <c r="BS269" s="16">
        <v>13405</v>
      </c>
      <c r="BT269" s="16">
        <v>9581</v>
      </c>
      <c r="BU269" s="15">
        <f t="shared" si="168"/>
        <v>13406.666666666666</v>
      </c>
      <c r="BV269" s="15">
        <f t="shared" si="169"/>
        <v>128449273.33333333</v>
      </c>
      <c r="BW269" s="15">
        <f>SUM($BV$3:BV269)</f>
        <v>233705620773.33328</v>
      </c>
      <c r="BX269" s="15">
        <f>SUM($BT$3:BT269)</f>
        <v>17249136</v>
      </c>
      <c r="BY269" s="15">
        <f t="shared" si="170"/>
        <v>13548.830548575494</v>
      </c>
      <c r="BZ269" s="3">
        <v>267</v>
      </c>
      <c r="CA269" s="3">
        <f t="shared" si="171"/>
        <v>0</v>
      </c>
      <c r="CB269" s="3">
        <f t="shared" si="172"/>
        <v>0</v>
      </c>
      <c r="CC269" s="3">
        <f t="shared" si="173"/>
        <v>0</v>
      </c>
      <c r="CD269" s="3" t="str">
        <f t="shared" si="174"/>
        <v/>
      </c>
      <c r="CE269" s="3">
        <f t="shared" si="175"/>
        <v>0</v>
      </c>
    </row>
    <row r="270" spans="1:83" x14ac:dyDescent="0.3">
      <c r="A270" s="3" t="s">
        <v>310</v>
      </c>
      <c r="B270" s="3">
        <v>11685</v>
      </c>
      <c r="C270" s="3">
        <v>11685</v>
      </c>
      <c r="D270" s="3">
        <v>11555</v>
      </c>
      <c r="E270" s="3">
        <v>11555</v>
      </c>
      <c r="F270" s="3">
        <v>11605</v>
      </c>
      <c r="G270" s="3">
        <v>11605</v>
      </c>
      <c r="H270" s="3">
        <v>11460</v>
      </c>
      <c r="I270" s="3">
        <v>11470</v>
      </c>
      <c r="J270" s="3">
        <v>11860</v>
      </c>
      <c r="K270" s="3">
        <v>11865</v>
      </c>
      <c r="L270" s="3">
        <v>12015</v>
      </c>
      <c r="M270" s="3">
        <v>12010</v>
      </c>
      <c r="N270" s="3">
        <v>12600</v>
      </c>
      <c r="O270" s="3">
        <v>12600</v>
      </c>
      <c r="P270" s="3">
        <v>12450</v>
      </c>
      <c r="Q270" s="3">
        <v>12405</v>
      </c>
      <c r="R270" s="3">
        <v>12520</v>
      </c>
      <c r="S270" s="3">
        <v>12525</v>
      </c>
      <c r="T270" s="3">
        <v>12290</v>
      </c>
      <c r="U270" s="3">
        <v>12290</v>
      </c>
      <c r="V270" s="3">
        <v>12785</v>
      </c>
      <c r="W270" s="3">
        <v>12780</v>
      </c>
      <c r="X270" s="3">
        <v>12590</v>
      </c>
      <c r="Y270" s="3">
        <v>12605</v>
      </c>
      <c r="Z270" s="3">
        <v>12730</v>
      </c>
      <c r="AA270" s="3">
        <v>12710</v>
      </c>
      <c r="AB270" s="3">
        <v>13260</v>
      </c>
      <c r="AC270" s="3">
        <v>13260</v>
      </c>
      <c r="AD270" s="3">
        <v>13345</v>
      </c>
      <c r="AE270" s="3">
        <v>13335</v>
      </c>
      <c r="AF270" s="3">
        <v>13830</v>
      </c>
      <c r="AG270" s="3">
        <v>13835</v>
      </c>
      <c r="AH270" s="3">
        <v>13835</v>
      </c>
      <c r="AI270" s="3">
        <v>13830</v>
      </c>
      <c r="AJ270" s="3">
        <v>13760</v>
      </c>
      <c r="AK270" s="3">
        <v>13745</v>
      </c>
      <c r="AL270" s="3">
        <v>13655</v>
      </c>
      <c r="AM270" s="3">
        <v>13655</v>
      </c>
      <c r="AN270" s="3">
        <v>13455</v>
      </c>
      <c r="AO270" s="3">
        <v>13460</v>
      </c>
      <c r="AP270" s="3">
        <v>13405</v>
      </c>
      <c r="AQ270" s="3">
        <v>13395</v>
      </c>
      <c r="AR270" s="4">
        <f t="shared" si="176"/>
        <v>1.3443191673894184E-2</v>
      </c>
      <c r="AS270" s="4">
        <f t="shared" si="148"/>
        <v>4.3290043290045155E-4</v>
      </c>
      <c r="AT270" s="4">
        <f t="shared" si="149"/>
        <v>2.1566901408450745E-2</v>
      </c>
      <c r="AU270" s="4">
        <f t="shared" si="150"/>
        <v>2.6315789473684181E-2</v>
      </c>
      <c r="AV270" s="4">
        <f t="shared" si="151"/>
        <v>1.4970059880239583E-2</v>
      </c>
      <c r="AW270" s="4">
        <f t="shared" si="152"/>
        <v>1.2647554806070715E-2</v>
      </c>
      <c r="AX270" s="4">
        <f t="shared" si="153"/>
        <v>4.0033016921172004E-2</v>
      </c>
      <c r="AY270" s="4">
        <f t="shared" si="154"/>
        <v>2.9342723004694871E-2</v>
      </c>
      <c r="AZ270" s="4">
        <f t="shared" si="155"/>
        <v>1.5942606616181632E-3</v>
      </c>
      <c r="BA270" s="4">
        <f t="shared" si="156"/>
        <v>6.8686868686869129E-3</v>
      </c>
      <c r="BB270" s="4">
        <f t="shared" si="157"/>
        <v>3.607620591811922E-2</v>
      </c>
      <c r="BC270" s="4">
        <f t="shared" si="158"/>
        <v>2.3743569449941049E-3</v>
      </c>
      <c r="BD270" s="4">
        <f t="shared" si="159"/>
        <v>1.0124610591900285E-2</v>
      </c>
      <c r="BE270" s="4">
        <f t="shared" si="160"/>
        <v>2.2753567296567745E-2</v>
      </c>
      <c r="BF270" s="4">
        <f t="shared" si="161"/>
        <v>1.8716577540107027E-2</v>
      </c>
      <c r="BG270" s="4">
        <f t="shared" si="162"/>
        <v>3.7495313085864179E-2</v>
      </c>
      <c r="BH270" s="4">
        <f t="shared" si="163"/>
        <v>5.7512580877067121E-3</v>
      </c>
      <c r="BI270" s="4">
        <f t="shared" si="164"/>
        <v>9.3693693693693847E-3</v>
      </c>
      <c r="BJ270" s="4">
        <f t="shared" si="165"/>
        <v>4.737609329446113E-3</v>
      </c>
      <c r="BK270" s="4">
        <f t="shared" si="166"/>
        <v>1.6441359152356561E-2</v>
      </c>
      <c r="BL270" s="4">
        <f t="shared" si="167"/>
        <v>4.4593088071348541E-3</v>
      </c>
      <c r="BM270" s="4">
        <f t="shared" si="177"/>
        <v>1.726277962661452E-2</v>
      </c>
      <c r="BN270" s="14">
        <f t="shared" si="178"/>
        <v>13687.270699876099</v>
      </c>
      <c r="BO270" s="15">
        <f t="shared" si="179"/>
        <v>13094.973461475362</v>
      </c>
      <c r="BP270" s="16">
        <v>13405</v>
      </c>
      <c r="BQ270" s="16">
        <v>13410</v>
      </c>
      <c r="BR270" s="16">
        <v>13390</v>
      </c>
      <c r="BS270" s="16">
        <v>13395</v>
      </c>
      <c r="BT270" s="16">
        <v>30115</v>
      </c>
      <c r="BU270" s="15">
        <f t="shared" si="168"/>
        <v>13398.333333333334</v>
      </c>
      <c r="BV270" s="15">
        <f t="shared" si="169"/>
        <v>403490808.33333337</v>
      </c>
      <c r="BW270" s="15">
        <f>SUM($BV$3:BV270)</f>
        <v>234109111581.66663</v>
      </c>
      <c r="BX270" s="15">
        <f>SUM($BT$3:BT270)</f>
        <v>17279251</v>
      </c>
      <c r="BY270" s="15">
        <f t="shared" si="170"/>
        <v>13548.568255745959</v>
      </c>
      <c r="BZ270" s="3">
        <v>268</v>
      </c>
      <c r="CA270" s="3">
        <f t="shared" si="171"/>
        <v>0</v>
      </c>
      <c r="CB270" s="3">
        <f t="shared" si="172"/>
        <v>0</v>
      </c>
      <c r="CC270" s="3">
        <f t="shared" si="173"/>
        <v>0</v>
      </c>
      <c r="CD270" s="3" t="str">
        <f t="shared" si="174"/>
        <v/>
      </c>
      <c r="CE270" s="3">
        <f t="shared" si="175"/>
        <v>0</v>
      </c>
    </row>
    <row r="271" spans="1:83" x14ac:dyDescent="0.3">
      <c r="A271" s="3" t="s">
        <v>311</v>
      </c>
      <c r="B271" s="3">
        <v>11685</v>
      </c>
      <c r="C271" s="3">
        <v>11680</v>
      </c>
      <c r="D271" s="3">
        <v>11555</v>
      </c>
      <c r="E271" s="3">
        <v>11550</v>
      </c>
      <c r="F271" s="3">
        <v>11605</v>
      </c>
      <c r="G271" s="3">
        <v>11605</v>
      </c>
      <c r="H271" s="3">
        <v>11470</v>
      </c>
      <c r="I271" s="3">
        <v>11485</v>
      </c>
      <c r="J271" s="3">
        <v>11865</v>
      </c>
      <c r="K271" s="3">
        <v>11870</v>
      </c>
      <c r="L271" s="3">
        <v>12010</v>
      </c>
      <c r="M271" s="3">
        <v>12000</v>
      </c>
      <c r="N271" s="3">
        <v>12600</v>
      </c>
      <c r="O271" s="3">
        <v>12595</v>
      </c>
      <c r="P271" s="3">
        <v>12405</v>
      </c>
      <c r="Q271" s="3">
        <v>12340</v>
      </c>
      <c r="R271" s="3">
        <v>12525</v>
      </c>
      <c r="S271" s="3">
        <v>12515</v>
      </c>
      <c r="T271" s="3">
        <v>12290</v>
      </c>
      <c r="U271" s="3">
        <v>12290</v>
      </c>
      <c r="V271" s="3">
        <v>12785</v>
      </c>
      <c r="W271" s="3">
        <v>12780</v>
      </c>
      <c r="X271" s="3">
        <v>12610</v>
      </c>
      <c r="Y271" s="3">
        <v>12630</v>
      </c>
      <c r="Z271" s="3">
        <v>12710</v>
      </c>
      <c r="AA271" s="3">
        <v>12720</v>
      </c>
      <c r="AB271" s="3">
        <v>13255</v>
      </c>
      <c r="AC271" s="3">
        <v>13265</v>
      </c>
      <c r="AD271" s="3">
        <v>13335</v>
      </c>
      <c r="AE271" s="3">
        <v>13335</v>
      </c>
      <c r="AF271" s="3">
        <v>13835</v>
      </c>
      <c r="AG271" s="3">
        <v>13840</v>
      </c>
      <c r="AH271" s="3">
        <v>13825</v>
      </c>
      <c r="AI271" s="3">
        <v>13820</v>
      </c>
      <c r="AJ271" s="3">
        <v>13745</v>
      </c>
      <c r="AK271" s="3">
        <v>13745</v>
      </c>
      <c r="AL271" s="3">
        <v>13655</v>
      </c>
      <c r="AM271" s="3">
        <v>13650</v>
      </c>
      <c r="AN271" s="3">
        <v>13465</v>
      </c>
      <c r="AO271" s="3">
        <v>13465</v>
      </c>
      <c r="AP271" s="3">
        <v>13395</v>
      </c>
      <c r="AQ271" s="3">
        <v>13400</v>
      </c>
      <c r="AR271" s="4">
        <f t="shared" si="176"/>
        <v>1.3009540329575131E-2</v>
      </c>
      <c r="AS271" s="4">
        <f t="shared" si="148"/>
        <v>0</v>
      </c>
      <c r="AT271" s="4">
        <f t="shared" si="149"/>
        <v>2.1566901408450745E-2</v>
      </c>
      <c r="AU271" s="4">
        <f t="shared" si="150"/>
        <v>2.5042444821731791E-2</v>
      </c>
      <c r="AV271" s="4">
        <f t="shared" si="151"/>
        <v>1.5397775876817787E-2</v>
      </c>
      <c r="AW271" s="4">
        <f t="shared" si="152"/>
        <v>1.180438448566612E-2</v>
      </c>
      <c r="AX271" s="4">
        <f t="shared" si="153"/>
        <v>3.962030540652095E-2</v>
      </c>
      <c r="AY271" s="4">
        <f t="shared" si="154"/>
        <v>3.4428794992175327E-2</v>
      </c>
      <c r="AZ271" s="4">
        <f t="shared" si="155"/>
        <v>2.3913909924272447E-3</v>
      </c>
      <c r="BA271" s="4">
        <f t="shared" si="156"/>
        <v>6.8686868686869129E-3</v>
      </c>
      <c r="BB271" s="4">
        <f t="shared" si="157"/>
        <v>3.607620591811922E-2</v>
      </c>
      <c r="BC271" s="4">
        <f t="shared" si="158"/>
        <v>3.9572615749905449E-4</v>
      </c>
      <c r="BD271" s="4">
        <f t="shared" si="159"/>
        <v>9.3457943925233655E-3</v>
      </c>
      <c r="BE271" s="4">
        <f t="shared" si="160"/>
        <v>2.3139220979560449E-2</v>
      </c>
      <c r="BF271" s="4">
        <f t="shared" si="161"/>
        <v>1.8716577540107027E-2</v>
      </c>
      <c r="BG271" s="4">
        <f t="shared" si="162"/>
        <v>3.7870266216722959E-2</v>
      </c>
      <c r="BH271" s="4">
        <f t="shared" si="163"/>
        <v>6.470165348670065E-3</v>
      </c>
      <c r="BI271" s="4">
        <f t="shared" si="164"/>
        <v>9.3693693693693847E-3</v>
      </c>
      <c r="BJ271" s="4">
        <f t="shared" si="165"/>
        <v>5.1020408163264808E-3</v>
      </c>
      <c r="BK271" s="4">
        <f t="shared" si="166"/>
        <v>1.6075995615637551E-2</v>
      </c>
      <c r="BL271" s="4">
        <f t="shared" si="167"/>
        <v>4.0876997398736625E-3</v>
      </c>
      <c r="BM271" s="4">
        <f t="shared" si="177"/>
        <v>1.7562181472453284E-2</v>
      </c>
      <c r="BN271" s="14">
        <f t="shared" si="178"/>
        <v>13691.299151711861</v>
      </c>
      <c r="BO271" s="15">
        <f t="shared" si="179"/>
        <v>13090.98393187956</v>
      </c>
      <c r="BP271" s="16">
        <v>13395</v>
      </c>
      <c r="BQ271" s="16">
        <v>13400</v>
      </c>
      <c r="BR271" s="16">
        <v>13395</v>
      </c>
      <c r="BS271" s="16">
        <v>13400</v>
      </c>
      <c r="BT271" s="16">
        <v>22201</v>
      </c>
      <c r="BU271" s="15">
        <f t="shared" si="168"/>
        <v>13398.333333333334</v>
      </c>
      <c r="BV271" s="15">
        <f t="shared" si="169"/>
        <v>297456398.33333337</v>
      </c>
      <c r="BW271" s="15">
        <f>SUM($BV$3:BV271)</f>
        <v>234406567979.99997</v>
      </c>
      <c r="BX271" s="15">
        <f>SUM($BT$3:BT271)</f>
        <v>17301452</v>
      </c>
      <c r="BY271" s="15">
        <f t="shared" si="170"/>
        <v>13548.375476231704</v>
      </c>
      <c r="BZ271" s="3">
        <v>269</v>
      </c>
      <c r="CA271" s="3">
        <f t="shared" si="171"/>
        <v>0</v>
      </c>
      <c r="CB271" s="3">
        <f t="shared" si="172"/>
        <v>0</v>
      </c>
      <c r="CC271" s="3">
        <f t="shared" si="173"/>
        <v>0</v>
      </c>
      <c r="CD271" s="3" t="str">
        <f t="shared" si="174"/>
        <v/>
      </c>
      <c r="CE271" s="3">
        <f t="shared" si="175"/>
        <v>0</v>
      </c>
    </row>
    <row r="272" spans="1:83" x14ac:dyDescent="0.3">
      <c r="A272" s="3" t="s">
        <v>312</v>
      </c>
      <c r="B272" s="3">
        <v>11685</v>
      </c>
      <c r="C272" s="3">
        <v>11680</v>
      </c>
      <c r="D272" s="3">
        <v>11550</v>
      </c>
      <c r="E272" s="3">
        <v>11555</v>
      </c>
      <c r="F272" s="3">
        <v>11605</v>
      </c>
      <c r="G272" s="3">
        <v>11570</v>
      </c>
      <c r="H272" s="3">
        <v>11490</v>
      </c>
      <c r="I272" s="3">
        <v>11485</v>
      </c>
      <c r="J272" s="3">
        <v>11870</v>
      </c>
      <c r="K272" s="3">
        <v>11860</v>
      </c>
      <c r="L272" s="3">
        <v>12000</v>
      </c>
      <c r="M272" s="3">
        <v>12000</v>
      </c>
      <c r="N272" s="3">
        <v>12595</v>
      </c>
      <c r="O272" s="3">
        <v>12595</v>
      </c>
      <c r="P272" s="3">
        <v>12335</v>
      </c>
      <c r="Q272" s="3">
        <v>12370</v>
      </c>
      <c r="R272" s="3">
        <v>12520</v>
      </c>
      <c r="S272" s="3">
        <v>12510</v>
      </c>
      <c r="T272" s="3">
        <v>12285</v>
      </c>
      <c r="U272" s="3">
        <v>12290</v>
      </c>
      <c r="V272" s="3">
        <v>12780</v>
      </c>
      <c r="W272" s="3">
        <v>12785</v>
      </c>
      <c r="X272" s="3">
        <v>12630</v>
      </c>
      <c r="Y272" s="3">
        <v>12630</v>
      </c>
      <c r="Z272" s="3">
        <v>12720</v>
      </c>
      <c r="AA272" s="3">
        <v>12710</v>
      </c>
      <c r="AB272" s="3">
        <v>13265</v>
      </c>
      <c r="AC272" s="3">
        <v>13260</v>
      </c>
      <c r="AD272" s="3">
        <v>13335</v>
      </c>
      <c r="AE272" s="3">
        <v>13325</v>
      </c>
      <c r="AF272" s="3">
        <v>13840</v>
      </c>
      <c r="AG272" s="3">
        <v>13840</v>
      </c>
      <c r="AH272" s="3">
        <v>13825</v>
      </c>
      <c r="AI272" s="3">
        <v>13815</v>
      </c>
      <c r="AJ272" s="3">
        <v>13750</v>
      </c>
      <c r="AK272" s="3">
        <v>13765</v>
      </c>
      <c r="AL272" s="3">
        <v>13650</v>
      </c>
      <c r="AM272" s="3">
        <v>13655</v>
      </c>
      <c r="AN272" s="3">
        <v>13460</v>
      </c>
      <c r="AO272" s="3">
        <v>13460</v>
      </c>
      <c r="AP272" s="3">
        <v>13400</v>
      </c>
      <c r="AQ272" s="3">
        <v>13400</v>
      </c>
      <c r="AR272" s="4">
        <f t="shared" si="176"/>
        <v>1.3009540329575131E-2</v>
      </c>
      <c r="AS272" s="4">
        <f t="shared" si="148"/>
        <v>4.3290043290045155E-4</v>
      </c>
      <c r="AT272" s="4">
        <f t="shared" si="149"/>
        <v>1.848591549295775E-2</v>
      </c>
      <c r="AU272" s="4">
        <f t="shared" si="150"/>
        <v>2.5042444821731791E-2</v>
      </c>
      <c r="AV272" s="4">
        <f t="shared" si="151"/>
        <v>1.4542343883661157E-2</v>
      </c>
      <c r="AW272" s="4">
        <f t="shared" si="152"/>
        <v>1.180438448566612E-2</v>
      </c>
      <c r="AX272" s="4">
        <f t="shared" si="153"/>
        <v>3.962030540652095E-2</v>
      </c>
      <c r="AY272" s="4">
        <f t="shared" si="154"/>
        <v>3.2081377151799706E-2</v>
      </c>
      <c r="AZ272" s="4">
        <f t="shared" si="155"/>
        <v>2.789956157831841E-3</v>
      </c>
      <c r="BA272" s="4">
        <f t="shared" si="156"/>
        <v>6.8686868686869129E-3</v>
      </c>
      <c r="BB272" s="4">
        <f t="shared" si="157"/>
        <v>3.6481556546412719E-2</v>
      </c>
      <c r="BC272" s="4">
        <f t="shared" si="158"/>
        <v>3.9572615749905449E-4</v>
      </c>
      <c r="BD272" s="4">
        <f t="shared" si="159"/>
        <v>1.0124610591900285E-2</v>
      </c>
      <c r="BE272" s="4">
        <f t="shared" si="160"/>
        <v>2.2753567296567745E-2</v>
      </c>
      <c r="BF272" s="4">
        <f t="shared" si="161"/>
        <v>1.79526355996944E-2</v>
      </c>
      <c r="BG272" s="4">
        <f t="shared" si="162"/>
        <v>3.7870266216722959E-2</v>
      </c>
      <c r="BH272" s="4">
        <f t="shared" si="163"/>
        <v>6.8296189791516859E-3</v>
      </c>
      <c r="BI272" s="4">
        <f t="shared" si="164"/>
        <v>7.927927927927958E-3</v>
      </c>
      <c r="BJ272" s="4">
        <f t="shared" si="165"/>
        <v>4.737609329446113E-3</v>
      </c>
      <c r="BK272" s="4">
        <f t="shared" si="166"/>
        <v>1.6441359152356561E-2</v>
      </c>
      <c r="BL272" s="4">
        <f t="shared" si="167"/>
        <v>4.0876997398736625E-3</v>
      </c>
      <c r="BM272" s="4">
        <f t="shared" si="177"/>
        <v>1.7348228813037065E-2</v>
      </c>
      <c r="BN272" s="14">
        <f t="shared" si="178"/>
        <v>13688.420418679414</v>
      </c>
      <c r="BO272" s="15">
        <f t="shared" si="179"/>
        <v>13093.83485106628</v>
      </c>
      <c r="BP272" s="16">
        <v>13400</v>
      </c>
      <c r="BQ272" s="16">
        <v>13400</v>
      </c>
      <c r="BR272" s="16">
        <v>13395</v>
      </c>
      <c r="BS272" s="16">
        <v>13400</v>
      </c>
      <c r="BT272" s="16">
        <v>4106</v>
      </c>
      <c r="BU272" s="15">
        <f t="shared" si="168"/>
        <v>13398.333333333334</v>
      </c>
      <c r="BV272" s="15">
        <f t="shared" si="169"/>
        <v>55013556.666666672</v>
      </c>
      <c r="BW272" s="15">
        <f>SUM($BV$3:BV272)</f>
        <v>234461581536.66663</v>
      </c>
      <c r="BX272" s="15">
        <f>SUM($BT$3:BT272)</f>
        <v>17305558</v>
      </c>
      <c r="BY272" s="15">
        <f t="shared" si="170"/>
        <v>13548.339876510578</v>
      </c>
      <c r="BZ272" s="3">
        <v>270</v>
      </c>
      <c r="CA272" s="3">
        <f t="shared" si="171"/>
        <v>0</v>
      </c>
      <c r="CB272" s="3">
        <f t="shared" si="172"/>
        <v>0</v>
      </c>
      <c r="CC272" s="3">
        <f t="shared" si="173"/>
        <v>0</v>
      </c>
      <c r="CD272" s="3">
        <f t="shared" si="174"/>
        <v>0</v>
      </c>
      <c r="CE272" s="3">
        <f t="shared" si="175"/>
        <v>0</v>
      </c>
    </row>
    <row r="273" spans="1:83" x14ac:dyDescent="0.3">
      <c r="A273" s="3" t="s">
        <v>313</v>
      </c>
      <c r="B273" s="3">
        <v>11680</v>
      </c>
      <c r="C273" s="3">
        <v>11680</v>
      </c>
      <c r="D273" s="3">
        <v>11555</v>
      </c>
      <c r="E273" s="3">
        <v>11560</v>
      </c>
      <c r="F273" s="3">
        <v>11570</v>
      </c>
      <c r="G273" s="3">
        <v>11550</v>
      </c>
      <c r="H273" s="3">
        <v>11480</v>
      </c>
      <c r="I273" s="3">
        <v>11480</v>
      </c>
      <c r="J273" s="3">
        <v>11860</v>
      </c>
      <c r="K273" s="3">
        <v>11870</v>
      </c>
      <c r="L273" s="3">
        <v>11995</v>
      </c>
      <c r="M273" s="3">
        <v>11995</v>
      </c>
      <c r="N273" s="3">
        <v>12595</v>
      </c>
      <c r="O273" s="3">
        <v>12595</v>
      </c>
      <c r="P273" s="3">
        <v>12365</v>
      </c>
      <c r="Q273" s="3">
        <v>12405</v>
      </c>
      <c r="R273" s="3">
        <v>12510</v>
      </c>
      <c r="S273" s="3">
        <v>12520</v>
      </c>
      <c r="T273" s="3">
        <v>12290</v>
      </c>
      <c r="U273" s="3">
        <v>12290</v>
      </c>
      <c r="V273" s="3">
        <v>12785</v>
      </c>
      <c r="W273" s="3">
        <v>12790</v>
      </c>
      <c r="X273" s="3">
        <v>12630</v>
      </c>
      <c r="Y273" s="3">
        <v>12615</v>
      </c>
      <c r="Z273" s="3">
        <v>12715</v>
      </c>
      <c r="AA273" s="3">
        <v>12725</v>
      </c>
      <c r="AB273" s="3">
        <v>13255</v>
      </c>
      <c r="AC273" s="3">
        <v>13260</v>
      </c>
      <c r="AD273" s="3">
        <v>13325</v>
      </c>
      <c r="AE273" s="3">
        <v>13320</v>
      </c>
      <c r="AF273" s="3">
        <v>13845</v>
      </c>
      <c r="AG273" s="3">
        <v>13850</v>
      </c>
      <c r="AH273" s="3">
        <v>13820</v>
      </c>
      <c r="AI273" s="3">
        <v>13825</v>
      </c>
      <c r="AJ273" s="3">
        <v>13760</v>
      </c>
      <c r="AK273" s="3">
        <v>13740</v>
      </c>
      <c r="AL273" s="3">
        <v>13660</v>
      </c>
      <c r="AM273" s="3">
        <v>13645</v>
      </c>
      <c r="AN273" s="3">
        <v>13460</v>
      </c>
      <c r="AO273" s="3">
        <v>13450</v>
      </c>
      <c r="AP273" s="3">
        <v>13400</v>
      </c>
      <c r="AQ273" s="3">
        <v>13370</v>
      </c>
      <c r="AR273" s="4">
        <f t="shared" si="176"/>
        <v>1.3009540329575131E-2</v>
      </c>
      <c r="AS273" s="4">
        <f t="shared" si="148"/>
        <v>8.658008658009031E-4</v>
      </c>
      <c r="AT273" s="4">
        <f t="shared" si="149"/>
        <v>1.6725352112676006E-2</v>
      </c>
      <c r="AU273" s="4">
        <f t="shared" si="150"/>
        <v>2.5466893039049254E-2</v>
      </c>
      <c r="AV273" s="4">
        <f t="shared" si="151"/>
        <v>1.5397775876817787E-2</v>
      </c>
      <c r="AW273" s="4">
        <f t="shared" si="152"/>
        <v>1.1382799325463822E-2</v>
      </c>
      <c r="AX273" s="4">
        <f t="shared" si="153"/>
        <v>3.962030540652095E-2</v>
      </c>
      <c r="AY273" s="4">
        <f t="shared" si="154"/>
        <v>2.9342723004694871E-2</v>
      </c>
      <c r="AZ273" s="4">
        <f t="shared" si="155"/>
        <v>1.9928258270227595E-3</v>
      </c>
      <c r="BA273" s="4">
        <f t="shared" si="156"/>
        <v>6.8686868686869129E-3</v>
      </c>
      <c r="BB273" s="4">
        <f t="shared" si="157"/>
        <v>3.6886907174706218E-2</v>
      </c>
      <c r="BC273" s="4">
        <f t="shared" si="158"/>
        <v>1.5829046299959959E-3</v>
      </c>
      <c r="BD273" s="4">
        <f t="shared" si="159"/>
        <v>8.9563862928349058E-3</v>
      </c>
      <c r="BE273" s="4">
        <f t="shared" si="160"/>
        <v>2.2753567296567745E-2</v>
      </c>
      <c r="BF273" s="4">
        <f t="shared" si="161"/>
        <v>1.7570664629488197E-2</v>
      </c>
      <c r="BG273" s="4">
        <f t="shared" si="162"/>
        <v>3.8620172478440296E-2</v>
      </c>
      <c r="BH273" s="4">
        <f t="shared" si="163"/>
        <v>6.110711718188333E-3</v>
      </c>
      <c r="BI273" s="4">
        <f t="shared" si="164"/>
        <v>9.7297297297297414E-3</v>
      </c>
      <c r="BJ273" s="4">
        <f t="shared" si="165"/>
        <v>5.4664723032069595E-3</v>
      </c>
      <c r="BK273" s="4">
        <f t="shared" si="166"/>
        <v>1.7172086225794692E-2</v>
      </c>
      <c r="BL273" s="4">
        <f t="shared" si="167"/>
        <v>6.3173541434411451E-3</v>
      </c>
      <c r="BM273" s="4">
        <f t="shared" si="177"/>
        <v>1.7333867398991325E-2</v>
      </c>
      <c r="BN273" s="14">
        <f t="shared" si="178"/>
        <v>13688.227185853428</v>
      </c>
      <c r="BO273" s="15">
        <f t="shared" si="179"/>
        <v>13094.02621690844</v>
      </c>
      <c r="BP273" s="16">
        <v>13400</v>
      </c>
      <c r="BQ273" s="16">
        <v>13400</v>
      </c>
      <c r="BR273" s="16">
        <v>13370</v>
      </c>
      <c r="BS273" s="16">
        <v>13370</v>
      </c>
      <c r="BT273" s="16">
        <v>80280</v>
      </c>
      <c r="BU273" s="15">
        <f t="shared" si="168"/>
        <v>13380</v>
      </c>
      <c r="BV273" s="15">
        <f t="shared" si="169"/>
        <v>1074146400</v>
      </c>
      <c r="BW273" s="15">
        <f>SUM($BV$3:BV273)</f>
        <v>235535727936.66663</v>
      </c>
      <c r="BX273" s="15">
        <f>SUM($BT$3:BT273)</f>
        <v>17385838</v>
      </c>
      <c r="BY273" s="15">
        <f t="shared" si="170"/>
        <v>13547.562558483902</v>
      </c>
      <c r="BZ273" s="3">
        <v>271</v>
      </c>
      <c r="CA273" s="3">
        <f t="shared" si="171"/>
        <v>0</v>
      </c>
      <c r="CB273" s="3">
        <f t="shared" si="172"/>
        <v>0</v>
      </c>
      <c r="CC273" s="3">
        <f t="shared" si="173"/>
        <v>0</v>
      </c>
      <c r="CD273" s="3" t="str">
        <f t="shared" si="174"/>
        <v/>
      </c>
      <c r="CE273" s="3">
        <f t="shared" si="175"/>
        <v>0</v>
      </c>
    </row>
    <row r="274" spans="1:83" x14ac:dyDescent="0.3">
      <c r="A274" s="3" t="s">
        <v>314</v>
      </c>
      <c r="B274" s="3">
        <v>11685</v>
      </c>
      <c r="C274" s="3">
        <v>11685</v>
      </c>
      <c r="D274" s="3">
        <v>11560</v>
      </c>
      <c r="E274" s="3">
        <v>11550</v>
      </c>
      <c r="F274" s="3">
        <v>11550</v>
      </c>
      <c r="G274" s="3">
        <v>11560</v>
      </c>
      <c r="H274" s="3">
        <v>11475</v>
      </c>
      <c r="I274" s="3">
        <v>11460</v>
      </c>
      <c r="J274" s="3">
        <v>11870</v>
      </c>
      <c r="K274" s="3">
        <v>11880</v>
      </c>
      <c r="L274" s="3">
        <v>11995</v>
      </c>
      <c r="M274" s="3">
        <v>11990</v>
      </c>
      <c r="N274" s="3">
        <v>12600</v>
      </c>
      <c r="O274" s="3">
        <v>12595</v>
      </c>
      <c r="P274" s="3">
        <v>12410</v>
      </c>
      <c r="Q274" s="3">
        <v>12390</v>
      </c>
      <c r="R274" s="3">
        <v>12515</v>
      </c>
      <c r="S274" s="3">
        <v>12520</v>
      </c>
      <c r="T274" s="3">
        <v>12285</v>
      </c>
      <c r="U274" s="3">
        <v>12280</v>
      </c>
      <c r="V274" s="3">
        <v>12790</v>
      </c>
      <c r="W274" s="3">
        <v>12780</v>
      </c>
      <c r="X274" s="3">
        <v>12615</v>
      </c>
      <c r="Y274" s="3">
        <v>12625</v>
      </c>
      <c r="Z274" s="3">
        <v>12725</v>
      </c>
      <c r="AA274" s="3">
        <v>12720</v>
      </c>
      <c r="AB274" s="3">
        <v>13255</v>
      </c>
      <c r="AC274" s="3">
        <v>13255</v>
      </c>
      <c r="AD274" s="3">
        <v>13320</v>
      </c>
      <c r="AE274" s="3">
        <v>13335</v>
      </c>
      <c r="AF274" s="3">
        <v>13850</v>
      </c>
      <c r="AG274" s="3">
        <v>13845</v>
      </c>
      <c r="AH274" s="3">
        <v>13825</v>
      </c>
      <c r="AI274" s="3">
        <v>13835</v>
      </c>
      <c r="AJ274" s="3">
        <v>13740</v>
      </c>
      <c r="AK274" s="3">
        <v>13740</v>
      </c>
      <c r="AL274" s="3">
        <v>13645</v>
      </c>
      <c r="AM274" s="3">
        <v>13655</v>
      </c>
      <c r="AN274" s="3">
        <v>13450</v>
      </c>
      <c r="AO274" s="3">
        <v>13445</v>
      </c>
      <c r="AP274" s="3">
        <v>13370</v>
      </c>
      <c r="AQ274" s="3">
        <v>13365</v>
      </c>
      <c r="AR274" s="4">
        <f t="shared" si="176"/>
        <v>1.3443191673894184E-2</v>
      </c>
      <c r="AS274" s="4">
        <f t="shared" si="148"/>
        <v>0</v>
      </c>
      <c r="AT274" s="4">
        <f t="shared" si="149"/>
        <v>1.7605633802816989E-2</v>
      </c>
      <c r="AU274" s="4">
        <f t="shared" si="150"/>
        <v>2.7164685908319219E-2</v>
      </c>
      <c r="AV274" s="4">
        <f t="shared" si="151"/>
        <v>1.6253207869974418E-2</v>
      </c>
      <c r="AW274" s="4">
        <f t="shared" si="152"/>
        <v>1.0961214165261302E-2</v>
      </c>
      <c r="AX274" s="4">
        <f t="shared" si="153"/>
        <v>3.962030540652095E-2</v>
      </c>
      <c r="AY274" s="4">
        <f t="shared" si="154"/>
        <v>3.0516431924882625E-2</v>
      </c>
      <c r="AZ274" s="4">
        <f t="shared" si="155"/>
        <v>1.9928258270227595E-3</v>
      </c>
      <c r="BA274" s="4">
        <f t="shared" si="156"/>
        <v>7.6767676767677262E-3</v>
      </c>
      <c r="BB274" s="4">
        <f t="shared" si="157"/>
        <v>3.607620591811922E-2</v>
      </c>
      <c r="BC274" s="4">
        <f t="shared" si="158"/>
        <v>7.9145231499799795E-4</v>
      </c>
      <c r="BD274" s="4">
        <f t="shared" si="159"/>
        <v>9.3457943925233655E-3</v>
      </c>
      <c r="BE274" s="4">
        <f t="shared" si="160"/>
        <v>2.2367913613575041E-2</v>
      </c>
      <c r="BF274" s="4">
        <f t="shared" si="161"/>
        <v>1.8716577540107027E-2</v>
      </c>
      <c r="BG274" s="4">
        <f t="shared" si="162"/>
        <v>3.8245219347581516E-2</v>
      </c>
      <c r="BH274" s="4">
        <f t="shared" si="163"/>
        <v>5.3918044572249801E-3</v>
      </c>
      <c r="BI274" s="4">
        <f t="shared" si="164"/>
        <v>9.7297297297297414E-3</v>
      </c>
      <c r="BJ274" s="4">
        <f t="shared" si="165"/>
        <v>4.737609329446113E-3</v>
      </c>
      <c r="BK274" s="4">
        <f t="shared" si="166"/>
        <v>1.7537449762513702E-2</v>
      </c>
      <c r="BL274" s="4">
        <f t="shared" si="167"/>
        <v>6.6889632107023367E-3</v>
      </c>
      <c r="BM274" s="4">
        <f t="shared" si="177"/>
        <v>1.7339006231500913E-2</v>
      </c>
      <c r="BN274" s="14">
        <f t="shared" si="178"/>
        <v>13688.296328844845</v>
      </c>
      <c r="BO274" s="15">
        <f t="shared" si="179"/>
        <v>13093.957741965251</v>
      </c>
      <c r="BP274" s="16">
        <v>13370</v>
      </c>
      <c r="BQ274" s="16">
        <v>13380</v>
      </c>
      <c r="BR274" s="16">
        <v>13360</v>
      </c>
      <c r="BS274" s="16">
        <v>13365</v>
      </c>
      <c r="BT274" s="16">
        <v>37927</v>
      </c>
      <c r="BU274" s="15">
        <f t="shared" si="168"/>
        <v>13368.333333333334</v>
      </c>
      <c r="BV274" s="15">
        <f t="shared" si="169"/>
        <v>507020778.33333337</v>
      </c>
      <c r="BW274" s="15">
        <f>SUM($BV$3:BV274)</f>
        <v>236042748714.99997</v>
      </c>
      <c r="BX274" s="15">
        <f>SUM($BT$3:BT274)</f>
        <v>17423765</v>
      </c>
      <c r="BY274" s="15">
        <f t="shared" si="170"/>
        <v>13547.172423124392</v>
      </c>
      <c r="BZ274" s="3">
        <v>272</v>
      </c>
      <c r="CA274" s="3">
        <f t="shared" si="171"/>
        <v>0</v>
      </c>
      <c r="CB274" s="3">
        <f t="shared" si="172"/>
        <v>0</v>
      </c>
      <c r="CC274" s="3">
        <f t="shared" si="173"/>
        <v>0</v>
      </c>
      <c r="CD274" s="3" t="str">
        <f t="shared" si="174"/>
        <v/>
      </c>
      <c r="CE274" s="3">
        <f t="shared" si="175"/>
        <v>0</v>
      </c>
    </row>
    <row r="275" spans="1:83" x14ac:dyDescent="0.3">
      <c r="A275" s="3" t="s">
        <v>315</v>
      </c>
      <c r="B275" s="3">
        <v>11690</v>
      </c>
      <c r="C275" s="3">
        <v>11695</v>
      </c>
      <c r="D275" s="3">
        <v>11550</v>
      </c>
      <c r="E275" s="3">
        <v>11530</v>
      </c>
      <c r="F275" s="3">
        <v>11555</v>
      </c>
      <c r="G275" s="3">
        <v>11555</v>
      </c>
      <c r="H275" s="3">
        <v>11460</v>
      </c>
      <c r="I275" s="3">
        <v>11470</v>
      </c>
      <c r="J275" s="3">
        <v>11880</v>
      </c>
      <c r="K275" s="3">
        <v>11900</v>
      </c>
      <c r="L275" s="3">
        <v>11990</v>
      </c>
      <c r="M275" s="3">
        <v>11995</v>
      </c>
      <c r="N275" s="3">
        <v>12600</v>
      </c>
      <c r="O275" s="3">
        <v>12595</v>
      </c>
      <c r="P275" s="3">
        <v>12395</v>
      </c>
      <c r="Q275" s="3">
        <v>12390</v>
      </c>
      <c r="R275" s="3">
        <v>12520</v>
      </c>
      <c r="S275" s="3">
        <v>12530</v>
      </c>
      <c r="T275" s="3">
        <v>12280</v>
      </c>
      <c r="U275" s="3">
        <v>12270</v>
      </c>
      <c r="V275" s="3">
        <v>12780</v>
      </c>
      <c r="W275" s="3">
        <v>12775</v>
      </c>
      <c r="X275" s="3">
        <v>12630</v>
      </c>
      <c r="Y275" s="3">
        <v>12635</v>
      </c>
      <c r="Z275" s="3">
        <v>12715</v>
      </c>
      <c r="AA275" s="3">
        <v>12725</v>
      </c>
      <c r="AB275" s="3">
        <v>13250</v>
      </c>
      <c r="AC275" s="3">
        <v>13255</v>
      </c>
      <c r="AD275" s="3">
        <v>13330</v>
      </c>
      <c r="AE275" s="3">
        <v>13330</v>
      </c>
      <c r="AF275" s="3">
        <v>13850</v>
      </c>
      <c r="AG275" s="3">
        <v>13835</v>
      </c>
      <c r="AH275" s="3">
        <v>13835</v>
      </c>
      <c r="AI275" s="3">
        <v>13850</v>
      </c>
      <c r="AJ275" s="3">
        <v>13745</v>
      </c>
      <c r="AK275" s="3">
        <v>13735</v>
      </c>
      <c r="AL275" s="3">
        <v>13655</v>
      </c>
      <c r="AM275" s="3">
        <v>13645</v>
      </c>
      <c r="AN275" s="3">
        <v>13445</v>
      </c>
      <c r="AO275" s="3">
        <v>13435</v>
      </c>
      <c r="AP275" s="3">
        <v>13365</v>
      </c>
      <c r="AQ275" s="3">
        <v>13370</v>
      </c>
      <c r="AR275" s="4">
        <f t="shared" si="176"/>
        <v>1.4310494362532511E-2</v>
      </c>
      <c r="AS275" s="4">
        <f t="shared" si="148"/>
        <v>1.7316017316016952E-3</v>
      </c>
      <c r="AT275" s="4">
        <f t="shared" si="149"/>
        <v>1.7165492957746498E-2</v>
      </c>
      <c r="AU275" s="4">
        <f t="shared" si="150"/>
        <v>2.6315789473684181E-2</v>
      </c>
      <c r="AV275" s="4">
        <f t="shared" si="151"/>
        <v>1.7964071856287456E-2</v>
      </c>
      <c r="AW275" s="4">
        <f t="shared" si="152"/>
        <v>1.1382799325463822E-2</v>
      </c>
      <c r="AX275" s="4">
        <f t="shared" si="153"/>
        <v>3.962030540652095E-2</v>
      </c>
      <c r="AY275" s="4">
        <f t="shared" si="154"/>
        <v>3.0516431924882625E-2</v>
      </c>
      <c r="AZ275" s="4">
        <f t="shared" si="155"/>
        <v>1.1956954962136779E-3</v>
      </c>
      <c r="BA275" s="4">
        <f t="shared" si="156"/>
        <v>8.4848484848485395E-3</v>
      </c>
      <c r="BB275" s="4">
        <f t="shared" si="157"/>
        <v>3.567085528982572E-2</v>
      </c>
      <c r="BC275" s="4">
        <f t="shared" si="158"/>
        <v>0</v>
      </c>
      <c r="BD275" s="4">
        <f t="shared" si="159"/>
        <v>8.9563862928349058E-3</v>
      </c>
      <c r="BE275" s="4">
        <f t="shared" si="160"/>
        <v>2.2367913613575041E-2</v>
      </c>
      <c r="BF275" s="4">
        <f t="shared" si="161"/>
        <v>1.8334606569900602E-2</v>
      </c>
      <c r="BG275" s="4">
        <f t="shared" si="162"/>
        <v>3.7495313085864179E-2</v>
      </c>
      <c r="BH275" s="4">
        <f t="shared" si="163"/>
        <v>4.3134435657800063E-3</v>
      </c>
      <c r="BI275" s="4">
        <f t="shared" si="164"/>
        <v>1.0090090090090098E-2</v>
      </c>
      <c r="BJ275" s="4">
        <f t="shared" si="165"/>
        <v>5.4664723032069595E-3</v>
      </c>
      <c r="BK275" s="4">
        <f t="shared" si="166"/>
        <v>1.8268176835951722E-2</v>
      </c>
      <c r="BL275" s="4">
        <f t="shared" si="167"/>
        <v>6.3173541434411451E-3</v>
      </c>
      <c r="BM275" s="4">
        <f t="shared" si="177"/>
        <v>1.7198609925678215E-2</v>
      </c>
      <c r="BN275" s="14">
        <f t="shared" si="178"/>
        <v>13686.40729655</v>
      </c>
      <c r="BO275" s="15">
        <f t="shared" si="179"/>
        <v>13095.828522740338</v>
      </c>
      <c r="BP275" s="16">
        <v>13365</v>
      </c>
      <c r="BQ275" s="16">
        <v>13375</v>
      </c>
      <c r="BR275" s="16">
        <v>13355</v>
      </c>
      <c r="BS275" s="16">
        <v>13370</v>
      </c>
      <c r="BT275" s="16">
        <v>52560</v>
      </c>
      <c r="BU275" s="15">
        <f t="shared" si="168"/>
        <v>13366.666666666666</v>
      </c>
      <c r="BV275" s="15">
        <f t="shared" si="169"/>
        <v>702552000</v>
      </c>
      <c r="BW275" s="15">
        <f>SUM($BV$3:BV275)</f>
        <v>236745300714.99997</v>
      </c>
      <c r="BX275" s="15">
        <f>SUM($BT$3:BT275)</f>
        <v>17476325</v>
      </c>
      <c r="BY275" s="15">
        <f t="shared" si="170"/>
        <v>13546.629552551807</v>
      </c>
      <c r="BZ275" s="3">
        <v>273</v>
      </c>
      <c r="CA275" s="3">
        <f t="shared" si="171"/>
        <v>0</v>
      </c>
      <c r="CB275" s="3">
        <f t="shared" si="172"/>
        <v>0</v>
      </c>
      <c r="CC275" s="3">
        <f t="shared" si="173"/>
        <v>0</v>
      </c>
      <c r="CD275" s="3" t="str">
        <f t="shared" si="174"/>
        <v/>
      </c>
      <c r="CE275" s="3">
        <f t="shared" si="175"/>
        <v>0</v>
      </c>
    </row>
    <row r="276" spans="1:83" x14ac:dyDescent="0.3">
      <c r="A276" s="3" t="s">
        <v>316</v>
      </c>
      <c r="B276" s="3">
        <v>11695</v>
      </c>
      <c r="C276" s="3">
        <v>11685</v>
      </c>
      <c r="D276" s="3">
        <v>11530</v>
      </c>
      <c r="E276" s="3">
        <v>11505</v>
      </c>
      <c r="F276" s="3">
        <v>11555</v>
      </c>
      <c r="G276" s="3">
        <v>11555</v>
      </c>
      <c r="H276" s="3">
        <v>11470</v>
      </c>
      <c r="I276" s="3">
        <v>11460</v>
      </c>
      <c r="J276" s="3">
        <v>11900</v>
      </c>
      <c r="K276" s="3">
        <v>11895</v>
      </c>
      <c r="L276" s="3">
        <v>12000</v>
      </c>
      <c r="M276" s="3">
        <v>12000</v>
      </c>
      <c r="N276" s="3">
        <v>12595</v>
      </c>
      <c r="O276" s="3">
        <v>12590</v>
      </c>
      <c r="P276" s="3">
        <v>12395</v>
      </c>
      <c r="Q276" s="3">
        <v>12365</v>
      </c>
      <c r="R276" s="3">
        <v>12530</v>
      </c>
      <c r="S276" s="3">
        <v>12535</v>
      </c>
      <c r="T276" s="3">
        <v>12270</v>
      </c>
      <c r="U276" s="3">
        <v>12240</v>
      </c>
      <c r="V276" s="3">
        <v>12775</v>
      </c>
      <c r="W276" s="3">
        <v>12780</v>
      </c>
      <c r="X276" s="3">
        <v>12635</v>
      </c>
      <c r="Y276" s="3">
        <v>12630</v>
      </c>
      <c r="Z276" s="3">
        <v>12725</v>
      </c>
      <c r="AA276" s="3">
        <v>12720</v>
      </c>
      <c r="AB276" s="3">
        <v>13250</v>
      </c>
      <c r="AC276" s="3">
        <v>13245</v>
      </c>
      <c r="AD276" s="3">
        <v>13325</v>
      </c>
      <c r="AE276" s="3">
        <v>13325</v>
      </c>
      <c r="AF276" s="3">
        <v>13835</v>
      </c>
      <c r="AG276" s="3">
        <v>13830</v>
      </c>
      <c r="AH276" s="3">
        <v>13850</v>
      </c>
      <c r="AI276" s="3">
        <v>13870</v>
      </c>
      <c r="AJ276" s="3">
        <v>13735</v>
      </c>
      <c r="AK276" s="3">
        <v>13725</v>
      </c>
      <c r="AL276" s="3">
        <v>13645</v>
      </c>
      <c r="AM276" s="3">
        <v>13660</v>
      </c>
      <c r="AN276" s="3">
        <v>13430</v>
      </c>
      <c r="AO276" s="3">
        <v>13425</v>
      </c>
      <c r="AP276" s="3">
        <v>13365</v>
      </c>
      <c r="AQ276" s="3">
        <v>13375</v>
      </c>
      <c r="AR276" s="4">
        <f t="shared" si="176"/>
        <v>1.3443191673894184E-2</v>
      </c>
      <c r="AS276" s="4">
        <f t="shared" si="148"/>
        <v>3.8961038961038419E-3</v>
      </c>
      <c r="AT276" s="4">
        <f t="shared" si="149"/>
        <v>1.7165492957746498E-2</v>
      </c>
      <c r="AU276" s="4">
        <f t="shared" si="150"/>
        <v>2.7164685908319219E-2</v>
      </c>
      <c r="AV276" s="4">
        <f t="shared" si="151"/>
        <v>1.7536355859709252E-2</v>
      </c>
      <c r="AW276" s="4">
        <f t="shared" si="152"/>
        <v>1.180438448566612E-2</v>
      </c>
      <c r="AX276" s="4">
        <f t="shared" si="153"/>
        <v>3.9207593891869674E-2</v>
      </c>
      <c r="AY276" s="4">
        <f t="shared" si="154"/>
        <v>3.2472613458528921E-2</v>
      </c>
      <c r="AZ276" s="4">
        <f t="shared" si="155"/>
        <v>7.9713033080908158E-4</v>
      </c>
      <c r="BA276" s="4">
        <f t="shared" si="156"/>
        <v>1.0909090909090868E-2</v>
      </c>
      <c r="BB276" s="4">
        <f t="shared" si="157"/>
        <v>3.607620591811922E-2</v>
      </c>
      <c r="BC276" s="4">
        <f t="shared" si="158"/>
        <v>3.9572615749905449E-4</v>
      </c>
      <c r="BD276" s="4">
        <f t="shared" si="159"/>
        <v>9.3457943925233655E-3</v>
      </c>
      <c r="BE276" s="4">
        <f t="shared" si="160"/>
        <v>2.1596606247589634E-2</v>
      </c>
      <c r="BF276" s="4">
        <f t="shared" si="161"/>
        <v>1.79526355996944E-2</v>
      </c>
      <c r="BG276" s="4">
        <f t="shared" si="162"/>
        <v>3.7120359955005622E-2</v>
      </c>
      <c r="BH276" s="4">
        <f t="shared" si="163"/>
        <v>2.8756290438533005E-3</v>
      </c>
      <c r="BI276" s="4">
        <f t="shared" si="164"/>
        <v>1.0810810810810811E-2</v>
      </c>
      <c r="BJ276" s="4">
        <f t="shared" si="165"/>
        <v>4.3731778425656342E-3</v>
      </c>
      <c r="BK276" s="4">
        <f t="shared" si="166"/>
        <v>1.8998903909389853E-2</v>
      </c>
      <c r="BL276" s="4">
        <f t="shared" si="167"/>
        <v>5.9457450761798425E-3</v>
      </c>
      <c r="BM276" s="4">
        <f t="shared" si="177"/>
        <v>1.7352305604810676E-2</v>
      </c>
      <c r="BN276" s="14">
        <f t="shared" si="178"/>
        <v>13688.475271912726</v>
      </c>
      <c r="BO276" s="15">
        <f t="shared" si="179"/>
        <v>13093.780527815898</v>
      </c>
      <c r="BP276" s="16">
        <v>13365</v>
      </c>
      <c r="BQ276" s="16">
        <v>13375</v>
      </c>
      <c r="BR276" s="16">
        <v>13360</v>
      </c>
      <c r="BS276" s="16">
        <v>13375</v>
      </c>
      <c r="BT276" s="16">
        <v>21239</v>
      </c>
      <c r="BU276" s="15">
        <f t="shared" si="168"/>
        <v>13370</v>
      </c>
      <c r="BV276" s="15">
        <f t="shared" si="169"/>
        <v>283965430</v>
      </c>
      <c r="BW276" s="15">
        <f>SUM($BV$3:BV276)</f>
        <v>237029266144.99997</v>
      </c>
      <c r="BX276" s="15">
        <f>SUM($BT$3:BT276)</f>
        <v>17497564</v>
      </c>
      <c r="BY276" s="15">
        <f t="shared" si="170"/>
        <v>13546.415154989572</v>
      </c>
      <c r="BZ276" s="3">
        <v>274</v>
      </c>
      <c r="CA276" s="3">
        <f t="shared" si="171"/>
        <v>0</v>
      </c>
      <c r="CB276" s="3">
        <f t="shared" si="172"/>
        <v>0</v>
      </c>
      <c r="CC276" s="3">
        <f t="shared" si="173"/>
        <v>0</v>
      </c>
      <c r="CD276" s="3" t="str">
        <f t="shared" si="174"/>
        <v/>
      </c>
      <c r="CE276" s="3">
        <f t="shared" si="175"/>
        <v>0</v>
      </c>
    </row>
    <row r="277" spans="1:83" x14ac:dyDescent="0.3">
      <c r="A277" s="3" t="s">
        <v>317</v>
      </c>
      <c r="B277" s="3">
        <v>11685</v>
      </c>
      <c r="C277" s="3">
        <v>11690</v>
      </c>
      <c r="D277" s="3">
        <v>11500</v>
      </c>
      <c r="E277" s="3">
        <v>11500</v>
      </c>
      <c r="F277" s="3">
        <v>11555</v>
      </c>
      <c r="G277" s="3">
        <v>11560</v>
      </c>
      <c r="H277" s="3">
        <v>11460</v>
      </c>
      <c r="I277" s="3">
        <v>11460</v>
      </c>
      <c r="J277" s="3">
        <v>11895</v>
      </c>
      <c r="K277" s="3">
        <v>11900</v>
      </c>
      <c r="L277" s="3">
        <v>12000</v>
      </c>
      <c r="M277" s="3">
        <v>12020</v>
      </c>
      <c r="N277" s="3">
        <v>12590</v>
      </c>
      <c r="O277" s="3">
        <v>12600</v>
      </c>
      <c r="P277" s="3">
        <v>12370</v>
      </c>
      <c r="Q277" s="3">
        <v>12405</v>
      </c>
      <c r="R277" s="3">
        <v>12535</v>
      </c>
      <c r="S277" s="3">
        <v>12535</v>
      </c>
      <c r="T277" s="3">
        <v>12240</v>
      </c>
      <c r="U277" s="3">
        <v>12235</v>
      </c>
      <c r="V277" s="3">
        <v>12785</v>
      </c>
      <c r="W277" s="3">
        <v>12780</v>
      </c>
      <c r="X277" s="3">
        <v>12630</v>
      </c>
      <c r="Y277" s="3">
        <v>12640</v>
      </c>
      <c r="Z277" s="3">
        <v>12720</v>
      </c>
      <c r="AA277" s="3">
        <v>12720</v>
      </c>
      <c r="AB277" s="3">
        <v>13245</v>
      </c>
      <c r="AC277" s="3">
        <v>13230</v>
      </c>
      <c r="AD277" s="3">
        <v>13325</v>
      </c>
      <c r="AE277" s="3">
        <v>13320</v>
      </c>
      <c r="AF277" s="3">
        <v>13830</v>
      </c>
      <c r="AG277" s="3">
        <v>13835</v>
      </c>
      <c r="AH277" s="3">
        <v>13875</v>
      </c>
      <c r="AI277" s="3">
        <v>13885</v>
      </c>
      <c r="AJ277" s="3">
        <v>13720</v>
      </c>
      <c r="AK277" s="3">
        <v>13725</v>
      </c>
      <c r="AL277" s="3">
        <v>13660</v>
      </c>
      <c r="AM277" s="3">
        <v>13670</v>
      </c>
      <c r="AN277" s="3">
        <v>13425</v>
      </c>
      <c r="AO277" s="3">
        <v>13415</v>
      </c>
      <c r="AP277" s="3">
        <v>13375</v>
      </c>
      <c r="AQ277" s="3">
        <v>13385</v>
      </c>
      <c r="AR277" s="4">
        <f t="shared" si="176"/>
        <v>1.3876843018213458E-2</v>
      </c>
      <c r="AS277" s="4">
        <f t="shared" si="148"/>
        <v>4.3290043290042934E-3</v>
      </c>
      <c r="AT277" s="4">
        <f t="shared" si="149"/>
        <v>1.7605633802816989E-2</v>
      </c>
      <c r="AU277" s="4">
        <f t="shared" si="150"/>
        <v>2.7164685908319219E-2</v>
      </c>
      <c r="AV277" s="4">
        <f t="shared" si="151"/>
        <v>1.7964071856287456E-2</v>
      </c>
      <c r="AW277" s="4">
        <f t="shared" si="152"/>
        <v>1.3490725126475533E-2</v>
      </c>
      <c r="AX277" s="4">
        <f t="shared" si="153"/>
        <v>4.0033016921172004E-2</v>
      </c>
      <c r="AY277" s="4">
        <f t="shared" si="154"/>
        <v>2.9342723004694871E-2</v>
      </c>
      <c r="AZ277" s="4">
        <f t="shared" si="155"/>
        <v>7.9713033080908158E-4</v>
      </c>
      <c r="BA277" s="4">
        <f t="shared" si="156"/>
        <v>1.1313131313131275E-2</v>
      </c>
      <c r="BB277" s="4">
        <f t="shared" si="157"/>
        <v>3.607620591811922E-2</v>
      </c>
      <c r="BC277" s="4">
        <f t="shared" si="158"/>
        <v>3.9572615749894346E-4</v>
      </c>
      <c r="BD277" s="4">
        <f t="shared" si="159"/>
        <v>9.3457943925233655E-3</v>
      </c>
      <c r="BE277" s="4">
        <f t="shared" si="160"/>
        <v>2.0439645198611744E-2</v>
      </c>
      <c r="BF277" s="4">
        <f t="shared" si="161"/>
        <v>1.7570664629488197E-2</v>
      </c>
      <c r="BG277" s="4">
        <f t="shared" si="162"/>
        <v>3.7495313085864179E-2</v>
      </c>
      <c r="BH277" s="4">
        <f t="shared" si="163"/>
        <v>1.7972681524083267E-3</v>
      </c>
      <c r="BI277" s="4">
        <f t="shared" si="164"/>
        <v>1.0810810810810811E-2</v>
      </c>
      <c r="BJ277" s="4">
        <f t="shared" si="165"/>
        <v>3.6443148688046767E-3</v>
      </c>
      <c r="BK277" s="4">
        <f t="shared" si="166"/>
        <v>1.9729630982827873E-2</v>
      </c>
      <c r="BL277" s="4">
        <f t="shared" si="167"/>
        <v>5.2025269416573483E-3</v>
      </c>
      <c r="BM277" s="4">
        <f t="shared" si="177"/>
        <v>1.7056526840483182E-2</v>
      </c>
      <c r="BN277" s="14">
        <f t="shared" si="178"/>
        <v>13684.495568638702</v>
      </c>
      <c r="BO277" s="15">
        <f t="shared" si="179"/>
        <v>13097.721779850561</v>
      </c>
      <c r="BP277" s="16">
        <v>13375</v>
      </c>
      <c r="BQ277" s="16">
        <v>13385</v>
      </c>
      <c r="BR277" s="16">
        <v>13370</v>
      </c>
      <c r="BS277" s="16">
        <v>13385</v>
      </c>
      <c r="BT277" s="16">
        <v>36034</v>
      </c>
      <c r="BU277" s="15">
        <f t="shared" si="168"/>
        <v>13380</v>
      </c>
      <c r="BV277" s="15">
        <f t="shared" si="169"/>
        <v>482134920</v>
      </c>
      <c r="BW277" s="15">
        <f>SUM($BV$3:BV277)</f>
        <v>237511401064.99997</v>
      </c>
      <c r="BX277" s="15">
        <f>SUM($BT$3:BT277)</f>
        <v>17533598</v>
      </c>
      <c r="BY277" s="15">
        <f t="shared" si="170"/>
        <v>13546.0731485346</v>
      </c>
      <c r="BZ277" s="3">
        <v>275</v>
      </c>
      <c r="CA277" s="3">
        <f t="shared" si="171"/>
        <v>0</v>
      </c>
      <c r="CB277" s="3">
        <f t="shared" si="172"/>
        <v>0</v>
      </c>
      <c r="CC277" s="3">
        <f t="shared" si="173"/>
        <v>0</v>
      </c>
      <c r="CD277" s="3" t="str">
        <f t="shared" si="174"/>
        <v/>
      </c>
      <c r="CE277" s="3">
        <f t="shared" si="175"/>
        <v>0</v>
      </c>
    </row>
    <row r="278" spans="1:83" x14ac:dyDescent="0.3">
      <c r="A278" s="3" t="s">
        <v>318</v>
      </c>
      <c r="B278" s="3">
        <v>11690</v>
      </c>
      <c r="C278" s="3">
        <v>11690</v>
      </c>
      <c r="D278" s="3">
        <v>11505</v>
      </c>
      <c r="E278" s="3">
        <v>11520</v>
      </c>
      <c r="F278" s="3">
        <v>11555</v>
      </c>
      <c r="G278" s="3">
        <v>11565</v>
      </c>
      <c r="H278" s="3">
        <v>11460</v>
      </c>
      <c r="I278" s="3">
        <v>11465</v>
      </c>
      <c r="J278" s="3">
        <v>11900</v>
      </c>
      <c r="K278" s="3">
        <v>11910</v>
      </c>
      <c r="L278" s="3">
        <v>12020</v>
      </c>
      <c r="M278" s="3">
        <v>12030</v>
      </c>
      <c r="N278" s="3">
        <v>12600</v>
      </c>
      <c r="O278" s="3">
        <v>12600</v>
      </c>
      <c r="P278" s="3">
        <v>12400</v>
      </c>
      <c r="Q278" s="3">
        <v>12420</v>
      </c>
      <c r="R278" s="3">
        <v>12535</v>
      </c>
      <c r="S278" s="3">
        <v>12535</v>
      </c>
      <c r="T278" s="3">
        <v>12235</v>
      </c>
      <c r="U278" s="3">
        <v>12205</v>
      </c>
      <c r="V278" s="3">
        <v>12775</v>
      </c>
      <c r="W278" s="3">
        <v>12770</v>
      </c>
      <c r="X278" s="3">
        <v>12645</v>
      </c>
      <c r="Y278" s="3">
        <v>12615</v>
      </c>
      <c r="Z278" s="3">
        <v>12725</v>
      </c>
      <c r="AA278" s="3">
        <v>12715</v>
      </c>
      <c r="AB278" s="3">
        <v>13230</v>
      </c>
      <c r="AC278" s="3">
        <v>13240</v>
      </c>
      <c r="AD278" s="3">
        <v>13320</v>
      </c>
      <c r="AE278" s="3">
        <v>13320</v>
      </c>
      <c r="AF278" s="3">
        <v>13835</v>
      </c>
      <c r="AG278" s="3">
        <v>13830</v>
      </c>
      <c r="AH278" s="3">
        <v>13885</v>
      </c>
      <c r="AI278" s="3">
        <v>13845</v>
      </c>
      <c r="AJ278" s="3">
        <v>13730</v>
      </c>
      <c r="AK278" s="3">
        <v>13735</v>
      </c>
      <c r="AL278" s="3">
        <v>13670</v>
      </c>
      <c r="AM278" s="3">
        <v>13650</v>
      </c>
      <c r="AN278" s="3">
        <v>13415</v>
      </c>
      <c r="AO278" s="3">
        <v>13415</v>
      </c>
      <c r="AP278" s="3">
        <v>13385</v>
      </c>
      <c r="AQ278" s="3">
        <v>13385</v>
      </c>
      <c r="AR278" s="4">
        <f t="shared" si="176"/>
        <v>1.3876843018213458E-2</v>
      </c>
      <c r="AS278" s="4">
        <f t="shared" si="148"/>
        <v>2.5974025974025983E-3</v>
      </c>
      <c r="AT278" s="4">
        <f t="shared" si="149"/>
        <v>1.8045774647887258E-2</v>
      </c>
      <c r="AU278" s="4">
        <f t="shared" si="150"/>
        <v>2.6740237691001645E-2</v>
      </c>
      <c r="AV278" s="4">
        <f t="shared" si="151"/>
        <v>1.8819503849443864E-2</v>
      </c>
      <c r="AW278" s="4">
        <f t="shared" si="152"/>
        <v>1.4333895446880351E-2</v>
      </c>
      <c r="AX278" s="4">
        <f t="shared" si="153"/>
        <v>4.0033016921172004E-2</v>
      </c>
      <c r="AY278" s="4">
        <f t="shared" si="154"/>
        <v>2.8169014084507005E-2</v>
      </c>
      <c r="AZ278" s="4">
        <f t="shared" si="155"/>
        <v>7.9713033080908158E-4</v>
      </c>
      <c r="BA278" s="4">
        <f t="shared" si="156"/>
        <v>1.3737373737373715E-2</v>
      </c>
      <c r="BB278" s="4">
        <f t="shared" si="157"/>
        <v>3.5265504661532221E-2</v>
      </c>
      <c r="BC278" s="4">
        <f t="shared" si="158"/>
        <v>1.5829046299959959E-3</v>
      </c>
      <c r="BD278" s="4">
        <f t="shared" si="159"/>
        <v>9.7352024922118252E-3</v>
      </c>
      <c r="BE278" s="4">
        <f t="shared" si="160"/>
        <v>2.121095256459693E-2</v>
      </c>
      <c r="BF278" s="4">
        <f t="shared" si="161"/>
        <v>1.7570664629488197E-2</v>
      </c>
      <c r="BG278" s="4">
        <f t="shared" si="162"/>
        <v>3.7120359955005622E-2</v>
      </c>
      <c r="BH278" s="4">
        <f t="shared" si="163"/>
        <v>4.6728971962616273E-3</v>
      </c>
      <c r="BI278" s="4">
        <f t="shared" si="164"/>
        <v>1.0090090090090098E-2</v>
      </c>
      <c r="BJ278" s="4">
        <f t="shared" si="165"/>
        <v>5.1020408163264808E-3</v>
      </c>
      <c r="BK278" s="4">
        <f t="shared" si="166"/>
        <v>1.9729630982827873E-2</v>
      </c>
      <c r="BL278" s="4">
        <f t="shared" si="167"/>
        <v>5.2025269416573483E-3</v>
      </c>
      <c r="BM278" s="4">
        <f t="shared" si="177"/>
        <v>1.7486913078014192E-2</v>
      </c>
      <c r="BN278" s="14">
        <f t="shared" si="178"/>
        <v>13690.286415464681</v>
      </c>
      <c r="BO278" s="15">
        <f t="shared" si="179"/>
        <v>13091.98688323546</v>
      </c>
      <c r="BP278" s="16">
        <v>13385</v>
      </c>
      <c r="BQ278" s="16">
        <v>13385</v>
      </c>
      <c r="BR278" s="16">
        <v>13375</v>
      </c>
      <c r="BS278" s="16">
        <v>13385</v>
      </c>
      <c r="BT278" s="16">
        <v>27288</v>
      </c>
      <c r="BU278" s="15">
        <f t="shared" si="168"/>
        <v>13381.666666666666</v>
      </c>
      <c r="BV278" s="15">
        <f t="shared" si="169"/>
        <v>365158920</v>
      </c>
      <c r="BW278" s="15">
        <f>SUM($BV$3:BV278)</f>
        <v>237876559984.99997</v>
      </c>
      <c r="BX278" s="15">
        <f>SUM($BT$3:BT278)</f>
        <v>17560886</v>
      </c>
      <c r="BY278" s="15">
        <f t="shared" si="170"/>
        <v>13545.817675998805</v>
      </c>
      <c r="BZ278" s="3">
        <v>276</v>
      </c>
      <c r="CA278" s="3">
        <f t="shared" si="171"/>
        <v>0</v>
      </c>
      <c r="CB278" s="3">
        <f t="shared" si="172"/>
        <v>0</v>
      </c>
      <c r="CC278" s="3">
        <f t="shared" si="173"/>
        <v>0</v>
      </c>
      <c r="CD278" s="3" t="str">
        <f t="shared" si="174"/>
        <v/>
      </c>
      <c r="CE278" s="3">
        <f t="shared" si="175"/>
        <v>0</v>
      </c>
    </row>
    <row r="279" spans="1:83" x14ac:dyDescent="0.3">
      <c r="A279" s="3" t="s">
        <v>319</v>
      </c>
      <c r="B279" s="3">
        <v>11690</v>
      </c>
      <c r="C279" s="3">
        <v>11685</v>
      </c>
      <c r="D279" s="3">
        <v>11525</v>
      </c>
      <c r="E279" s="3">
        <v>11520</v>
      </c>
      <c r="F279" s="3">
        <v>11565</v>
      </c>
      <c r="G279" s="3">
        <v>11575</v>
      </c>
      <c r="H279" s="3">
        <v>11465</v>
      </c>
      <c r="I279" s="3">
        <v>11470</v>
      </c>
      <c r="J279" s="3">
        <v>11910</v>
      </c>
      <c r="K279" s="3">
        <v>11910</v>
      </c>
      <c r="L279" s="3">
        <v>12025</v>
      </c>
      <c r="M279" s="3">
        <v>12030</v>
      </c>
      <c r="N279" s="3">
        <v>12605</v>
      </c>
      <c r="O279" s="3">
        <v>12615</v>
      </c>
      <c r="P279" s="3">
        <v>12425</v>
      </c>
      <c r="Q279" s="3">
        <v>12430</v>
      </c>
      <c r="R279" s="3">
        <v>12530</v>
      </c>
      <c r="S279" s="3">
        <v>12515</v>
      </c>
      <c r="T279" s="3">
        <v>12205</v>
      </c>
      <c r="U279" s="3">
        <v>12220</v>
      </c>
      <c r="V279" s="3">
        <v>12775</v>
      </c>
      <c r="W279" s="3">
        <v>12775</v>
      </c>
      <c r="X279" s="3">
        <v>12615</v>
      </c>
      <c r="Y279" s="3">
        <v>12625</v>
      </c>
      <c r="Z279" s="3">
        <v>12715</v>
      </c>
      <c r="AA279" s="3">
        <v>12705</v>
      </c>
      <c r="AB279" s="3">
        <v>13240</v>
      </c>
      <c r="AC279" s="3">
        <v>13235</v>
      </c>
      <c r="AD279" s="3">
        <v>13320</v>
      </c>
      <c r="AE279" s="3">
        <v>13320</v>
      </c>
      <c r="AF279" s="3">
        <v>13830</v>
      </c>
      <c r="AG279" s="3">
        <v>13835</v>
      </c>
      <c r="AH279" s="3">
        <v>13845</v>
      </c>
      <c r="AI279" s="3">
        <v>13850</v>
      </c>
      <c r="AJ279" s="3">
        <v>13730</v>
      </c>
      <c r="AK279" s="3">
        <v>13725</v>
      </c>
      <c r="AL279" s="3">
        <v>13655</v>
      </c>
      <c r="AM279" s="3">
        <v>13650</v>
      </c>
      <c r="AN279" s="3">
        <v>13415</v>
      </c>
      <c r="AO279" s="3">
        <v>13405</v>
      </c>
      <c r="AP279" s="3">
        <v>13380</v>
      </c>
      <c r="AQ279" s="3">
        <v>13380</v>
      </c>
      <c r="AR279" s="4">
        <f t="shared" si="176"/>
        <v>1.3443191673894184E-2</v>
      </c>
      <c r="AS279" s="4">
        <f t="shared" si="148"/>
        <v>2.5974025974025983E-3</v>
      </c>
      <c r="AT279" s="4">
        <f t="shared" si="149"/>
        <v>1.8926056338028241E-2</v>
      </c>
      <c r="AU279" s="4">
        <f t="shared" si="150"/>
        <v>2.6315789473684181E-2</v>
      </c>
      <c r="AV279" s="4">
        <f t="shared" si="151"/>
        <v>1.8819503849443864E-2</v>
      </c>
      <c r="AW279" s="4">
        <f t="shared" si="152"/>
        <v>1.4333895446880351E-2</v>
      </c>
      <c r="AX279" s="4">
        <f t="shared" si="153"/>
        <v>4.1271151465125833E-2</v>
      </c>
      <c r="AY279" s="4">
        <f t="shared" si="154"/>
        <v>2.7386541471048464E-2</v>
      </c>
      <c r="AZ279" s="4">
        <f t="shared" si="155"/>
        <v>2.3913909924272447E-3</v>
      </c>
      <c r="BA279" s="4">
        <f t="shared" si="156"/>
        <v>1.2525252525252495E-2</v>
      </c>
      <c r="BB279" s="4">
        <f t="shared" si="157"/>
        <v>3.567085528982572E-2</v>
      </c>
      <c r="BC279" s="4">
        <f t="shared" si="158"/>
        <v>7.9145231499799795E-4</v>
      </c>
      <c r="BD279" s="4">
        <f t="shared" si="159"/>
        <v>1.0514018691588745E-2</v>
      </c>
      <c r="BE279" s="4">
        <f t="shared" si="160"/>
        <v>2.0825298881604226E-2</v>
      </c>
      <c r="BF279" s="4">
        <f t="shared" si="161"/>
        <v>1.7570664629488197E-2</v>
      </c>
      <c r="BG279" s="4">
        <f t="shared" si="162"/>
        <v>3.7495313085864179E-2</v>
      </c>
      <c r="BH279" s="4">
        <f t="shared" si="163"/>
        <v>4.3134435657800063E-3</v>
      </c>
      <c r="BI279" s="4">
        <f t="shared" si="164"/>
        <v>1.0810810810810811E-2</v>
      </c>
      <c r="BJ279" s="4">
        <f t="shared" si="165"/>
        <v>5.1020408163264808E-3</v>
      </c>
      <c r="BK279" s="4">
        <f t="shared" si="166"/>
        <v>2.0460358056266004E-2</v>
      </c>
      <c r="BL279" s="4">
        <f t="shared" si="167"/>
        <v>5.5741360089186509E-3</v>
      </c>
      <c r="BM279" s="4">
        <f t="shared" si="177"/>
        <v>1.7652042328314743E-2</v>
      </c>
      <c r="BN279" s="14">
        <f t="shared" si="178"/>
        <v>13692.508229527473</v>
      </c>
      <c r="BO279" s="15">
        <f t="shared" si="179"/>
        <v>13089.786535975207</v>
      </c>
      <c r="BP279" s="16">
        <v>13380</v>
      </c>
      <c r="BQ279" s="16">
        <v>13385</v>
      </c>
      <c r="BR279" s="16">
        <v>13375</v>
      </c>
      <c r="BS279" s="16">
        <v>13380</v>
      </c>
      <c r="BT279" s="16">
        <v>25235</v>
      </c>
      <c r="BU279" s="15">
        <f t="shared" si="168"/>
        <v>13380</v>
      </c>
      <c r="BV279" s="15">
        <f t="shared" si="169"/>
        <v>337644300</v>
      </c>
      <c r="BW279" s="15">
        <f>SUM($BV$3:BV279)</f>
        <v>238214204284.99997</v>
      </c>
      <c r="BX279" s="15">
        <f>SUM($BT$3:BT279)</f>
        <v>17586121</v>
      </c>
      <c r="BY279" s="15">
        <f t="shared" si="170"/>
        <v>13545.579737851227</v>
      </c>
      <c r="BZ279" s="3">
        <v>277</v>
      </c>
      <c r="CA279" s="3">
        <f t="shared" si="171"/>
        <v>0</v>
      </c>
      <c r="CB279" s="3">
        <f t="shared" si="172"/>
        <v>0</v>
      </c>
      <c r="CC279" s="3">
        <f t="shared" si="173"/>
        <v>0</v>
      </c>
      <c r="CD279" s="3" t="str">
        <f t="shared" si="174"/>
        <v/>
      </c>
      <c r="CE279" s="3">
        <f t="shared" si="175"/>
        <v>0</v>
      </c>
    </row>
    <row r="280" spans="1:83" x14ac:dyDescent="0.3">
      <c r="A280" s="3" t="s">
        <v>320</v>
      </c>
      <c r="B280" s="3">
        <v>11680</v>
      </c>
      <c r="C280" s="3">
        <v>11680</v>
      </c>
      <c r="D280" s="3">
        <v>11525</v>
      </c>
      <c r="E280" s="3">
        <v>11520</v>
      </c>
      <c r="F280" s="3">
        <v>11570</v>
      </c>
      <c r="G280" s="3">
        <v>11545</v>
      </c>
      <c r="H280" s="3">
        <v>11470</v>
      </c>
      <c r="I280" s="3">
        <v>11465</v>
      </c>
      <c r="J280" s="3">
        <v>11910</v>
      </c>
      <c r="K280" s="3">
        <v>11915</v>
      </c>
      <c r="L280" s="3">
        <v>12035</v>
      </c>
      <c r="M280" s="3">
        <v>12025</v>
      </c>
      <c r="N280" s="3">
        <v>12615</v>
      </c>
      <c r="O280" s="3">
        <v>12615</v>
      </c>
      <c r="P280" s="3">
        <v>12430</v>
      </c>
      <c r="Q280" s="3">
        <v>12470</v>
      </c>
      <c r="R280" s="3">
        <v>12515</v>
      </c>
      <c r="S280" s="3">
        <v>12515</v>
      </c>
      <c r="T280" s="3">
        <v>12220</v>
      </c>
      <c r="U280" s="3">
        <v>12230</v>
      </c>
      <c r="V280" s="3">
        <v>12775</v>
      </c>
      <c r="W280" s="3">
        <v>12765</v>
      </c>
      <c r="X280" s="3">
        <v>12630</v>
      </c>
      <c r="Y280" s="3">
        <v>12635</v>
      </c>
      <c r="Z280" s="3">
        <v>12700</v>
      </c>
      <c r="AA280" s="3">
        <v>12700</v>
      </c>
      <c r="AB280" s="3">
        <v>13230</v>
      </c>
      <c r="AC280" s="3">
        <v>13230</v>
      </c>
      <c r="AD280" s="3">
        <v>13320</v>
      </c>
      <c r="AE280" s="3">
        <v>13315</v>
      </c>
      <c r="AF280" s="3">
        <v>13835</v>
      </c>
      <c r="AG280" s="3">
        <v>13845</v>
      </c>
      <c r="AH280" s="3">
        <v>13855</v>
      </c>
      <c r="AI280" s="3">
        <v>13855</v>
      </c>
      <c r="AJ280" s="3">
        <v>13725</v>
      </c>
      <c r="AK280" s="3">
        <v>13725</v>
      </c>
      <c r="AL280" s="3">
        <v>13650</v>
      </c>
      <c r="AM280" s="3">
        <v>13650</v>
      </c>
      <c r="AN280" s="3">
        <v>13405</v>
      </c>
      <c r="AO280" s="3">
        <v>13400</v>
      </c>
      <c r="AP280" s="3">
        <v>13380</v>
      </c>
      <c r="AQ280" s="3">
        <v>13380</v>
      </c>
      <c r="AR280" s="4">
        <f t="shared" si="176"/>
        <v>1.3009540329575131E-2</v>
      </c>
      <c r="AS280" s="4">
        <f t="shared" si="148"/>
        <v>2.5974025974025983E-3</v>
      </c>
      <c r="AT280" s="4">
        <f t="shared" si="149"/>
        <v>1.6285211267605737E-2</v>
      </c>
      <c r="AU280" s="4">
        <f t="shared" si="150"/>
        <v>2.6740237691001645E-2</v>
      </c>
      <c r="AV280" s="4">
        <f t="shared" si="151"/>
        <v>1.924721984602229E-2</v>
      </c>
      <c r="AW280" s="4">
        <f t="shared" si="152"/>
        <v>1.3912310286677831E-2</v>
      </c>
      <c r="AX280" s="4">
        <f t="shared" si="153"/>
        <v>4.1271151465125833E-2</v>
      </c>
      <c r="AY280" s="4">
        <f t="shared" si="154"/>
        <v>2.4256651017214415E-2</v>
      </c>
      <c r="AZ280" s="4">
        <f t="shared" si="155"/>
        <v>2.3913909924272447E-3</v>
      </c>
      <c r="BA280" s="4">
        <f t="shared" si="156"/>
        <v>1.1717171717171682E-2</v>
      </c>
      <c r="BB280" s="4">
        <f t="shared" si="157"/>
        <v>3.4860154033238722E-2</v>
      </c>
      <c r="BC280" s="4">
        <f t="shared" si="158"/>
        <v>0</v>
      </c>
      <c r="BD280" s="4">
        <f t="shared" si="159"/>
        <v>1.0903426791277204E-2</v>
      </c>
      <c r="BE280" s="4">
        <f t="shared" si="160"/>
        <v>2.0439645198611744E-2</v>
      </c>
      <c r="BF280" s="4">
        <f t="shared" si="161"/>
        <v>1.7188693659281995E-2</v>
      </c>
      <c r="BG280" s="4">
        <f t="shared" si="162"/>
        <v>3.8245219347581516E-2</v>
      </c>
      <c r="BH280" s="4">
        <f t="shared" si="163"/>
        <v>3.9539899352983854E-3</v>
      </c>
      <c r="BI280" s="4">
        <f t="shared" si="164"/>
        <v>1.0810810810810811E-2</v>
      </c>
      <c r="BJ280" s="4">
        <f t="shared" si="165"/>
        <v>5.1020408163264808E-3</v>
      </c>
      <c r="BK280" s="4">
        <f t="shared" si="166"/>
        <v>2.0825721592985014E-2</v>
      </c>
      <c r="BL280" s="4">
        <f t="shared" si="167"/>
        <v>5.5741360089186509E-3</v>
      </c>
      <c r="BM280" s="4">
        <f t="shared" si="177"/>
        <v>1.7283290526953647E-2</v>
      </c>
      <c r="BN280" s="14">
        <f t="shared" si="178"/>
        <v>13687.546674040161</v>
      </c>
      <c r="BO280" s="15">
        <f t="shared" si="179"/>
        <v>13094.700153728343</v>
      </c>
      <c r="BP280" s="16">
        <v>13380</v>
      </c>
      <c r="BQ280" s="16">
        <v>13390</v>
      </c>
      <c r="BR280" s="16">
        <v>13380</v>
      </c>
      <c r="BS280" s="16">
        <v>13380</v>
      </c>
      <c r="BT280" s="16">
        <v>4833</v>
      </c>
      <c r="BU280" s="15">
        <f t="shared" si="168"/>
        <v>13383.333333333334</v>
      </c>
      <c r="BV280" s="15">
        <f t="shared" si="169"/>
        <v>64681650</v>
      </c>
      <c r="BW280" s="15">
        <f>SUM($BV$3:BV280)</f>
        <v>238278885934.99997</v>
      </c>
      <c r="BX280" s="15">
        <f>SUM($BT$3:BT280)</f>
        <v>17590954</v>
      </c>
      <c r="BY280" s="15">
        <f t="shared" si="170"/>
        <v>13545.535161708682</v>
      </c>
      <c r="BZ280" s="3">
        <v>278</v>
      </c>
      <c r="CA280" s="3">
        <f t="shared" si="171"/>
        <v>0</v>
      </c>
      <c r="CB280" s="3">
        <f t="shared" si="172"/>
        <v>0</v>
      </c>
      <c r="CC280" s="3">
        <f t="shared" si="173"/>
        <v>0</v>
      </c>
      <c r="CD280" s="3" t="str">
        <f t="shared" si="174"/>
        <v/>
      </c>
      <c r="CE280" s="3">
        <f t="shared" si="175"/>
        <v>0</v>
      </c>
    </row>
    <row r="281" spans="1:83" x14ac:dyDescent="0.3">
      <c r="A281" s="3" t="s">
        <v>321</v>
      </c>
      <c r="B281" s="3">
        <v>11680</v>
      </c>
      <c r="C281" s="3">
        <v>11660</v>
      </c>
      <c r="D281" s="3">
        <v>11520</v>
      </c>
      <c r="E281" s="3">
        <v>11515</v>
      </c>
      <c r="F281" s="3">
        <v>11545</v>
      </c>
      <c r="G281" s="3">
        <v>11545</v>
      </c>
      <c r="H281" s="3">
        <v>11460</v>
      </c>
      <c r="I281" s="3">
        <v>11470</v>
      </c>
      <c r="J281" s="3">
        <v>11910</v>
      </c>
      <c r="K281" s="3">
        <v>11900</v>
      </c>
      <c r="L281" s="3">
        <v>12030</v>
      </c>
      <c r="M281" s="3">
        <v>12020</v>
      </c>
      <c r="N281" s="3">
        <v>12615</v>
      </c>
      <c r="O281" s="3">
        <v>12605</v>
      </c>
      <c r="P281" s="3">
        <v>12470</v>
      </c>
      <c r="Q281" s="3">
        <v>12485</v>
      </c>
      <c r="R281" s="3">
        <v>12515</v>
      </c>
      <c r="S281" s="3">
        <v>12520</v>
      </c>
      <c r="T281" s="3">
        <v>12230</v>
      </c>
      <c r="U281" s="3">
        <v>12235</v>
      </c>
      <c r="V281" s="3">
        <v>12765</v>
      </c>
      <c r="W281" s="3">
        <v>12765</v>
      </c>
      <c r="X281" s="3">
        <v>12635</v>
      </c>
      <c r="Y281" s="3">
        <v>12650</v>
      </c>
      <c r="Z281" s="3">
        <v>12700</v>
      </c>
      <c r="AA281" s="3">
        <v>12685</v>
      </c>
      <c r="AB281" s="3">
        <v>13225</v>
      </c>
      <c r="AC281" s="3">
        <v>13235</v>
      </c>
      <c r="AD281" s="3">
        <v>13320</v>
      </c>
      <c r="AE281" s="3">
        <v>13315</v>
      </c>
      <c r="AF281" s="3">
        <v>13835</v>
      </c>
      <c r="AG281" s="3">
        <v>13845</v>
      </c>
      <c r="AH281" s="3">
        <v>13855</v>
      </c>
      <c r="AI281" s="3">
        <v>13845</v>
      </c>
      <c r="AJ281" s="3">
        <v>13725</v>
      </c>
      <c r="AK281" s="3">
        <v>13740</v>
      </c>
      <c r="AL281" s="3">
        <v>13645</v>
      </c>
      <c r="AM281" s="3">
        <v>13635</v>
      </c>
      <c r="AN281" s="3">
        <v>13395</v>
      </c>
      <c r="AO281" s="3">
        <v>13410</v>
      </c>
      <c r="AP281" s="3">
        <v>13375</v>
      </c>
      <c r="AQ281" s="3">
        <v>13385</v>
      </c>
      <c r="AR281" s="4">
        <f t="shared" si="176"/>
        <v>1.1274934952298254E-2</v>
      </c>
      <c r="AS281" s="4">
        <f t="shared" si="148"/>
        <v>3.0303030303030498E-3</v>
      </c>
      <c r="AT281" s="4">
        <f t="shared" si="149"/>
        <v>1.6285211267605737E-2</v>
      </c>
      <c r="AU281" s="4">
        <f t="shared" si="150"/>
        <v>2.6315789473684181E-2</v>
      </c>
      <c r="AV281" s="4">
        <f t="shared" si="151"/>
        <v>1.7964071856287456E-2</v>
      </c>
      <c r="AW281" s="4">
        <f t="shared" si="152"/>
        <v>1.3490725126475533E-2</v>
      </c>
      <c r="AX281" s="4">
        <f t="shared" si="153"/>
        <v>4.044572843582328E-2</v>
      </c>
      <c r="AY281" s="4">
        <f t="shared" si="154"/>
        <v>2.3082942097026549E-2</v>
      </c>
      <c r="AZ281" s="4">
        <f t="shared" si="155"/>
        <v>1.9928258270227595E-3</v>
      </c>
      <c r="BA281" s="4">
        <f t="shared" si="156"/>
        <v>1.1313131313131275E-2</v>
      </c>
      <c r="BB281" s="4">
        <f t="shared" si="157"/>
        <v>3.4860154033238722E-2</v>
      </c>
      <c r="BC281" s="4">
        <f t="shared" si="158"/>
        <v>1.1871784724970524E-3</v>
      </c>
      <c r="BD281" s="4">
        <f t="shared" si="159"/>
        <v>1.2071651090342694E-2</v>
      </c>
      <c r="BE281" s="4">
        <f t="shared" si="160"/>
        <v>2.0825298881604226E-2</v>
      </c>
      <c r="BF281" s="4">
        <f t="shared" si="161"/>
        <v>1.7188693659281995E-2</v>
      </c>
      <c r="BG281" s="4">
        <f t="shared" si="162"/>
        <v>3.8245219347581516E-2</v>
      </c>
      <c r="BH281" s="4">
        <f t="shared" si="163"/>
        <v>4.6728971962616273E-3</v>
      </c>
      <c r="BI281" s="4">
        <f t="shared" si="164"/>
        <v>9.7297297297297414E-3</v>
      </c>
      <c r="BJ281" s="4">
        <f t="shared" si="165"/>
        <v>6.1953352769679171E-3</v>
      </c>
      <c r="BK281" s="4">
        <f t="shared" si="166"/>
        <v>2.0094994519546994E-2</v>
      </c>
      <c r="BL281" s="4">
        <f t="shared" si="167"/>
        <v>5.2025269416573483E-3</v>
      </c>
      <c r="BM281" s="4">
        <f t="shared" si="177"/>
        <v>1.7278984277146883E-2</v>
      </c>
      <c r="BN281" s="14">
        <f t="shared" si="178"/>
        <v>13687.48873344901</v>
      </c>
      <c r="BO281" s="15">
        <f t="shared" si="179"/>
        <v>13094.757534507018</v>
      </c>
      <c r="BP281" s="16">
        <v>13375</v>
      </c>
      <c r="BQ281" s="16">
        <v>13385</v>
      </c>
      <c r="BR281" s="16">
        <v>13370</v>
      </c>
      <c r="BS281" s="16">
        <v>13385</v>
      </c>
      <c r="BT281" s="16">
        <v>15250</v>
      </c>
      <c r="BU281" s="15">
        <f t="shared" si="168"/>
        <v>13380</v>
      </c>
      <c r="BV281" s="15">
        <f t="shared" si="169"/>
        <v>204045000</v>
      </c>
      <c r="BW281" s="15">
        <f>SUM($BV$3:BV281)</f>
        <v>238482930934.99997</v>
      </c>
      <c r="BX281" s="15">
        <f>SUM($BT$3:BT281)</f>
        <v>17606204</v>
      </c>
      <c r="BY281" s="15">
        <f t="shared" si="170"/>
        <v>13545.391779795347</v>
      </c>
      <c r="BZ281" s="3">
        <v>279</v>
      </c>
      <c r="CA281" s="3">
        <f t="shared" si="171"/>
        <v>0</v>
      </c>
      <c r="CB281" s="3">
        <f t="shared" si="172"/>
        <v>0</v>
      </c>
      <c r="CC281" s="3">
        <f t="shared" si="173"/>
        <v>0</v>
      </c>
      <c r="CD281" s="3" t="str">
        <f t="shared" si="174"/>
        <v/>
      </c>
      <c r="CE281" s="3">
        <f t="shared" si="175"/>
        <v>0</v>
      </c>
    </row>
    <row r="282" spans="1:83" x14ac:dyDescent="0.3">
      <c r="A282" s="3" t="s">
        <v>322</v>
      </c>
      <c r="B282" s="3">
        <v>11660</v>
      </c>
      <c r="C282" s="3">
        <v>11650</v>
      </c>
      <c r="D282" s="3">
        <v>11515</v>
      </c>
      <c r="E282" s="3">
        <v>11515</v>
      </c>
      <c r="F282" s="3">
        <v>11545</v>
      </c>
      <c r="G282" s="3">
        <v>11540</v>
      </c>
      <c r="H282" s="3">
        <v>11470</v>
      </c>
      <c r="I282" s="3">
        <v>11465</v>
      </c>
      <c r="J282" s="3">
        <v>11895</v>
      </c>
      <c r="K282" s="3">
        <v>11890</v>
      </c>
      <c r="L282" s="3">
        <v>12020</v>
      </c>
      <c r="M282" s="3">
        <v>12025</v>
      </c>
      <c r="N282" s="3">
        <v>12605</v>
      </c>
      <c r="O282" s="3">
        <v>12615</v>
      </c>
      <c r="P282" s="3">
        <v>12485</v>
      </c>
      <c r="Q282" s="3">
        <v>12430</v>
      </c>
      <c r="R282" s="3">
        <v>12520</v>
      </c>
      <c r="S282" s="3">
        <v>12525</v>
      </c>
      <c r="T282" s="3">
        <v>12240</v>
      </c>
      <c r="U282" s="3">
        <v>12235</v>
      </c>
      <c r="V282" s="3">
        <v>12765</v>
      </c>
      <c r="W282" s="3">
        <v>12775</v>
      </c>
      <c r="X282" s="3">
        <v>12645</v>
      </c>
      <c r="Y282" s="3">
        <v>12640</v>
      </c>
      <c r="Z282" s="3">
        <v>12685</v>
      </c>
      <c r="AA282" s="3">
        <v>12675</v>
      </c>
      <c r="AB282" s="3">
        <v>13235</v>
      </c>
      <c r="AC282" s="3">
        <v>13245</v>
      </c>
      <c r="AD282" s="3">
        <v>13315</v>
      </c>
      <c r="AE282" s="3">
        <v>13305</v>
      </c>
      <c r="AF282" s="3">
        <v>13840</v>
      </c>
      <c r="AG282" s="3">
        <v>13845</v>
      </c>
      <c r="AH282" s="3">
        <v>13845</v>
      </c>
      <c r="AI282" s="3">
        <v>13860</v>
      </c>
      <c r="AJ282" s="3">
        <v>13740</v>
      </c>
      <c r="AK282" s="3">
        <v>13735</v>
      </c>
      <c r="AL282" s="3">
        <v>13635</v>
      </c>
      <c r="AM282" s="3">
        <v>13630</v>
      </c>
      <c r="AN282" s="3">
        <v>13405</v>
      </c>
      <c r="AO282" s="3">
        <v>13415</v>
      </c>
      <c r="AP282" s="3">
        <v>13380</v>
      </c>
      <c r="AQ282" s="3">
        <v>13385</v>
      </c>
      <c r="AR282" s="4">
        <f t="shared" si="176"/>
        <v>1.0407632263659927E-2</v>
      </c>
      <c r="AS282" s="4">
        <f t="shared" si="148"/>
        <v>3.0303030303030498E-3</v>
      </c>
      <c r="AT282" s="4">
        <f t="shared" si="149"/>
        <v>1.5845070422535246E-2</v>
      </c>
      <c r="AU282" s="4">
        <f t="shared" si="150"/>
        <v>2.6740237691001645E-2</v>
      </c>
      <c r="AV282" s="4">
        <f t="shared" si="151"/>
        <v>1.7108639863130826E-2</v>
      </c>
      <c r="AW282" s="4">
        <f t="shared" si="152"/>
        <v>1.3912310286677831E-2</v>
      </c>
      <c r="AX282" s="4">
        <f t="shared" si="153"/>
        <v>4.1271151465125833E-2</v>
      </c>
      <c r="AY282" s="4">
        <f t="shared" si="154"/>
        <v>2.7386541471048464E-2</v>
      </c>
      <c r="AZ282" s="4">
        <f t="shared" si="155"/>
        <v>1.5942606616181632E-3</v>
      </c>
      <c r="BA282" s="4">
        <f t="shared" si="156"/>
        <v>1.1313131313131275E-2</v>
      </c>
      <c r="BB282" s="4">
        <f t="shared" si="157"/>
        <v>3.567085528982572E-2</v>
      </c>
      <c r="BC282" s="4">
        <f t="shared" si="158"/>
        <v>3.9572615749894346E-4</v>
      </c>
      <c r="BD282" s="4">
        <f t="shared" si="159"/>
        <v>1.2850467289719614E-2</v>
      </c>
      <c r="BE282" s="4">
        <f t="shared" si="160"/>
        <v>2.1596606247589634E-2</v>
      </c>
      <c r="BF282" s="4">
        <f t="shared" si="161"/>
        <v>1.6424751718869368E-2</v>
      </c>
      <c r="BG282" s="4">
        <f t="shared" si="162"/>
        <v>3.8245219347581516E-2</v>
      </c>
      <c r="BH282" s="4">
        <f t="shared" si="163"/>
        <v>3.5945363048166534E-3</v>
      </c>
      <c r="BI282" s="4">
        <f t="shared" si="164"/>
        <v>1.0090090090090098E-2</v>
      </c>
      <c r="BJ282" s="4">
        <f t="shared" si="165"/>
        <v>6.5597667638483959E-3</v>
      </c>
      <c r="BK282" s="4">
        <f t="shared" si="166"/>
        <v>1.9729630982827873E-2</v>
      </c>
      <c r="BL282" s="4">
        <f t="shared" si="167"/>
        <v>5.2025269416573483E-3</v>
      </c>
      <c r="BM282" s="4">
        <f t="shared" si="177"/>
        <v>1.7623052507399397E-2</v>
      </c>
      <c r="BN282" s="14">
        <f t="shared" si="178"/>
        <v>13692.11817148706</v>
      </c>
      <c r="BO282" s="15">
        <f t="shared" si="179"/>
        <v>13090.172825338903</v>
      </c>
      <c r="BP282" s="16">
        <v>13380</v>
      </c>
      <c r="BQ282" s="16">
        <v>13385</v>
      </c>
      <c r="BR282" s="16">
        <v>13370</v>
      </c>
      <c r="BS282" s="16">
        <v>13385</v>
      </c>
      <c r="BT282" s="16">
        <v>18838</v>
      </c>
      <c r="BU282" s="15">
        <f t="shared" si="168"/>
        <v>13380</v>
      </c>
      <c r="BV282" s="15">
        <f t="shared" si="169"/>
        <v>252052440</v>
      </c>
      <c r="BW282" s="15">
        <f>SUM($BV$3:BV282)</f>
        <v>238734983374.99997</v>
      </c>
      <c r="BX282" s="15">
        <f>SUM($BT$3:BT282)</f>
        <v>17625042</v>
      </c>
      <c r="BY282" s="15">
        <f t="shared" si="170"/>
        <v>13545.215005728778</v>
      </c>
      <c r="BZ282" s="3">
        <v>280</v>
      </c>
      <c r="CA282" s="3">
        <f t="shared" si="171"/>
        <v>0</v>
      </c>
      <c r="CB282" s="3">
        <f t="shared" si="172"/>
        <v>0</v>
      </c>
      <c r="CC282" s="3">
        <f t="shared" si="173"/>
        <v>0</v>
      </c>
      <c r="CD282" s="3" t="str">
        <f t="shared" si="174"/>
        <v/>
      </c>
      <c r="CE282" s="3">
        <f t="shared" si="175"/>
        <v>0</v>
      </c>
    </row>
    <row r="283" spans="1:83" x14ac:dyDescent="0.3">
      <c r="A283" s="3" t="s">
        <v>323</v>
      </c>
      <c r="B283" s="3">
        <v>11650</v>
      </c>
      <c r="C283" s="3">
        <v>11660</v>
      </c>
      <c r="D283" s="3">
        <v>11520</v>
      </c>
      <c r="E283" s="3">
        <v>11535</v>
      </c>
      <c r="F283" s="3">
        <v>11540</v>
      </c>
      <c r="G283" s="3">
        <v>11535</v>
      </c>
      <c r="H283" s="3">
        <v>11470</v>
      </c>
      <c r="I283" s="3">
        <v>11470</v>
      </c>
      <c r="J283" s="3">
        <v>11895</v>
      </c>
      <c r="K283" s="3">
        <v>11885</v>
      </c>
      <c r="L283" s="3">
        <v>12025</v>
      </c>
      <c r="M283" s="3">
        <v>12035</v>
      </c>
      <c r="N283" s="3">
        <v>12615</v>
      </c>
      <c r="O283" s="3">
        <v>12610</v>
      </c>
      <c r="P283" s="3">
        <v>12430</v>
      </c>
      <c r="Q283" s="3">
        <v>12450</v>
      </c>
      <c r="R283" s="3">
        <v>12530</v>
      </c>
      <c r="S283" s="3">
        <v>12515</v>
      </c>
      <c r="T283" s="3">
        <v>12235</v>
      </c>
      <c r="U283" s="3">
        <v>12225</v>
      </c>
      <c r="V283" s="3">
        <v>12775</v>
      </c>
      <c r="W283" s="3">
        <v>12775</v>
      </c>
      <c r="X283" s="3">
        <v>12640</v>
      </c>
      <c r="Y283" s="3">
        <v>12635</v>
      </c>
      <c r="Z283" s="3">
        <v>12680</v>
      </c>
      <c r="AA283" s="3">
        <v>12680</v>
      </c>
      <c r="AB283" s="3">
        <v>13240</v>
      </c>
      <c r="AC283" s="3">
        <v>13240</v>
      </c>
      <c r="AD283" s="3">
        <v>13305</v>
      </c>
      <c r="AE283" s="3">
        <v>13310</v>
      </c>
      <c r="AF283" s="3">
        <v>13840</v>
      </c>
      <c r="AG283" s="3">
        <v>13835</v>
      </c>
      <c r="AH283" s="3">
        <v>13865</v>
      </c>
      <c r="AI283" s="3">
        <v>13880</v>
      </c>
      <c r="AJ283" s="3">
        <v>13735</v>
      </c>
      <c r="AK283" s="3">
        <v>13755</v>
      </c>
      <c r="AL283" s="3">
        <v>13630</v>
      </c>
      <c r="AM283" s="3">
        <v>13650</v>
      </c>
      <c r="AN283" s="3">
        <v>13410</v>
      </c>
      <c r="AO283" s="3">
        <v>13410</v>
      </c>
      <c r="AP283" s="3">
        <v>13385</v>
      </c>
      <c r="AQ283" s="3">
        <v>13395</v>
      </c>
      <c r="AR283" s="4">
        <f t="shared" si="176"/>
        <v>1.1274934952298254E-2</v>
      </c>
      <c r="AS283" s="4">
        <f t="shared" si="148"/>
        <v>1.2987012987012436E-3</v>
      </c>
      <c r="AT283" s="4">
        <f t="shared" si="149"/>
        <v>1.5404929577464754E-2</v>
      </c>
      <c r="AU283" s="4">
        <f t="shared" si="150"/>
        <v>2.6315789473684181E-2</v>
      </c>
      <c r="AV283" s="4">
        <f t="shared" si="151"/>
        <v>1.6680923866552622E-2</v>
      </c>
      <c r="AW283" s="4">
        <f t="shared" si="152"/>
        <v>1.4755480607082649E-2</v>
      </c>
      <c r="AX283" s="4">
        <f t="shared" si="153"/>
        <v>4.0858439950474557E-2</v>
      </c>
      <c r="AY283" s="4">
        <f t="shared" si="154"/>
        <v>2.5821596244131495E-2</v>
      </c>
      <c r="AZ283" s="4">
        <f t="shared" si="155"/>
        <v>2.3913909924272447E-3</v>
      </c>
      <c r="BA283" s="4">
        <f t="shared" si="156"/>
        <v>1.2121212121212088E-2</v>
      </c>
      <c r="BB283" s="4">
        <f t="shared" si="157"/>
        <v>3.567085528982572E-2</v>
      </c>
      <c r="BC283" s="4">
        <f t="shared" si="158"/>
        <v>0</v>
      </c>
      <c r="BD283" s="4">
        <f t="shared" si="159"/>
        <v>1.2461059190031154E-2</v>
      </c>
      <c r="BE283" s="4">
        <f t="shared" si="160"/>
        <v>2.121095256459693E-2</v>
      </c>
      <c r="BF283" s="4">
        <f t="shared" si="161"/>
        <v>1.6806722689075571E-2</v>
      </c>
      <c r="BG283" s="4">
        <f t="shared" si="162"/>
        <v>3.7495313085864179E-2</v>
      </c>
      <c r="BH283" s="4">
        <f t="shared" si="163"/>
        <v>2.1567217828900587E-3</v>
      </c>
      <c r="BI283" s="4">
        <f t="shared" si="164"/>
        <v>8.6486486486486713E-3</v>
      </c>
      <c r="BJ283" s="4">
        <f t="shared" si="165"/>
        <v>5.1020408163264808E-3</v>
      </c>
      <c r="BK283" s="4">
        <f t="shared" si="166"/>
        <v>2.0094994519546994E-2</v>
      </c>
      <c r="BL283" s="4">
        <f t="shared" si="167"/>
        <v>4.4593088071348541E-3</v>
      </c>
      <c r="BM283" s="4">
        <f t="shared" si="177"/>
        <v>1.7202853421075082E-2</v>
      </c>
      <c r="BN283" s="14">
        <f t="shared" si="178"/>
        <v>13686.464392780565</v>
      </c>
      <c r="BO283" s="15">
        <f t="shared" si="179"/>
        <v>13095.771978164175</v>
      </c>
      <c r="BP283" s="16">
        <v>13385</v>
      </c>
      <c r="BQ283" s="16">
        <v>13400</v>
      </c>
      <c r="BR283" s="16">
        <v>13385</v>
      </c>
      <c r="BS283" s="16">
        <v>13395</v>
      </c>
      <c r="BT283" s="16">
        <v>20208</v>
      </c>
      <c r="BU283" s="15">
        <f t="shared" si="168"/>
        <v>13393.333333333334</v>
      </c>
      <c r="BV283" s="15">
        <f t="shared" si="169"/>
        <v>270652480</v>
      </c>
      <c r="BW283" s="15">
        <f>SUM($BV$3:BV283)</f>
        <v>239005635854.99997</v>
      </c>
      <c r="BX283" s="15">
        <f>SUM($BT$3:BT283)</f>
        <v>17645250</v>
      </c>
      <c r="BY283" s="15">
        <f t="shared" si="170"/>
        <v>13545.041065159177</v>
      </c>
      <c r="BZ283" s="3">
        <v>281</v>
      </c>
      <c r="CA283" s="3">
        <f t="shared" si="171"/>
        <v>0</v>
      </c>
      <c r="CB283" s="3">
        <f t="shared" si="172"/>
        <v>0</v>
      </c>
      <c r="CC283" s="3">
        <f t="shared" si="173"/>
        <v>0</v>
      </c>
      <c r="CD283" s="3" t="str">
        <f t="shared" si="174"/>
        <v/>
      </c>
      <c r="CE283" s="3">
        <f t="shared" si="175"/>
        <v>0</v>
      </c>
    </row>
    <row r="284" spans="1:83" x14ac:dyDescent="0.3">
      <c r="A284" s="3" t="s">
        <v>324</v>
      </c>
      <c r="B284" s="3">
        <v>11655</v>
      </c>
      <c r="C284" s="3">
        <v>11655</v>
      </c>
      <c r="D284" s="3">
        <v>11535</v>
      </c>
      <c r="E284" s="3">
        <v>11550</v>
      </c>
      <c r="F284" s="3">
        <v>11535</v>
      </c>
      <c r="G284" s="3">
        <v>11525</v>
      </c>
      <c r="H284" s="3">
        <v>11475</v>
      </c>
      <c r="I284" s="3">
        <v>11480</v>
      </c>
      <c r="J284" s="3">
        <v>11885</v>
      </c>
      <c r="K284" s="3">
        <v>11880</v>
      </c>
      <c r="L284" s="3">
        <v>12030</v>
      </c>
      <c r="M284" s="3">
        <v>12020</v>
      </c>
      <c r="N284" s="3">
        <v>12610</v>
      </c>
      <c r="O284" s="3">
        <v>12605</v>
      </c>
      <c r="P284" s="3">
        <v>12445</v>
      </c>
      <c r="Q284" s="3">
        <v>12430</v>
      </c>
      <c r="R284" s="3">
        <v>12520</v>
      </c>
      <c r="S284" s="3">
        <v>12505</v>
      </c>
      <c r="T284" s="3">
        <v>12225</v>
      </c>
      <c r="U284" s="3">
        <v>12230</v>
      </c>
      <c r="V284" s="3">
        <v>12775</v>
      </c>
      <c r="W284" s="3">
        <v>12770</v>
      </c>
      <c r="X284" s="3">
        <v>12635</v>
      </c>
      <c r="Y284" s="3">
        <v>12635</v>
      </c>
      <c r="Z284" s="3">
        <v>12680</v>
      </c>
      <c r="AA284" s="3">
        <v>12695</v>
      </c>
      <c r="AB284" s="3">
        <v>13240</v>
      </c>
      <c r="AC284" s="3">
        <v>13230</v>
      </c>
      <c r="AD284" s="3">
        <v>13305</v>
      </c>
      <c r="AE284" s="3">
        <v>13315</v>
      </c>
      <c r="AF284" s="3">
        <v>13835</v>
      </c>
      <c r="AG284" s="3">
        <v>13830</v>
      </c>
      <c r="AH284" s="3">
        <v>13880</v>
      </c>
      <c r="AI284" s="3">
        <v>13895</v>
      </c>
      <c r="AJ284" s="3">
        <v>13755</v>
      </c>
      <c r="AK284" s="3">
        <v>13770</v>
      </c>
      <c r="AL284" s="3">
        <v>13655</v>
      </c>
      <c r="AM284" s="3">
        <v>13650</v>
      </c>
      <c r="AN284" s="3">
        <v>13405</v>
      </c>
      <c r="AO284" s="3">
        <v>13400</v>
      </c>
      <c r="AP284" s="3">
        <v>13400</v>
      </c>
      <c r="AQ284" s="3">
        <v>13410</v>
      </c>
      <c r="AR284" s="4">
        <f t="shared" si="176"/>
        <v>1.0841283607979202E-2</v>
      </c>
      <c r="AS284" s="4">
        <f t="shared" si="148"/>
        <v>0</v>
      </c>
      <c r="AT284" s="4">
        <f t="shared" si="149"/>
        <v>1.4524647887323994E-2</v>
      </c>
      <c r="AU284" s="4">
        <f t="shared" si="150"/>
        <v>2.5466893039049254E-2</v>
      </c>
      <c r="AV284" s="4">
        <f t="shared" si="151"/>
        <v>1.6253207869974418E-2</v>
      </c>
      <c r="AW284" s="4">
        <f t="shared" si="152"/>
        <v>1.3490725126475533E-2</v>
      </c>
      <c r="AX284" s="4">
        <f t="shared" si="153"/>
        <v>4.044572843582328E-2</v>
      </c>
      <c r="AY284" s="4">
        <f t="shared" si="154"/>
        <v>2.7386541471048464E-2</v>
      </c>
      <c r="AZ284" s="4">
        <f t="shared" si="155"/>
        <v>3.1885213232363263E-3</v>
      </c>
      <c r="BA284" s="4">
        <f t="shared" si="156"/>
        <v>1.1717171717171682E-2</v>
      </c>
      <c r="BB284" s="4">
        <f t="shared" si="157"/>
        <v>3.5265504661532221E-2</v>
      </c>
      <c r="BC284" s="4">
        <f t="shared" si="158"/>
        <v>0</v>
      </c>
      <c r="BD284" s="4">
        <f t="shared" si="159"/>
        <v>1.1292834890965775E-2</v>
      </c>
      <c r="BE284" s="4">
        <f t="shared" si="160"/>
        <v>2.0439645198611744E-2</v>
      </c>
      <c r="BF284" s="4">
        <f t="shared" si="161"/>
        <v>1.7188693659281995E-2</v>
      </c>
      <c r="BG284" s="4">
        <f t="shared" si="162"/>
        <v>3.7120359955005622E-2</v>
      </c>
      <c r="BH284" s="4">
        <f t="shared" si="163"/>
        <v>1.0783608914449738E-3</v>
      </c>
      <c r="BI284" s="4">
        <f t="shared" si="164"/>
        <v>7.5675675675676013E-3</v>
      </c>
      <c r="BJ284" s="4">
        <f t="shared" si="165"/>
        <v>5.1020408163264808E-3</v>
      </c>
      <c r="BK284" s="4">
        <f t="shared" si="166"/>
        <v>2.0825721592985014E-2</v>
      </c>
      <c r="BL284" s="4">
        <f t="shared" si="167"/>
        <v>3.3444816053511683E-3</v>
      </c>
      <c r="BM284" s="4">
        <f t="shared" si="177"/>
        <v>1.704419229864294E-2</v>
      </c>
      <c r="BN284" s="14">
        <f t="shared" si="178"/>
        <v>13684.32960737824</v>
      </c>
      <c r="BO284" s="15">
        <f t="shared" si="179"/>
        <v>13097.886137620582</v>
      </c>
      <c r="BP284" s="16">
        <v>13400</v>
      </c>
      <c r="BQ284" s="16">
        <v>13415</v>
      </c>
      <c r="BR284" s="16">
        <v>13395</v>
      </c>
      <c r="BS284" s="16">
        <v>13410</v>
      </c>
      <c r="BT284" s="16">
        <v>35869</v>
      </c>
      <c r="BU284" s="15">
        <f t="shared" si="168"/>
        <v>13406.666666666666</v>
      </c>
      <c r="BV284" s="15">
        <f t="shared" si="169"/>
        <v>480883726.66666663</v>
      </c>
      <c r="BW284" s="15">
        <f>SUM($BV$3:BV284)</f>
        <v>239486519581.66663</v>
      </c>
      <c r="BX284" s="15">
        <f>SUM($BT$3:BT284)</f>
        <v>17681119</v>
      </c>
      <c r="BY284" s="15">
        <f t="shared" si="170"/>
        <v>13544.760350386568</v>
      </c>
      <c r="BZ284" s="3">
        <v>282</v>
      </c>
      <c r="CA284" s="3">
        <f t="shared" si="171"/>
        <v>0</v>
      </c>
      <c r="CB284" s="3">
        <f t="shared" si="172"/>
        <v>0</v>
      </c>
      <c r="CC284" s="3">
        <f t="shared" si="173"/>
        <v>0</v>
      </c>
      <c r="CD284" s="3" t="str">
        <f t="shared" si="174"/>
        <v/>
      </c>
      <c r="CE284" s="3">
        <f t="shared" si="175"/>
        <v>0</v>
      </c>
    </row>
    <row r="285" spans="1:83" x14ac:dyDescent="0.3">
      <c r="A285" s="3" t="s">
        <v>325</v>
      </c>
      <c r="B285" s="3">
        <v>11655</v>
      </c>
      <c r="C285" s="3">
        <v>11655</v>
      </c>
      <c r="D285" s="3">
        <v>11550</v>
      </c>
      <c r="E285" s="3">
        <v>11570</v>
      </c>
      <c r="F285" s="3">
        <v>11525</v>
      </c>
      <c r="G285" s="3">
        <v>11525</v>
      </c>
      <c r="H285" s="3">
        <v>11480</v>
      </c>
      <c r="I285" s="3">
        <v>11490</v>
      </c>
      <c r="J285" s="3">
        <v>11885</v>
      </c>
      <c r="K285" s="3">
        <v>11880</v>
      </c>
      <c r="L285" s="3">
        <v>12020</v>
      </c>
      <c r="M285" s="3">
        <v>12025</v>
      </c>
      <c r="N285" s="3">
        <v>12605</v>
      </c>
      <c r="O285" s="3">
        <v>12605</v>
      </c>
      <c r="P285" s="3">
        <v>12435</v>
      </c>
      <c r="Q285" s="3">
        <v>12450</v>
      </c>
      <c r="R285" s="3">
        <v>12510</v>
      </c>
      <c r="S285" s="3">
        <v>12510</v>
      </c>
      <c r="T285" s="3">
        <v>12225</v>
      </c>
      <c r="U285" s="3">
        <v>12230</v>
      </c>
      <c r="V285" s="3">
        <v>12770</v>
      </c>
      <c r="W285" s="3">
        <v>12770</v>
      </c>
      <c r="X285" s="3">
        <v>12635</v>
      </c>
      <c r="Y285" s="3">
        <v>12640</v>
      </c>
      <c r="Z285" s="3">
        <v>12695</v>
      </c>
      <c r="AA285" s="3">
        <v>12700</v>
      </c>
      <c r="AB285" s="3">
        <v>13230</v>
      </c>
      <c r="AC285" s="3">
        <v>13240</v>
      </c>
      <c r="AD285" s="3">
        <v>13315</v>
      </c>
      <c r="AE285" s="3">
        <v>13315</v>
      </c>
      <c r="AF285" s="3">
        <v>13830</v>
      </c>
      <c r="AG285" s="3">
        <v>13840</v>
      </c>
      <c r="AH285" s="3">
        <v>13895</v>
      </c>
      <c r="AI285" s="3">
        <v>13915</v>
      </c>
      <c r="AJ285" s="3">
        <v>13770</v>
      </c>
      <c r="AK285" s="3">
        <v>13745</v>
      </c>
      <c r="AL285" s="3">
        <v>13655</v>
      </c>
      <c r="AM285" s="3">
        <v>13660</v>
      </c>
      <c r="AN285" s="3">
        <v>13400</v>
      </c>
      <c r="AO285" s="3">
        <v>13395</v>
      </c>
      <c r="AP285" s="3">
        <v>13410</v>
      </c>
      <c r="AQ285" s="3">
        <v>13410</v>
      </c>
      <c r="AR285" s="4">
        <f t="shared" si="176"/>
        <v>1.0841283607979202E-2</v>
      </c>
      <c r="AS285" s="4">
        <f t="shared" si="148"/>
        <v>1.7316017316018062E-3</v>
      </c>
      <c r="AT285" s="4">
        <f t="shared" si="149"/>
        <v>1.4524647887323994E-2</v>
      </c>
      <c r="AU285" s="4">
        <f t="shared" si="150"/>
        <v>2.4617996604414216E-2</v>
      </c>
      <c r="AV285" s="4">
        <f t="shared" si="151"/>
        <v>1.6253207869974418E-2</v>
      </c>
      <c r="AW285" s="4">
        <f t="shared" si="152"/>
        <v>1.3912310286677831E-2</v>
      </c>
      <c r="AX285" s="4">
        <f t="shared" si="153"/>
        <v>4.044572843582328E-2</v>
      </c>
      <c r="AY285" s="4">
        <f t="shared" si="154"/>
        <v>2.5821596244131495E-2</v>
      </c>
      <c r="AZ285" s="4">
        <f t="shared" si="155"/>
        <v>2.789956157831841E-3</v>
      </c>
      <c r="BA285" s="4">
        <f t="shared" si="156"/>
        <v>1.1717171717171682E-2</v>
      </c>
      <c r="BB285" s="4">
        <f t="shared" si="157"/>
        <v>3.5265504661532221E-2</v>
      </c>
      <c r="BC285" s="4">
        <f t="shared" si="158"/>
        <v>3.9572615749894346E-4</v>
      </c>
      <c r="BD285" s="4">
        <f t="shared" si="159"/>
        <v>1.0903426791277204E-2</v>
      </c>
      <c r="BE285" s="4">
        <f t="shared" si="160"/>
        <v>2.121095256459693E-2</v>
      </c>
      <c r="BF285" s="4">
        <f t="shared" si="161"/>
        <v>1.7188693659281995E-2</v>
      </c>
      <c r="BG285" s="4">
        <f t="shared" si="162"/>
        <v>3.7870266216722959E-2</v>
      </c>
      <c r="BH285" s="4">
        <f t="shared" si="163"/>
        <v>3.5945363048162093E-4</v>
      </c>
      <c r="BI285" s="4">
        <f t="shared" si="164"/>
        <v>9.3693693693693847E-3</v>
      </c>
      <c r="BJ285" s="4">
        <f t="shared" si="165"/>
        <v>4.3731778425656342E-3</v>
      </c>
      <c r="BK285" s="4">
        <f t="shared" si="166"/>
        <v>2.1191085129704024E-2</v>
      </c>
      <c r="BL285" s="4">
        <f t="shared" si="167"/>
        <v>3.3444816053511683E-3</v>
      </c>
      <c r="BM285" s="4">
        <f t="shared" si="177"/>
        <v>1.7064436326999229E-2</v>
      </c>
      <c r="BN285" s="14">
        <f t="shared" si="178"/>
        <v>13684.601990779774</v>
      </c>
      <c r="BO285" s="15">
        <f t="shared" si="179"/>
        <v>13097.616385942734</v>
      </c>
      <c r="BP285" s="16">
        <v>13410</v>
      </c>
      <c r="BQ285" s="16">
        <v>13410</v>
      </c>
      <c r="BR285" s="16">
        <v>13400</v>
      </c>
      <c r="BS285" s="16">
        <v>13410</v>
      </c>
      <c r="BT285" s="16">
        <v>22335</v>
      </c>
      <c r="BU285" s="15">
        <f t="shared" si="168"/>
        <v>13406.666666666666</v>
      </c>
      <c r="BV285" s="15">
        <f t="shared" si="169"/>
        <v>299437900</v>
      </c>
      <c r="BW285" s="15">
        <f>SUM($BV$3:BV285)</f>
        <v>239785957481.66663</v>
      </c>
      <c r="BX285" s="15">
        <f>SUM($BT$3:BT285)</f>
        <v>17703454</v>
      </c>
      <c r="BY285" s="15">
        <f t="shared" si="170"/>
        <v>13544.586128880082</v>
      </c>
      <c r="BZ285" s="3">
        <v>283</v>
      </c>
      <c r="CA285" s="3">
        <f t="shared" si="171"/>
        <v>0</v>
      </c>
      <c r="CB285" s="3">
        <f t="shared" si="172"/>
        <v>0</v>
      </c>
      <c r="CC285" s="3">
        <f t="shared" si="173"/>
        <v>0</v>
      </c>
      <c r="CD285" s="3" t="str">
        <f t="shared" si="174"/>
        <v/>
      </c>
      <c r="CE285" s="3">
        <f t="shared" si="175"/>
        <v>0</v>
      </c>
    </row>
    <row r="286" spans="1:83" x14ac:dyDescent="0.3">
      <c r="A286" s="3" t="s">
        <v>326</v>
      </c>
      <c r="B286" s="3">
        <v>11660</v>
      </c>
      <c r="C286" s="3">
        <v>11660</v>
      </c>
      <c r="D286" s="3">
        <v>11570</v>
      </c>
      <c r="E286" s="3">
        <v>11565</v>
      </c>
      <c r="F286" s="3">
        <v>11525</v>
      </c>
      <c r="G286" s="3">
        <v>11520</v>
      </c>
      <c r="H286" s="3">
        <v>11490</v>
      </c>
      <c r="I286" s="3">
        <v>11480</v>
      </c>
      <c r="J286" s="3">
        <v>11890</v>
      </c>
      <c r="K286" s="3">
        <v>11885</v>
      </c>
      <c r="L286" s="3">
        <v>12025</v>
      </c>
      <c r="M286" s="3">
        <v>12030</v>
      </c>
      <c r="N286" s="3">
        <v>12605</v>
      </c>
      <c r="O286" s="3">
        <v>12605</v>
      </c>
      <c r="P286" s="3">
        <v>12450</v>
      </c>
      <c r="Q286" s="3">
        <v>12465</v>
      </c>
      <c r="R286" s="3">
        <v>12505</v>
      </c>
      <c r="S286" s="3">
        <v>12505</v>
      </c>
      <c r="T286" s="3">
        <v>12225</v>
      </c>
      <c r="U286" s="3">
        <v>12220</v>
      </c>
      <c r="V286" s="3">
        <v>12770</v>
      </c>
      <c r="W286" s="3">
        <v>12770</v>
      </c>
      <c r="X286" s="3">
        <v>12640</v>
      </c>
      <c r="Y286" s="3">
        <v>12625</v>
      </c>
      <c r="Z286" s="3">
        <v>12700</v>
      </c>
      <c r="AA286" s="3">
        <v>12710</v>
      </c>
      <c r="AB286" s="3">
        <v>13235</v>
      </c>
      <c r="AC286" s="3">
        <v>13245</v>
      </c>
      <c r="AD286" s="3">
        <v>13320</v>
      </c>
      <c r="AE286" s="3">
        <v>13315</v>
      </c>
      <c r="AF286" s="3">
        <v>13840</v>
      </c>
      <c r="AG286" s="3">
        <v>13840</v>
      </c>
      <c r="AH286" s="3">
        <v>13910</v>
      </c>
      <c r="AI286" s="3">
        <v>13935</v>
      </c>
      <c r="AJ286" s="3">
        <v>13750</v>
      </c>
      <c r="AK286" s="3">
        <v>13760</v>
      </c>
      <c r="AL286" s="3">
        <v>13655</v>
      </c>
      <c r="AM286" s="3">
        <v>13665</v>
      </c>
      <c r="AN286" s="3">
        <v>13395</v>
      </c>
      <c r="AO286" s="3">
        <v>13390</v>
      </c>
      <c r="AP286" s="3">
        <v>13405</v>
      </c>
      <c r="AQ286" s="3">
        <v>13400</v>
      </c>
      <c r="AR286" s="4">
        <f t="shared" si="176"/>
        <v>1.1274934952298254E-2</v>
      </c>
      <c r="AS286" s="4">
        <f t="shared" si="148"/>
        <v>1.2987012987013546E-3</v>
      </c>
      <c r="AT286" s="4">
        <f t="shared" si="149"/>
        <v>1.4084507042253502E-2</v>
      </c>
      <c r="AU286" s="4">
        <f t="shared" si="150"/>
        <v>2.5466893039049254E-2</v>
      </c>
      <c r="AV286" s="4">
        <f t="shared" si="151"/>
        <v>1.6680923866552622E-2</v>
      </c>
      <c r="AW286" s="4">
        <f t="shared" si="152"/>
        <v>1.4333895446880351E-2</v>
      </c>
      <c r="AX286" s="4">
        <f t="shared" si="153"/>
        <v>4.044572843582328E-2</v>
      </c>
      <c r="AY286" s="4">
        <f t="shared" si="154"/>
        <v>2.4647887323943629E-2</v>
      </c>
      <c r="AZ286" s="4">
        <f t="shared" si="155"/>
        <v>3.1885213232363263E-3</v>
      </c>
      <c r="BA286" s="4">
        <f t="shared" si="156"/>
        <v>1.2525252525252495E-2</v>
      </c>
      <c r="BB286" s="4">
        <f t="shared" si="157"/>
        <v>3.5265504661532221E-2</v>
      </c>
      <c r="BC286" s="4">
        <f t="shared" si="158"/>
        <v>7.9145231499799795E-4</v>
      </c>
      <c r="BD286" s="4">
        <f t="shared" si="159"/>
        <v>1.0124610591900285E-2</v>
      </c>
      <c r="BE286" s="4">
        <f t="shared" si="160"/>
        <v>2.1596606247589634E-2</v>
      </c>
      <c r="BF286" s="4">
        <f t="shared" si="161"/>
        <v>1.7188693659281995E-2</v>
      </c>
      <c r="BG286" s="4">
        <f t="shared" si="162"/>
        <v>3.7870266216722959E-2</v>
      </c>
      <c r="BH286" s="4">
        <f t="shared" si="163"/>
        <v>1.7972681524083267E-3</v>
      </c>
      <c r="BI286" s="4">
        <f t="shared" si="164"/>
        <v>8.2882882882883147E-3</v>
      </c>
      <c r="BJ286" s="4">
        <f t="shared" si="165"/>
        <v>4.0087463556851555E-3</v>
      </c>
      <c r="BK286" s="4">
        <f t="shared" si="166"/>
        <v>2.1556448666423145E-2</v>
      </c>
      <c r="BL286" s="4">
        <f t="shared" si="167"/>
        <v>4.0876997398736625E-3</v>
      </c>
      <c r="BM286" s="4">
        <f t="shared" si="177"/>
        <v>1.7092519625934697E-2</v>
      </c>
      <c r="BN286" s="14">
        <f t="shared" si="178"/>
        <v>13684.97985156695</v>
      </c>
      <c r="BO286" s="15">
        <f t="shared" si="179"/>
        <v>13097.24217598442</v>
      </c>
      <c r="BP286" s="16">
        <v>13405</v>
      </c>
      <c r="BQ286" s="16">
        <v>13410</v>
      </c>
      <c r="BR286" s="16">
        <v>13400</v>
      </c>
      <c r="BS286" s="16">
        <v>13400</v>
      </c>
      <c r="BT286" s="16">
        <v>10437</v>
      </c>
      <c r="BU286" s="15">
        <f t="shared" si="168"/>
        <v>13403.333333333334</v>
      </c>
      <c r="BV286" s="15">
        <f t="shared" si="169"/>
        <v>139890590</v>
      </c>
      <c r="BW286" s="15">
        <f>SUM($BV$3:BV286)</f>
        <v>239925848071.66663</v>
      </c>
      <c r="BX286" s="15">
        <f>SUM($BT$3:BT286)</f>
        <v>17713891</v>
      </c>
      <c r="BY286" s="15">
        <f t="shared" si="170"/>
        <v>13544.502902928929</v>
      </c>
      <c r="BZ286" s="3">
        <v>284</v>
      </c>
      <c r="CA286" s="3">
        <f t="shared" si="171"/>
        <v>0</v>
      </c>
      <c r="CB286" s="3">
        <f t="shared" si="172"/>
        <v>0</v>
      </c>
      <c r="CC286" s="3">
        <f t="shared" si="173"/>
        <v>0</v>
      </c>
      <c r="CD286" s="3" t="str">
        <f t="shared" si="174"/>
        <v/>
      </c>
      <c r="CE286" s="3">
        <f t="shared" si="175"/>
        <v>0</v>
      </c>
    </row>
    <row r="287" spans="1:83" x14ac:dyDescent="0.3">
      <c r="A287" s="3" t="s">
        <v>327</v>
      </c>
      <c r="B287" s="3">
        <v>11660</v>
      </c>
      <c r="C287" s="3">
        <v>11660</v>
      </c>
      <c r="D287" s="3">
        <v>11565</v>
      </c>
      <c r="E287" s="3">
        <v>11560</v>
      </c>
      <c r="F287" s="3">
        <v>11520</v>
      </c>
      <c r="G287" s="3">
        <v>11530</v>
      </c>
      <c r="H287" s="3">
        <v>11480</v>
      </c>
      <c r="I287" s="3">
        <v>11480</v>
      </c>
      <c r="J287" s="3">
        <v>11885</v>
      </c>
      <c r="K287" s="3">
        <v>11880</v>
      </c>
      <c r="L287" s="3">
        <v>12030</v>
      </c>
      <c r="M287" s="3">
        <v>12015</v>
      </c>
      <c r="N287" s="3">
        <v>12605</v>
      </c>
      <c r="O287" s="3">
        <v>12610</v>
      </c>
      <c r="P287" s="3">
        <v>12465</v>
      </c>
      <c r="Q287" s="3">
        <v>12465</v>
      </c>
      <c r="R287" s="3">
        <v>12505</v>
      </c>
      <c r="S287" s="3">
        <v>12505</v>
      </c>
      <c r="T287" s="3">
        <v>12215</v>
      </c>
      <c r="U287" s="3">
        <v>12215</v>
      </c>
      <c r="V287" s="3">
        <v>12770</v>
      </c>
      <c r="W287" s="3">
        <v>12760</v>
      </c>
      <c r="X287" s="3">
        <v>12630</v>
      </c>
      <c r="Y287" s="3">
        <v>12625</v>
      </c>
      <c r="Z287" s="3">
        <v>12710</v>
      </c>
      <c r="AA287" s="3">
        <v>12705</v>
      </c>
      <c r="AB287" s="3">
        <v>13240</v>
      </c>
      <c r="AC287" s="3">
        <v>13225</v>
      </c>
      <c r="AD287" s="3">
        <v>13315</v>
      </c>
      <c r="AE287" s="3">
        <v>13320</v>
      </c>
      <c r="AF287" s="3">
        <v>13840</v>
      </c>
      <c r="AG287" s="3">
        <v>13840</v>
      </c>
      <c r="AH287" s="3">
        <v>13935</v>
      </c>
      <c r="AI287" s="3">
        <v>13950</v>
      </c>
      <c r="AJ287" s="3">
        <v>13760</v>
      </c>
      <c r="AK287" s="3">
        <v>13765</v>
      </c>
      <c r="AL287" s="3">
        <v>13660</v>
      </c>
      <c r="AM287" s="3">
        <v>13670</v>
      </c>
      <c r="AN287" s="3">
        <v>13395</v>
      </c>
      <c r="AO287" s="3">
        <v>13405</v>
      </c>
      <c r="AP287" s="3">
        <v>13400</v>
      </c>
      <c r="AQ287" s="3">
        <v>13405</v>
      </c>
      <c r="AR287" s="4">
        <f t="shared" si="176"/>
        <v>1.1274934952298254E-2</v>
      </c>
      <c r="AS287" s="4">
        <f t="shared" si="148"/>
        <v>8.658008658009031E-4</v>
      </c>
      <c r="AT287" s="4">
        <f t="shared" si="149"/>
        <v>1.4964788732394263E-2</v>
      </c>
      <c r="AU287" s="4">
        <f t="shared" si="150"/>
        <v>2.5466893039049254E-2</v>
      </c>
      <c r="AV287" s="4">
        <f t="shared" si="151"/>
        <v>1.6253207869974418E-2</v>
      </c>
      <c r="AW287" s="4">
        <f t="shared" si="152"/>
        <v>1.3069139966273235E-2</v>
      </c>
      <c r="AX287" s="4">
        <f t="shared" si="153"/>
        <v>4.0858439950474557E-2</v>
      </c>
      <c r="AY287" s="4">
        <f t="shared" si="154"/>
        <v>2.4647887323943629E-2</v>
      </c>
      <c r="AZ287" s="4">
        <f t="shared" si="155"/>
        <v>3.1885213232363263E-3</v>
      </c>
      <c r="BA287" s="4">
        <f t="shared" si="156"/>
        <v>1.2929292929292902E-2</v>
      </c>
      <c r="BB287" s="4">
        <f t="shared" si="157"/>
        <v>3.4454803404945222E-2</v>
      </c>
      <c r="BC287" s="4">
        <f t="shared" si="158"/>
        <v>7.9145231499799795E-4</v>
      </c>
      <c r="BD287" s="4">
        <f t="shared" si="159"/>
        <v>1.0514018691588745E-2</v>
      </c>
      <c r="BE287" s="4">
        <f t="shared" si="160"/>
        <v>2.0053991515619041E-2</v>
      </c>
      <c r="BF287" s="4">
        <f t="shared" si="161"/>
        <v>1.7570664629488197E-2</v>
      </c>
      <c r="BG287" s="4">
        <f t="shared" si="162"/>
        <v>3.7870266216722959E-2</v>
      </c>
      <c r="BH287" s="4">
        <f t="shared" si="163"/>
        <v>2.8756290438534116E-3</v>
      </c>
      <c r="BI287" s="4">
        <f t="shared" si="164"/>
        <v>7.927927927927958E-3</v>
      </c>
      <c r="BJ287" s="4">
        <f t="shared" si="165"/>
        <v>3.6443148688046767E-3</v>
      </c>
      <c r="BK287" s="4">
        <f t="shared" si="166"/>
        <v>2.0460358056266004E-2</v>
      </c>
      <c r="BL287" s="4">
        <f t="shared" si="167"/>
        <v>3.7160906726123599E-3</v>
      </c>
      <c r="BM287" s="4">
        <f t="shared" si="177"/>
        <v>1.6984826299797258E-2</v>
      </c>
      <c r="BN287" s="14">
        <f t="shared" si="178"/>
        <v>13683.530837863773</v>
      </c>
      <c r="BO287" s="15">
        <f t="shared" si="179"/>
        <v>13098.677189555201</v>
      </c>
      <c r="BP287" s="16">
        <v>13400</v>
      </c>
      <c r="BQ287" s="16">
        <v>13405</v>
      </c>
      <c r="BR287" s="16">
        <v>13400</v>
      </c>
      <c r="BS287" s="16">
        <v>13405</v>
      </c>
      <c r="BT287" s="16">
        <v>1995</v>
      </c>
      <c r="BU287" s="15">
        <f t="shared" si="168"/>
        <v>13403.333333333334</v>
      </c>
      <c r="BV287" s="15">
        <f t="shared" si="169"/>
        <v>26739650</v>
      </c>
      <c r="BW287" s="15">
        <f>SUM($BV$3:BV287)</f>
        <v>239952587721.66663</v>
      </c>
      <c r="BX287" s="15">
        <f>SUM($BT$3:BT287)</f>
        <v>17715886</v>
      </c>
      <c r="BY287" s="15">
        <f t="shared" si="170"/>
        <v>13544.487005711519</v>
      </c>
      <c r="BZ287" s="3">
        <v>285</v>
      </c>
      <c r="CA287" s="3">
        <f t="shared" si="171"/>
        <v>0</v>
      </c>
      <c r="CB287" s="3">
        <f t="shared" si="172"/>
        <v>0</v>
      </c>
      <c r="CC287" s="3">
        <f t="shared" si="173"/>
        <v>0</v>
      </c>
      <c r="CD287" s="3">
        <f t="shared" si="174"/>
        <v>0</v>
      </c>
      <c r="CE287" s="3">
        <f t="shared" si="175"/>
        <v>0</v>
      </c>
    </row>
    <row r="288" spans="1:83" x14ac:dyDescent="0.3">
      <c r="A288" s="3" t="s">
        <v>328</v>
      </c>
      <c r="B288" s="3">
        <v>11655</v>
      </c>
      <c r="C288" s="3">
        <v>11660</v>
      </c>
      <c r="D288" s="3">
        <v>11560</v>
      </c>
      <c r="E288" s="3">
        <v>11565</v>
      </c>
      <c r="F288" s="3">
        <v>11530</v>
      </c>
      <c r="G288" s="3">
        <v>11545</v>
      </c>
      <c r="H288" s="3">
        <v>11485</v>
      </c>
      <c r="I288" s="3">
        <v>11500</v>
      </c>
      <c r="J288" s="3">
        <v>11880</v>
      </c>
      <c r="K288" s="3">
        <v>11880</v>
      </c>
      <c r="L288" s="3">
        <v>12020</v>
      </c>
      <c r="M288" s="3">
        <v>12005</v>
      </c>
      <c r="N288" s="3">
        <v>12605</v>
      </c>
      <c r="O288" s="3">
        <v>12600</v>
      </c>
      <c r="P288" s="3">
        <v>12465</v>
      </c>
      <c r="Q288" s="3">
        <v>12525</v>
      </c>
      <c r="R288" s="3">
        <v>12505</v>
      </c>
      <c r="S288" s="3">
        <v>12515</v>
      </c>
      <c r="T288" s="3">
        <v>12220</v>
      </c>
      <c r="U288" s="3">
        <v>12210</v>
      </c>
      <c r="V288" s="3">
        <v>12760</v>
      </c>
      <c r="W288" s="3">
        <v>12740</v>
      </c>
      <c r="X288" s="3">
        <v>12630</v>
      </c>
      <c r="Y288" s="3">
        <v>12630</v>
      </c>
      <c r="Z288" s="3">
        <v>12705</v>
      </c>
      <c r="AA288" s="3">
        <v>12710</v>
      </c>
      <c r="AB288" s="3">
        <v>13225</v>
      </c>
      <c r="AC288" s="3">
        <v>13200</v>
      </c>
      <c r="AD288" s="3">
        <v>13325</v>
      </c>
      <c r="AE288" s="3">
        <v>13325</v>
      </c>
      <c r="AF288" s="3">
        <v>13835</v>
      </c>
      <c r="AG288" s="3">
        <v>13845</v>
      </c>
      <c r="AH288" s="3">
        <v>13945</v>
      </c>
      <c r="AI288" s="3">
        <v>13925</v>
      </c>
      <c r="AJ288" s="3">
        <v>13770</v>
      </c>
      <c r="AK288" s="3">
        <v>13770</v>
      </c>
      <c r="AL288" s="3">
        <v>13670</v>
      </c>
      <c r="AM288" s="3">
        <v>13675</v>
      </c>
      <c r="AN288" s="3">
        <v>13400</v>
      </c>
      <c r="AO288" s="3">
        <v>13400</v>
      </c>
      <c r="AP288" s="3">
        <v>13405</v>
      </c>
      <c r="AQ288" s="3">
        <v>13420</v>
      </c>
      <c r="AR288" s="4">
        <f t="shared" si="176"/>
        <v>1.1274934952298254E-2</v>
      </c>
      <c r="AS288" s="4">
        <f t="shared" si="148"/>
        <v>1.2987012987013546E-3</v>
      </c>
      <c r="AT288" s="4">
        <f t="shared" si="149"/>
        <v>1.6285211267605737E-2</v>
      </c>
      <c r="AU288" s="4">
        <f t="shared" si="150"/>
        <v>2.3769100169779289E-2</v>
      </c>
      <c r="AV288" s="4">
        <f t="shared" si="151"/>
        <v>1.6253207869974418E-2</v>
      </c>
      <c r="AW288" s="4">
        <f t="shared" si="152"/>
        <v>1.2225969645868418E-2</v>
      </c>
      <c r="AX288" s="4">
        <f t="shared" si="153"/>
        <v>4.0033016921172004E-2</v>
      </c>
      <c r="AY288" s="4">
        <f t="shared" si="154"/>
        <v>1.9953051643192499E-2</v>
      </c>
      <c r="AZ288" s="4">
        <f t="shared" si="155"/>
        <v>2.3913909924272447E-3</v>
      </c>
      <c r="BA288" s="4">
        <f t="shared" si="156"/>
        <v>1.3333333333333308E-2</v>
      </c>
      <c r="BB288" s="4">
        <f t="shared" si="157"/>
        <v>3.2833400891771447E-2</v>
      </c>
      <c r="BC288" s="4">
        <f t="shared" si="158"/>
        <v>3.9572615749905449E-4</v>
      </c>
      <c r="BD288" s="4">
        <f t="shared" si="159"/>
        <v>1.0124610591900285E-2</v>
      </c>
      <c r="BE288" s="4">
        <f t="shared" si="160"/>
        <v>1.8125723100655522E-2</v>
      </c>
      <c r="BF288" s="4">
        <f t="shared" si="161"/>
        <v>1.79526355996944E-2</v>
      </c>
      <c r="BG288" s="4">
        <f t="shared" si="162"/>
        <v>3.8245219347581516E-2</v>
      </c>
      <c r="BH288" s="4">
        <f t="shared" si="163"/>
        <v>1.0783608914450848E-3</v>
      </c>
      <c r="BI288" s="4">
        <f t="shared" si="164"/>
        <v>7.5675675675676013E-3</v>
      </c>
      <c r="BJ288" s="4">
        <f t="shared" si="165"/>
        <v>3.2798833819241979E-3</v>
      </c>
      <c r="BK288" s="4">
        <f t="shared" si="166"/>
        <v>2.0825721592985014E-2</v>
      </c>
      <c r="BL288" s="4">
        <f t="shared" si="167"/>
        <v>2.6012634708286742E-3</v>
      </c>
      <c r="BM288" s="4">
        <f t="shared" si="177"/>
        <v>1.6152831572367798E-2</v>
      </c>
      <c r="BN288" s="14">
        <f t="shared" si="178"/>
        <v>13672.33634880621</v>
      </c>
      <c r="BO288" s="15">
        <f t="shared" si="179"/>
        <v>13109.7635192982</v>
      </c>
      <c r="BP288" s="16">
        <v>13405</v>
      </c>
      <c r="BQ288" s="16">
        <v>13435</v>
      </c>
      <c r="BR288" s="16">
        <v>13405</v>
      </c>
      <c r="BS288" s="16">
        <v>13420</v>
      </c>
      <c r="BT288" s="16">
        <v>43378</v>
      </c>
      <c r="BU288" s="15">
        <f t="shared" si="168"/>
        <v>13420</v>
      </c>
      <c r="BV288" s="15">
        <f t="shared" si="169"/>
        <v>582132760</v>
      </c>
      <c r="BW288" s="15">
        <f>SUM($BV$3:BV288)</f>
        <v>240534720481.66663</v>
      </c>
      <c r="BX288" s="15">
        <f>SUM($BT$3:BT288)</f>
        <v>17759264</v>
      </c>
      <c r="BY288" s="15">
        <f t="shared" si="170"/>
        <v>13544.182939206637</v>
      </c>
      <c r="BZ288" s="3">
        <v>286</v>
      </c>
      <c r="CA288" s="3">
        <f t="shared" si="171"/>
        <v>0</v>
      </c>
      <c r="CB288" s="3">
        <f t="shared" si="172"/>
        <v>0</v>
      </c>
      <c r="CC288" s="3">
        <f t="shared" si="173"/>
        <v>0</v>
      </c>
      <c r="CD288" s="3" t="str">
        <f t="shared" si="174"/>
        <v/>
      </c>
      <c r="CE288" s="3">
        <f t="shared" si="175"/>
        <v>0</v>
      </c>
    </row>
    <row r="289" spans="1:83" x14ac:dyDescent="0.3">
      <c r="A289" s="3" t="s">
        <v>329</v>
      </c>
      <c r="B289" s="3">
        <v>11655</v>
      </c>
      <c r="C289" s="3">
        <v>11650</v>
      </c>
      <c r="D289" s="3">
        <v>11570</v>
      </c>
      <c r="E289" s="3">
        <v>11560</v>
      </c>
      <c r="F289" s="3">
        <v>11550</v>
      </c>
      <c r="G289" s="3">
        <v>11555</v>
      </c>
      <c r="H289" s="3">
        <v>11500</v>
      </c>
      <c r="I289" s="3">
        <v>11495</v>
      </c>
      <c r="J289" s="3">
        <v>11885</v>
      </c>
      <c r="K289" s="3">
        <v>11870</v>
      </c>
      <c r="L289" s="3">
        <v>12010</v>
      </c>
      <c r="M289" s="3">
        <v>12020</v>
      </c>
      <c r="N289" s="3">
        <v>12605</v>
      </c>
      <c r="O289" s="3">
        <v>12615</v>
      </c>
      <c r="P289" s="3">
        <v>12525</v>
      </c>
      <c r="Q289" s="3">
        <v>12480</v>
      </c>
      <c r="R289" s="3">
        <v>12510</v>
      </c>
      <c r="S289" s="3">
        <v>12515</v>
      </c>
      <c r="T289" s="3">
        <v>12205</v>
      </c>
      <c r="U289" s="3">
        <v>12160</v>
      </c>
      <c r="V289" s="3">
        <v>12745</v>
      </c>
      <c r="W289" s="3">
        <v>12745</v>
      </c>
      <c r="X289" s="3">
        <v>12630</v>
      </c>
      <c r="Y289" s="3">
        <v>12625</v>
      </c>
      <c r="Z289" s="3">
        <v>12705</v>
      </c>
      <c r="AA289" s="3">
        <v>12710</v>
      </c>
      <c r="AB289" s="3">
        <v>13200</v>
      </c>
      <c r="AC289" s="3">
        <v>13225</v>
      </c>
      <c r="AD289" s="3">
        <v>13325</v>
      </c>
      <c r="AE289" s="3">
        <v>13315</v>
      </c>
      <c r="AF289" s="3">
        <v>13845</v>
      </c>
      <c r="AG289" s="3">
        <v>13845</v>
      </c>
      <c r="AH289" s="3">
        <v>13925</v>
      </c>
      <c r="AI289" s="3">
        <v>13895</v>
      </c>
      <c r="AJ289" s="3">
        <v>13770</v>
      </c>
      <c r="AK289" s="3">
        <v>13765</v>
      </c>
      <c r="AL289" s="3">
        <v>13675</v>
      </c>
      <c r="AM289" s="3">
        <v>13675</v>
      </c>
      <c r="AN289" s="3">
        <v>13400</v>
      </c>
      <c r="AO289" s="3">
        <v>13395</v>
      </c>
      <c r="AP289" s="3">
        <v>13420</v>
      </c>
      <c r="AQ289" s="3">
        <v>13420</v>
      </c>
      <c r="AR289" s="4">
        <f t="shared" si="176"/>
        <v>1.0407632263659927E-2</v>
      </c>
      <c r="AS289" s="4">
        <f t="shared" si="148"/>
        <v>8.658008658009031E-4</v>
      </c>
      <c r="AT289" s="4">
        <f t="shared" si="149"/>
        <v>1.7165492957746498E-2</v>
      </c>
      <c r="AU289" s="4">
        <f t="shared" si="150"/>
        <v>2.4193548387096753E-2</v>
      </c>
      <c r="AV289" s="4">
        <f t="shared" si="151"/>
        <v>1.5397775876817787E-2</v>
      </c>
      <c r="AW289" s="4">
        <f t="shared" si="152"/>
        <v>1.3490725126475533E-2</v>
      </c>
      <c r="AX289" s="4">
        <f t="shared" si="153"/>
        <v>4.1271151465125833E-2</v>
      </c>
      <c r="AY289" s="4">
        <f t="shared" si="154"/>
        <v>2.3474178403755874E-2</v>
      </c>
      <c r="AZ289" s="4">
        <f t="shared" si="155"/>
        <v>2.3913909924272447E-3</v>
      </c>
      <c r="BA289" s="4">
        <f t="shared" si="156"/>
        <v>1.7373737373737375E-2</v>
      </c>
      <c r="BB289" s="4">
        <f t="shared" si="157"/>
        <v>3.3238751520064946E-2</v>
      </c>
      <c r="BC289" s="4">
        <f t="shared" si="158"/>
        <v>7.9145231499799795E-4</v>
      </c>
      <c r="BD289" s="4">
        <f t="shared" si="159"/>
        <v>1.0124610591900285E-2</v>
      </c>
      <c r="BE289" s="4">
        <f t="shared" si="160"/>
        <v>2.0053991515619041E-2</v>
      </c>
      <c r="BF289" s="4">
        <f t="shared" si="161"/>
        <v>1.7188693659281995E-2</v>
      </c>
      <c r="BG289" s="4">
        <f t="shared" si="162"/>
        <v>3.8245219347581516E-2</v>
      </c>
      <c r="BH289" s="4">
        <f t="shared" si="163"/>
        <v>1.0783608914449738E-3</v>
      </c>
      <c r="BI289" s="4">
        <f t="shared" si="164"/>
        <v>7.927927927927958E-3</v>
      </c>
      <c r="BJ289" s="4">
        <f t="shared" si="165"/>
        <v>3.2798833819241979E-3</v>
      </c>
      <c r="BK289" s="4">
        <f t="shared" si="166"/>
        <v>2.1191085129704024E-2</v>
      </c>
      <c r="BL289" s="4">
        <f t="shared" si="167"/>
        <v>2.6012634708286742E-3</v>
      </c>
      <c r="BM289" s="4">
        <f t="shared" si="177"/>
        <v>1.6973602465392375E-2</v>
      </c>
      <c r="BN289" s="14">
        <f t="shared" si="178"/>
        <v>13683.379821171855</v>
      </c>
      <c r="BO289" s="15">
        <f t="shared" si="179"/>
        <v>13098.826747148647</v>
      </c>
      <c r="BP289" s="16">
        <v>13420</v>
      </c>
      <c r="BQ289" s="16">
        <v>13420</v>
      </c>
      <c r="BR289" s="16">
        <v>13410</v>
      </c>
      <c r="BS289" s="16">
        <v>13420</v>
      </c>
      <c r="BT289" s="16">
        <v>10736</v>
      </c>
      <c r="BU289" s="15">
        <f t="shared" si="168"/>
        <v>13416.666666666666</v>
      </c>
      <c r="BV289" s="15">
        <f t="shared" si="169"/>
        <v>144041333.33333331</v>
      </c>
      <c r="BW289" s="15">
        <f>SUM($BV$3:BV289)</f>
        <v>240678761814.99997</v>
      </c>
      <c r="BX289" s="15">
        <f>SUM($BT$3:BT289)</f>
        <v>17770000</v>
      </c>
      <c r="BY289" s="15">
        <f t="shared" si="170"/>
        <v>13544.105898424308</v>
      </c>
      <c r="BZ289" s="3">
        <v>287</v>
      </c>
      <c r="CA289" s="3">
        <f t="shared" si="171"/>
        <v>0</v>
      </c>
      <c r="CB289" s="3">
        <f t="shared" si="172"/>
        <v>0</v>
      </c>
      <c r="CC289" s="3">
        <f t="shared" si="173"/>
        <v>0</v>
      </c>
      <c r="CD289" s="3" t="str">
        <f t="shared" si="174"/>
        <v/>
      </c>
      <c r="CE289" s="3">
        <f t="shared" si="175"/>
        <v>0</v>
      </c>
    </row>
    <row r="290" spans="1:83" x14ac:dyDescent="0.3">
      <c r="A290" s="3" t="s">
        <v>330</v>
      </c>
      <c r="B290" s="3">
        <v>11650</v>
      </c>
      <c r="C290" s="3">
        <v>11655</v>
      </c>
      <c r="D290" s="3">
        <v>11565</v>
      </c>
      <c r="E290" s="3">
        <v>11560</v>
      </c>
      <c r="F290" s="3">
        <v>11555</v>
      </c>
      <c r="G290" s="3">
        <v>11535</v>
      </c>
      <c r="H290" s="3">
        <v>11495</v>
      </c>
      <c r="I290" s="3">
        <v>11500</v>
      </c>
      <c r="J290" s="3">
        <v>11875</v>
      </c>
      <c r="K290" s="3">
        <v>11875</v>
      </c>
      <c r="L290" s="3">
        <v>12020</v>
      </c>
      <c r="M290" s="3">
        <v>12015</v>
      </c>
      <c r="N290" s="3">
        <v>12615</v>
      </c>
      <c r="O290" s="3">
        <v>12620</v>
      </c>
      <c r="P290" s="3">
        <v>12485</v>
      </c>
      <c r="Q290" s="3">
        <v>12480</v>
      </c>
      <c r="R290" s="3">
        <v>12515</v>
      </c>
      <c r="S290" s="3">
        <v>12520</v>
      </c>
      <c r="T290" s="3">
        <v>12160</v>
      </c>
      <c r="U290" s="3">
        <v>12175</v>
      </c>
      <c r="V290" s="3">
        <v>12740</v>
      </c>
      <c r="W290" s="3">
        <v>12740</v>
      </c>
      <c r="X290" s="3">
        <v>12625</v>
      </c>
      <c r="Y290" s="3">
        <v>12630</v>
      </c>
      <c r="Z290" s="3">
        <v>12710</v>
      </c>
      <c r="AA290" s="3">
        <v>12710</v>
      </c>
      <c r="AB290" s="3">
        <v>13220</v>
      </c>
      <c r="AC290" s="3">
        <v>13220</v>
      </c>
      <c r="AD290" s="3">
        <v>13315</v>
      </c>
      <c r="AE290" s="3">
        <v>13315</v>
      </c>
      <c r="AF290" s="3">
        <v>13840</v>
      </c>
      <c r="AG290" s="3">
        <v>13835</v>
      </c>
      <c r="AH290" s="3">
        <v>13895</v>
      </c>
      <c r="AI290" s="3">
        <v>13900</v>
      </c>
      <c r="AJ290" s="3">
        <v>13770</v>
      </c>
      <c r="AK290" s="3">
        <v>13745</v>
      </c>
      <c r="AL290" s="3">
        <v>13675</v>
      </c>
      <c r="AM290" s="3">
        <v>13665</v>
      </c>
      <c r="AN290" s="3">
        <v>13405</v>
      </c>
      <c r="AO290" s="3">
        <v>13405</v>
      </c>
      <c r="AP290" s="3">
        <v>13420</v>
      </c>
      <c r="AQ290" s="3">
        <v>13425</v>
      </c>
      <c r="AR290" s="4">
        <f t="shared" si="176"/>
        <v>1.0841283607979202E-2</v>
      </c>
      <c r="AS290" s="4">
        <f t="shared" si="148"/>
        <v>8.658008658009031E-4</v>
      </c>
      <c r="AT290" s="4">
        <f t="shared" si="149"/>
        <v>1.5404929577464754E-2</v>
      </c>
      <c r="AU290" s="4">
        <f t="shared" si="150"/>
        <v>2.3769100169779289E-2</v>
      </c>
      <c r="AV290" s="4">
        <f t="shared" si="151"/>
        <v>1.5825491873395992E-2</v>
      </c>
      <c r="AW290" s="4">
        <f t="shared" si="152"/>
        <v>1.3069139966273235E-2</v>
      </c>
      <c r="AX290" s="4">
        <f t="shared" si="153"/>
        <v>4.1683862979777109E-2</v>
      </c>
      <c r="AY290" s="4">
        <f t="shared" si="154"/>
        <v>2.3474178403755874E-2</v>
      </c>
      <c r="AZ290" s="4">
        <f t="shared" si="155"/>
        <v>1.9928258270227595E-3</v>
      </c>
      <c r="BA290" s="4">
        <f t="shared" si="156"/>
        <v>1.6161616161616155E-2</v>
      </c>
      <c r="BB290" s="4">
        <f t="shared" si="157"/>
        <v>3.2833400891771447E-2</v>
      </c>
      <c r="BC290" s="4">
        <f t="shared" si="158"/>
        <v>3.9572615749905449E-4</v>
      </c>
      <c r="BD290" s="4">
        <f t="shared" si="159"/>
        <v>1.0124610591900285E-2</v>
      </c>
      <c r="BE290" s="4">
        <f t="shared" si="160"/>
        <v>1.9668337832626337E-2</v>
      </c>
      <c r="BF290" s="4">
        <f t="shared" si="161"/>
        <v>1.7188693659281995E-2</v>
      </c>
      <c r="BG290" s="4">
        <f t="shared" si="162"/>
        <v>3.7495313085864179E-2</v>
      </c>
      <c r="BH290" s="4">
        <f t="shared" si="163"/>
        <v>7.1890726096335289E-4</v>
      </c>
      <c r="BI290" s="4">
        <f t="shared" si="164"/>
        <v>9.3693693693693847E-3</v>
      </c>
      <c r="BJ290" s="4">
        <f t="shared" si="165"/>
        <v>4.0087463556851555E-3</v>
      </c>
      <c r="BK290" s="4">
        <f t="shared" si="166"/>
        <v>2.0460358056266004E-2</v>
      </c>
      <c r="BL290" s="4">
        <f t="shared" si="167"/>
        <v>2.2296544035674826E-3</v>
      </c>
      <c r="BM290" s="4">
        <f t="shared" si="177"/>
        <v>1.6826853330957077E-2</v>
      </c>
      <c r="BN290" s="14">
        <f t="shared" si="178"/>
        <v>13681.405311568027</v>
      </c>
      <c r="BO290" s="15">
        <f t="shared" si="179"/>
        <v>13100.782179364996</v>
      </c>
      <c r="BP290" s="16">
        <v>13420</v>
      </c>
      <c r="BQ290" s="16">
        <v>13430</v>
      </c>
      <c r="BR290" s="16">
        <v>13415</v>
      </c>
      <c r="BS290" s="16">
        <v>13425</v>
      </c>
      <c r="BT290" s="16">
        <v>52583</v>
      </c>
      <c r="BU290" s="15">
        <f t="shared" si="168"/>
        <v>13423.333333333334</v>
      </c>
      <c r="BV290" s="15">
        <f t="shared" si="169"/>
        <v>705839136.66666675</v>
      </c>
      <c r="BW290" s="15">
        <f>SUM($BV$3:BV290)</f>
        <v>241384600951.66663</v>
      </c>
      <c r="BX290" s="15">
        <f>SUM($BT$3:BT290)</f>
        <v>17822583</v>
      </c>
      <c r="BY290" s="15">
        <f t="shared" si="170"/>
        <v>13543.74957612298</v>
      </c>
      <c r="BZ290" s="3">
        <v>288</v>
      </c>
      <c r="CA290" s="3">
        <f t="shared" si="171"/>
        <v>0</v>
      </c>
      <c r="CB290" s="3">
        <f t="shared" si="172"/>
        <v>0</v>
      </c>
      <c r="CC290" s="3">
        <f t="shared" si="173"/>
        <v>0</v>
      </c>
      <c r="CD290" s="3" t="str">
        <f t="shared" si="174"/>
        <v/>
      </c>
      <c r="CE290" s="3">
        <f t="shared" si="175"/>
        <v>0</v>
      </c>
    </row>
    <row r="291" spans="1:83" x14ac:dyDescent="0.3">
      <c r="A291" s="3" t="s">
        <v>331</v>
      </c>
      <c r="B291" s="3">
        <v>11655</v>
      </c>
      <c r="C291" s="3">
        <v>11650</v>
      </c>
      <c r="D291" s="3">
        <v>11565</v>
      </c>
      <c r="E291" s="3">
        <v>11560</v>
      </c>
      <c r="F291" s="3">
        <v>11535</v>
      </c>
      <c r="G291" s="3">
        <v>11535</v>
      </c>
      <c r="H291" s="3">
        <v>11500</v>
      </c>
      <c r="I291" s="3">
        <v>11495</v>
      </c>
      <c r="J291" s="3">
        <v>11880</v>
      </c>
      <c r="K291" s="3">
        <v>11885</v>
      </c>
      <c r="L291" s="3">
        <v>12015</v>
      </c>
      <c r="M291" s="3">
        <v>12010</v>
      </c>
      <c r="N291" s="3">
        <v>12620</v>
      </c>
      <c r="O291" s="3">
        <v>12620</v>
      </c>
      <c r="P291" s="3">
        <v>12485</v>
      </c>
      <c r="Q291" s="3">
        <v>12465</v>
      </c>
      <c r="R291" s="3">
        <v>12525</v>
      </c>
      <c r="S291" s="3">
        <v>12525</v>
      </c>
      <c r="T291" s="3">
        <v>12175</v>
      </c>
      <c r="U291" s="3">
        <v>12175</v>
      </c>
      <c r="V291" s="3">
        <v>12740</v>
      </c>
      <c r="W291" s="3">
        <v>12735</v>
      </c>
      <c r="X291" s="3">
        <v>12630</v>
      </c>
      <c r="Y291" s="3">
        <v>12640</v>
      </c>
      <c r="Z291" s="3">
        <v>12715</v>
      </c>
      <c r="AA291" s="3">
        <v>12715</v>
      </c>
      <c r="AB291" s="3">
        <v>13220</v>
      </c>
      <c r="AC291" s="3">
        <v>13230</v>
      </c>
      <c r="AD291" s="3">
        <v>13310</v>
      </c>
      <c r="AE291" s="3">
        <v>13310</v>
      </c>
      <c r="AF291" s="3">
        <v>13840</v>
      </c>
      <c r="AG291" s="3">
        <v>13835</v>
      </c>
      <c r="AH291" s="3">
        <v>13900</v>
      </c>
      <c r="AI291" s="3">
        <v>13895</v>
      </c>
      <c r="AJ291" s="3">
        <v>13750</v>
      </c>
      <c r="AK291" s="3">
        <v>13745</v>
      </c>
      <c r="AL291" s="3">
        <v>13665</v>
      </c>
      <c r="AM291" s="3">
        <v>13665</v>
      </c>
      <c r="AN291" s="3">
        <v>13400</v>
      </c>
      <c r="AO291" s="3">
        <v>13405</v>
      </c>
      <c r="AP291" s="3">
        <v>13425</v>
      </c>
      <c r="AQ291" s="3">
        <v>13440</v>
      </c>
      <c r="AR291" s="4">
        <f t="shared" si="176"/>
        <v>1.0407632263659927E-2</v>
      </c>
      <c r="AS291" s="4">
        <f t="shared" si="148"/>
        <v>8.658008658009031E-4</v>
      </c>
      <c r="AT291" s="4">
        <f t="shared" si="149"/>
        <v>1.5404929577464754E-2</v>
      </c>
      <c r="AU291" s="4">
        <f t="shared" si="150"/>
        <v>2.4193548387096753E-2</v>
      </c>
      <c r="AV291" s="4">
        <f t="shared" si="151"/>
        <v>1.6680923866552622E-2</v>
      </c>
      <c r="AW291" s="4">
        <f t="shared" si="152"/>
        <v>1.2647554806070715E-2</v>
      </c>
      <c r="AX291" s="4">
        <f t="shared" si="153"/>
        <v>4.1683862979777109E-2</v>
      </c>
      <c r="AY291" s="4">
        <f t="shared" si="154"/>
        <v>2.4647887323943629E-2</v>
      </c>
      <c r="AZ291" s="4">
        <f t="shared" si="155"/>
        <v>1.5942606616181632E-3</v>
      </c>
      <c r="BA291" s="4">
        <f t="shared" si="156"/>
        <v>1.6161616161616155E-2</v>
      </c>
      <c r="BB291" s="4">
        <f t="shared" si="157"/>
        <v>3.2428050263477948E-2</v>
      </c>
      <c r="BC291" s="4">
        <f t="shared" si="158"/>
        <v>3.9572615749894346E-4</v>
      </c>
      <c r="BD291" s="4">
        <f t="shared" si="159"/>
        <v>9.7352024922118252E-3</v>
      </c>
      <c r="BE291" s="4">
        <f t="shared" si="160"/>
        <v>2.0439645198611744E-2</v>
      </c>
      <c r="BF291" s="4">
        <f t="shared" si="161"/>
        <v>1.6806722689075571E-2</v>
      </c>
      <c r="BG291" s="4">
        <f t="shared" si="162"/>
        <v>3.7495313085864179E-2</v>
      </c>
      <c r="BH291" s="4">
        <f t="shared" si="163"/>
        <v>1.0783608914449738E-3</v>
      </c>
      <c r="BI291" s="4">
        <f t="shared" si="164"/>
        <v>9.3693693693693847E-3</v>
      </c>
      <c r="BJ291" s="4">
        <f t="shared" si="165"/>
        <v>4.0087463556851555E-3</v>
      </c>
      <c r="BK291" s="4">
        <f t="shared" si="166"/>
        <v>2.0460358056266004E-2</v>
      </c>
      <c r="BL291" s="4">
        <f t="shared" si="167"/>
        <v>1.1148272017836858E-3</v>
      </c>
      <c r="BM291" s="4">
        <f t="shared" si="177"/>
        <v>1.6878937263318627E-2</v>
      </c>
      <c r="BN291" s="14">
        <f t="shared" si="178"/>
        <v>13682.106100877952</v>
      </c>
      <c r="BO291" s="15">
        <f t="shared" si="179"/>
        <v>13100.088160966279</v>
      </c>
      <c r="BP291" s="16">
        <v>13425</v>
      </c>
      <c r="BQ291" s="16">
        <v>13440</v>
      </c>
      <c r="BR291" s="16">
        <v>13425</v>
      </c>
      <c r="BS291" s="16">
        <v>13440</v>
      </c>
      <c r="BT291" s="16">
        <v>60880</v>
      </c>
      <c r="BU291" s="15">
        <f t="shared" si="168"/>
        <v>13435</v>
      </c>
      <c r="BV291" s="15">
        <f t="shared" si="169"/>
        <v>817922800</v>
      </c>
      <c r="BW291" s="15">
        <f>SUM($BV$3:BV291)</f>
        <v>242202523751.66663</v>
      </c>
      <c r="BX291" s="15">
        <f>SUM($BT$3:BT291)</f>
        <v>17883463</v>
      </c>
      <c r="BY291" s="15">
        <f t="shared" si="170"/>
        <v>13543.379364034059</v>
      </c>
      <c r="BZ291" s="3">
        <v>289</v>
      </c>
      <c r="CA291" s="3">
        <f t="shared" si="171"/>
        <v>0</v>
      </c>
      <c r="CB291" s="3">
        <f t="shared" si="172"/>
        <v>0</v>
      </c>
      <c r="CC291" s="3">
        <f t="shared" si="173"/>
        <v>0</v>
      </c>
      <c r="CD291" s="3" t="str">
        <f t="shared" si="174"/>
        <v/>
      </c>
      <c r="CE291" s="3">
        <f t="shared" si="175"/>
        <v>0</v>
      </c>
    </row>
    <row r="292" spans="1:83" x14ac:dyDescent="0.3">
      <c r="A292" s="3" t="s">
        <v>332</v>
      </c>
      <c r="B292" s="3">
        <v>11650</v>
      </c>
      <c r="C292" s="3">
        <v>11655</v>
      </c>
      <c r="D292" s="3">
        <v>11560</v>
      </c>
      <c r="E292" s="3">
        <v>11555</v>
      </c>
      <c r="F292" s="3">
        <v>11540</v>
      </c>
      <c r="G292" s="3">
        <v>11535</v>
      </c>
      <c r="H292" s="3">
        <v>11495</v>
      </c>
      <c r="I292" s="3">
        <v>11490</v>
      </c>
      <c r="J292" s="3">
        <v>11885</v>
      </c>
      <c r="K292" s="3">
        <v>11880</v>
      </c>
      <c r="L292" s="3">
        <v>12010</v>
      </c>
      <c r="M292" s="3">
        <v>12015</v>
      </c>
      <c r="N292" s="3">
        <v>12615</v>
      </c>
      <c r="O292" s="3">
        <v>12620</v>
      </c>
      <c r="P292" s="3">
        <v>12465</v>
      </c>
      <c r="Q292" s="3">
        <v>12445</v>
      </c>
      <c r="R292" s="3">
        <v>12525</v>
      </c>
      <c r="S292" s="3">
        <v>12530</v>
      </c>
      <c r="T292" s="3">
        <v>12175</v>
      </c>
      <c r="U292" s="3">
        <v>12175</v>
      </c>
      <c r="V292" s="3">
        <v>12735</v>
      </c>
      <c r="W292" s="3">
        <v>12740</v>
      </c>
      <c r="X292" s="3">
        <v>12630</v>
      </c>
      <c r="Y292" s="3">
        <v>12640</v>
      </c>
      <c r="Z292" s="3">
        <v>12715</v>
      </c>
      <c r="AA292" s="3">
        <v>12720</v>
      </c>
      <c r="AB292" s="3">
        <v>13230</v>
      </c>
      <c r="AC292" s="3">
        <v>13225</v>
      </c>
      <c r="AD292" s="3">
        <v>13310</v>
      </c>
      <c r="AE292" s="3">
        <v>13310</v>
      </c>
      <c r="AF292" s="3">
        <v>13835</v>
      </c>
      <c r="AG292" s="3">
        <v>13845</v>
      </c>
      <c r="AH292" s="3">
        <v>13895</v>
      </c>
      <c r="AI292" s="3">
        <v>13885</v>
      </c>
      <c r="AJ292" s="3">
        <v>13750</v>
      </c>
      <c r="AK292" s="3">
        <v>13740</v>
      </c>
      <c r="AL292" s="3">
        <v>13665</v>
      </c>
      <c r="AM292" s="3">
        <v>13665</v>
      </c>
      <c r="AN292" s="3">
        <v>13400</v>
      </c>
      <c r="AO292" s="3">
        <v>13395</v>
      </c>
      <c r="AP292" s="3">
        <v>13435</v>
      </c>
      <c r="AQ292" s="3">
        <v>13435</v>
      </c>
      <c r="AR292" s="4">
        <f t="shared" si="176"/>
        <v>1.0841283607979202E-2</v>
      </c>
      <c r="AS292" s="4">
        <f t="shared" si="148"/>
        <v>4.3290043290045155E-4</v>
      </c>
      <c r="AT292" s="4">
        <f t="shared" si="149"/>
        <v>1.5404929577464754E-2</v>
      </c>
      <c r="AU292" s="4">
        <f t="shared" si="150"/>
        <v>2.4617996604414216E-2</v>
      </c>
      <c r="AV292" s="4">
        <f t="shared" si="151"/>
        <v>1.6253207869974418E-2</v>
      </c>
      <c r="AW292" s="4">
        <f t="shared" si="152"/>
        <v>1.3069139966273235E-2</v>
      </c>
      <c r="AX292" s="4">
        <f t="shared" si="153"/>
        <v>4.1683862979777109E-2</v>
      </c>
      <c r="AY292" s="4">
        <f t="shared" si="154"/>
        <v>2.621283255086071E-2</v>
      </c>
      <c r="AZ292" s="4">
        <f t="shared" si="155"/>
        <v>1.1956954962136779E-3</v>
      </c>
      <c r="BA292" s="4">
        <f t="shared" si="156"/>
        <v>1.6161616161616155E-2</v>
      </c>
      <c r="BB292" s="4">
        <f t="shared" si="157"/>
        <v>3.2833400891771447E-2</v>
      </c>
      <c r="BC292" s="4">
        <f t="shared" si="158"/>
        <v>3.9572615749894346E-4</v>
      </c>
      <c r="BD292" s="4">
        <f t="shared" si="159"/>
        <v>9.3457943925233655E-3</v>
      </c>
      <c r="BE292" s="4">
        <f t="shared" si="160"/>
        <v>2.0053991515619041E-2</v>
      </c>
      <c r="BF292" s="4">
        <f t="shared" si="161"/>
        <v>1.6806722689075571E-2</v>
      </c>
      <c r="BG292" s="4">
        <f t="shared" si="162"/>
        <v>3.8245219347581516E-2</v>
      </c>
      <c r="BH292" s="4">
        <f t="shared" si="163"/>
        <v>1.7972681524083267E-3</v>
      </c>
      <c r="BI292" s="4">
        <f t="shared" si="164"/>
        <v>9.7297297297297414E-3</v>
      </c>
      <c r="BJ292" s="4">
        <f t="shared" si="165"/>
        <v>4.0087463556851555E-3</v>
      </c>
      <c r="BK292" s="4">
        <f t="shared" si="166"/>
        <v>2.1191085129704024E-2</v>
      </c>
      <c r="BL292" s="4">
        <f t="shared" si="167"/>
        <v>1.4864362690449884E-3</v>
      </c>
      <c r="BM292" s="4">
        <f t="shared" si="177"/>
        <v>1.7118692253576057E-2</v>
      </c>
      <c r="BN292" s="14">
        <f t="shared" si="178"/>
        <v>13685.332004271864</v>
      </c>
      <c r="BO292" s="15">
        <f t="shared" si="179"/>
        <v>13096.893425721099</v>
      </c>
      <c r="BP292" s="16">
        <v>13435</v>
      </c>
      <c r="BQ292" s="16">
        <v>13440</v>
      </c>
      <c r="BR292" s="16">
        <v>13430</v>
      </c>
      <c r="BS292" s="16">
        <v>13435</v>
      </c>
      <c r="BT292" s="16">
        <v>25650</v>
      </c>
      <c r="BU292" s="15">
        <f t="shared" si="168"/>
        <v>13435</v>
      </c>
      <c r="BV292" s="15">
        <f t="shared" si="169"/>
        <v>344607750</v>
      </c>
      <c r="BW292" s="15">
        <f>SUM($BV$3:BV292)</f>
        <v>242547131501.66663</v>
      </c>
      <c r="BX292" s="15">
        <f>SUM($BT$3:BT292)</f>
        <v>17909113</v>
      </c>
      <c r="BY292" s="15">
        <f t="shared" si="170"/>
        <v>13543.224139669375</v>
      </c>
      <c r="BZ292" s="3">
        <v>290</v>
      </c>
      <c r="CA292" s="3">
        <f t="shared" si="171"/>
        <v>0</v>
      </c>
      <c r="CB292" s="3">
        <f t="shared" si="172"/>
        <v>0</v>
      </c>
      <c r="CC292" s="3">
        <f t="shared" si="173"/>
        <v>0</v>
      </c>
      <c r="CD292" s="3" t="str">
        <f t="shared" si="174"/>
        <v/>
      </c>
      <c r="CE292" s="3">
        <f t="shared" si="175"/>
        <v>0</v>
      </c>
    </row>
    <row r="293" spans="1:83" x14ac:dyDescent="0.3">
      <c r="A293" s="3" t="s">
        <v>333</v>
      </c>
      <c r="B293" s="3">
        <v>11650</v>
      </c>
      <c r="C293" s="3">
        <v>11655</v>
      </c>
      <c r="D293" s="3">
        <v>11555</v>
      </c>
      <c r="E293" s="3">
        <v>11550</v>
      </c>
      <c r="F293" s="3">
        <v>11535</v>
      </c>
      <c r="G293" s="3">
        <v>11535</v>
      </c>
      <c r="H293" s="3">
        <v>11495</v>
      </c>
      <c r="I293" s="3">
        <v>11490</v>
      </c>
      <c r="J293" s="3">
        <v>11885</v>
      </c>
      <c r="K293" s="3">
        <v>11885</v>
      </c>
      <c r="L293" s="3">
        <v>12015</v>
      </c>
      <c r="M293" s="3">
        <v>12025</v>
      </c>
      <c r="N293" s="3">
        <v>12615</v>
      </c>
      <c r="O293" s="3">
        <v>12615</v>
      </c>
      <c r="P293" s="3">
        <v>12440</v>
      </c>
      <c r="Q293" s="3">
        <v>12455</v>
      </c>
      <c r="R293" s="3">
        <v>12530</v>
      </c>
      <c r="S293" s="3">
        <v>12535</v>
      </c>
      <c r="T293" s="3">
        <v>12175</v>
      </c>
      <c r="U293" s="3">
        <v>12170</v>
      </c>
      <c r="V293" s="3">
        <v>12745</v>
      </c>
      <c r="W293" s="3">
        <v>12710</v>
      </c>
      <c r="X293" s="3">
        <v>12645</v>
      </c>
      <c r="Y293" s="3">
        <v>12645</v>
      </c>
      <c r="Z293" s="3">
        <v>12720</v>
      </c>
      <c r="AA293" s="3">
        <v>12715</v>
      </c>
      <c r="AB293" s="3">
        <v>13220</v>
      </c>
      <c r="AC293" s="3">
        <v>13215</v>
      </c>
      <c r="AD293" s="3">
        <v>13315</v>
      </c>
      <c r="AE293" s="3">
        <v>13305</v>
      </c>
      <c r="AF293" s="3">
        <v>13850</v>
      </c>
      <c r="AG293" s="3">
        <v>13850</v>
      </c>
      <c r="AH293" s="3">
        <v>13890</v>
      </c>
      <c r="AI293" s="3">
        <v>13895</v>
      </c>
      <c r="AJ293" s="3">
        <v>13740</v>
      </c>
      <c r="AK293" s="3">
        <v>13745</v>
      </c>
      <c r="AL293" s="3">
        <v>13670</v>
      </c>
      <c r="AM293" s="3">
        <v>13665</v>
      </c>
      <c r="AN293" s="3">
        <v>13395</v>
      </c>
      <c r="AO293" s="3">
        <v>13400</v>
      </c>
      <c r="AP293" s="3">
        <v>13440</v>
      </c>
      <c r="AQ293" s="3">
        <v>13435</v>
      </c>
      <c r="AR293" s="4">
        <f t="shared" si="176"/>
        <v>1.0841283607979202E-2</v>
      </c>
      <c r="AS293" s="4">
        <f t="shared" si="148"/>
        <v>0</v>
      </c>
      <c r="AT293" s="4">
        <f t="shared" si="149"/>
        <v>1.5404929577464754E-2</v>
      </c>
      <c r="AU293" s="4">
        <f t="shared" si="150"/>
        <v>2.4617996604414216E-2</v>
      </c>
      <c r="AV293" s="4">
        <f t="shared" si="151"/>
        <v>1.6680923866552622E-2</v>
      </c>
      <c r="AW293" s="4">
        <f t="shared" si="152"/>
        <v>1.3912310286677831E-2</v>
      </c>
      <c r="AX293" s="4">
        <f t="shared" si="153"/>
        <v>4.1271151465125833E-2</v>
      </c>
      <c r="AY293" s="4">
        <f t="shared" si="154"/>
        <v>2.5430359937402169E-2</v>
      </c>
      <c r="AZ293" s="4">
        <f t="shared" si="155"/>
        <v>7.9713033080908158E-4</v>
      </c>
      <c r="BA293" s="4">
        <f t="shared" si="156"/>
        <v>1.6565656565656561E-2</v>
      </c>
      <c r="BB293" s="4">
        <f t="shared" si="157"/>
        <v>3.0401297122010451E-2</v>
      </c>
      <c r="BC293" s="4">
        <f t="shared" si="158"/>
        <v>7.9145231499810897E-4</v>
      </c>
      <c r="BD293" s="4">
        <f t="shared" si="159"/>
        <v>9.7352024922118252E-3</v>
      </c>
      <c r="BE293" s="4">
        <f t="shared" si="160"/>
        <v>1.9282684149633633E-2</v>
      </c>
      <c r="BF293" s="4">
        <f t="shared" si="161"/>
        <v>1.6424751718869368E-2</v>
      </c>
      <c r="BG293" s="4">
        <f t="shared" si="162"/>
        <v>3.8620172478440296E-2</v>
      </c>
      <c r="BH293" s="4">
        <f t="shared" si="163"/>
        <v>1.0783608914449738E-3</v>
      </c>
      <c r="BI293" s="4">
        <f t="shared" si="164"/>
        <v>9.3693693693693847E-3</v>
      </c>
      <c r="BJ293" s="4">
        <f t="shared" si="165"/>
        <v>4.0087463556851555E-3</v>
      </c>
      <c r="BK293" s="4">
        <f t="shared" si="166"/>
        <v>2.0825721592985014E-2</v>
      </c>
      <c r="BL293" s="4">
        <f t="shared" si="167"/>
        <v>1.4864362690449884E-3</v>
      </c>
      <c r="BM293" s="4">
        <f t="shared" si="177"/>
        <v>1.6757289770331561E-2</v>
      </c>
      <c r="BN293" s="14">
        <f t="shared" si="178"/>
        <v>13680.469333859812</v>
      </c>
      <c r="BO293" s="15">
        <f t="shared" si="179"/>
        <v>13101.709113810331</v>
      </c>
      <c r="BP293" s="16">
        <v>13440</v>
      </c>
      <c r="BQ293" s="16">
        <v>13445</v>
      </c>
      <c r="BR293" s="16">
        <v>13430</v>
      </c>
      <c r="BS293" s="16">
        <v>13435</v>
      </c>
      <c r="BT293" s="16">
        <v>57807</v>
      </c>
      <c r="BU293" s="15">
        <f t="shared" si="168"/>
        <v>13436.666666666666</v>
      </c>
      <c r="BV293" s="15">
        <f t="shared" si="169"/>
        <v>776733390</v>
      </c>
      <c r="BW293" s="15">
        <f>SUM($BV$3:BV293)</f>
        <v>243323864891.66663</v>
      </c>
      <c r="BX293" s="15">
        <f>SUM($BT$3:BT293)</f>
        <v>17966920</v>
      </c>
      <c r="BY293" s="15">
        <f t="shared" si="170"/>
        <v>13542.881300282221</v>
      </c>
      <c r="BZ293" s="3">
        <v>291</v>
      </c>
      <c r="CA293" s="3">
        <f t="shared" si="171"/>
        <v>0</v>
      </c>
      <c r="CB293" s="3">
        <f t="shared" si="172"/>
        <v>0</v>
      </c>
      <c r="CC293" s="3">
        <f t="shared" si="173"/>
        <v>0</v>
      </c>
      <c r="CD293" s="3" t="str">
        <f t="shared" si="174"/>
        <v/>
      </c>
      <c r="CE293" s="3">
        <f t="shared" si="175"/>
        <v>0</v>
      </c>
    </row>
    <row r="294" spans="1:83" x14ac:dyDescent="0.3">
      <c r="A294" s="3" t="s">
        <v>334</v>
      </c>
      <c r="B294" s="3">
        <v>11655</v>
      </c>
      <c r="C294" s="3">
        <v>11665</v>
      </c>
      <c r="D294" s="3">
        <v>11555</v>
      </c>
      <c r="E294" s="3">
        <v>11550</v>
      </c>
      <c r="F294" s="3">
        <v>11535</v>
      </c>
      <c r="G294" s="3">
        <v>11535</v>
      </c>
      <c r="H294" s="3">
        <v>11495</v>
      </c>
      <c r="I294" s="3">
        <v>11490</v>
      </c>
      <c r="J294" s="3">
        <v>11885</v>
      </c>
      <c r="K294" s="3">
        <v>11895</v>
      </c>
      <c r="L294" s="3">
        <v>12020</v>
      </c>
      <c r="M294" s="3">
        <v>12035</v>
      </c>
      <c r="N294" s="3">
        <v>12615</v>
      </c>
      <c r="O294" s="3">
        <v>12620</v>
      </c>
      <c r="P294" s="3">
        <v>12450</v>
      </c>
      <c r="Q294" s="3">
        <v>12440</v>
      </c>
      <c r="R294" s="3">
        <v>12535</v>
      </c>
      <c r="S294" s="3">
        <v>12535</v>
      </c>
      <c r="T294" s="3">
        <v>12170</v>
      </c>
      <c r="U294" s="3">
        <v>12175</v>
      </c>
      <c r="V294" s="3">
        <v>12715</v>
      </c>
      <c r="W294" s="3">
        <v>12705</v>
      </c>
      <c r="X294" s="3">
        <v>12645</v>
      </c>
      <c r="Y294" s="3">
        <v>12650</v>
      </c>
      <c r="Z294" s="3">
        <v>12720</v>
      </c>
      <c r="AA294" s="3">
        <v>12720</v>
      </c>
      <c r="AB294" s="3">
        <v>13215</v>
      </c>
      <c r="AC294" s="3">
        <v>13240</v>
      </c>
      <c r="AD294" s="3">
        <v>13305</v>
      </c>
      <c r="AE294" s="3">
        <v>13315</v>
      </c>
      <c r="AF294" s="3">
        <v>13855</v>
      </c>
      <c r="AG294" s="3">
        <v>13845</v>
      </c>
      <c r="AH294" s="3">
        <v>13900</v>
      </c>
      <c r="AI294" s="3">
        <v>13910</v>
      </c>
      <c r="AJ294" s="3">
        <v>13745</v>
      </c>
      <c r="AK294" s="3">
        <v>13720</v>
      </c>
      <c r="AL294" s="3">
        <v>13660</v>
      </c>
      <c r="AM294" s="3">
        <v>13660</v>
      </c>
      <c r="AN294" s="3">
        <v>13400</v>
      </c>
      <c r="AO294" s="3">
        <v>13405</v>
      </c>
      <c r="AP294" s="3">
        <v>13435</v>
      </c>
      <c r="AQ294" s="3">
        <v>13460</v>
      </c>
      <c r="AR294" s="4">
        <f t="shared" si="176"/>
        <v>1.1708586296617529E-2</v>
      </c>
      <c r="AS294" s="4">
        <f t="shared" si="148"/>
        <v>0</v>
      </c>
      <c r="AT294" s="4">
        <f t="shared" si="149"/>
        <v>1.5404929577464754E-2</v>
      </c>
      <c r="AU294" s="4">
        <f t="shared" si="150"/>
        <v>2.4617996604414216E-2</v>
      </c>
      <c r="AV294" s="4">
        <f t="shared" si="151"/>
        <v>1.7536355859709252E-2</v>
      </c>
      <c r="AW294" s="4">
        <f t="shared" si="152"/>
        <v>1.4755480607082649E-2</v>
      </c>
      <c r="AX294" s="4">
        <f t="shared" si="153"/>
        <v>4.1683862979777109E-2</v>
      </c>
      <c r="AY294" s="4">
        <f t="shared" si="154"/>
        <v>2.6604068857590035E-2</v>
      </c>
      <c r="AZ294" s="4">
        <f t="shared" si="155"/>
        <v>7.9713033080908158E-4</v>
      </c>
      <c r="BA294" s="4">
        <f t="shared" si="156"/>
        <v>1.6161616161616155E-2</v>
      </c>
      <c r="BB294" s="4">
        <f t="shared" si="157"/>
        <v>2.9995946493717174E-2</v>
      </c>
      <c r="BC294" s="4">
        <f t="shared" si="158"/>
        <v>1.1871784724970524E-3</v>
      </c>
      <c r="BD294" s="4">
        <f t="shared" si="159"/>
        <v>9.3457943925233655E-3</v>
      </c>
      <c r="BE294" s="4">
        <f t="shared" si="160"/>
        <v>2.121095256459693E-2</v>
      </c>
      <c r="BF294" s="4">
        <f t="shared" si="161"/>
        <v>1.7188693659281995E-2</v>
      </c>
      <c r="BG294" s="4">
        <f t="shared" si="162"/>
        <v>3.8245219347581516E-2</v>
      </c>
      <c r="BH294" s="4">
        <f t="shared" si="163"/>
        <v>0</v>
      </c>
      <c r="BI294" s="4">
        <f t="shared" si="164"/>
        <v>1.1171171171171168E-2</v>
      </c>
      <c r="BJ294" s="4">
        <f t="shared" si="165"/>
        <v>4.3731778425656342E-3</v>
      </c>
      <c r="BK294" s="4">
        <f t="shared" si="166"/>
        <v>2.0460358056266004E-2</v>
      </c>
      <c r="BL294" s="4">
        <f t="shared" si="167"/>
        <v>3.7160906726119158E-4</v>
      </c>
      <c r="BM294" s="4">
        <f t="shared" si="177"/>
        <v>1.7030369309285229E-2</v>
      </c>
      <c r="BN294" s="14">
        <f t="shared" si="178"/>
        <v>13684.143619056433</v>
      </c>
      <c r="BO294" s="15">
        <f t="shared" si="179"/>
        <v>13098.070328953774</v>
      </c>
      <c r="BP294" s="16">
        <v>13435</v>
      </c>
      <c r="BQ294" s="16">
        <v>13460</v>
      </c>
      <c r="BR294" s="16">
        <v>13435</v>
      </c>
      <c r="BS294" s="16">
        <v>13460</v>
      </c>
      <c r="BT294" s="16">
        <v>38789</v>
      </c>
      <c r="BU294" s="15">
        <f t="shared" si="168"/>
        <v>13451.666666666666</v>
      </c>
      <c r="BV294" s="15">
        <f t="shared" si="169"/>
        <v>521776698.33333331</v>
      </c>
      <c r="BW294" s="15">
        <f>SUM($BV$3:BV294)</f>
        <v>243845641589.99997</v>
      </c>
      <c r="BX294" s="15">
        <f>SUM($BT$3:BT294)</f>
        <v>18005709</v>
      </c>
      <c r="BY294" s="15">
        <f t="shared" si="170"/>
        <v>13542.684800137555</v>
      </c>
      <c r="BZ294" s="3">
        <v>292</v>
      </c>
      <c r="CA294" s="3">
        <f t="shared" si="171"/>
        <v>0</v>
      </c>
      <c r="CB294" s="3">
        <f t="shared" si="172"/>
        <v>0</v>
      </c>
      <c r="CC294" s="3">
        <f t="shared" si="173"/>
        <v>0</v>
      </c>
      <c r="CD294" s="3" t="str">
        <f t="shared" si="174"/>
        <v/>
      </c>
      <c r="CE294" s="3">
        <f t="shared" si="175"/>
        <v>0</v>
      </c>
    </row>
    <row r="295" spans="1:83" x14ac:dyDescent="0.3">
      <c r="A295" s="3" t="s">
        <v>335</v>
      </c>
      <c r="B295" s="3">
        <v>11670</v>
      </c>
      <c r="C295" s="3">
        <v>11670</v>
      </c>
      <c r="D295" s="3">
        <v>11550</v>
      </c>
      <c r="E295" s="3">
        <v>11555</v>
      </c>
      <c r="F295" s="3">
        <v>11535</v>
      </c>
      <c r="G295" s="3">
        <v>11545</v>
      </c>
      <c r="H295" s="3">
        <v>11495</v>
      </c>
      <c r="I295" s="3">
        <v>11490</v>
      </c>
      <c r="J295" s="3">
        <v>11890</v>
      </c>
      <c r="K295" s="3">
        <v>11885</v>
      </c>
      <c r="L295" s="3">
        <v>12030</v>
      </c>
      <c r="M295" s="3">
        <v>12030</v>
      </c>
      <c r="N295" s="3">
        <v>12625</v>
      </c>
      <c r="O295" s="3">
        <v>12630</v>
      </c>
      <c r="P295" s="3">
        <v>12445</v>
      </c>
      <c r="Q295" s="3">
        <v>12465</v>
      </c>
      <c r="R295" s="3">
        <v>12535</v>
      </c>
      <c r="S295" s="3">
        <v>12530</v>
      </c>
      <c r="T295" s="3">
        <v>12175</v>
      </c>
      <c r="U295" s="3">
        <v>12165</v>
      </c>
      <c r="V295" s="3">
        <v>12710</v>
      </c>
      <c r="W295" s="3">
        <v>12690</v>
      </c>
      <c r="X295" s="3">
        <v>12650</v>
      </c>
      <c r="Y295" s="3">
        <v>12635</v>
      </c>
      <c r="Z295" s="3">
        <v>12720</v>
      </c>
      <c r="AA295" s="3">
        <v>12715</v>
      </c>
      <c r="AB295" s="3">
        <v>13240</v>
      </c>
      <c r="AC295" s="3">
        <v>13230</v>
      </c>
      <c r="AD295" s="3">
        <v>13315</v>
      </c>
      <c r="AE295" s="3">
        <v>13325</v>
      </c>
      <c r="AF295" s="3">
        <v>13840</v>
      </c>
      <c r="AG295" s="3">
        <v>13840</v>
      </c>
      <c r="AH295" s="3">
        <v>13910</v>
      </c>
      <c r="AI295" s="3">
        <v>13895</v>
      </c>
      <c r="AJ295" s="3">
        <v>13725</v>
      </c>
      <c r="AK295" s="3">
        <v>13700</v>
      </c>
      <c r="AL295" s="3">
        <v>13655</v>
      </c>
      <c r="AM295" s="3">
        <v>13655</v>
      </c>
      <c r="AN295" s="3">
        <v>13405</v>
      </c>
      <c r="AO295" s="3">
        <v>13420</v>
      </c>
      <c r="AP295" s="3">
        <v>13460</v>
      </c>
      <c r="AQ295" s="3">
        <v>13465</v>
      </c>
      <c r="AR295" s="4">
        <f t="shared" si="176"/>
        <v>1.2142237640936582E-2</v>
      </c>
      <c r="AS295" s="4">
        <f t="shared" si="148"/>
        <v>4.3290043290045155E-4</v>
      </c>
      <c r="AT295" s="4">
        <f t="shared" si="149"/>
        <v>1.6285211267605737E-2</v>
      </c>
      <c r="AU295" s="4">
        <f t="shared" si="150"/>
        <v>2.4617996604414216E-2</v>
      </c>
      <c r="AV295" s="4">
        <f t="shared" si="151"/>
        <v>1.6680923866552622E-2</v>
      </c>
      <c r="AW295" s="4">
        <f t="shared" si="152"/>
        <v>1.4333895446880351E-2</v>
      </c>
      <c r="AX295" s="4">
        <f t="shared" si="153"/>
        <v>4.2509286009079661E-2</v>
      </c>
      <c r="AY295" s="4">
        <f t="shared" si="154"/>
        <v>2.4647887323943629E-2</v>
      </c>
      <c r="AZ295" s="4">
        <f t="shared" si="155"/>
        <v>1.1956954962136779E-3</v>
      </c>
      <c r="BA295" s="4">
        <f t="shared" si="156"/>
        <v>1.6969696969696968E-2</v>
      </c>
      <c r="BB295" s="4">
        <f t="shared" si="157"/>
        <v>2.8779894608836676E-2</v>
      </c>
      <c r="BC295" s="4">
        <f t="shared" si="158"/>
        <v>0</v>
      </c>
      <c r="BD295" s="4">
        <f t="shared" si="159"/>
        <v>9.7352024922118252E-3</v>
      </c>
      <c r="BE295" s="4">
        <f t="shared" si="160"/>
        <v>2.0439645198611744E-2</v>
      </c>
      <c r="BF295" s="4">
        <f t="shared" si="161"/>
        <v>1.79526355996944E-2</v>
      </c>
      <c r="BG295" s="4">
        <f t="shared" si="162"/>
        <v>3.7870266216722959E-2</v>
      </c>
      <c r="BH295" s="4">
        <f t="shared" si="163"/>
        <v>1.0783608914449738E-3</v>
      </c>
      <c r="BI295" s="4">
        <f t="shared" si="164"/>
        <v>1.2612612612612595E-2</v>
      </c>
      <c r="BJ295" s="4">
        <f t="shared" si="165"/>
        <v>4.737609329446113E-3</v>
      </c>
      <c r="BK295" s="4">
        <f t="shared" si="166"/>
        <v>1.9364267446108863E-2</v>
      </c>
      <c r="BL295" s="4">
        <f t="shared" si="167"/>
        <v>7.4321813452238317E-4</v>
      </c>
      <c r="BM295" s="4">
        <f t="shared" si="177"/>
        <v>1.6992361442473149E-2</v>
      </c>
      <c r="BN295" s="14">
        <f t="shared" si="178"/>
        <v>13683.632223208477</v>
      </c>
      <c r="BO295" s="15">
        <f t="shared" si="179"/>
        <v>13098.576783779044</v>
      </c>
      <c r="BP295" s="16">
        <v>13460</v>
      </c>
      <c r="BQ295" s="16">
        <v>13475</v>
      </c>
      <c r="BR295" s="16">
        <v>13455</v>
      </c>
      <c r="BS295" s="16">
        <v>13465</v>
      </c>
      <c r="BT295" s="16">
        <v>35730</v>
      </c>
      <c r="BU295" s="15">
        <f t="shared" si="168"/>
        <v>13465</v>
      </c>
      <c r="BV295" s="15">
        <f t="shared" si="169"/>
        <v>481104450</v>
      </c>
      <c r="BW295" s="15">
        <f>SUM($BV$3:BV295)</f>
        <v>244326746039.99997</v>
      </c>
      <c r="BX295" s="15">
        <f>SUM($BT$3:BT295)</f>
        <v>18041439</v>
      </c>
      <c r="BY295" s="15">
        <f t="shared" si="170"/>
        <v>13542.530949997945</v>
      </c>
      <c r="BZ295" s="3">
        <v>293</v>
      </c>
      <c r="CA295" s="3">
        <f t="shared" si="171"/>
        <v>0</v>
      </c>
      <c r="CB295" s="3">
        <f t="shared" si="172"/>
        <v>0</v>
      </c>
      <c r="CC295" s="3">
        <f t="shared" si="173"/>
        <v>0</v>
      </c>
      <c r="CD295" s="3" t="str">
        <f t="shared" si="174"/>
        <v/>
      </c>
      <c r="CE295" s="3">
        <f t="shared" si="175"/>
        <v>0</v>
      </c>
    </row>
    <row r="296" spans="1:83" x14ac:dyDescent="0.3">
      <c r="A296" s="3" t="s">
        <v>336</v>
      </c>
      <c r="B296" s="3">
        <v>11670</v>
      </c>
      <c r="C296" s="3">
        <v>11675</v>
      </c>
      <c r="D296" s="3">
        <v>11555</v>
      </c>
      <c r="E296" s="3">
        <v>11550</v>
      </c>
      <c r="F296" s="3">
        <v>11540</v>
      </c>
      <c r="G296" s="3">
        <v>11530</v>
      </c>
      <c r="H296" s="3">
        <v>11490</v>
      </c>
      <c r="I296" s="3">
        <v>11495</v>
      </c>
      <c r="J296" s="3">
        <v>11885</v>
      </c>
      <c r="K296" s="3">
        <v>11885</v>
      </c>
      <c r="L296" s="3">
        <v>12035</v>
      </c>
      <c r="M296" s="3">
        <v>12040</v>
      </c>
      <c r="N296" s="3">
        <v>12630</v>
      </c>
      <c r="O296" s="3">
        <v>12640</v>
      </c>
      <c r="P296" s="3">
        <v>12470</v>
      </c>
      <c r="Q296" s="3">
        <v>12480</v>
      </c>
      <c r="R296" s="3">
        <v>12530</v>
      </c>
      <c r="S296" s="3">
        <v>12535</v>
      </c>
      <c r="T296" s="3">
        <v>12165</v>
      </c>
      <c r="U296" s="3">
        <v>12160</v>
      </c>
      <c r="V296" s="3">
        <v>12690</v>
      </c>
      <c r="W296" s="3">
        <v>12700</v>
      </c>
      <c r="X296" s="3">
        <v>12640</v>
      </c>
      <c r="Y296" s="3">
        <v>12635</v>
      </c>
      <c r="Z296" s="3">
        <v>12720</v>
      </c>
      <c r="AA296" s="3">
        <v>12720</v>
      </c>
      <c r="AB296" s="3">
        <v>13225</v>
      </c>
      <c r="AC296" s="3">
        <v>13210</v>
      </c>
      <c r="AD296" s="3">
        <v>13325</v>
      </c>
      <c r="AE296" s="3">
        <v>13325</v>
      </c>
      <c r="AF296" s="3">
        <v>13845</v>
      </c>
      <c r="AG296" s="3">
        <v>13845</v>
      </c>
      <c r="AH296" s="3">
        <v>13895</v>
      </c>
      <c r="AI296" s="3">
        <v>13865</v>
      </c>
      <c r="AJ296" s="3">
        <v>13700</v>
      </c>
      <c r="AK296" s="3">
        <v>13705</v>
      </c>
      <c r="AL296" s="3">
        <v>13660</v>
      </c>
      <c r="AM296" s="3">
        <v>13650</v>
      </c>
      <c r="AN296" s="3">
        <v>13415</v>
      </c>
      <c r="AO296" s="3">
        <v>13420</v>
      </c>
      <c r="AP296" s="3">
        <v>13465</v>
      </c>
      <c r="AQ296" s="3">
        <v>13445</v>
      </c>
      <c r="AR296" s="4">
        <f t="shared" si="176"/>
        <v>1.2575888985255856E-2</v>
      </c>
      <c r="AS296" s="4">
        <f t="shared" si="148"/>
        <v>0</v>
      </c>
      <c r="AT296" s="4">
        <f t="shared" si="149"/>
        <v>1.4964788732394263E-2</v>
      </c>
      <c r="AU296" s="4">
        <f t="shared" si="150"/>
        <v>2.4193548387096753E-2</v>
      </c>
      <c r="AV296" s="4">
        <f t="shared" si="151"/>
        <v>1.6680923866552622E-2</v>
      </c>
      <c r="AW296" s="4">
        <f t="shared" si="152"/>
        <v>1.5177065767284947E-2</v>
      </c>
      <c r="AX296" s="4">
        <f t="shared" si="153"/>
        <v>4.3334709038382213E-2</v>
      </c>
      <c r="AY296" s="4">
        <f t="shared" si="154"/>
        <v>2.3474178403755874E-2</v>
      </c>
      <c r="AZ296" s="4">
        <f t="shared" si="155"/>
        <v>7.9713033080908158E-4</v>
      </c>
      <c r="BA296" s="4">
        <f t="shared" si="156"/>
        <v>1.7373737373737375E-2</v>
      </c>
      <c r="BB296" s="4">
        <f t="shared" si="157"/>
        <v>2.9590595865423674E-2</v>
      </c>
      <c r="BC296" s="4">
        <f t="shared" si="158"/>
        <v>0</v>
      </c>
      <c r="BD296" s="4">
        <f t="shared" si="159"/>
        <v>9.3457943925233655E-3</v>
      </c>
      <c r="BE296" s="4">
        <f t="shared" si="160"/>
        <v>1.8897030466640929E-2</v>
      </c>
      <c r="BF296" s="4">
        <f t="shared" si="161"/>
        <v>1.79526355996944E-2</v>
      </c>
      <c r="BG296" s="4">
        <f t="shared" si="162"/>
        <v>3.8245219347581516E-2</v>
      </c>
      <c r="BH296" s="4">
        <f t="shared" si="163"/>
        <v>3.2350826743350325E-3</v>
      </c>
      <c r="BI296" s="4">
        <f t="shared" si="164"/>
        <v>1.2252252252252238E-2</v>
      </c>
      <c r="BJ296" s="4">
        <f t="shared" si="165"/>
        <v>5.1020408163264808E-3</v>
      </c>
      <c r="BK296" s="4">
        <f t="shared" si="166"/>
        <v>1.9364267446108863E-2</v>
      </c>
      <c r="BL296" s="4">
        <f t="shared" si="167"/>
        <v>7.4321813452249419E-4</v>
      </c>
      <c r="BM296" s="4">
        <f t="shared" si="177"/>
        <v>1.7068905286255074E-2</v>
      </c>
      <c r="BN296" s="14">
        <f t="shared" si="178"/>
        <v>13684.662120626563</v>
      </c>
      <c r="BO296" s="15">
        <f t="shared" si="179"/>
        <v>13097.556837060651</v>
      </c>
      <c r="BP296" s="16">
        <v>13465</v>
      </c>
      <c r="BQ296" s="16">
        <v>13465</v>
      </c>
      <c r="BR296" s="16">
        <v>13445</v>
      </c>
      <c r="BS296" s="16">
        <v>13445</v>
      </c>
      <c r="BT296" s="16">
        <v>57155</v>
      </c>
      <c r="BU296" s="15">
        <f t="shared" si="168"/>
        <v>13451.666666666666</v>
      </c>
      <c r="BV296" s="15">
        <f t="shared" si="169"/>
        <v>768830008.33333325</v>
      </c>
      <c r="BW296" s="15">
        <f>SUM($BV$3:BV296)</f>
        <v>245095576048.33331</v>
      </c>
      <c r="BX296" s="15">
        <f>SUM($BT$3:BT296)</f>
        <v>18098594</v>
      </c>
      <c r="BY296" s="15">
        <f t="shared" si="170"/>
        <v>13542.244002397827</v>
      </c>
      <c r="BZ296" s="3">
        <v>294</v>
      </c>
      <c r="CA296" s="3">
        <f t="shared" si="171"/>
        <v>0</v>
      </c>
      <c r="CB296" s="3">
        <f t="shared" si="172"/>
        <v>0</v>
      </c>
      <c r="CC296" s="3">
        <f t="shared" si="173"/>
        <v>0</v>
      </c>
      <c r="CD296" s="3" t="str">
        <f t="shared" si="174"/>
        <v/>
      </c>
      <c r="CE296" s="3">
        <f t="shared" si="175"/>
        <v>0</v>
      </c>
    </row>
    <row r="297" spans="1:83" x14ac:dyDescent="0.3">
      <c r="A297" s="3" t="s">
        <v>337</v>
      </c>
      <c r="B297" s="3">
        <v>11675</v>
      </c>
      <c r="C297" s="3">
        <v>11670</v>
      </c>
      <c r="D297" s="3">
        <v>11550</v>
      </c>
      <c r="E297" s="3">
        <v>11535</v>
      </c>
      <c r="F297" s="3">
        <v>11530</v>
      </c>
      <c r="G297" s="3">
        <v>11515</v>
      </c>
      <c r="H297" s="3">
        <v>11495</v>
      </c>
      <c r="I297" s="3">
        <v>11500</v>
      </c>
      <c r="J297" s="3">
        <v>11885</v>
      </c>
      <c r="K297" s="3">
        <v>11885</v>
      </c>
      <c r="L297" s="3">
        <v>12040</v>
      </c>
      <c r="M297" s="3">
        <v>12045</v>
      </c>
      <c r="N297" s="3">
        <v>12640</v>
      </c>
      <c r="O297" s="3">
        <v>12645</v>
      </c>
      <c r="P297" s="3">
        <v>12475</v>
      </c>
      <c r="Q297" s="3">
        <v>12500</v>
      </c>
      <c r="R297" s="3">
        <v>12535</v>
      </c>
      <c r="S297" s="3">
        <v>12540</v>
      </c>
      <c r="T297" s="3">
        <v>12160</v>
      </c>
      <c r="U297" s="3">
        <v>12160</v>
      </c>
      <c r="V297" s="3">
        <v>12700</v>
      </c>
      <c r="W297" s="3">
        <v>12685</v>
      </c>
      <c r="X297" s="3">
        <v>12640</v>
      </c>
      <c r="Y297" s="3">
        <v>12630</v>
      </c>
      <c r="Z297" s="3">
        <v>12720</v>
      </c>
      <c r="AA297" s="3">
        <v>12725</v>
      </c>
      <c r="AB297" s="3">
        <v>13215</v>
      </c>
      <c r="AC297" s="3">
        <v>13230</v>
      </c>
      <c r="AD297" s="3">
        <v>13325</v>
      </c>
      <c r="AE297" s="3">
        <v>13340</v>
      </c>
      <c r="AF297" s="3">
        <v>13840</v>
      </c>
      <c r="AG297" s="3">
        <v>13845</v>
      </c>
      <c r="AH297" s="3">
        <v>13865</v>
      </c>
      <c r="AI297" s="3">
        <v>13865</v>
      </c>
      <c r="AJ297" s="3">
        <v>13710</v>
      </c>
      <c r="AK297" s="3">
        <v>13700</v>
      </c>
      <c r="AL297" s="3">
        <v>13655</v>
      </c>
      <c r="AM297" s="3">
        <v>13655</v>
      </c>
      <c r="AN297" s="3">
        <v>13415</v>
      </c>
      <c r="AO297" s="3">
        <v>13400</v>
      </c>
      <c r="AP297" s="3">
        <v>13450</v>
      </c>
      <c r="AQ297" s="3">
        <v>13455</v>
      </c>
      <c r="AR297" s="4">
        <f t="shared" si="176"/>
        <v>1.2142237640936582E-2</v>
      </c>
      <c r="AS297" s="4">
        <f t="shared" si="148"/>
        <v>1.2987012987012436E-3</v>
      </c>
      <c r="AT297" s="4">
        <f t="shared" si="149"/>
        <v>1.3644366197183011E-2</v>
      </c>
      <c r="AU297" s="4">
        <f t="shared" si="150"/>
        <v>2.3769100169779289E-2</v>
      </c>
      <c r="AV297" s="4">
        <f t="shared" si="151"/>
        <v>1.6680923866552622E-2</v>
      </c>
      <c r="AW297" s="4">
        <f t="shared" si="152"/>
        <v>1.5598650927487245E-2</v>
      </c>
      <c r="AX297" s="4">
        <f t="shared" si="153"/>
        <v>4.3747420553033489E-2</v>
      </c>
      <c r="AY297" s="4">
        <f t="shared" si="154"/>
        <v>2.1909233176838794E-2</v>
      </c>
      <c r="AZ297" s="4">
        <f t="shared" si="155"/>
        <v>3.985651654045963E-4</v>
      </c>
      <c r="BA297" s="4">
        <f t="shared" si="156"/>
        <v>1.7373737373737375E-2</v>
      </c>
      <c r="BB297" s="4">
        <f t="shared" si="157"/>
        <v>2.8374543980543177E-2</v>
      </c>
      <c r="BC297" s="4">
        <f t="shared" si="158"/>
        <v>3.9572615749905449E-4</v>
      </c>
      <c r="BD297" s="4">
        <f t="shared" si="159"/>
        <v>8.9563862928349058E-3</v>
      </c>
      <c r="BE297" s="4">
        <f t="shared" si="160"/>
        <v>2.0439645198611744E-2</v>
      </c>
      <c r="BF297" s="4">
        <f t="shared" si="161"/>
        <v>1.9098548510313229E-2</v>
      </c>
      <c r="BG297" s="4">
        <f t="shared" si="162"/>
        <v>3.8245219347581516E-2</v>
      </c>
      <c r="BH297" s="4">
        <f t="shared" si="163"/>
        <v>3.2350826743350325E-3</v>
      </c>
      <c r="BI297" s="4">
        <f t="shared" si="164"/>
        <v>1.2612612612612595E-2</v>
      </c>
      <c r="BJ297" s="4">
        <f t="shared" si="165"/>
        <v>4.737609329446113E-3</v>
      </c>
      <c r="BK297" s="4">
        <f t="shared" si="166"/>
        <v>2.0825721592985014E-2</v>
      </c>
      <c r="BL297" s="4">
        <f t="shared" si="167"/>
        <v>0</v>
      </c>
      <c r="BM297" s="4">
        <f t="shared" si="177"/>
        <v>1.716786085469833E-2</v>
      </c>
      <c r="BN297" s="14">
        <f t="shared" si="178"/>
        <v>13685.993567799966</v>
      </c>
      <c r="BO297" s="15">
        <f t="shared" si="179"/>
        <v>13096.238254111144</v>
      </c>
      <c r="BP297" s="16">
        <v>13450</v>
      </c>
      <c r="BQ297" s="16">
        <v>13455</v>
      </c>
      <c r="BR297" s="16">
        <v>13450</v>
      </c>
      <c r="BS297" s="16">
        <v>13455</v>
      </c>
      <c r="BT297" s="16">
        <v>9159</v>
      </c>
      <c r="BU297" s="15">
        <f t="shared" si="168"/>
        <v>13453.333333333334</v>
      </c>
      <c r="BV297" s="15">
        <f t="shared" si="169"/>
        <v>123219080</v>
      </c>
      <c r="BW297" s="15">
        <f>SUM($BV$3:BV297)</f>
        <v>245218795128.33331</v>
      </c>
      <c r="BX297" s="15">
        <f>SUM($BT$3:BT297)</f>
        <v>18107753</v>
      </c>
      <c r="BY297" s="15">
        <f t="shared" si="170"/>
        <v>13542.199030897611</v>
      </c>
      <c r="BZ297" s="3">
        <v>295</v>
      </c>
      <c r="CA297" s="3">
        <f t="shared" si="171"/>
        <v>0</v>
      </c>
      <c r="CB297" s="3">
        <f t="shared" si="172"/>
        <v>0</v>
      </c>
      <c r="CC297" s="3">
        <f t="shared" si="173"/>
        <v>0</v>
      </c>
      <c r="CD297" s="3" t="str">
        <f t="shared" si="174"/>
        <v/>
      </c>
      <c r="CE297" s="3">
        <f t="shared" si="175"/>
        <v>0</v>
      </c>
    </row>
    <row r="298" spans="1:83" x14ac:dyDescent="0.3">
      <c r="A298" s="3" t="s">
        <v>338</v>
      </c>
      <c r="B298" s="3">
        <v>11670</v>
      </c>
      <c r="C298" s="3">
        <v>11680</v>
      </c>
      <c r="D298" s="3">
        <v>11535</v>
      </c>
      <c r="E298" s="3">
        <v>11535</v>
      </c>
      <c r="F298" s="3">
        <v>11515</v>
      </c>
      <c r="G298" s="3">
        <v>11500</v>
      </c>
      <c r="H298" s="3">
        <v>11505</v>
      </c>
      <c r="I298" s="3">
        <v>11510</v>
      </c>
      <c r="J298" s="3">
        <v>11885</v>
      </c>
      <c r="K298" s="3">
        <v>11895</v>
      </c>
      <c r="L298" s="3">
        <v>12045</v>
      </c>
      <c r="M298" s="3">
        <v>12050</v>
      </c>
      <c r="N298" s="3">
        <v>12650</v>
      </c>
      <c r="O298" s="3">
        <v>12645</v>
      </c>
      <c r="P298" s="3">
        <v>12500</v>
      </c>
      <c r="Q298" s="3">
        <v>12495</v>
      </c>
      <c r="R298" s="3">
        <v>12540</v>
      </c>
      <c r="S298" s="3">
        <v>12550</v>
      </c>
      <c r="T298" s="3">
        <v>12160</v>
      </c>
      <c r="U298" s="3">
        <v>12145</v>
      </c>
      <c r="V298" s="3">
        <v>12685</v>
      </c>
      <c r="W298" s="3">
        <v>12700</v>
      </c>
      <c r="X298" s="3">
        <v>12630</v>
      </c>
      <c r="Y298" s="3">
        <v>12645</v>
      </c>
      <c r="Z298" s="3">
        <v>12725</v>
      </c>
      <c r="AA298" s="3">
        <v>12720</v>
      </c>
      <c r="AB298" s="3">
        <v>13225</v>
      </c>
      <c r="AC298" s="3">
        <v>13210</v>
      </c>
      <c r="AD298" s="3">
        <v>13335</v>
      </c>
      <c r="AE298" s="3">
        <v>13340</v>
      </c>
      <c r="AF298" s="3">
        <v>13845</v>
      </c>
      <c r="AG298" s="3">
        <v>13845</v>
      </c>
      <c r="AH298" s="3">
        <v>13865</v>
      </c>
      <c r="AI298" s="3">
        <v>13860</v>
      </c>
      <c r="AJ298" s="3">
        <v>13700</v>
      </c>
      <c r="AK298" s="3">
        <v>13730</v>
      </c>
      <c r="AL298" s="3">
        <v>13655</v>
      </c>
      <c r="AM298" s="3">
        <v>13650</v>
      </c>
      <c r="AN298" s="3">
        <v>13410</v>
      </c>
      <c r="AO298" s="3">
        <v>13405</v>
      </c>
      <c r="AP298" s="3">
        <v>13460</v>
      </c>
      <c r="AQ298" s="3">
        <v>13450</v>
      </c>
      <c r="AR298" s="4">
        <f t="shared" si="176"/>
        <v>1.3009540329575131E-2</v>
      </c>
      <c r="AS298" s="4">
        <f t="shared" si="148"/>
        <v>1.2987012987012436E-3</v>
      </c>
      <c r="AT298" s="4">
        <f t="shared" si="149"/>
        <v>1.2323943661971759E-2</v>
      </c>
      <c r="AU298" s="4">
        <f t="shared" si="150"/>
        <v>2.2920203735144362E-2</v>
      </c>
      <c r="AV298" s="4">
        <f t="shared" si="151"/>
        <v>1.7536355859709252E-2</v>
      </c>
      <c r="AW298" s="4">
        <f t="shared" si="152"/>
        <v>1.6020236087689765E-2</v>
      </c>
      <c r="AX298" s="4">
        <f t="shared" si="153"/>
        <v>4.3747420553033489E-2</v>
      </c>
      <c r="AY298" s="4">
        <f t="shared" si="154"/>
        <v>2.2300469483568119E-2</v>
      </c>
      <c r="AZ298" s="4">
        <f t="shared" si="155"/>
        <v>3.985651654045963E-4</v>
      </c>
      <c r="BA298" s="4">
        <f t="shared" si="156"/>
        <v>1.8585858585858595E-2</v>
      </c>
      <c r="BB298" s="4">
        <f t="shared" si="157"/>
        <v>2.9590595865423674E-2</v>
      </c>
      <c r="BC298" s="4">
        <f t="shared" si="158"/>
        <v>7.9145231499810897E-4</v>
      </c>
      <c r="BD298" s="4">
        <f t="shared" si="159"/>
        <v>9.3457943925233655E-3</v>
      </c>
      <c r="BE298" s="4">
        <f t="shared" si="160"/>
        <v>1.8897030466640929E-2</v>
      </c>
      <c r="BF298" s="4">
        <f t="shared" si="161"/>
        <v>1.9098548510313229E-2</v>
      </c>
      <c r="BG298" s="4">
        <f t="shared" si="162"/>
        <v>3.8245219347581516E-2</v>
      </c>
      <c r="BH298" s="4">
        <f t="shared" si="163"/>
        <v>3.5945363048166534E-3</v>
      </c>
      <c r="BI298" s="4">
        <f t="shared" si="164"/>
        <v>1.0450450450450455E-2</v>
      </c>
      <c r="BJ298" s="4">
        <f t="shared" si="165"/>
        <v>5.1020408163264808E-3</v>
      </c>
      <c r="BK298" s="4">
        <f t="shared" si="166"/>
        <v>2.0460358056266004E-2</v>
      </c>
      <c r="BL298" s="4">
        <f t="shared" si="167"/>
        <v>3.7160906726119158E-4</v>
      </c>
      <c r="BM298" s="4">
        <f t="shared" si="177"/>
        <v>1.7186310022371802E-2</v>
      </c>
      <c r="BN298" s="14">
        <f t="shared" si="178"/>
        <v>13686.241801351011</v>
      </c>
      <c r="BO298" s="15">
        <f t="shared" si="179"/>
        <v>13095.992418951895</v>
      </c>
      <c r="BP298" s="16">
        <v>13460</v>
      </c>
      <c r="BQ298" s="16">
        <v>13465</v>
      </c>
      <c r="BR298" s="16">
        <v>13450</v>
      </c>
      <c r="BS298" s="16">
        <v>13450</v>
      </c>
      <c r="BT298" s="16">
        <v>13481</v>
      </c>
      <c r="BU298" s="15">
        <f t="shared" si="168"/>
        <v>13455</v>
      </c>
      <c r="BV298" s="15">
        <f t="shared" si="169"/>
        <v>181386855</v>
      </c>
      <c r="BW298" s="15">
        <f>SUM($BV$3:BV298)</f>
        <v>245400181983.33331</v>
      </c>
      <c r="BX298" s="15">
        <f>SUM($BT$3:BT298)</f>
        <v>18121234</v>
      </c>
      <c r="BY298" s="15">
        <f t="shared" si="170"/>
        <v>13542.134160583839</v>
      </c>
      <c r="BZ298" s="3">
        <v>296</v>
      </c>
      <c r="CA298" s="3">
        <f t="shared" si="171"/>
        <v>0</v>
      </c>
      <c r="CB298" s="3">
        <f t="shared" si="172"/>
        <v>0</v>
      </c>
      <c r="CC298" s="3">
        <f t="shared" si="173"/>
        <v>0</v>
      </c>
      <c r="CD298" s="3" t="str">
        <f t="shared" si="174"/>
        <v/>
      </c>
      <c r="CE298" s="3">
        <f t="shared" si="175"/>
        <v>0</v>
      </c>
    </row>
    <row r="299" spans="1:83" x14ac:dyDescent="0.3">
      <c r="A299" s="3" t="s">
        <v>339</v>
      </c>
      <c r="B299" s="3">
        <v>11685</v>
      </c>
      <c r="C299" s="3">
        <v>11670</v>
      </c>
      <c r="D299" s="3">
        <v>11535</v>
      </c>
      <c r="E299" s="3">
        <v>11525</v>
      </c>
      <c r="F299" s="3">
        <v>11500</v>
      </c>
      <c r="G299" s="3">
        <v>11505</v>
      </c>
      <c r="H299" s="3">
        <v>11515</v>
      </c>
      <c r="I299" s="3">
        <v>11510</v>
      </c>
      <c r="J299" s="3">
        <v>11895</v>
      </c>
      <c r="K299" s="3">
        <v>11895</v>
      </c>
      <c r="L299" s="3">
        <v>12050</v>
      </c>
      <c r="M299" s="3">
        <v>12040</v>
      </c>
      <c r="N299" s="3">
        <v>12645</v>
      </c>
      <c r="O299" s="3">
        <v>12640</v>
      </c>
      <c r="P299" s="3">
        <v>12495</v>
      </c>
      <c r="Q299" s="3">
        <v>12485</v>
      </c>
      <c r="R299" s="3">
        <v>12550</v>
      </c>
      <c r="S299" s="3">
        <v>12555</v>
      </c>
      <c r="T299" s="3">
        <v>12150</v>
      </c>
      <c r="U299" s="3">
        <v>12165</v>
      </c>
      <c r="V299" s="3">
        <v>12700</v>
      </c>
      <c r="W299" s="3">
        <v>12700</v>
      </c>
      <c r="X299" s="3">
        <v>12645</v>
      </c>
      <c r="Y299" s="3">
        <v>12640</v>
      </c>
      <c r="Z299" s="3">
        <v>12715</v>
      </c>
      <c r="AA299" s="3">
        <v>12710</v>
      </c>
      <c r="AB299" s="3">
        <v>13210</v>
      </c>
      <c r="AC299" s="3">
        <v>13195</v>
      </c>
      <c r="AD299" s="3">
        <v>13340</v>
      </c>
      <c r="AE299" s="3">
        <v>13340</v>
      </c>
      <c r="AF299" s="3">
        <v>13850</v>
      </c>
      <c r="AG299" s="3">
        <v>13860</v>
      </c>
      <c r="AH299" s="3">
        <v>13855</v>
      </c>
      <c r="AI299" s="3">
        <v>13865</v>
      </c>
      <c r="AJ299" s="3">
        <v>13735</v>
      </c>
      <c r="AK299" s="3">
        <v>13720</v>
      </c>
      <c r="AL299" s="3">
        <v>13655</v>
      </c>
      <c r="AM299" s="3">
        <v>13660</v>
      </c>
      <c r="AN299" s="3">
        <v>13405</v>
      </c>
      <c r="AO299" s="3">
        <v>13400</v>
      </c>
      <c r="AP299" s="3">
        <v>13455</v>
      </c>
      <c r="AQ299" s="3">
        <v>13460</v>
      </c>
      <c r="AR299" s="4">
        <f t="shared" si="176"/>
        <v>1.2142237640936582E-2</v>
      </c>
      <c r="AS299" s="4">
        <f t="shared" si="148"/>
        <v>2.1645021645021467E-3</v>
      </c>
      <c r="AT299" s="4">
        <f t="shared" si="149"/>
        <v>1.276408450704225E-2</v>
      </c>
      <c r="AU299" s="4">
        <f t="shared" si="150"/>
        <v>2.2920203735144362E-2</v>
      </c>
      <c r="AV299" s="4">
        <f t="shared" si="151"/>
        <v>1.7536355859709252E-2</v>
      </c>
      <c r="AW299" s="4">
        <f t="shared" si="152"/>
        <v>1.5177065767284947E-2</v>
      </c>
      <c r="AX299" s="4">
        <f t="shared" si="153"/>
        <v>4.3334709038382213E-2</v>
      </c>
      <c r="AY299" s="4">
        <f t="shared" si="154"/>
        <v>2.3082942097026549E-2</v>
      </c>
      <c r="AZ299" s="4">
        <f t="shared" si="155"/>
        <v>7.971303308091926E-4</v>
      </c>
      <c r="BA299" s="4">
        <f t="shared" si="156"/>
        <v>1.6969696969696968E-2</v>
      </c>
      <c r="BB299" s="4">
        <f t="shared" si="157"/>
        <v>2.9590595865423674E-2</v>
      </c>
      <c r="BC299" s="4">
        <f t="shared" si="158"/>
        <v>3.9572615749894346E-4</v>
      </c>
      <c r="BD299" s="4">
        <f t="shared" si="159"/>
        <v>1.0124610591900285E-2</v>
      </c>
      <c r="BE299" s="4">
        <f t="shared" si="160"/>
        <v>1.774006941766304E-2</v>
      </c>
      <c r="BF299" s="4">
        <f t="shared" si="161"/>
        <v>1.9098548510313229E-2</v>
      </c>
      <c r="BG299" s="4">
        <f t="shared" si="162"/>
        <v>3.937007874015741E-2</v>
      </c>
      <c r="BH299" s="4">
        <f t="shared" si="163"/>
        <v>3.2350826743350325E-3</v>
      </c>
      <c r="BI299" s="4">
        <f t="shared" si="164"/>
        <v>1.1171171171171168E-2</v>
      </c>
      <c r="BJ299" s="4">
        <f t="shared" si="165"/>
        <v>4.3731778425656342E-3</v>
      </c>
      <c r="BK299" s="4">
        <f t="shared" si="166"/>
        <v>2.0825721592985014E-2</v>
      </c>
      <c r="BL299" s="4">
        <f t="shared" si="167"/>
        <v>3.7160906726119158E-4</v>
      </c>
      <c r="BM299" s="4">
        <f t="shared" si="177"/>
        <v>1.7150661499994883E-2</v>
      </c>
      <c r="BN299" s="14">
        <f t="shared" si="178"/>
        <v>13685.762150482429</v>
      </c>
      <c r="BO299" s="15">
        <f t="shared" si="179"/>
        <v>13096.467435512568</v>
      </c>
      <c r="BP299" s="16">
        <v>13455</v>
      </c>
      <c r="BQ299" s="16">
        <v>13460</v>
      </c>
      <c r="BR299" s="16">
        <v>13455</v>
      </c>
      <c r="BS299" s="16">
        <v>13460</v>
      </c>
      <c r="BT299" s="16">
        <v>3105</v>
      </c>
      <c r="BU299" s="15">
        <f t="shared" si="168"/>
        <v>13458.333333333334</v>
      </c>
      <c r="BV299" s="15">
        <f t="shared" si="169"/>
        <v>41788125</v>
      </c>
      <c r="BW299" s="15">
        <f>SUM($BV$3:BV299)</f>
        <v>245441970108.33331</v>
      </c>
      <c r="BX299" s="15">
        <f>SUM($BT$3:BT299)</f>
        <v>18124339</v>
      </c>
      <c r="BY299" s="15">
        <f t="shared" si="170"/>
        <v>13542.11980411166</v>
      </c>
      <c r="BZ299" s="3">
        <v>297</v>
      </c>
      <c r="CA299" s="3">
        <f t="shared" si="171"/>
        <v>0</v>
      </c>
      <c r="CB299" s="3">
        <f t="shared" si="172"/>
        <v>0</v>
      </c>
      <c r="CC299" s="3">
        <f t="shared" si="173"/>
        <v>0</v>
      </c>
      <c r="CD299" s="3" t="str">
        <f t="shared" si="174"/>
        <v/>
      </c>
      <c r="CE299" s="3">
        <f t="shared" si="175"/>
        <v>0</v>
      </c>
    </row>
    <row r="300" spans="1:83" x14ac:dyDescent="0.3">
      <c r="A300" s="3" t="s">
        <v>340</v>
      </c>
      <c r="B300" s="3">
        <v>11675</v>
      </c>
      <c r="C300" s="3">
        <v>11685</v>
      </c>
      <c r="D300" s="3">
        <v>11525</v>
      </c>
      <c r="E300" s="3">
        <v>11525</v>
      </c>
      <c r="F300" s="3">
        <v>11500</v>
      </c>
      <c r="G300" s="3">
        <v>11505</v>
      </c>
      <c r="H300" s="3">
        <v>11515</v>
      </c>
      <c r="I300" s="3">
        <v>11510</v>
      </c>
      <c r="J300" s="3">
        <v>11900</v>
      </c>
      <c r="K300" s="3">
        <v>11895</v>
      </c>
      <c r="L300" s="3">
        <v>12045</v>
      </c>
      <c r="M300" s="3">
        <v>12035</v>
      </c>
      <c r="N300" s="3">
        <v>12640</v>
      </c>
      <c r="O300" s="3">
        <v>12645</v>
      </c>
      <c r="P300" s="3">
        <v>12485</v>
      </c>
      <c r="Q300" s="3">
        <v>12495</v>
      </c>
      <c r="R300" s="3">
        <v>12560</v>
      </c>
      <c r="S300" s="3">
        <v>12550</v>
      </c>
      <c r="T300" s="3">
        <v>12170</v>
      </c>
      <c r="U300" s="3">
        <v>12160</v>
      </c>
      <c r="V300" s="3">
        <v>12700</v>
      </c>
      <c r="W300" s="3">
        <v>12700</v>
      </c>
      <c r="X300" s="3">
        <v>12645</v>
      </c>
      <c r="Y300" s="3">
        <v>12650</v>
      </c>
      <c r="Z300" s="3">
        <v>12710</v>
      </c>
      <c r="AA300" s="3">
        <v>12710</v>
      </c>
      <c r="AB300" s="3">
        <v>13200</v>
      </c>
      <c r="AC300" s="3">
        <v>13200</v>
      </c>
      <c r="AD300" s="3">
        <v>13335</v>
      </c>
      <c r="AE300" s="3">
        <v>13325</v>
      </c>
      <c r="AF300" s="3">
        <v>13855</v>
      </c>
      <c r="AG300" s="3">
        <v>13855</v>
      </c>
      <c r="AH300" s="3">
        <v>13865</v>
      </c>
      <c r="AI300" s="3">
        <v>13865</v>
      </c>
      <c r="AJ300" s="3">
        <v>13725</v>
      </c>
      <c r="AK300" s="3">
        <v>13710</v>
      </c>
      <c r="AL300" s="3">
        <v>13655</v>
      </c>
      <c r="AM300" s="3">
        <v>13650</v>
      </c>
      <c r="AN300" s="3">
        <v>13405</v>
      </c>
      <c r="AO300" s="3">
        <v>13405</v>
      </c>
      <c r="AP300" s="3">
        <v>13455</v>
      </c>
      <c r="AQ300" s="3">
        <v>13450</v>
      </c>
      <c r="AR300" s="4">
        <f t="shared" si="176"/>
        <v>1.3443191673894184E-2</v>
      </c>
      <c r="AS300" s="4">
        <f t="shared" si="148"/>
        <v>2.1645021645021467E-3</v>
      </c>
      <c r="AT300" s="4">
        <f t="shared" si="149"/>
        <v>1.276408450704225E-2</v>
      </c>
      <c r="AU300" s="4">
        <f t="shared" si="150"/>
        <v>2.2920203735144362E-2</v>
      </c>
      <c r="AV300" s="4">
        <f t="shared" si="151"/>
        <v>1.7536355859709252E-2</v>
      </c>
      <c r="AW300" s="4">
        <f t="shared" si="152"/>
        <v>1.4755480607082649E-2</v>
      </c>
      <c r="AX300" s="4">
        <f t="shared" si="153"/>
        <v>4.3747420553033489E-2</v>
      </c>
      <c r="AY300" s="4">
        <f t="shared" si="154"/>
        <v>2.2300469483568119E-2</v>
      </c>
      <c r="AZ300" s="4">
        <f t="shared" si="155"/>
        <v>3.985651654045963E-4</v>
      </c>
      <c r="BA300" s="4">
        <f t="shared" si="156"/>
        <v>1.7373737373737375E-2</v>
      </c>
      <c r="BB300" s="4">
        <f t="shared" si="157"/>
        <v>2.9590595865423674E-2</v>
      </c>
      <c r="BC300" s="4">
        <f t="shared" si="158"/>
        <v>1.1871784724970524E-3</v>
      </c>
      <c r="BD300" s="4">
        <f t="shared" si="159"/>
        <v>1.0124610591900285E-2</v>
      </c>
      <c r="BE300" s="4">
        <f t="shared" si="160"/>
        <v>1.8125723100655522E-2</v>
      </c>
      <c r="BF300" s="4">
        <f t="shared" si="161"/>
        <v>1.79526355996944E-2</v>
      </c>
      <c r="BG300" s="4">
        <f t="shared" si="162"/>
        <v>3.8995125609298853E-2</v>
      </c>
      <c r="BH300" s="4">
        <f t="shared" si="163"/>
        <v>3.2350826743350325E-3</v>
      </c>
      <c r="BI300" s="4">
        <f t="shared" si="164"/>
        <v>1.1891891891891881E-2</v>
      </c>
      <c r="BJ300" s="4">
        <f t="shared" si="165"/>
        <v>5.1020408163264808E-3</v>
      </c>
      <c r="BK300" s="4">
        <f t="shared" si="166"/>
        <v>2.0460358056266004E-2</v>
      </c>
      <c r="BL300" s="4">
        <f t="shared" si="167"/>
        <v>3.7160906726119158E-4</v>
      </c>
      <c r="BM300" s="4">
        <f t="shared" si="177"/>
        <v>1.7177531089573768E-2</v>
      </c>
      <c r="BN300" s="14">
        <f t="shared" si="178"/>
        <v>13686.123680810217</v>
      </c>
      <c r="BO300" s="15">
        <f t="shared" si="179"/>
        <v>13096.109398231431</v>
      </c>
      <c r="BP300" s="16">
        <v>13455</v>
      </c>
      <c r="BQ300" s="16">
        <v>13460</v>
      </c>
      <c r="BR300" s="16">
        <v>13445</v>
      </c>
      <c r="BS300" s="16">
        <v>13450</v>
      </c>
      <c r="BT300" s="16">
        <v>22943</v>
      </c>
      <c r="BU300" s="15">
        <f t="shared" si="168"/>
        <v>13451.666666666666</v>
      </c>
      <c r="BV300" s="15">
        <f t="shared" si="169"/>
        <v>308621588.33333331</v>
      </c>
      <c r="BW300" s="15">
        <f>SUM($BV$3:BV300)</f>
        <v>245750591696.66666</v>
      </c>
      <c r="BX300" s="15">
        <f>SUM($BT$3:BT300)</f>
        <v>18147282</v>
      </c>
      <c r="BY300" s="15">
        <f t="shared" si="170"/>
        <v>13542.005447243651</v>
      </c>
      <c r="BZ300" s="3">
        <v>298</v>
      </c>
      <c r="CA300" s="3">
        <f t="shared" si="171"/>
        <v>0</v>
      </c>
      <c r="CB300" s="3">
        <f t="shared" si="172"/>
        <v>0</v>
      </c>
      <c r="CC300" s="3">
        <f t="shared" si="173"/>
        <v>0</v>
      </c>
      <c r="CD300" s="3" t="str">
        <f t="shared" si="174"/>
        <v/>
      </c>
      <c r="CE300" s="3">
        <f t="shared" si="175"/>
        <v>0</v>
      </c>
    </row>
    <row r="301" spans="1:83" x14ac:dyDescent="0.3">
      <c r="A301" s="3" t="s">
        <v>341</v>
      </c>
      <c r="B301" s="3">
        <v>11685</v>
      </c>
      <c r="C301" s="3">
        <v>11690</v>
      </c>
      <c r="D301" s="3">
        <v>11525</v>
      </c>
      <c r="E301" s="3">
        <v>11540</v>
      </c>
      <c r="F301" s="3">
        <v>11500</v>
      </c>
      <c r="G301" s="3">
        <v>11520</v>
      </c>
      <c r="H301" s="3">
        <v>11510</v>
      </c>
      <c r="I301" s="3">
        <v>11500</v>
      </c>
      <c r="J301" s="3">
        <v>11900</v>
      </c>
      <c r="K301" s="3">
        <v>11900</v>
      </c>
      <c r="L301" s="3">
        <v>12040</v>
      </c>
      <c r="M301" s="3">
        <v>12040</v>
      </c>
      <c r="N301" s="3">
        <v>12645</v>
      </c>
      <c r="O301" s="3">
        <v>12655</v>
      </c>
      <c r="P301" s="3">
        <v>12500</v>
      </c>
      <c r="Q301" s="3">
        <v>12510</v>
      </c>
      <c r="R301" s="3">
        <v>12550</v>
      </c>
      <c r="S301" s="3">
        <v>12555</v>
      </c>
      <c r="T301" s="3">
        <v>12165</v>
      </c>
      <c r="U301" s="3">
        <v>12155</v>
      </c>
      <c r="V301" s="3">
        <v>12700</v>
      </c>
      <c r="W301" s="3">
        <v>12710</v>
      </c>
      <c r="X301" s="3">
        <v>12650</v>
      </c>
      <c r="Y301" s="3">
        <v>12660</v>
      </c>
      <c r="Z301" s="3">
        <v>12710</v>
      </c>
      <c r="AA301" s="3">
        <v>12720</v>
      </c>
      <c r="AB301" s="3">
        <v>13200</v>
      </c>
      <c r="AC301" s="3">
        <v>13215</v>
      </c>
      <c r="AD301" s="3">
        <v>13330</v>
      </c>
      <c r="AE301" s="3">
        <v>13330</v>
      </c>
      <c r="AF301" s="3">
        <v>13855</v>
      </c>
      <c r="AG301" s="3">
        <v>13860</v>
      </c>
      <c r="AH301" s="3">
        <v>13865</v>
      </c>
      <c r="AI301" s="3">
        <v>13870</v>
      </c>
      <c r="AJ301" s="3">
        <v>13710</v>
      </c>
      <c r="AK301" s="3">
        <v>13720</v>
      </c>
      <c r="AL301" s="3">
        <v>13650</v>
      </c>
      <c r="AM301" s="3">
        <v>13660</v>
      </c>
      <c r="AN301" s="3">
        <v>13400</v>
      </c>
      <c r="AO301" s="3">
        <v>13395</v>
      </c>
      <c r="AP301" s="3">
        <v>13450</v>
      </c>
      <c r="AQ301" s="3">
        <v>13460</v>
      </c>
      <c r="AR301" s="4">
        <f t="shared" si="176"/>
        <v>1.3876843018213458E-2</v>
      </c>
      <c r="AS301" s="4">
        <f t="shared" si="148"/>
        <v>8.658008658009031E-4</v>
      </c>
      <c r="AT301" s="4">
        <f t="shared" si="149"/>
        <v>1.4084507042253502E-2</v>
      </c>
      <c r="AU301" s="4">
        <f t="shared" si="150"/>
        <v>2.3769100169779289E-2</v>
      </c>
      <c r="AV301" s="4">
        <f t="shared" si="151"/>
        <v>1.7964071856287456E-2</v>
      </c>
      <c r="AW301" s="4">
        <f t="shared" si="152"/>
        <v>1.5177065767284947E-2</v>
      </c>
      <c r="AX301" s="4">
        <f t="shared" si="153"/>
        <v>4.4572843582336041E-2</v>
      </c>
      <c r="AY301" s="4">
        <f t="shared" si="154"/>
        <v>2.1126760563380254E-2</v>
      </c>
      <c r="AZ301" s="4">
        <f t="shared" si="155"/>
        <v>7.971303308091926E-4</v>
      </c>
      <c r="BA301" s="4">
        <f t="shared" si="156"/>
        <v>1.7777777777777781E-2</v>
      </c>
      <c r="BB301" s="4">
        <f t="shared" si="157"/>
        <v>3.0401297122010451E-2</v>
      </c>
      <c r="BC301" s="4">
        <f t="shared" si="158"/>
        <v>1.9786307874951614E-3</v>
      </c>
      <c r="BD301" s="4">
        <f t="shared" si="159"/>
        <v>9.3457943925233655E-3</v>
      </c>
      <c r="BE301" s="4">
        <f t="shared" si="160"/>
        <v>1.9282684149633633E-2</v>
      </c>
      <c r="BF301" s="4">
        <f t="shared" si="161"/>
        <v>1.8334606569900602E-2</v>
      </c>
      <c r="BG301" s="4">
        <f t="shared" si="162"/>
        <v>3.937007874015741E-2</v>
      </c>
      <c r="BH301" s="4">
        <f t="shared" si="163"/>
        <v>2.8756290438533005E-3</v>
      </c>
      <c r="BI301" s="4">
        <f t="shared" si="164"/>
        <v>1.1171171171171168E-2</v>
      </c>
      <c r="BJ301" s="4">
        <f t="shared" si="165"/>
        <v>4.3731778425656342E-3</v>
      </c>
      <c r="BK301" s="4">
        <f t="shared" si="166"/>
        <v>2.1191085129704024E-2</v>
      </c>
      <c r="BL301" s="4">
        <f t="shared" si="167"/>
        <v>3.7160906726119158E-4</v>
      </c>
      <c r="BM301" s="4">
        <f t="shared" si="177"/>
        <v>1.7328476228808429E-2</v>
      </c>
      <c r="BN301" s="14">
        <f t="shared" si="178"/>
        <v>13688.154647658617</v>
      </c>
      <c r="BO301" s="15">
        <f t="shared" si="179"/>
        <v>13094.098054251128</v>
      </c>
      <c r="BP301" s="16">
        <v>13450</v>
      </c>
      <c r="BQ301" s="16">
        <v>13460</v>
      </c>
      <c r="BR301" s="16">
        <v>13450</v>
      </c>
      <c r="BS301" s="16">
        <v>13460</v>
      </c>
      <c r="BT301" s="16">
        <v>21189</v>
      </c>
      <c r="BU301" s="15">
        <f t="shared" si="168"/>
        <v>13456.666666666666</v>
      </c>
      <c r="BV301" s="15">
        <f t="shared" si="169"/>
        <v>285133310</v>
      </c>
      <c r="BW301" s="15">
        <f>SUM($BV$3:BV301)</f>
        <v>246035725006.66666</v>
      </c>
      <c r="BX301" s="15">
        <f>SUM($BT$3:BT301)</f>
        <v>18168471</v>
      </c>
      <c r="BY301" s="15">
        <f t="shared" si="170"/>
        <v>13541.905920793592</v>
      </c>
      <c r="BZ301" s="3">
        <v>299</v>
      </c>
      <c r="CA301" s="3">
        <f t="shared" si="171"/>
        <v>0</v>
      </c>
      <c r="CB301" s="3">
        <f t="shared" si="172"/>
        <v>0</v>
      </c>
      <c r="CC301" s="3">
        <f t="shared" si="173"/>
        <v>0</v>
      </c>
      <c r="CD301" s="3" t="str">
        <f t="shared" si="174"/>
        <v/>
      </c>
      <c r="CE301" s="3">
        <f t="shared" si="175"/>
        <v>0</v>
      </c>
    </row>
    <row r="302" spans="1:83" x14ac:dyDescent="0.3">
      <c r="A302" s="3" t="s">
        <v>342</v>
      </c>
      <c r="B302" s="3">
        <v>11685</v>
      </c>
      <c r="C302" s="3">
        <v>11695</v>
      </c>
      <c r="D302" s="3">
        <v>11540</v>
      </c>
      <c r="E302" s="3">
        <v>11535</v>
      </c>
      <c r="F302" s="3">
        <v>11520</v>
      </c>
      <c r="G302" s="3">
        <v>11520</v>
      </c>
      <c r="H302" s="3">
        <v>11505</v>
      </c>
      <c r="I302" s="3">
        <v>11500</v>
      </c>
      <c r="J302" s="3">
        <v>11900</v>
      </c>
      <c r="K302" s="3">
        <v>11895</v>
      </c>
      <c r="L302" s="3">
        <v>12040</v>
      </c>
      <c r="M302" s="3">
        <v>12040</v>
      </c>
      <c r="N302" s="3">
        <v>12660</v>
      </c>
      <c r="O302" s="3">
        <v>12660</v>
      </c>
      <c r="P302" s="3">
        <v>12510</v>
      </c>
      <c r="Q302" s="3">
        <v>12510</v>
      </c>
      <c r="R302" s="3">
        <v>12555</v>
      </c>
      <c r="S302" s="3">
        <v>12550</v>
      </c>
      <c r="T302" s="3">
        <v>12160</v>
      </c>
      <c r="U302" s="3">
        <v>12145</v>
      </c>
      <c r="V302" s="3">
        <v>12710</v>
      </c>
      <c r="W302" s="3">
        <v>12715</v>
      </c>
      <c r="X302" s="3">
        <v>12660</v>
      </c>
      <c r="Y302" s="3">
        <v>12650</v>
      </c>
      <c r="Z302" s="3">
        <v>12715</v>
      </c>
      <c r="AA302" s="3">
        <v>12720</v>
      </c>
      <c r="AB302" s="3">
        <v>13215</v>
      </c>
      <c r="AC302" s="3">
        <v>13225</v>
      </c>
      <c r="AD302" s="3">
        <v>13325</v>
      </c>
      <c r="AE302" s="3">
        <v>13325</v>
      </c>
      <c r="AF302" s="3">
        <v>13865</v>
      </c>
      <c r="AG302" s="3">
        <v>13845</v>
      </c>
      <c r="AH302" s="3">
        <v>13875</v>
      </c>
      <c r="AI302" s="3">
        <v>13875</v>
      </c>
      <c r="AJ302" s="3">
        <v>13725</v>
      </c>
      <c r="AK302" s="3">
        <v>13715</v>
      </c>
      <c r="AL302" s="3">
        <v>13660</v>
      </c>
      <c r="AM302" s="3">
        <v>13665</v>
      </c>
      <c r="AN302" s="3">
        <v>13395</v>
      </c>
      <c r="AO302" s="3">
        <v>13395</v>
      </c>
      <c r="AP302" s="3">
        <v>13460</v>
      </c>
      <c r="AQ302" s="3">
        <v>13455</v>
      </c>
      <c r="AR302" s="4">
        <f t="shared" si="176"/>
        <v>1.4310494362532511E-2</v>
      </c>
      <c r="AS302" s="4">
        <f t="shared" si="148"/>
        <v>1.2987012987012436E-3</v>
      </c>
      <c r="AT302" s="4">
        <f t="shared" si="149"/>
        <v>1.4084507042253502E-2</v>
      </c>
      <c r="AU302" s="4">
        <f t="shared" si="150"/>
        <v>2.3769100169779289E-2</v>
      </c>
      <c r="AV302" s="4">
        <f t="shared" si="151"/>
        <v>1.7536355859709252E-2</v>
      </c>
      <c r="AW302" s="4">
        <f t="shared" si="152"/>
        <v>1.5177065767284947E-2</v>
      </c>
      <c r="AX302" s="4">
        <f t="shared" si="153"/>
        <v>4.4985555096987095E-2</v>
      </c>
      <c r="AY302" s="4">
        <f t="shared" si="154"/>
        <v>2.1126760563380254E-2</v>
      </c>
      <c r="AZ302" s="4">
        <f t="shared" si="155"/>
        <v>3.985651654045963E-4</v>
      </c>
      <c r="BA302" s="4">
        <f t="shared" si="156"/>
        <v>1.8585858585858595E-2</v>
      </c>
      <c r="BB302" s="4">
        <f t="shared" si="157"/>
        <v>3.080664775030395E-2</v>
      </c>
      <c r="BC302" s="4">
        <f t="shared" si="158"/>
        <v>1.1871784724970524E-3</v>
      </c>
      <c r="BD302" s="4">
        <f t="shared" si="159"/>
        <v>9.3457943925233655E-3</v>
      </c>
      <c r="BE302" s="4">
        <f t="shared" si="160"/>
        <v>2.0053991515619041E-2</v>
      </c>
      <c r="BF302" s="4">
        <f t="shared" si="161"/>
        <v>1.79526355996944E-2</v>
      </c>
      <c r="BG302" s="4">
        <f t="shared" si="162"/>
        <v>3.8245219347581516E-2</v>
      </c>
      <c r="BH302" s="4">
        <f t="shared" si="163"/>
        <v>2.5161754133716796E-3</v>
      </c>
      <c r="BI302" s="4">
        <f t="shared" si="164"/>
        <v>1.1531531531531525E-2</v>
      </c>
      <c r="BJ302" s="4">
        <f t="shared" si="165"/>
        <v>4.0087463556851555E-3</v>
      </c>
      <c r="BK302" s="4">
        <f t="shared" si="166"/>
        <v>2.1191085129704024E-2</v>
      </c>
      <c r="BL302" s="4">
        <f t="shared" si="167"/>
        <v>0</v>
      </c>
      <c r="BM302" s="4">
        <f t="shared" si="177"/>
        <v>1.7281124637153016E-2</v>
      </c>
      <c r="BN302" s="14">
        <f t="shared" si="178"/>
        <v>13687.517531992893</v>
      </c>
      <c r="BO302" s="15">
        <f t="shared" si="179"/>
        <v>13094.729014209935</v>
      </c>
      <c r="BP302" s="16">
        <v>13460</v>
      </c>
      <c r="BQ302" s="16">
        <v>13460</v>
      </c>
      <c r="BR302" s="16">
        <v>13450</v>
      </c>
      <c r="BS302" s="16">
        <v>13455</v>
      </c>
      <c r="BT302" s="16">
        <v>6303</v>
      </c>
      <c r="BU302" s="15">
        <f t="shared" si="168"/>
        <v>13455</v>
      </c>
      <c r="BV302" s="15">
        <f t="shared" si="169"/>
        <v>84806865</v>
      </c>
      <c r="BW302" s="15">
        <f>SUM($BV$3:BV302)</f>
        <v>246120531871.66666</v>
      </c>
      <c r="BX302" s="15">
        <f>SUM($BT$3:BT302)</f>
        <v>18174774</v>
      </c>
      <c r="BY302" s="15">
        <f t="shared" si="170"/>
        <v>13541.875781875839</v>
      </c>
      <c r="BZ302" s="3">
        <v>300</v>
      </c>
      <c r="CA302" s="3">
        <f t="shared" si="171"/>
        <v>0</v>
      </c>
      <c r="CB302" s="3">
        <f t="shared" si="172"/>
        <v>0</v>
      </c>
      <c r="CC302" s="3">
        <f t="shared" si="173"/>
        <v>0</v>
      </c>
      <c r="CD302" s="3">
        <f t="shared" si="174"/>
        <v>0</v>
      </c>
      <c r="CE302" s="3">
        <f t="shared" si="175"/>
        <v>0</v>
      </c>
    </row>
    <row r="303" spans="1:83" x14ac:dyDescent="0.3">
      <c r="A303" s="3" t="s">
        <v>343</v>
      </c>
      <c r="B303" s="3">
        <v>11695</v>
      </c>
      <c r="C303" s="3">
        <v>11695</v>
      </c>
      <c r="D303" s="3">
        <v>11535</v>
      </c>
      <c r="E303" s="3">
        <v>11545</v>
      </c>
      <c r="F303" s="3">
        <v>11520</v>
      </c>
      <c r="G303" s="3">
        <v>11520</v>
      </c>
      <c r="H303" s="3">
        <v>11500</v>
      </c>
      <c r="I303" s="3">
        <v>11495</v>
      </c>
      <c r="J303" s="3">
        <v>11895</v>
      </c>
      <c r="K303" s="3">
        <v>11895</v>
      </c>
      <c r="L303" s="3">
        <v>12040</v>
      </c>
      <c r="M303" s="3">
        <v>12050</v>
      </c>
      <c r="N303" s="3">
        <v>12660</v>
      </c>
      <c r="O303" s="3">
        <v>12660</v>
      </c>
      <c r="P303" s="3">
        <v>12510</v>
      </c>
      <c r="Q303" s="3">
        <v>12500</v>
      </c>
      <c r="R303" s="3">
        <v>12550</v>
      </c>
      <c r="S303" s="3">
        <v>12560</v>
      </c>
      <c r="T303" s="3">
        <v>12150</v>
      </c>
      <c r="U303" s="3">
        <v>12155</v>
      </c>
      <c r="V303" s="3">
        <v>12715</v>
      </c>
      <c r="W303" s="3">
        <v>12710</v>
      </c>
      <c r="X303" s="3">
        <v>12650</v>
      </c>
      <c r="Y303" s="3">
        <v>12675</v>
      </c>
      <c r="Z303" s="3">
        <v>12720</v>
      </c>
      <c r="AA303" s="3">
        <v>12740</v>
      </c>
      <c r="AB303" s="3">
        <v>13225</v>
      </c>
      <c r="AC303" s="3">
        <v>13210</v>
      </c>
      <c r="AD303" s="3">
        <v>13325</v>
      </c>
      <c r="AE303" s="3">
        <v>13320</v>
      </c>
      <c r="AF303" s="3">
        <v>13850</v>
      </c>
      <c r="AG303" s="3">
        <v>13835</v>
      </c>
      <c r="AH303" s="3">
        <v>13870</v>
      </c>
      <c r="AI303" s="3">
        <v>13860</v>
      </c>
      <c r="AJ303" s="3">
        <v>13720</v>
      </c>
      <c r="AK303" s="3">
        <v>13725</v>
      </c>
      <c r="AL303" s="3">
        <v>13665</v>
      </c>
      <c r="AM303" s="3">
        <v>13665</v>
      </c>
      <c r="AN303" s="3">
        <v>13390</v>
      </c>
      <c r="AO303" s="3">
        <v>13405</v>
      </c>
      <c r="AP303" s="3">
        <v>13450</v>
      </c>
      <c r="AQ303" s="3">
        <v>13440</v>
      </c>
      <c r="AR303" s="4">
        <f t="shared" si="176"/>
        <v>1.4310494362532511E-2</v>
      </c>
      <c r="AS303" s="4">
        <f t="shared" si="148"/>
        <v>4.3290043290045155E-4</v>
      </c>
      <c r="AT303" s="4">
        <f t="shared" si="149"/>
        <v>1.4084507042253502E-2</v>
      </c>
      <c r="AU303" s="4">
        <f t="shared" si="150"/>
        <v>2.4193548387096753E-2</v>
      </c>
      <c r="AV303" s="4">
        <f t="shared" si="151"/>
        <v>1.7536355859709252E-2</v>
      </c>
      <c r="AW303" s="4">
        <f t="shared" si="152"/>
        <v>1.6020236087689765E-2</v>
      </c>
      <c r="AX303" s="4">
        <f t="shared" si="153"/>
        <v>4.4985555096987095E-2</v>
      </c>
      <c r="AY303" s="4">
        <f t="shared" si="154"/>
        <v>2.1909233176838794E-2</v>
      </c>
      <c r="AZ303" s="4">
        <f t="shared" si="155"/>
        <v>1.1956954962135669E-3</v>
      </c>
      <c r="BA303" s="4">
        <f t="shared" si="156"/>
        <v>1.7777777777777781E-2</v>
      </c>
      <c r="BB303" s="4">
        <f t="shared" si="157"/>
        <v>3.0401297122010451E-2</v>
      </c>
      <c r="BC303" s="4">
        <f t="shared" si="158"/>
        <v>3.1658092599919918E-3</v>
      </c>
      <c r="BD303" s="4">
        <f t="shared" si="159"/>
        <v>7.7881619937694158E-3</v>
      </c>
      <c r="BE303" s="4">
        <f t="shared" si="160"/>
        <v>1.8897030466640929E-2</v>
      </c>
      <c r="BF303" s="4">
        <f t="shared" si="161"/>
        <v>1.7570664629488197E-2</v>
      </c>
      <c r="BG303" s="4">
        <f t="shared" si="162"/>
        <v>3.7495313085864179E-2</v>
      </c>
      <c r="BH303" s="4">
        <f t="shared" si="163"/>
        <v>3.5945363048166534E-3</v>
      </c>
      <c r="BI303" s="4">
        <f t="shared" si="164"/>
        <v>1.0810810810810811E-2</v>
      </c>
      <c r="BJ303" s="4">
        <f t="shared" si="165"/>
        <v>4.0087463556851555E-3</v>
      </c>
      <c r="BK303" s="4">
        <f t="shared" si="166"/>
        <v>2.0460358056266004E-2</v>
      </c>
      <c r="BL303" s="4">
        <f t="shared" si="167"/>
        <v>1.1148272017836858E-3</v>
      </c>
      <c r="BM303" s="4">
        <f t="shared" si="177"/>
        <v>1.7147213545225786E-2</v>
      </c>
      <c r="BN303" s="14">
        <f t="shared" si="178"/>
        <v>13685.715758251012</v>
      </c>
      <c r="BO303" s="15">
        <f t="shared" si="179"/>
        <v>13096.513379509866</v>
      </c>
      <c r="BP303" s="16">
        <v>13450</v>
      </c>
      <c r="BQ303" s="16">
        <v>13455</v>
      </c>
      <c r="BR303" s="16">
        <v>13440</v>
      </c>
      <c r="BS303" s="16">
        <v>13440</v>
      </c>
      <c r="BT303" s="16">
        <v>17148</v>
      </c>
      <c r="BU303" s="15">
        <f t="shared" si="168"/>
        <v>13445</v>
      </c>
      <c r="BV303" s="15">
        <f t="shared" si="169"/>
        <v>230554860</v>
      </c>
      <c r="BW303" s="15">
        <f>SUM($BV$3:BV303)</f>
        <v>246351086731.66666</v>
      </c>
      <c r="BX303" s="15">
        <f>SUM($BT$3:BT303)</f>
        <v>18191922</v>
      </c>
      <c r="BY303" s="15">
        <f t="shared" si="170"/>
        <v>13541.784465196512</v>
      </c>
      <c r="BZ303" s="3">
        <v>301</v>
      </c>
      <c r="CA303" s="3">
        <f t="shared" si="171"/>
        <v>0</v>
      </c>
      <c r="CB303" s="3">
        <f t="shared" si="172"/>
        <v>0</v>
      </c>
      <c r="CC303" s="3">
        <f t="shared" si="173"/>
        <v>0</v>
      </c>
      <c r="CD303" s="3" t="str">
        <f t="shared" si="174"/>
        <v/>
      </c>
      <c r="CE303" s="3">
        <f t="shared" si="175"/>
        <v>0</v>
      </c>
    </row>
    <row r="304" spans="1:83" x14ac:dyDescent="0.3">
      <c r="A304" s="3" t="s">
        <v>344</v>
      </c>
      <c r="B304" s="3">
        <v>11695</v>
      </c>
      <c r="C304" s="3">
        <v>11695</v>
      </c>
      <c r="D304" s="3">
        <v>11545</v>
      </c>
      <c r="E304" s="3">
        <v>11535</v>
      </c>
      <c r="F304" s="3">
        <v>11520</v>
      </c>
      <c r="G304" s="3">
        <v>11535</v>
      </c>
      <c r="H304" s="3">
        <v>11495</v>
      </c>
      <c r="I304" s="3">
        <v>11490</v>
      </c>
      <c r="J304" s="3">
        <v>11895</v>
      </c>
      <c r="K304" s="3">
        <v>11900</v>
      </c>
      <c r="L304" s="3">
        <v>12050</v>
      </c>
      <c r="M304" s="3">
        <v>12060</v>
      </c>
      <c r="N304" s="3">
        <v>12660</v>
      </c>
      <c r="O304" s="3">
        <v>12650</v>
      </c>
      <c r="P304" s="3">
        <v>12500</v>
      </c>
      <c r="Q304" s="3">
        <v>12505</v>
      </c>
      <c r="R304" s="3">
        <v>12565</v>
      </c>
      <c r="S304" s="3">
        <v>12560</v>
      </c>
      <c r="T304" s="3">
        <v>12155</v>
      </c>
      <c r="U304" s="3">
        <v>12140</v>
      </c>
      <c r="V304" s="3">
        <v>12710</v>
      </c>
      <c r="W304" s="3">
        <v>12710</v>
      </c>
      <c r="X304" s="3">
        <v>12680</v>
      </c>
      <c r="Y304" s="3">
        <v>12675</v>
      </c>
      <c r="Z304" s="3">
        <v>12740</v>
      </c>
      <c r="AA304" s="3">
        <v>12755</v>
      </c>
      <c r="AB304" s="3">
        <v>13210</v>
      </c>
      <c r="AC304" s="3">
        <v>13215</v>
      </c>
      <c r="AD304" s="3">
        <v>13320</v>
      </c>
      <c r="AE304" s="3">
        <v>13325</v>
      </c>
      <c r="AF304" s="3">
        <v>13840</v>
      </c>
      <c r="AG304" s="3">
        <v>13805</v>
      </c>
      <c r="AH304" s="3">
        <v>13855</v>
      </c>
      <c r="AI304" s="3">
        <v>13845</v>
      </c>
      <c r="AJ304" s="3">
        <v>13725</v>
      </c>
      <c r="AK304" s="3">
        <v>13725</v>
      </c>
      <c r="AL304" s="3">
        <v>13670</v>
      </c>
      <c r="AM304" s="3">
        <v>13655</v>
      </c>
      <c r="AN304" s="3">
        <v>13405</v>
      </c>
      <c r="AO304" s="3">
        <v>13405</v>
      </c>
      <c r="AP304" s="3">
        <v>13440</v>
      </c>
      <c r="AQ304" s="3">
        <v>13450</v>
      </c>
      <c r="AR304" s="4">
        <f t="shared" si="176"/>
        <v>1.4310494362532511E-2</v>
      </c>
      <c r="AS304" s="4">
        <f t="shared" si="148"/>
        <v>1.2987012987012436E-3</v>
      </c>
      <c r="AT304" s="4">
        <f t="shared" si="149"/>
        <v>1.5404929577464754E-2</v>
      </c>
      <c r="AU304" s="4">
        <f t="shared" si="150"/>
        <v>2.4617996604414216E-2</v>
      </c>
      <c r="AV304" s="4">
        <f t="shared" si="151"/>
        <v>1.7964071856287456E-2</v>
      </c>
      <c r="AW304" s="4">
        <f t="shared" si="152"/>
        <v>1.6863406408094361E-2</v>
      </c>
      <c r="AX304" s="4">
        <f t="shared" si="153"/>
        <v>4.4160132067684765E-2</v>
      </c>
      <c r="AY304" s="4">
        <f t="shared" si="154"/>
        <v>2.1517996870109579E-2</v>
      </c>
      <c r="AZ304" s="4">
        <f t="shared" si="155"/>
        <v>1.1956954962135669E-3</v>
      </c>
      <c r="BA304" s="4">
        <f t="shared" si="156"/>
        <v>1.8989898989899001E-2</v>
      </c>
      <c r="BB304" s="4">
        <f t="shared" si="157"/>
        <v>3.0401297122010451E-2</v>
      </c>
      <c r="BC304" s="4">
        <f t="shared" si="158"/>
        <v>3.1658092599919918E-3</v>
      </c>
      <c r="BD304" s="4">
        <f t="shared" si="159"/>
        <v>6.6199376947040367E-3</v>
      </c>
      <c r="BE304" s="4">
        <f t="shared" si="160"/>
        <v>1.9282684149633633E-2</v>
      </c>
      <c r="BF304" s="4">
        <f t="shared" si="161"/>
        <v>1.79526355996944E-2</v>
      </c>
      <c r="BG304" s="4">
        <f t="shared" si="162"/>
        <v>3.5245594300712391E-2</v>
      </c>
      <c r="BH304" s="4">
        <f t="shared" si="163"/>
        <v>4.6728971962616273E-3</v>
      </c>
      <c r="BI304" s="4">
        <f t="shared" si="164"/>
        <v>1.0810810810810811E-2</v>
      </c>
      <c r="BJ304" s="4">
        <f t="shared" si="165"/>
        <v>4.737609329446113E-3</v>
      </c>
      <c r="BK304" s="4">
        <f t="shared" si="166"/>
        <v>2.0460358056266004E-2</v>
      </c>
      <c r="BL304" s="4">
        <f t="shared" si="167"/>
        <v>3.7160906726119158E-4</v>
      </c>
      <c r="BM304" s="4">
        <f t="shared" si="177"/>
        <v>1.7086668353102741E-2</v>
      </c>
      <c r="BN304" s="14">
        <f t="shared" si="178"/>
        <v>13684.901122690999</v>
      </c>
      <c r="BO304" s="15">
        <f t="shared" si="179"/>
        <v>13097.320144194906</v>
      </c>
      <c r="BP304" s="16">
        <v>13440</v>
      </c>
      <c r="BQ304" s="16">
        <v>13450</v>
      </c>
      <c r="BR304" s="16">
        <v>13440</v>
      </c>
      <c r="BS304" s="16">
        <v>13450</v>
      </c>
      <c r="BT304" s="16">
        <v>12539</v>
      </c>
      <c r="BU304" s="15">
        <f t="shared" si="168"/>
        <v>13446.666666666666</v>
      </c>
      <c r="BV304" s="15">
        <f t="shared" si="169"/>
        <v>168607753.33333331</v>
      </c>
      <c r="BW304" s="15">
        <f>SUM($BV$3:BV304)</f>
        <v>246519694485</v>
      </c>
      <c r="BX304" s="15">
        <f>SUM($BT$3:BT304)</f>
        <v>18204461</v>
      </c>
      <c r="BY304" s="15">
        <f t="shared" si="170"/>
        <v>13541.718949272929</v>
      </c>
      <c r="BZ304" s="3">
        <v>302</v>
      </c>
      <c r="CA304" s="3">
        <f t="shared" si="171"/>
        <v>0</v>
      </c>
      <c r="CB304" s="3">
        <f t="shared" si="172"/>
        <v>0</v>
      </c>
      <c r="CC304" s="3">
        <f t="shared" si="173"/>
        <v>0</v>
      </c>
      <c r="CD304" s="3" t="str">
        <f t="shared" si="174"/>
        <v/>
      </c>
      <c r="CE304" s="3">
        <f t="shared" si="175"/>
        <v>0</v>
      </c>
    </row>
    <row r="305" spans="1:83" x14ac:dyDescent="0.3">
      <c r="A305" s="3" t="s">
        <v>345</v>
      </c>
      <c r="B305" s="3">
        <v>11690</v>
      </c>
      <c r="C305" s="3">
        <v>11700</v>
      </c>
      <c r="D305" s="3">
        <v>11535</v>
      </c>
      <c r="E305" s="3">
        <v>11535</v>
      </c>
      <c r="F305" s="3">
        <v>11535</v>
      </c>
      <c r="G305" s="3">
        <v>11540</v>
      </c>
      <c r="H305" s="3">
        <v>11490</v>
      </c>
      <c r="I305" s="3">
        <v>11490</v>
      </c>
      <c r="J305" s="3">
        <v>11900</v>
      </c>
      <c r="K305" s="3">
        <v>11885</v>
      </c>
      <c r="L305" s="3">
        <v>12055</v>
      </c>
      <c r="M305" s="3">
        <v>12045</v>
      </c>
      <c r="N305" s="3">
        <v>12650</v>
      </c>
      <c r="O305" s="3">
        <v>12660</v>
      </c>
      <c r="P305" s="3">
        <v>12505</v>
      </c>
      <c r="Q305" s="3">
        <v>12515</v>
      </c>
      <c r="R305" s="3">
        <v>12560</v>
      </c>
      <c r="S305" s="3">
        <v>12555</v>
      </c>
      <c r="T305" s="3">
        <v>12140</v>
      </c>
      <c r="U305" s="3">
        <v>12145</v>
      </c>
      <c r="V305" s="3">
        <v>12710</v>
      </c>
      <c r="W305" s="3">
        <v>12705</v>
      </c>
      <c r="X305" s="3">
        <v>12675</v>
      </c>
      <c r="Y305" s="3">
        <v>12645</v>
      </c>
      <c r="Z305" s="3">
        <v>12750</v>
      </c>
      <c r="AA305" s="3">
        <v>12750</v>
      </c>
      <c r="AB305" s="3">
        <v>13210</v>
      </c>
      <c r="AC305" s="3">
        <v>13215</v>
      </c>
      <c r="AD305" s="3">
        <v>13320</v>
      </c>
      <c r="AE305" s="3">
        <v>13330</v>
      </c>
      <c r="AF305" s="3">
        <v>13810</v>
      </c>
      <c r="AG305" s="3">
        <v>13795</v>
      </c>
      <c r="AH305" s="3">
        <v>13845</v>
      </c>
      <c r="AI305" s="3">
        <v>13860</v>
      </c>
      <c r="AJ305" s="3">
        <v>13725</v>
      </c>
      <c r="AK305" s="3">
        <v>13735</v>
      </c>
      <c r="AL305" s="3">
        <v>13655</v>
      </c>
      <c r="AM305" s="3">
        <v>13650</v>
      </c>
      <c r="AN305" s="3">
        <v>13400</v>
      </c>
      <c r="AO305" s="3">
        <v>13400</v>
      </c>
      <c r="AP305" s="3">
        <v>13450</v>
      </c>
      <c r="AQ305" s="3">
        <v>13460</v>
      </c>
      <c r="AR305" s="4">
        <f t="shared" si="176"/>
        <v>1.4744145706851786E-2</v>
      </c>
      <c r="AS305" s="4">
        <f t="shared" si="148"/>
        <v>1.2987012987012436E-3</v>
      </c>
      <c r="AT305" s="4">
        <f t="shared" si="149"/>
        <v>1.5845070422535246E-2</v>
      </c>
      <c r="AU305" s="4">
        <f t="shared" si="150"/>
        <v>2.4617996604414216E-2</v>
      </c>
      <c r="AV305" s="4">
        <f t="shared" si="151"/>
        <v>1.6680923866552622E-2</v>
      </c>
      <c r="AW305" s="4">
        <f t="shared" si="152"/>
        <v>1.5598650927487245E-2</v>
      </c>
      <c r="AX305" s="4">
        <f t="shared" si="153"/>
        <v>4.4985555096987095E-2</v>
      </c>
      <c r="AY305" s="4">
        <f t="shared" si="154"/>
        <v>2.0735524256651039E-2</v>
      </c>
      <c r="AZ305" s="4">
        <f t="shared" si="155"/>
        <v>7.971303308091926E-4</v>
      </c>
      <c r="BA305" s="4">
        <f t="shared" si="156"/>
        <v>1.8585858585858595E-2</v>
      </c>
      <c r="BB305" s="4">
        <f t="shared" si="157"/>
        <v>2.9995946493717174E-2</v>
      </c>
      <c r="BC305" s="4">
        <f t="shared" si="158"/>
        <v>7.9145231499810897E-4</v>
      </c>
      <c r="BD305" s="4">
        <f t="shared" si="159"/>
        <v>7.0093457943924964E-3</v>
      </c>
      <c r="BE305" s="4">
        <f t="shared" si="160"/>
        <v>1.9282684149633633E-2</v>
      </c>
      <c r="BF305" s="4">
        <f t="shared" si="161"/>
        <v>1.8334606569900602E-2</v>
      </c>
      <c r="BG305" s="4">
        <f t="shared" si="162"/>
        <v>3.4495688038995054E-2</v>
      </c>
      <c r="BH305" s="4">
        <f t="shared" si="163"/>
        <v>3.5945363048166534E-3</v>
      </c>
      <c r="BI305" s="4">
        <f t="shared" si="164"/>
        <v>1.0090090090090098E-2</v>
      </c>
      <c r="BJ305" s="4">
        <f t="shared" si="165"/>
        <v>5.1020408163264808E-3</v>
      </c>
      <c r="BK305" s="4">
        <f t="shared" si="166"/>
        <v>2.0825721592985014E-2</v>
      </c>
      <c r="BL305" s="4">
        <f t="shared" si="167"/>
        <v>3.7160906726119158E-4</v>
      </c>
      <c r="BM305" s="4">
        <f t="shared" si="177"/>
        <v>1.6759012888297231E-2</v>
      </c>
      <c r="BN305" s="14">
        <f t="shared" si="178"/>
        <v>13680.49251841204</v>
      </c>
      <c r="BO305" s="15">
        <f t="shared" si="179"/>
        <v>13101.686153263439</v>
      </c>
      <c r="BP305" s="16">
        <v>13450</v>
      </c>
      <c r="BQ305" s="16">
        <v>13460</v>
      </c>
      <c r="BR305" s="16">
        <v>13450</v>
      </c>
      <c r="BS305" s="16">
        <v>13460</v>
      </c>
      <c r="BT305" s="16">
        <v>22317</v>
      </c>
      <c r="BU305" s="15">
        <f t="shared" si="168"/>
        <v>13456.666666666666</v>
      </c>
      <c r="BV305" s="15">
        <f t="shared" si="169"/>
        <v>300312430</v>
      </c>
      <c r="BW305" s="15">
        <f>SUM($BV$3:BV305)</f>
        <v>246820006915</v>
      </c>
      <c r="BX305" s="15">
        <f>SUM($BT$3:BT305)</f>
        <v>18226778</v>
      </c>
      <c r="BY305" s="15">
        <f t="shared" si="170"/>
        <v>13541.614810637404</v>
      </c>
      <c r="BZ305" s="3">
        <v>303</v>
      </c>
      <c r="CA305" s="3">
        <f t="shared" si="171"/>
        <v>0</v>
      </c>
      <c r="CB305" s="3">
        <f t="shared" si="172"/>
        <v>0</v>
      </c>
      <c r="CC305" s="3">
        <f t="shared" si="173"/>
        <v>0</v>
      </c>
      <c r="CD305" s="3" t="str">
        <f t="shared" si="174"/>
        <v/>
      </c>
      <c r="CE305" s="3">
        <f t="shared" si="175"/>
        <v>0</v>
      </c>
    </row>
    <row r="306" spans="1:83" x14ac:dyDescent="0.3">
      <c r="A306" s="3" t="s">
        <v>346</v>
      </c>
      <c r="B306" s="3">
        <v>11700</v>
      </c>
      <c r="C306" s="3">
        <v>11735</v>
      </c>
      <c r="D306" s="3">
        <v>11530</v>
      </c>
      <c r="E306" s="3">
        <v>11530</v>
      </c>
      <c r="F306" s="3">
        <v>11540</v>
      </c>
      <c r="G306" s="3">
        <v>11525</v>
      </c>
      <c r="H306" s="3">
        <v>11485</v>
      </c>
      <c r="I306" s="3">
        <v>11465</v>
      </c>
      <c r="J306" s="3">
        <v>11890</v>
      </c>
      <c r="K306" s="3">
        <v>11880</v>
      </c>
      <c r="L306" s="3">
        <v>12045</v>
      </c>
      <c r="M306" s="3">
        <v>12055</v>
      </c>
      <c r="N306" s="3">
        <v>12660</v>
      </c>
      <c r="O306" s="3">
        <v>12655</v>
      </c>
      <c r="P306" s="3">
        <v>12520</v>
      </c>
      <c r="Q306" s="3">
        <v>12520</v>
      </c>
      <c r="R306" s="3">
        <v>12555</v>
      </c>
      <c r="S306" s="3">
        <v>12555</v>
      </c>
      <c r="T306" s="3">
        <v>12145</v>
      </c>
      <c r="U306" s="3">
        <v>12135</v>
      </c>
      <c r="V306" s="3">
        <v>12710</v>
      </c>
      <c r="W306" s="3">
        <v>12715</v>
      </c>
      <c r="X306" s="3">
        <v>12645</v>
      </c>
      <c r="Y306" s="3">
        <v>12650</v>
      </c>
      <c r="Z306" s="3">
        <v>12755</v>
      </c>
      <c r="AA306" s="3">
        <v>12755</v>
      </c>
      <c r="AB306" s="3">
        <v>13215</v>
      </c>
      <c r="AC306" s="3">
        <v>13210</v>
      </c>
      <c r="AD306" s="3">
        <v>13325</v>
      </c>
      <c r="AE306" s="3">
        <v>13340</v>
      </c>
      <c r="AF306" s="3">
        <v>13800</v>
      </c>
      <c r="AG306" s="3">
        <v>13810</v>
      </c>
      <c r="AH306" s="3">
        <v>13865</v>
      </c>
      <c r="AI306" s="3">
        <v>13855</v>
      </c>
      <c r="AJ306" s="3">
        <v>13730</v>
      </c>
      <c r="AK306" s="3">
        <v>13730</v>
      </c>
      <c r="AL306" s="3">
        <v>13650</v>
      </c>
      <c r="AM306" s="3">
        <v>13650</v>
      </c>
      <c r="AN306" s="3">
        <v>13400</v>
      </c>
      <c r="AO306" s="3">
        <v>13400</v>
      </c>
      <c r="AP306" s="3">
        <v>13460</v>
      </c>
      <c r="AQ306" s="3">
        <v>13450</v>
      </c>
      <c r="AR306" s="4">
        <f t="shared" si="176"/>
        <v>1.777970511708582E-2</v>
      </c>
      <c r="AS306" s="4">
        <f t="shared" si="148"/>
        <v>1.7316017316016952E-3</v>
      </c>
      <c r="AT306" s="4">
        <f t="shared" si="149"/>
        <v>1.4524647887323994E-2</v>
      </c>
      <c r="AU306" s="4">
        <f t="shared" si="150"/>
        <v>2.6740237691001645E-2</v>
      </c>
      <c r="AV306" s="4">
        <f t="shared" si="151"/>
        <v>1.6253207869974418E-2</v>
      </c>
      <c r="AW306" s="4">
        <f t="shared" si="152"/>
        <v>1.6441821247892063E-2</v>
      </c>
      <c r="AX306" s="4">
        <f t="shared" si="153"/>
        <v>4.4572843582336041E-2</v>
      </c>
      <c r="AY306" s="4">
        <f t="shared" si="154"/>
        <v>2.0344287949921713E-2</v>
      </c>
      <c r="AZ306" s="4">
        <f t="shared" si="155"/>
        <v>7.971303308091926E-4</v>
      </c>
      <c r="BA306" s="4">
        <f t="shared" si="156"/>
        <v>1.9393939393939408E-2</v>
      </c>
      <c r="BB306" s="4">
        <f t="shared" si="157"/>
        <v>3.080664775030395E-2</v>
      </c>
      <c r="BC306" s="4">
        <f t="shared" si="158"/>
        <v>1.1871784724970524E-3</v>
      </c>
      <c r="BD306" s="4">
        <f t="shared" si="159"/>
        <v>6.6199376947040367E-3</v>
      </c>
      <c r="BE306" s="4">
        <f t="shared" si="160"/>
        <v>1.8897030466640929E-2</v>
      </c>
      <c r="BF306" s="4">
        <f t="shared" si="161"/>
        <v>1.9098548510313229E-2</v>
      </c>
      <c r="BG306" s="4">
        <f t="shared" si="162"/>
        <v>3.5620547431570948E-2</v>
      </c>
      <c r="BH306" s="4">
        <f t="shared" si="163"/>
        <v>3.9539899352983854E-3</v>
      </c>
      <c r="BI306" s="4">
        <f t="shared" si="164"/>
        <v>1.0450450450450455E-2</v>
      </c>
      <c r="BJ306" s="4">
        <f t="shared" si="165"/>
        <v>5.1020408163264808E-3</v>
      </c>
      <c r="BK306" s="4">
        <f t="shared" si="166"/>
        <v>2.0825721592985014E-2</v>
      </c>
      <c r="BL306" s="4">
        <f t="shared" si="167"/>
        <v>3.7160906726119158E-4</v>
      </c>
      <c r="BM306" s="4">
        <f t="shared" si="177"/>
        <v>1.697644959843549E-2</v>
      </c>
      <c r="BN306" s="14">
        <f t="shared" si="178"/>
        <v>13683.41812934695</v>
      </c>
      <c r="BO306" s="15">
        <f t="shared" si="179"/>
        <v>13098.788809100848</v>
      </c>
      <c r="BP306" s="16">
        <v>13460</v>
      </c>
      <c r="BQ306" s="16">
        <v>13460</v>
      </c>
      <c r="BR306" s="16">
        <v>13445</v>
      </c>
      <c r="BS306" s="16">
        <v>13450</v>
      </c>
      <c r="BT306" s="16">
        <v>9973</v>
      </c>
      <c r="BU306" s="15">
        <f t="shared" si="168"/>
        <v>13451.666666666666</v>
      </c>
      <c r="BV306" s="15">
        <f t="shared" si="169"/>
        <v>134153471.66666666</v>
      </c>
      <c r="BW306" s="15">
        <f>SUM($BV$3:BV306)</f>
        <v>246954160386.66666</v>
      </c>
      <c r="BX306" s="15">
        <f>SUM($BT$3:BT306)</f>
        <v>18236751</v>
      </c>
      <c r="BY306" s="15">
        <f t="shared" si="170"/>
        <v>13541.565621347063</v>
      </c>
      <c r="BZ306" s="3">
        <v>304</v>
      </c>
      <c r="CA306" s="3">
        <f t="shared" si="171"/>
        <v>0</v>
      </c>
      <c r="CB306" s="3">
        <f t="shared" si="172"/>
        <v>0</v>
      </c>
      <c r="CC306" s="3">
        <f t="shared" si="173"/>
        <v>0</v>
      </c>
      <c r="CD306" s="3" t="str">
        <f t="shared" si="174"/>
        <v/>
      </c>
      <c r="CE306" s="3">
        <f t="shared" si="175"/>
        <v>0</v>
      </c>
    </row>
    <row r="307" spans="1:83" x14ac:dyDescent="0.3">
      <c r="A307" s="3" t="s">
        <v>347</v>
      </c>
      <c r="B307" s="3">
        <v>11730</v>
      </c>
      <c r="C307" s="3">
        <v>11735</v>
      </c>
      <c r="D307" s="3">
        <v>11530</v>
      </c>
      <c r="E307" s="3">
        <v>11535</v>
      </c>
      <c r="F307" s="3">
        <v>11530</v>
      </c>
      <c r="G307" s="3">
        <v>11530</v>
      </c>
      <c r="H307" s="3">
        <v>11465</v>
      </c>
      <c r="I307" s="3">
        <v>11480</v>
      </c>
      <c r="J307" s="3">
        <v>11880</v>
      </c>
      <c r="K307" s="3">
        <v>11890</v>
      </c>
      <c r="L307" s="3">
        <v>12050</v>
      </c>
      <c r="M307" s="3">
        <v>12040</v>
      </c>
      <c r="N307" s="3">
        <v>12655</v>
      </c>
      <c r="O307" s="3">
        <v>12660</v>
      </c>
      <c r="P307" s="3">
        <v>12520</v>
      </c>
      <c r="Q307" s="3">
        <v>12515</v>
      </c>
      <c r="R307" s="3">
        <v>12560</v>
      </c>
      <c r="S307" s="3">
        <v>12560</v>
      </c>
      <c r="T307" s="3">
        <v>12135</v>
      </c>
      <c r="U307" s="3">
        <v>12150</v>
      </c>
      <c r="V307" s="3">
        <v>12710</v>
      </c>
      <c r="W307" s="3">
        <v>12730</v>
      </c>
      <c r="X307" s="3">
        <v>12650</v>
      </c>
      <c r="Y307" s="3">
        <v>12645</v>
      </c>
      <c r="Z307" s="3">
        <v>12760</v>
      </c>
      <c r="AA307" s="3">
        <v>12740</v>
      </c>
      <c r="AB307" s="3">
        <v>13200</v>
      </c>
      <c r="AC307" s="3">
        <v>13225</v>
      </c>
      <c r="AD307" s="3">
        <v>13340</v>
      </c>
      <c r="AE307" s="3">
        <v>13340</v>
      </c>
      <c r="AF307" s="3">
        <v>13805</v>
      </c>
      <c r="AG307" s="3">
        <v>13825</v>
      </c>
      <c r="AH307" s="3">
        <v>13850</v>
      </c>
      <c r="AI307" s="3">
        <v>13835</v>
      </c>
      <c r="AJ307" s="3">
        <v>13725</v>
      </c>
      <c r="AK307" s="3">
        <v>13715</v>
      </c>
      <c r="AL307" s="3">
        <v>13645</v>
      </c>
      <c r="AM307" s="3">
        <v>13635</v>
      </c>
      <c r="AN307" s="3">
        <v>13395</v>
      </c>
      <c r="AO307" s="3">
        <v>13390</v>
      </c>
      <c r="AP307" s="3">
        <v>13445</v>
      </c>
      <c r="AQ307" s="3">
        <v>13445</v>
      </c>
      <c r="AR307" s="4">
        <f t="shared" si="176"/>
        <v>1.777970511708582E-2</v>
      </c>
      <c r="AS307" s="4">
        <f t="shared" si="148"/>
        <v>1.2987012987012436E-3</v>
      </c>
      <c r="AT307" s="4">
        <f t="shared" si="149"/>
        <v>1.4964788732394263E-2</v>
      </c>
      <c r="AU307" s="4">
        <f t="shared" si="150"/>
        <v>2.5466893039049254E-2</v>
      </c>
      <c r="AV307" s="4">
        <f t="shared" si="151"/>
        <v>1.7108639863130826E-2</v>
      </c>
      <c r="AW307" s="4">
        <f t="shared" si="152"/>
        <v>1.5177065767284947E-2</v>
      </c>
      <c r="AX307" s="4">
        <f t="shared" si="153"/>
        <v>4.4985555096987095E-2</v>
      </c>
      <c r="AY307" s="4">
        <f t="shared" si="154"/>
        <v>2.0735524256651039E-2</v>
      </c>
      <c r="AZ307" s="4">
        <f t="shared" si="155"/>
        <v>1.1956954962135669E-3</v>
      </c>
      <c r="BA307" s="4">
        <f t="shared" si="156"/>
        <v>1.8181818181818188E-2</v>
      </c>
      <c r="BB307" s="4">
        <f t="shared" si="157"/>
        <v>3.2022699635184448E-2</v>
      </c>
      <c r="BC307" s="4">
        <f t="shared" si="158"/>
        <v>7.9145231499810897E-4</v>
      </c>
      <c r="BD307" s="4">
        <f t="shared" si="159"/>
        <v>7.7881619937694158E-3</v>
      </c>
      <c r="BE307" s="4">
        <f t="shared" si="160"/>
        <v>2.0053991515619041E-2</v>
      </c>
      <c r="BF307" s="4">
        <f t="shared" si="161"/>
        <v>1.9098548510313229E-2</v>
      </c>
      <c r="BG307" s="4">
        <f t="shared" si="162"/>
        <v>3.6745406824147064E-2</v>
      </c>
      <c r="BH307" s="4">
        <f t="shared" si="163"/>
        <v>5.3918044572249801E-3</v>
      </c>
      <c r="BI307" s="4">
        <f t="shared" si="164"/>
        <v>1.1531531531531525E-2</v>
      </c>
      <c r="BJ307" s="4">
        <f t="shared" si="165"/>
        <v>6.1953352769679171E-3</v>
      </c>
      <c r="BK307" s="4">
        <f t="shared" si="166"/>
        <v>2.1556448666423145E-2</v>
      </c>
      <c r="BL307" s="4">
        <f t="shared" si="167"/>
        <v>7.4321813452249419E-4</v>
      </c>
      <c r="BM307" s="4">
        <f t="shared" si="177"/>
        <v>1.7590998125560624E-2</v>
      </c>
      <c r="BN307" s="14">
        <f t="shared" si="178"/>
        <v>13691.686879779418</v>
      </c>
      <c r="BO307" s="15">
        <f t="shared" si="179"/>
        <v>13090.599949976904</v>
      </c>
      <c r="BP307" s="16">
        <v>13445</v>
      </c>
      <c r="BQ307" s="16">
        <v>13455</v>
      </c>
      <c r="BR307" s="16">
        <v>13445</v>
      </c>
      <c r="BS307" s="16">
        <v>13445</v>
      </c>
      <c r="BT307" s="16">
        <v>17262</v>
      </c>
      <c r="BU307" s="15">
        <f t="shared" si="168"/>
        <v>13448.333333333334</v>
      </c>
      <c r="BV307" s="15">
        <f t="shared" si="169"/>
        <v>232145130</v>
      </c>
      <c r="BW307" s="15">
        <f>SUM($BV$3:BV307)</f>
        <v>247186305516.66666</v>
      </c>
      <c r="BX307" s="15">
        <f>SUM($BT$3:BT307)</f>
        <v>18254013</v>
      </c>
      <c r="BY307" s="15">
        <f t="shared" si="170"/>
        <v>13541.477455760914</v>
      </c>
      <c r="BZ307" s="3">
        <v>305</v>
      </c>
      <c r="CA307" s="3">
        <f t="shared" si="171"/>
        <v>0</v>
      </c>
      <c r="CB307" s="3">
        <f t="shared" si="172"/>
        <v>0</v>
      </c>
      <c r="CC307" s="3">
        <f t="shared" si="173"/>
        <v>0</v>
      </c>
      <c r="CD307" s="3" t="str">
        <f t="shared" si="174"/>
        <v/>
      </c>
      <c r="CE307" s="3">
        <f t="shared" si="175"/>
        <v>0</v>
      </c>
    </row>
    <row r="308" spans="1:83" x14ac:dyDescent="0.3">
      <c r="A308" s="3" t="s">
        <v>348</v>
      </c>
      <c r="B308" s="3">
        <v>11735</v>
      </c>
      <c r="C308" s="3">
        <v>11745</v>
      </c>
      <c r="D308" s="3">
        <v>11535</v>
      </c>
      <c r="E308" s="3">
        <v>11530</v>
      </c>
      <c r="F308" s="3">
        <v>11530</v>
      </c>
      <c r="G308" s="3">
        <v>11540</v>
      </c>
      <c r="H308" s="3">
        <v>11485</v>
      </c>
      <c r="I308" s="3">
        <v>11495</v>
      </c>
      <c r="J308" s="3">
        <v>11895</v>
      </c>
      <c r="K308" s="3">
        <v>11895</v>
      </c>
      <c r="L308" s="3">
        <v>12040</v>
      </c>
      <c r="M308" s="3">
        <v>12050</v>
      </c>
      <c r="N308" s="3">
        <v>12660</v>
      </c>
      <c r="O308" s="3">
        <v>12655</v>
      </c>
      <c r="P308" s="3">
        <v>12520</v>
      </c>
      <c r="Q308" s="3">
        <v>12535</v>
      </c>
      <c r="R308" s="3">
        <v>12560</v>
      </c>
      <c r="S308" s="3">
        <v>12550</v>
      </c>
      <c r="T308" s="3">
        <v>12150</v>
      </c>
      <c r="U308" s="3">
        <v>12145</v>
      </c>
      <c r="V308" s="3">
        <v>12730</v>
      </c>
      <c r="W308" s="3">
        <v>12735</v>
      </c>
      <c r="X308" s="3">
        <v>12645</v>
      </c>
      <c r="Y308" s="3">
        <v>12625</v>
      </c>
      <c r="Z308" s="3">
        <v>12745</v>
      </c>
      <c r="AA308" s="3">
        <v>12715</v>
      </c>
      <c r="AB308" s="3">
        <v>13220</v>
      </c>
      <c r="AC308" s="3">
        <v>13220</v>
      </c>
      <c r="AD308" s="3">
        <v>13340</v>
      </c>
      <c r="AE308" s="3">
        <v>13335</v>
      </c>
      <c r="AF308" s="3">
        <v>13820</v>
      </c>
      <c r="AG308" s="3">
        <v>13830</v>
      </c>
      <c r="AH308" s="3">
        <v>13835</v>
      </c>
      <c r="AI308" s="3">
        <v>13850</v>
      </c>
      <c r="AJ308" s="3">
        <v>13715</v>
      </c>
      <c r="AK308" s="3">
        <v>13695</v>
      </c>
      <c r="AL308" s="3">
        <v>13635</v>
      </c>
      <c r="AM308" s="3">
        <v>13625</v>
      </c>
      <c r="AN308" s="3">
        <v>13385</v>
      </c>
      <c r="AO308" s="3">
        <v>13390</v>
      </c>
      <c r="AP308" s="3">
        <v>13445</v>
      </c>
      <c r="AQ308" s="3">
        <v>13450</v>
      </c>
      <c r="AR308" s="4">
        <f t="shared" si="176"/>
        <v>1.8647007805724147E-2</v>
      </c>
      <c r="AS308" s="4">
        <f t="shared" si="148"/>
        <v>1.7316017316016952E-3</v>
      </c>
      <c r="AT308" s="4">
        <f t="shared" si="149"/>
        <v>1.5845070422535246E-2</v>
      </c>
      <c r="AU308" s="4">
        <f t="shared" si="150"/>
        <v>2.4193548387096753E-2</v>
      </c>
      <c r="AV308" s="4">
        <f t="shared" si="151"/>
        <v>1.7536355859709252E-2</v>
      </c>
      <c r="AW308" s="4">
        <f t="shared" si="152"/>
        <v>1.6020236087689765E-2</v>
      </c>
      <c r="AX308" s="4">
        <f t="shared" si="153"/>
        <v>4.4572843582336041E-2</v>
      </c>
      <c r="AY308" s="4">
        <f t="shared" si="154"/>
        <v>1.9170579029733958E-2</v>
      </c>
      <c r="AZ308" s="4">
        <f t="shared" si="155"/>
        <v>3.985651654045963E-4</v>
      </c>
      <c r="BA308" s="4">
        <f t="shared" si="156"/>
        <v>1.8585858585858595E-2</v>
      </c>
      <c r="BB308" s="4">
        <f t="shared" si="157"/>
        <v>3.2428050263477948E-2</v>
      </c>
      <c r="BC308" s="4">
        <f t="shared" si="158"/>
        <v>7.9145231499799795E-4</v>
      </c>
      <c r="BD308" s="4">
        <f t="shared" si="159"/>
        <v>9.7352024922118252E-3</v>
      </c>
      <c r="BE308" s="4">
        <f t="shared" si="160"/>
        <v>1.9668337832626337E-2</v>
      </c>
      <c r="BF308" s="4">
        <f t="shared" si="161"/>
        <v>1.8716577540107027E-2</v>
      </c>
      <c r="BG308" s="4">
        <f t="shared" si="162"/>
        <v>3.7120359955005622E-2</v>
      </c>
      <c r="BH308" s="4">
        <f t="shared" si="163"/>
        <v>4.3134435657800063E-3</v>
      </c>
      <c r="BI308" s="4">
        <f t="shared" si="164"/>
        <v>1.2972972972972951E-2</v>
      </c>
      <c r="BJ308" s="4">
        <f t="shared" si="165"/>
        <v>6.9241982507288746E-3</v>
      </c>
      <c r="BK308" s="4">
        <f t="shared" si="166"/>
        <v>2.1556448666423145E-2</v>
      </c>
      <c r="BL308" s="4">
        <f t="shared" si="167"/>
        <v>3.7160906726119158E-4</v>
      </c>
      <c r="BM308" s="4">
        <f t="shared" si="177"/>
        <v>1.7639635015547495E-2</v>
      </c>
      <c r="BN308" s="14">
        <f t="shared" si="178"/>
        <v>13692.34128913419</v>
      </c>
      <c r="BO308" s="15">
        <f t="shared" si="179"/>
        <v>13089.951863417831</v>
      </c>
      <c r="BP308" s="16">
        <v>13445</v>
      </c>
      <c r="BQ308" s="16">
        <v>13450</v>
      </c>
      <c r="BR308" s="16">
        <v>13445</v>
      </c>
      <c r="BS308" s="16">
        <v>13450</v>
      </c>
      <c r="BT308" s="16">
        <v>7102</v>
      </c>
      <c r="BU308" s="15">
        <f t="shared" si="168"/>
        <v>13448.333333333334</v>
      </c>
      <c r="BV308" s="15">
        <f t="shared" si="169"/>
        <v>95510063.333333343</v>
      </c>
      <c r="BW308" s="15">
        <f>SUM($BV$3:BV308)</f>
        <v>247281815580</v>
      </c>
      <c r="BX308" s="15">
        <f>SUM($BT$3:BT308)</f>
        <v>18261115</v>
      </c>
      <c r="BY308" s="15">
        <f t="shared" si="170"/>
        <v>13541.441230724411</v>
      </c>
      <c r="BZ308" s="3">
        <v>306</v>
      </c>
      <c r="CA308" s="3">
        <f t="shared" si="171"/>
        <v>0</v>
      </c>
      <c r="CB308" s="3">
        <f t="shared" si="172"/>
        <v>0</v>
      </c>
      <c r="CC308" s="3">
        <f t="shared" si="173"/>
        <v>0</v>
      </c>
      <c r="CD308" s="3" t="str">
        <f t="shared" si="174"/>
        <v/>
      </c>
      <c r="CE308" s="3">
        <f t="shared" si="175"/>
        <v>0</v>
      </c>
    </row>
    <row r="309" spans="1:83" x14ac:dyDescent="0.3">
      <c r="A309" s="3" t="s">
        <v>349</v>
      </c>
      <c r="B309" s="3">
        <v>11745</v>
      </c>
      <c r="C309" s="3">
        <v>11740</v>
      </c>
      <c r="D309" s="3">
        <v>11525</v>
      </c>
      <c r="E309" s="3">
        <v>11530</v>
      </c>
      <c r="F309" s="3">
        <v>11540</v>
      </c>
      <c r="G309" s="3">
        <v>11540</v>
      </c>
      <c r="H309" s="3">
        <v>11495</v>
      </c>
      <c r="I309" s="3">
        <v>11495</v>
      </c>
      <c r="J309" s="3">
        <v>11890</v>
      </c>
      <c r="K309" s="3">
        <v>11890</v>
      </c>
      <c r="L309" s="3">
        <v>12050</v>
      </c>
      <c r="M309" s="3">
        <v>12065</v>
      </c>
      <c r="N309" s="3">
        <v>12655</v>
      </c>
      <c r="O309" s="3">
        <v>12650</v>
      </c>
      <c r="P309" s="3">
        <v>12535</v>
      </c>
      <c r="Q309" s="3">
        <v>12530</v>
      </c>
      <c r="R309" s="3">
        <v>12550</v>
      </c>
      <c r="S309" s="3">
        <v>12540</v>
      </c>
      <c r="T309" s="3">
        <v>12140</v>
      </c>
      <c r="U309" s="3">
        <v>12135</v>
      </c>
      <c r="V309" s="3">
        <v>12730</v>
      </c>
      <c r="W309" s="3">
        <v>12735</v>
      </c>
      <c r="X309" s="3">
        <v>12635</v>
      </c>
      <c r="Y309" s="3">
        <v>12620</v>
      </c>
      <c r="Z309" s="3">
        <v>12720</v>
      </c>
      <c r="AA309" s="3">
        <v>12725</v>
      </c>
      <c r="AB309" s="3">
        <v>13220</v>
      </c>
      <c r="AC309" s="3">
        <v>13230</v>
      </c>
      <c r="AD309" s="3">
        <v>13340</v>
      </c>
      <c r="AE309" s="3">
        <v>13345</v>
      </c>
      <c r="AF309" s="3">
        <v>13830</v>
      </c>
      <c r="AG309" s="3">
        <v>13840</v>
      </c>
      <c r="AH309" s="3">
        <v>13845</v>
      </c>
      <c r="AI309" s="3">
        <v>13860</v>
      </c>
      <c r="AJ309" s="3">
        <v>13690</v>
      </c>
      <c r="AK309" s="3">
        <v>13705</v>
      </c>
      <c r="AL309" s="3">
        <v>13620</v>
      </c>
      <c r="AM309" s="3">
        <v>13640</v>
      </c>
      <c r="AN309" s="3">
        <v>13395</v>
      </c>
      <c r="AO309" s="3">
        <v>13385</v>
      </c>
      <c r="AP309" s="3">
        <v>13450</v>
      </c>
      <c r="AQ309" s="3">
        <v>13445</v>
      </c>
      <c r="AR309" s="4">
        <f t="shared" si="176"/>
        <v>1.8213356461405095E-2</v>
      </c>
      <c r="AS309" s="4">
        <f t="shared" si="148"/>
        <v>1.7316017316016952E-3</v>
      </c>
      <c r="AT309" s="4">
        <f t="shared" si="149"/>
        <v>1.5845070422535246E-2</v>
      </c>
      <c r="AU309" s="4">
        <f t="shared" si="150"/>
        <v>2.4193548387096753E-2</v>
      </c>
      <c r="AV309" s="4">
        <f t="shared" si="151"/>
        <v>1.7108639863130826E-2</v>
      </c>
      <c r="AW309" s="4">
        <f t="shared" si="152"/>
        <v>1.7284991568296881E-2</v>
      </c>
      <c r="AX309" s="4">
        <f t="shared" si="153"/>
        <v>4.4160132067684765E-2</v>
      </c>
      <c r="AY309" s="4">
        <f t="shared" si="154"/>
        <v>1.9561815336463173E-2</v>
      </c>
      <c r="AZ309" s="4">
        <f t="shared" si="155"/>
        <v>3.985651654045963E-4</v>
      </c>
      <c r="BA309" s="4">
        <f t="shared" si="156"/>
        <v>1.9393939393939408E-2</v>
      </c>
      <c r="BB309" s="4">
        <f t="shared" si="157"/>
        <v>3.2428050263477948E-2</v>
      </c>
      <c r="BC309" s="4">
        <f t="shared" si="158"/>
        <v>1.1871784724970524E-3</v>
      </c>
      <c r="BD309" s="4">
        <f t="shared" si="159"/>
        <v>8.9563862928349058E-3</v>
      </c>
      <c r="BE309" s="4">
        <f t="shared" si="160"/>
        <v>2.0439645198611744E-2</v>
      </c>
      <c r="BF309" s="4">
        <f t="shared" si="161"/>
        <v>1.9480519480519431E-2</v>
      </c>
      <c r="BG309" s="4">
        <f t="shared" si="162"/>
        <v>3.7870266216722959E-2</v>
      </c>
      <c r="BH309" s="4">
        <f t="shared" si="163"/>
        <v>3.5945363048166534E-3</v>
      </c>
      <c r="BI309" s="4">
        <f t="shared" si="164"/>
        <v>1.2252252252252238E-2</v>
      </c>
      <c r="BJ309" s="4">
        <f t="shared" si="165"/>
        <v>5.8309037900874383E-3</v>
      </c>
      <c r="BK309" s="4">
        <f t="shared" si="166"/>
        <v>2.1921812203142155E-2</v>
      </c>
      <c r="BL309" s="4">
        <f t="shared" si="167"/>
        <v>7.4321813452249419E-4</v>
      </c>
      <c r="BM309" s="4">
        <f t="shared" si="177"/>
        <v>1.7676857317032463E-2</v>
      </c>
      <c r="BN309" s="14">
        <f t="shared" si="178"/>
        <v>13692.842115200672</v>
      </c>
      <c r="BO309" s="15">
        <f t="shared" si="179"/>
        <v>13089.455876250542</v>
      </c>
      <c r="BP309" s="16">
        <v>13450</v>
      </c>
      <c r="BQ309" s="16">
        <v>13450</v>
      </c>
      <c r="BR309" s="16">
        <v>13435</v>
      </c>
      <c r="BS309" s="16">
        <v>13445</v>
      </c>
      <c r="BT309" s="16">
        <v>7875</v>
      </c>
      <c r="BU309" s="15">
        <f t="shared" si="168"/>
        <v>13443.333333333334</v>
      </c>
      <c r="BV309" s="15">
        <f t="shared" si="169"/>
        <v>105866250</v>
      </c>
      <c r="BW309" s="15">
        <f>SUM($BV$3:BV309)</f>
        <v>247387681830</v>
      </c>
      <c r="BX309" s="15">
        <f>SUM($BT$3:BT309)</f>
        <v>18268990</v>
      </c>
      <c r="BY309" s="15">
        <f t="shared" si="170"/>
        <v>13541.398940499721</v>
      </c>
      <c r="BZ309" s="3">
        <v>307</v>
      </c>
      <c r="CA309" s="3">
        <f t="shared" si="171"/>
        <v>0</v>
      </c>
      <c r="CB309" s="3">
        <f t="shared" si="172"/>
        <v>0</v>
      </c>
      <c r="CC309" s="3">
        <f t="shared" si="173"/>
        <v>0</v>
      </c>
      <c r="CD309" s="3" t="str">
        <f t="shared" si="174"/>
        <v/>
      </c>
      <c r="CE309" s="3">
        <f t="shared" si="175"/>
        <v>0</v>
      </c>
    </row>
    <row r="310" spans="1:83" x14ac:dyDescent="0.3">
      <c r="A310" s="3" t="s">
        <v>350</v>
      </c>
      <c r="B310" s="3">
        <v>11740</v>
      </c>
      <c r="C310" s="3">
        <v>11740</v>
      </c>
      <c r="D310" s="3">
        <v>11530</v>
      </c>
      <c r="E310" s="3">
        <v>11535</v>
      </c>
      <c r="F310" s="3">
        <v>11540</v>
      </c>
      <c r="G310" s="3">
        <v>11540</v>
      </c>
      <c r="H310" s="3">
        <v>11500</v>
      </c>
      <c r="I310" s="3">
        <v>11500</v>
      </c>
      <c r="J310" s="3">
        <v>11890</v>
      </c>
      <c r="K310" s="3">
        <v>11895</v>
      </c>
      <c r="L310" s="3">
        <v>12060</v>
      </c>
      <c r="M310" s="3">
        <v>12065</v>
      </c>
      <c r="N310" s="3">
        <v>12650</v>
      </c>
      <c r="O310" s="3">
        <v>12655</v>
      </c>
      <c r="P310" s="3">
        <v>12525</v>
      </c>
      <c r="Q310" s="3">
        <v>12510</v>
      </c>
      <c r="R310" s="3">
        <v>12545</v>
      </c>
      <c r="S310" s="3">
        <v>12540</v>
      </c>
      <c r="T310" s="3">
        <v>12135</v>
      </c>
      <c r="U310" s="3">
        <v>12135</v>
      </c>
      <c r="V310" s="3">
        <v>12740</v>
      </c>
      <c r="W310" s="3">
        <v>12755</v>
      </c>
      <c r="X310" s="3">
        <v>12615</v>
      </c>
      <c r="Y310" s="3">
        <v>12615</v>
      </c>
      <c r="Z310" s="3">
        <v>12725</v>
      </c>
      <c r="AA310" s="3">
        <v>12730</v>
      </c>
      <c r="AB310" s="3">
        <v>13225</v>
      </c>
      <c r="AC310" s="3">
        <v>13220</v>
      </c>
      <c r="AD310" s="3">
        <v>13340</v>
      </c>
      <c r="AE310" s="3">
        <v>13330</v>
      </c>
      <c r="AF310" s="3">
        <v>13835</v>
      </c>
      <c r="AG310" s="3">
        <v>13845</v>
      </c>
      <c r="AH310" s="3">
        <v>13860</v>
      </c>
      <c r="AI310" s="3">
        <v>13855</v>
      </c>
      <c r="AJ310" s="3">
        <v>13705</v>
      </c>
      <c r="AK310" s="3">
        <v>13700</v>
      </c>
      <c r="AL310" s="3">
        <v>13640</v>
      </c>
      <c r="AM310" s="3">
        <v>13635</v>
      </c>
      <c r="AN310" s="3">
        <v>13380</v>
      </c>
      <c r="AO310" s="3">
        <v>13400</v>
      </c>
      <c r="AP310" s="3">
        <v>13445</v>
      </c>
      <c r="AQ310" s="3">
        <v>13450</v>
      </c>
      <c r="AR310" s="4">
        <f t="shared" si="176"/>
        <v>1.8213356461405095E-2</v>
      </c>
      <c r="AS310" s="4">
        <f t="shared" si="148"/>
        <v>1.2987012987012436E-3</v>
      </c>
      <c r="AT310" s="4">
        <f t="shared" si="149"/>
        <v>1.5845070422535246E-2</v>
      </c>
      <c r="AU310" s="4">
        <f t="shared" si="150"/>
        <v>2.3769100169779289E-2</v>
      </c>
      <c r="AV310" s="4">
        <f t="shared" si="151"/>
        <v>1.7536355859709252E-2</v>
      </c>
      <c r="AW310" s="4">
        <f t="shared" si="152"/>
        <v>1.7284991568296881E-2</v>
      </c>
      <c r="AX310" s="4">
        <f t="shared" si="153"/>
        <v>4.4572843582336041E-2</v>
      </c>
      <c r="AY310" s="4">
        <f t="shared" si="154"/>
        <v>2.1126760563380254E-2</v>
      </c>
      <c r="AZ310" s="4">
        <f t="shared" si="155"/>
        <v>3.985651654045963E-4</v>
      </c>
      <c r="BA310" s="4">
        <f t="shared" si="156"/>
        <v>1.9393939393939408E-2</v>
      </c>
      <c r="BB310" s="4">
        <f t="shared" si="157"/>
        <v>3.4049452776651723E-2</v>
      </c>
      <c r="BC310" s="4">
        <f t="shared" si="158"/>
        <v>1.5829046299959959E-3</v>
      </c>
      <c r="BD310" s="4">
        <f t="shared" si="159"/>
        <v>8.5669781931464462E-3</v>
      </c>
      <c r="BE310" s="4">
        <f t="shared" si="160"/>
        <v>1.9668337832626337E-2</v>
      </c>
      <c r="BF310" s="4">
        <f t="shared" si="161"/>
        <v>1.8334606569900602E-2</v>
      </c>
      <c r="BG310" s="4">
        <f t="shared" si="162"/>
        <v>3.8245219347581516E-2</v>
      </c>
      <c r="BH310" s="4">
        <f t="shared" si="163"/>
        <v>3.9539899352983854E-3</v>
      </c>
      <c r="BI310" s="4">
        <f t="shared" si="164"/>
        <v>1.2612612612612595E-2</v>
      </c>
      <c r="BJ310" s="4">
        <f t="shared" si="165"/>
        <v>6.1953352769679171E-3</v>
      </c>
      <c r="BK310" s="4">
        <f t="shared" si="166"/>
        <v>2.0825721592985014E-2</v>
      </c>
      <c r="BL310" s="4">
        <f t="shared" si="167"/>
        <v>3.7160906726119158E-4</v>
      </c>
      <c r="BM310" s="4">
        <f t="shared" si="177"/>
        <v>1.7823376248059058E-2</v>
      </c>
      <c r="BN310" s="14">
        <f t="shared" si="178"/>
        <v>13694.813527417635</v>
      </c>
      <c r="BO310" s="15">
        <f t="shared" si="179"/>
        <v>13087.503511494613</v>
      </c>
      <c r="BP310" s="16">
        <v>13445</v>
      </c>
      <c r="BQ310" s="16">
        <v>13450</v>
      </c>
      <c r="BR310" s="16">
        <v>13445</v>
      </c>
      <c r="BS310" s="16">
        <v>13450</v>
      </c>
      <c r="BT310" s="16">
        <v>15155</v>
      </c>
      <c r="BU310" s="15">
        <f t="shared" si="168"/>
        <v>13448.333333333334</v>
      </c>
      <c r="BV310" s="15">
        <f t="shared" si="169"/>
        <v>203809491.66666669</v>
      </c>
      <c r="BW310" s="15">
        <f>SUM($BV$3:BV310)</f>
        <v>247591491321.66666</v>
      </c>
      <c r="BX310" s="15">
        <f>SUM($BT$3:BT310)</f>
        <v>18284145</v>
      </c>
      <c r="BY310" s="15">
        <f t="shared" si="170"/>
        <v>13541.321802122366</v>
      </c>
      <c r="BZ310" s="3">
        <v>308</v>
      </c>
      <c r="CA310" s="3">
        <f t="shared" si="171"/>
        <v>0</v>
      </c>
      <c r="CB310" s="3">
        <f t="shared" si="172"/>
        <v>0</v>
      </c>
      <c r="CC310" s="3">
        <f t="shared" si="173"/>
        <v>0</v>
      </c>
      <c r="CD310" s="3" t="str">
        <f t="shared" si="174"/>
        <v/>
      </c>
      <c r="CE310" s="3">
        <f t="shared" si="175"/>
        <v>0</v>
      </c>
    </row>
    <row r="311" spans="1:83" x14ac:dyDescent="0.3">
      <c r="A311" s="3" t="s">
        <v>351</v>
      </c>
      <c r="B311" s="3">
        <v>11740</v>
      </c>
      <c r="C311" s="3">
        <v>11745</v>
      </c>
      <c r="D311" s="3">
        <v>11535</v>
      </c>
      <c r="E311" s="3">
        <v>11550</v>
      </c>
      <c r="F311" s="3">
        <v>11540</v>
      </c>
      <c r="G311" s="3">
        <v>11550</v>
      </c>
      <c r="H311" s="3">
        <v>11500</v>
      </c>
      <c r="I311" s="3">
        <v>11505</v>
      </c>
      <c r="J311" s="3">
        <v>11900</v>
      </c>
      <c r="K311" s="3">
        <v>11895</v>
      </c>
      <c r="L311" s="3">
        <v>12065</v>
      </c>
      <c r="M311" s="3">
        <v>12060</v>
      </c>
      <c r="N311" s="3">
        <v>12650</v>
      </c>
      <c r="O311" s="3">
        <v>12655</v>
      </c>
      <c r="P311" s="3">
        <v>12510</v>
      </c>
      <c r="Q311" s="3">
        <v>12530</v>
      </c>
      <c r="R311" s="3">
        <v>12540</v>
      </c>
      <c r="S311" s="3">
        <v>12540</v>
      </c>
      <c r="T311" s="3">
        <v>12135</v>
      </c>
      <c r="U311" s="3">
        <v>12140</v>
      </c>
      <c r="V311" s="3">
        <v>12760</v>
      </c>
      <c r="W311" s="3">
        <v>12770</v>
      </c>
      <c r="X311" s="3">
        <v>12615</v>
      </c>
      <c r="Y311" s="3">
        <v>12630</v>
      </c>
      <c r="Z311" s="3">
        <v>12735</v>
      </c>
      <c r="AA311" s="3">
        <v>12720</v>
      </c>
      <c r="AB311" s="3">
        <v>13225</v>
      </c>
      <c r="AC311" s="3">
        <v>13225</v>
      </c>
      <c r="AD311" s="3">
        <v>13330</v>
      </c>
      <c r="AE311" s="3">
        <v>13325</v>
      </c>
      <c r="AF311" s="3">
        <v>13845</v>
      </c>
      <c r="AG311" s="3">
        <v>13840</v>
      </c>
      <c r="AH311" s="3">
        <v>13860</v>
      </c>
      <c r="AI311" s="3">
        <v>13855</v>
      </c>
      <c r="AJ311" s="3">
        <v>13700</v>
      </c>
      <c r="AK311" s="3">
        <v>13715</v>
      </c>
      <c r="AL311" s="3">
        <v>13640</v>
      </c>
      <c r="AM311" s="3">
        <v>13650</v>
      </c>
      <c r="AN311" s="3">
        <v>13400</v>
      </c>
      <c r="AO311" s="3">
        <v>13380</v>
      </c>
      <c r="AP311" s="3">
        <v>13450</v>
      </c>
      <c r="AQ311" s="3">
        <v>13455</v>
      </c>
      <c r="AR311" s="4">
        <f t="shared" si="176"/>
        <v>1.8647007805724147E-2</v>
      </c>
      <c r="AS311" s="4">
        <f t="shared" si="148"/>
        <v>0</v>
      </c>
      <c r="AT311" s="4">
        <f t="shared" si="149"/>
        <v>1.6725352112676006E-2</v>
      </c>
      <c r="AU311" s="4">
        <f t="shared" si="150"/>
        <v>2.3344651952461826E-2</v>
      </c>
      <c r="AV311" s="4">
        <f t="shared" si="151"/>
        <v>1.7536355859709252E-2</v>
      </c>
      <c r="AW311" s="4">
        <f t="shared" si="152"/>
        <v>1.6863406408094361E-2</v>
      </c>
      <c r="AX311" s="4">
        <f t="shared" si="153"/>
        <v>4.4572843582336041E-2</v>
      </c>
      <c r="AY311" s="4">
        <f t="shared" si="154"/>
        <v>1.9561815336463173E-2</v>
      </c>
      <c r="AZ311" s="4">
        <f t="shared" si="155"/>
        <v>3.985651654045963E-4</v>
      </c>
      <c r="BA311" s="4">
        <f t="shared" si="156"/>
        <v>1.8989898989899001E-2</v>
      </c>
      <c r="BB311" s="4">
        <f t="shared" si="157"/>
        <v>3.5265504661532221E-2</v>
      </c>
      <c r="BC311" s="4">
        <f t="shared" si="158"/>
        <v>3.9572615749905449E-4</v>
      </c>
      <c r="BD311" s="4">
        <f t="shared" si="159"/>
        <v>9.3457943925233655E-3</v>
      </c>
      <c r="BE311" s="4">
        <f t="shared" si="160"/>
        <v>2.0053991515619041E-2</v>
      </c>
      <c r="BF311" s="4">
        <f t="shared" si="161"/>
        <v>1.79526355996944E-2</v>
      </c>
      <c r="BG311" s="4">
        <f t="shared" si="162"/>
        <v>3.7870266216722959E-2</v>
      </c>
      <c r="BH311" s="4">
        <f t="shared" si="163"/>
        <v>3.9539899352983854E-3</v>
      </c>
      <c r="BI311" s="4">
        <f t="shared" si="164"/>
        <v>1.1531531531531525E-2</v>
      </c>
      <c r="BJ311" s="4">
        <f t="shared" si="165"/>
        <v>5.1020408163264808E-3</v>
      </c>
      <c r="BK311" s="4">
        <f t="shared" si="166"/>
        <v>2.2287175739861165E-2</v>
      </c>
      <c r="BL311" s="4">
        <f t="shared" si="167"/>
        <v>0</v>
      </c>
      <c r="BM311" s="4">
        <f t="shared" si="177"/>
        <v>1.7662984260050814E-2</v>
      </c>
      <c r="BN311" s="14">
        <f t="shared" si="178"/>
        <v>13692.655453218984</v>
      </c>
      <c r="BO311" s="15">
        <f t="shared" si="179"/>
        <v>13089.640734734823</v>
      </c>
      <c r="BP311" s="16">
        <v>13450</v>
      </c>
      <c r="BQ311" s="16">
        <v>13455</v>
      </c>
      <c r="BR311" s="16">
        <v>13450</v>
      </c>
      <c r="BS311" s="16">
        <v>13455</v>
      </c>
      <c r="BT311" s="16">
        <v>2692</v>
      </c>
      <c r="BU311" s="15">
        <f t="shared" si="168"/>
        <v>13453.333333333334</v>
      </c>
      <c r="BV311" s="15">
        <f t="shared" si="169"/>
        <v>36216373.333333336</v>
      </c>
      <c r="BW311" s="15">
        <f>SUM($BV$3:BV311)</f>
        <v>247627707695</v>
      </c>
      <c r="BX311" s="15">
        <f>SUM($BT$3:BT311)</f>
        <v>18286837</v>
      </c>
      <c r="BY311" s="15">
        <f t="shared" si="170"/>
        <v>13541.308849365256</v>
      </c>
      <c r="BZ311" s="3">
        <v>309</v>
      </c>
      <c r="CA311" s="3">
        <f t="shared" si="171"/>
        <v>0</v>
      </c>
      <c r="CB311" s="3">
        <f t="shared" si="172"/>
        <v>0</v>
      </c>
      <c r="CC311" s="3">
        <f t="shared" si="173"/>
        <v>0</v>
      </c>
      <c r="CD311" s="3" t="str">
        <f t="shared" si="174"/>
        <v/>
      </c>
      <c r="CE311" s="3">
        <f t="shared" si="175"/>
        <v>0</v>
      </c>
    </row>
    <row r="312" spans="1:83" x14ac:dyDescent="0.3">
      <c r="A312" s="3" t="s">
        <v>352</v>
      </c>
      <c r="B312" s="3">
        <v>11745</v>
      </c>
      <c r="C312" s="3">
        <v>11760</v>
      </c>
      <c r="D312" s="3">
        <v>11550</v>
      </c>
      <c r="E312" s="3">
        <v>11555</v>
      </c>
      <c r="F312" s="3">
        <v>11550</v>
      </c>
      <c r="G312" s="3">
        <v>11560</v>
      </c>
      <c r="H312" s="3">
        <v>11505</v>
      </c>
      <c r="I312" s="3">
        <v>11500</v>
      </c>
      <c r="J312" s="3">
        <v>11895</v>
      </c>
      <c r="K312" s="3">
        <v>11895</v>
      </c>
      <c r="L312" s="3">
        <v>12060</v>
      </c>
      <c r="M312" s="3">
        <v>12045</v>
      </c>
      <c r="N312" s="3">
        <v>12655</v>
      </c>
      <c r="O312" s="3">
        <v>12655</v>
      </c>
      <c r="P312" s="3">
        <v>12530</v>
      </c>
      <c r="Q312" s="3">
        <v>12545</v>
      </c>
      <c r="R312" s="3">
        <v>12540</v>
      </c>
      <c r="S312" s="3">
        <v>12530</v>
      </c>
      <c r="T312" s="3">
        <v>12135</v>
      </c>
      <c r="U312" s="3">
        <v>12140</v>
      </c>
      <c r="V312" s="3">
        <v>12770</v>
      </c>
      <c r="W312" s="3">
        <v>12775</v>
      </c>
      <c r="X312" s="3">
        <v>12630</v>
      </c>
      <c r="Y312" s="3">
        <v>12625</v>
      </c>
      <c r="Z312" s="3">
        <v>12725</v>
      </c>
      <c r="AA312" s="3">
        <v>12725</v>
      </c>
      <c r="AB312" s="3">
        <v>13225</v>
      </c>
      <c r="AC312" s="3">
        <v>13230</v>
      </c>
      <c r="AD312" s="3">
        <v>13325</v>
      </c>
      <c r="AE312" s="3">
        <v>13320</v>
      </c>
      <c r="AF312" s="3">
        <v>13835</v>
      </c>
      <c r="AG312" s="3">
        <v>13820</v>
      </c>
      <c r="AH312" s="3">
        <v>13850</v>
      </c>
      <c r="AI312" s="3">
        <v>13835</v>
      </c>
      <c r="AJ312" s="3">
        <v>13710</v>
      </c>
      <c r="AK312" s="3">
        <v>13680</v>
      </c>
      <c r="AL312" s="3">
        <v>13650</v>
      </c>
      <c r="AM312" s="3">
        <v>13670</v>
      </c>
      <c r="AN312" s="3">
        <v>13385</v>
      </c>
      <c r="AO312" s="3">
        <v>13380</v>
      </c>
      <c r="AP312" s="3">
        <v>13455</v>
      </c>
      <c r="AQ312" s="3">
        <v>13460</v>
      </c>
      <c r="AR312" s="4">
        <f t="shared" si="176"/>
        <v>1.9947961838681749E-2</v>
      </c>
      <c r="AS312" s="4">
        <f t="shared" si="148"/>
        <v>4.3290043290045155E-4</v>
      </c>
      <c r="AT312" s="4">
        <f t="shared" si="149"/>
        <v>1.7605633802816989E-2</v>
      </c>
      <c r="AU312" s="4">
        <f t="shared" si="150"/>
        <v>2.3769100169779289E-2</v>
      </c>
      <c r="AV312" s="4">
        <f t="shared" si="151"/>
        <v>1.7536355859709252E-2</v>
      </c>
      <c r="AW312" s="4">
        <f t="shared" si="152"/>
        <v>1.5598650927487245E-2</v>
      </c>
      <c r="AX312" s="4">
        <f t="shared" si="153"/>
        <v>4.4572843582336041E-2</v>
      </c>
      <c r="AY312" s="4">
        <f t="shared" si="154"/>
        <v>1.8388106416275418E-2</v>
      </c>
      <c r="AZ312" s="4">
        <f t="shared" si="155"/>
        <v>1.1956954962136779E-3</v>
      </c>
      <c r="BA312" s="4">
        <f t="shared" si="156"/>
        <v>1.8989898989899001E-2</v>
      </c>
      <c r="BB312" s="4">
        <f t="shared" si="157"/>
        <v>3.567085528982572E-2</v>
      </c>
      <c r="BC312" s="4">
        <f t="shared" si="158"/>
        <v>7.9145231499799795E-4</v>
      </c>
      <c r="BD312" s="4">
        <f t="shared" si="159"/>
        <v>8.9563862928349058E-3</v>
      </c>
      <c r="BE312" s="4">
        <f t="shared" si="160"/>
        <v>2.0439645198611744E-2</v>
      </c>
      <c r="BF312" s="4">
        <f t="shared" si="161"/>
        <v>1.7570664629488197E-2</v>
      </c>
      <c r="BG312" s="4">
        <f t="shared" si="162"/>
        <v>3.6370453693288285E-2</v>
      </c>
      <c r="BH312" s="4">
        <f t="shared" si="163"/>
        <v>5.3918044572249801E-3</v>
      </c>
      <c r="BI312" s="4">
        <f t="shared" si="164"/>
        <v>1.4054054054054022E-2</v>
      </c>
      <c r="BJ312" s="4">
        <f t="shared" si="165"/>
        <v>3.6443148688046767E-3</v>
      </c>
      <c r="BK312" s="4">
        <f t="shared" si="166"/>
        <v>2.2287175739861165E-2</v>
      </c>
      <c r="BL312" s="4">
        <f t="shared" si="167"/>
        <v>3.7160906726119158E-4</v>
      </c>
      <c r="BM312" s="4">
        <f t="shared" si="177"/>
        <v>1.7737382215979702E-2</v>
      </c>
      <c r="BN312" s="14">
        <f t="shared" si="178"/>
        <v>13693.656477716006</v>
      </c>
      <c r="BO312" s="15">
        <f t="shared" si="179"/>
        <v>13088.649381972071</v>
      </c>
      <c r="BP312" s="16">
        <v>13455</v>
      </c>
      <c r="BQ312" s="16">
        <v>13460</v>
      </c>
      <c r="BR312" s="16">
        <v>13455</v>
      </c>
      <c r="BS312" s="16">
        <v>13460</v>
      </c>
      <c r="BT312" s="16">
        <v>6302</v>
      </c>
      <c r="BU312" s="15">
        <f t="shared" si="168"/>
        <v>13458.333333333334</v>
      </c>
      <c r="BV312" s="15">
        <f t="shared" si="169"/>
        <v>84814416.666666672</v>
      </c>
      <c r="BW312" s="15">
        <f>SUM($BV$3:BV312)</f>
        <v>247712522111.66666</v>
      </c>
      <c r="BX312" s="15">
        <f>SUM($BT$3:BT312)</f>
        <v>18293139</v>
      </c>
      <c r="BY312" s="15">
        <f t="shared" si="170"/>
        <v>13541.280264238228</v>
      </c>
      <c r="BZ312" s="3">
        <v>310</v>
      </c>
      <c r="CA312" s="3">
        <f t="shared" si="171"/>
        <v>0</v>
      </c>
      <c r="CB312" s="3">
        <f t="shared" si="172"/>
        <v>0</v>
      </c>
      <c r="CC312" s="3">
        <f t="shared" si="173"/>
        <v>0</v>
      </c>
      <c r="CD312" s="3" t="str">
        <f t="shared" si="174"/>
        <v/>
      </c>
      <c r="CE312" s="3">
        <f t="shared" si="175"/>
        <v>0</v>
      </c>
    </row>
    <row r="313" spans="1:83" x14ac:dyDescent="0.3">
      <c r="A313" s="3" t="s">
        <v>353</v>
      </c>
      <c r="B313" s="3">
        <v>11760</v>
      </c>
      <c r="C313" s="3">
        <v>11760</v>
      </c>
      <c r="D313" s="3">
        <v>11555</v>
      </c>
      <c r="E313" s="3">
        <v>11560</v>
      </c>
      <c r="F313" s="3">
        <v>11565</v>
      </c>
      <c r="G313" s="3">
        <v>11560</v>
      </c>
      <c r="H313" s="3">
        <v>11500</v>
      </c>
      <c r="I313" s="3">
        <v>11510</v>
      </c>
      <c r="J313" s="3">
        <v>11895</v>
      </c>
      <c r="K313" s="3">
        <v>11895</v>
      </c>
      <c r="L313" s="3">
        <v>12050</v>
      </c>
      <c r="M313" s="3">
        <v>12045</v>
      </c>
      <c r="N313" s="3">
        <v>12655</v>
      </c>
      <c r="O313" s="3">
        <v>12660</v>
      </c>
      <c r="P313" s="3">
        <v>12550</v>
      </c>
      <c r="Q313" s="3">
        <v>12535</v>
      </c>
      <c r="R313" s="3">
        <v>12530</v>
      </c>
      <c r="S313" s="3">
        <v>12540</v>
      </c>
      <c r="T313" s="3">
        <v>12140</v>
      </c>
      <c r="U313" s="3">
        <v>12150</v>
      </c>
      <c r="V313" s="3">
        <v>12775</v>
      </c>
      <c r="W313" s="3">
        <v>12775</v>
      </c>
      <c r="X313" s="3">
        <v>12625</v>
      </c>
      <c r="Y313" s="3">
        <v>12635</v>
      </c>
      <c r="Z313" s="3">
        <v>12720</v>
      </c>
      <c r="AA313" s="3">
        <v>12730</v>
      </c>
      <c r="AB313" s="3">
        <v>13235</v>
      </c>
      <c r="AC313" s="3">
        <v>13230</v>
      </c>
      <c r="AD313" s="3">
        <v>13320</v>
      </c>
      <c r="AE313" s="3">
        <v>13310</v>
      </c>
      <c r="AF313" s="3">
        <v>13825</v>
      </c>
      <c r="AG313" s="3">
        <v>13820</v>
      </c>
      <c r="AH313" s="3">
        <v>13840</v>
      </c>
      <c r="AI313" s="3">
        <v>13840</v>
      </c>
      <c r="AJ313" s="3">
        <v>13680</v>
      </c>
      <c r="AK313" s="3">
        <v>13685</v>
      </c>
      <c r="AL313" s="3">
        <v>13670</v>
      </c>
      <c r="AM313" s="3">
        <v>13665</v>
      </c>
      <c r="AN313" s="3">
        <v>13385</v>
      </c>
      <c r="AO313" s="3">
        <v>13390</v>
      </c>
      <c r="AP313" s="3">
        <v>13460</v>
      </c>
      <c r="AQ313" s="3">
        <v>13475</v>
      </c>
      <c r="AR313" s="4">
        <f t="shared" si="176"/>
        <v>1.9947961838681749E-2</v>
      </c>
      <c r="AS313" s="4">
        <f t="shared" si="148"/>
        <v>8.658008658009031E-4</v>
      </c>
      <c r="AT313" s="4">
        <f t="shared" si="149"/>
        <v>1.7605633802816989E-2</v>
      </c>
      <c r="AU313" s="4">
        <f t="shared" si="150"/>
        <v>2.2920203735144362E-2</v>
      </c>
      <c r="AV313" s="4">
        <f t="shared" si="151"/>
        <v>1.7536355859709252E-2</v>
      </c>
      <c r="AW313" s="4">
        <f t="shared" si="152"/>
        <v>1.5598650927487245E-2</v>
      </c>
      <c r="AX313" s="4">
        <f t="shared" si="153"/>
        <v>4.4985555096987095E-2</v>
      </c>
      <c r="AY313" s="4">
        <f t="shared" si="154"/>
        <v>1.9170579029733958E-2</v>
      </c>
      <c r="AZ313" s="4">
        <f t="shared" si="155"/>
        <v>3.985651654045963E-4</v>
      </c>
      <c r="BA313" s="4">
        <f t="shared" si="156"/>
        <v>1.8181818181818188E-2</v>
      </c>
      <c r="BB313" s="4">
        <f t="shared" si="157"/>
        <v>3.567085528982572E-2</v>
      </c>
      <c r="BC313" s="4">
        <f t="shared" si="158"/>
        <v>0</v>
      </c>
      <c r="BD313" s="4">
        <f t="shared" si="159"/>
        <v>8.5669781931464462E-3</v>
      </c>
      <c r="BE313" s="4">
        <f t="shared" si="160"/>
        <v>2.0439645198611744E-2</v>
      </c>
      <c r="BF313" s="4">
        <f t="shared" si="161"/>
        <v>1.6806722689075571E-2</v>
      </c>
      <c r="BG313" s="4">
        <f t="shared" si="162"/>
        <v>3.6370453693288285E-2</v>
      </c>
      <c r="BH313" s="4">
        <f t="shared" si="163"/>
        <v>5.0323508267433592E-3</v>
      </c>
      <c r="BI313" s="4">
        <f t="shared" si="164"/>
        <v>1.3693693693693665E-2</v>
      </c>
      <c r="BJ313" s="4">
        <f t="shared" si="165"/>
        <v>4.0087463556851555E-3</v>
      </c>
      <c r="BK313" s="4">
        <f t="shared" si="166"/>
        <v>2.1556448666423145E-2</v>
      </c>
      <c r="BL313" s="4">
        <f t="shared" si="167"/>
        <v>1.4864362690449884E-3</v>
      </c>
      <c r="BM313" s="4">
        <f t="shared" si="177"/>
        <v>1.7491600862888351E-2</v>
      </c>
      <c r="BN313" s="14">
        <f t="shared" si="178"/>
        <v>13690.349489610162</v>
      </c>
      <c r="BO313" s="15">
        <f t="shared" si="179"/>
        <v>13091.924418502012</v>
      </c>
      <c r="BP313" s="16">
        <v>13460</v>
      </c>
      <c r="BQ313" s="16">
        <v>13480</v>
      </c>
      <c r="BR313" s="16">
        <v>13460</v>
      </c>
      <c r="BS313" s="16">
        <v>13475</v>
      </c>
      <c r="BT313" s="16">
        <v>43754</v>
      </c>
      <c r="BU313" s="15">
        <f t="shared" si="168"/>
        <v>13471.666666666666</v>
      </c>
      <c r="BV313" s="15">
        <f t="shared" si="169"/>
        <v>589439303.33333325</v>
      </c>
      <c r="BW313" s="15">
        <f>SUM($BV$3:BV313)</f>
        <v>248301961415</v>
      </c>
      <c r="BX313" s="15">
        <f>SUM($BT$3:BT313)</f>
        <v>18336893</v>
      </c>
      <c r="BY313" s="15">
        <f t="shared" si="170"/>
        <v>13541.11415794377</v>
      </c>
      <c r="BZ313" s="3">
        <v>311</v>
      </c>
      <c r="CA313" s="3">
        <f t="shared" si="171"/>
        <v>0</v>
      </c>
      <c r="CB313" s="3">
        <f t="shared" si="172"/>
        <v>0</v>
      </c>
      <c r="CC313" s="3">
        <f t="shared" si="173"/>
        <v>0</v>
      </c>
      <c r="CD313" s="3" t="str">
        <f t="shared" si="174"/>
        <v/>
      </c>
      <c r="CE313" s="3">
        <f t="shared" si="175"/>
        <v>0</v>
      </c>
    </row>
    <row r="314" spans="1:83" x14ac:dyDescent="0.3">
      <c r="A314" s="3" t="s">
        <v>354</v>
      </c>
      <c r="B314" s="3">
        <v>11760</v>
      </c>
      <c r="C314" s="3">
        <v>11740</v>
      </c>
      <c r="D314" s="3">
        <v>11560</v>
      </c>
      <c r="E314" s="3">
        <v>11570</v>
      </c>
      <c r="F314" s="3">
        <v>11565</v>
      </c>
      <c r="G314" s="3">
        <v>11580</v>
      </c>
      <c r="H314" s="3">
        <v>11505</v>
      </c>
      <c r="I314" s="3">
        <v>11505</v>
      </c>
      <c r="J314" s="3">
        <v>11895</v>
      </c>
      <c r="K314" s="3">
        <v>11895</v>
      </c>
      <c r="L314" s="3">
        <v>12045</v>
      </c>
      <c r="M314" s="3">
        <v>12055</v>
      </c>
      <c r="N314" s="3">
        <v>12655</v>
      </c>
      <c r="O314" s="3">
        <v>12655</v>
      </c>
      <c r="P314" s="3">
        <v>12535</v>
      </c>
      <c r="Q314" s="3">
        <v>12540</v>
      </c>
      <c r="R314" s="3">
        <v>12540</v>
      </c>
      <c r="S314" s="3">
        <v>12535</v>
      </c>
      <c r="T314" s="3">
        <v>12150</v>
      </c>
      <c r="U314" s="3">
        <v>12150</v>
      </c>
      <c r="V314" s="3">
        <v>12780</v>
      </c>
      <c r="W314" s="3">
        <v>12790</v>
      </c>
      <c r="X314" s="3">
        <v>12635</v>
      </c>
      <c r="Y314" s="3">
        <v>12630</v>
      </c>
      <c r="Z314" s="3">
        <v>12725</v>
      </c>
      <c r="AA314" s="3">
        <v>12730</v>
      </c>
      <c r="AB314" s="3">
        <v>13230</v>
      </c>
      <c r="AC314" s="3">
        <v>13240</v>
      </c>
      <c r="AD314" s="3">
        <v>13310</v>
      </c>
      <c r="AE314" s="3">
        <v>13320</v>
      </c>
      <c r="AF314" s="3">
        <v>13825</v>
      </c>
      <c r="AG314" s="3">
        <v>13830</v>
      </c>
      <c r="AH314" s="3">
        <v>13840</v>
      </c>
      <c r="AI314" s="3">
        <v>13825</v>
      </c>
      <c r="AJ314" s="3">
        <v>13685</v>
      </c>
      <c r="AK314" s="3">
        <v>13705</v>
      </c>
      <c r="AL314" s="3">
        <v>13660</v>
      </c>
      <c r="AM314" s="3">
        <v>13645</v>
      </c>
      <c r="AN314" s="3">
        <v>13395</v>
      </c>
      <c r="AO314" s="3">
        <v>13380</v>
      </c>
      <c r="AP314" s="3">
        <v>13475</v>
      </c>
      <c r="AQ314" s="3">
        <v>13470</v>
      </c>
      <c r="AR314" s="4">
        <f t="shared" si="176"/>
        <v>1.8213356461405095E-2</v>
      </c>
      <c r="AS314" s="4">
        <f t="shared" si="148"/>
        <v>1.7316017316018062E-3</v>
      </c>
      <c r="AT314" s="4">
        <f t="shared" si="149"/>
        <v>1.936619718309851E-2</v>
      </c>
      <c r="AU314" s="4">
        <f t="shared" si="150"/>
        <v>2.3344651952461826E-2</v>
      </c>
      <c r="AV314" s="4">
        <f t="shared" si="151"/>
        <v>1.7536355859709252E-2</v>
      </c>
      <c r="AW314" s="4">
        <f t="shared" si="152"/>
        <v>1.6441821247892063E-2</v>
      </c>
      <c r="AX314" s="4">
        <f t="shared" si="153"/>
        <v>4.4572843582336041E-2</v>
      </c>
      <c r="AY314" s="4">
        <f t="shared" si="154"/>
        <v>1.8779342723004744E-2</v>
      </c>
      <c r="AZ314" s="4">
        <f t="shared" si="155"/>
        <v>7.9713033080908158E-4</v>
      </c>
      <c r="BA314" s="4">
        <f t="shared" si="156"/>
        <v>1.8181818181818188E-2</v>
      </c>
      <c r="BB314" s="4">
        <f t="shared" si="157"/>
        <v>3.6886907174706218E-2</v>
      </c>
      <c r="BC314" s="4">
        <f t="shared" si="158"/>
        <v>3.9572615749905449E-4</v>
      </c>
      <c r="BD314" s="4">
        <f t="shared" si="159"/>
        <v>8.5669781931464462E-3</v>
      </c>
      <c r="BE314" s="4">
        <f t="shared" si="160"/>
        <v>2.121095256459693E-2</v>
      </c>
      <c r="BF314" s="4">
        <f t="shared" si="161"/>
        <v>1.7570664629488197E-2</v>
      </c>
      <c r="BG314" s="4">
        <f t="shared" si="162"/>
        <v>3.7120359955005622E-2</v>
      </c>
      <c r="BH314" s="4">
        <f t="shared" si="163"/>
        <v>6.110711718188333E-3</v>
      </c>
      <c r="BI314" s="4">
        <f t="shared" si="164"/>
        <v>1.2252252252252238E-2</v>
      </c>
      <c r="BJ314" s="4">
        <f t="shared" si="165"/>
        <v>5.4664723032069595E-3</v>
      </c>
      <c r="BK314" s="4">
        <f t="shared" si="166"/>
        <v>2.2287175739861165E-2</v>
      </c>
      <c r="BL314" s="4">
        <f t="shared" si="167"/>
        <v>1.1148272017837968E-3</v>
      </c>
      <c r="BM314" s="4">
        <f t="shared" si="177"/>
        <v>1.787138110756566E-2</v>
      </c>
      <c r="BN314" s="14">
        <f t="shared" si="178"/>
        <v>13695.459432802296</v>
      </c>
      <c r="BO314" s="15">
        <f t="shared" si="179"/>
        <v>13086.863846741688</v>
      </c>
      <c r="BP314" s="16">
        <v>13475</v>
      </c>
      <c r="BQ314" s="16">
        <v>13475</v>
      </c>
      <c r="BR314" s="16">
        <v>13465</v>
      </c>
      <c r="BS314" s="16">
        <v>13470</v>
      </c>
      <c r="BT314" s="16">
        <v>18168</v>
      </c>
      <c r="BU314" s="15">
        <f t="shared" si="168"/>
        <v>13470</v>
      </c>
      <c r="BV314" s="15">
        <f t="shared" si="169"/>
        <v>244722960</v>
      </c>
      <c r="BW314" s="15">
        <f>SUM($BV$3:BV314)</f>
        <v>248546684375</v>
      </c>
      <c r="BX314" s="15">
        <f>SUM($BT$3:BT314)</f>
        <v>18355061</v>
      </c>
      <c r="BY314" s="15">
        <f t="shared" si="170"/>
        <v>13541.043768527928</v>
      </c>
      <c r="BZ314" s="3">
        <v>312</v>
      </c>
      <c r="CA314" s="3">
        <f t="shared" si="171"/>
        <v>0</v>
      </c>
      <c r="CB314" s="3">
        <f t="shared" si="172"/>
        <v>0</v>
      </c>
      <c r="CC314" s="3">
        <f t="shared" si="173"/>
        <v>0</v>
      </c>
      <c r="CD314" s="3" t="str">
        <f t="shared" si="174"/>
        <v/>
      </c>
      <c r="CE314" s="3">
        <f t="shared" si="175"/>
        <v>0</v>
      </c>
    </row>
    <row r="315" spans="1:83" x14ac:dyDescent="0.3">
      <c r="A315" s="3" t="s">
        <v>355</v>
      </c>
      <c r="B315" s="3">
        <v>11745</v>
      </c>
      <c r="C315" s="3">
        <v>11745</v>
      </c>
      <c r="D315" s="3">
        <v>11570</v>
      </c>
      <c r="E315" s="3">
        <v>11560</v>
      </c>
      <c r="F315" s="3">
        <v>11575</v>
      </c>
      <c r="G315" s="3">
        <v>11590</v>
      </c>
      <c r="H315" s="3">
        <v>11500</v>
      </c>
      <c r="I315" s="3">
        <v>11510</v>
      </c>
      <c r="J315" s="3">
        <v>11895</v>
      </c>
      <c r="K315" s="3">
        <v>11900</v>
      </c>
      <c r="L315" s="3">
        <v>12055</v>
      </c>
      <c r="M315" s="3">
        <v>12060</v>
      </c>
      <c r="N315" s="3">
        <v>12660</v>
      </c>
      <c r="O315" s="3">
        <v>12665</v>
      </c>
      <c r="P315" s="3">
        <v>12545</v>
      </c>
      <c r="Q315" s="3">
        <v>12560</v>
      </c>
      <c r="R315" s="3">
        <v>12535</v>
      </c>
      <c r="S315" s="3">
        <v>12535</v>
      </c>
      <c r="T315" s="3">
        <v>12150</v>
      </c>
      <c r="U315" s="3">
        <v>12155</v>
      </c>
      <c r="V315" s="3">
        <v>12790</v>
      </c>
      <c r="W315" s="3">
        <v>12795</v>
      </c>
      <c r="X315" s="3">
        <v>12630</v>
      </c>
      <c r="Y315" s="3">
        <v>12630</v>
      </c>
      <c r="Z315" s="3">
        <v>12730</v>
      </c>
      <c r="AA315" s="3">
        <v>12720</v>
      </c>
      <c r="AB315" s="3">
        <v>13240</v>
      </c>
      <c r="AC315" s="3">
        <v>13245</v>
      </c>
      <c r="AD315" s="3">
        <v>13315</v>
      </c>
      <c r="AE315" s="3">
        <v>13305</v>
      </c>
      <c r="AF315" s="3">
        <v>13830</v>
      </c>
      <c r="AG315" s="3">
        <v>13845</v>
      </c>
      <c r="AH315" s="3">
        <v>13825</v>
      </c>
      <c r="AI315" s="3">
        <v>13845</v>
      </c>
      <c r="AJ315" s="3">
        <v>13705</v>
      </c>
      <c r="AK315" s="3">
        <v>13685</v>
      </c>
      <c r="AL315" s="3">
        <v>13645</v>
      </c>
      <c r="AM315" s="3">
        <v>13645</v>
      </c>
      <c r="AN315" s="3">
        <v>13380</v>
      </c>
      <c r="AO315" s="3">
        <v>13385</v>
      </c>
      <c r="AP315" s="3">
        <v>13470</v>
      </c>
      <c r="AQ315" s="3">
        <v>13485</v>
      </c>
      <c r="AR315" s="4">
        <f t="shared" si="176"/>
        <v>1.8647007805724147E-2</v>
      </c>
      <c r="AS315" s="4">
        <f t="shared" si="148"/>
        <v>8.658008658009031E-4</v>
      </c>
      <c r="AT315" s="4">
        <f t="shared" si="149"/>
        <v>2.0246478873239493E-2</v>
      </c>
      <c r="AU315" s="4">
        <f t="shared" si="150"/>
        <v>2.2920203735144362E-2</v>
      </c>
      <c r="AV315" s="4">
        <f t="shared" si="151"/>
        <v>1.7964071856287456E-2</v>
      </c>
      <c r="AW315" s="4">
        <f t="shared" si="152"/>
        <v>1.6863406408094361E-2</v>
      </c>
      <c r="AX315" s="4">
        <f t="shared" si="153"/>
        <v>4.5398266611638372E-2</v>
      </c>
      <c r="AY315" s="4">
        <f t="shared" si="154"/>
        <v>1.7214397496087663E-2</v>
      </c>
      <c r="AZ315" s="4">
        <f t="shared" si="155"/>
        <v>7.9713033080908158E-4</v>
      </c>
      <c r="BA315" s="4">
        <f t="shared" si="156"/>
        <v>1.7777777777777781E-2</v>
      </c>
      <c r="BB315" s="4">
        <f t="shared" si="157"/>
        <v>3.7292257802999496E-2</v>
      </c>
      <c r="BC315" s="4">
        <f t="shared" si="158"/>
        <v>3.9572615749905449E-4</v>
      </c>
      <c r="BD315" s="4">
        <f t="shared" si="159"/>
        <v>9.3457943925233655E-3</v>
      </c>
      <c r="BE315" s="4">
        <f t="shared" si="160"/>
        <v>2.1596606247589634E-2</v>
      </c>
      <c r="BF315" s="4">
        <f t="shared" si="161"/>
        <v>1.6424751718869368E-2</v>
      </c>
      <c r="BG315" s="4">
        <f t="shared" si="162"/>
        <v>3.8245219347581516E-2</v>
      </c>
      <c r="BH315" s="4">
        <f t="shared" si="163"/>
        <v>4.6728971962616273E-3</v>
      </c>
      <c r="BI315" s="4">
        <f t="shared" si="164"/>
        <v>1.3693693693693665E-2</v>
      </c>
      <c r="BJ315" s="4">
        <f t="shared" si="165"/>
        <v>5.4664723032069595E-3</v>
      </c>
      <c r="BK315" s="4">
        <f t="shared" si="166"/>
        <v>2.1921812203142155E-2</v>
      </c>
      <c r="BL315" s="4">
        <f t="shared" si="167"/>
        <v>2.2296544035673715E-3</v>
      </c>
      <c r="BM315" s="4">
        <f t="shared" si="177"/>
        <v>1.7874485948548551E-2</v>
      </c>
      <c r="BN315" s="14">
        <f t="shared" si="178"/>
        <v>13695.501208437719</v>
      </c>
      <c r="BO315" s="15">
        <f t="shared" si="179"/>
        <v>13086.822474735591</v>
      </c>
      <c r="BP315" s="16">
        <v>13470</v>
      </c>
      <c r="BQ315" s="16">
        <v>13490</v>
      </c>
      <c r="BR315" s="16">
        <v>13470</v>
      </c>
      <c r="BS315" s="16">
        <v>13485</v>
      </c>
      <c r="BT315" s="16">
        <v>44087</v>
      </c>
      <c r="BU315" s="15">
        <f t="shared" si="168"/>
        <v>13481.666666666666</v>
      </c>
      <c r="BV315" s="15">
        <f t="shared" si="169"/>
        <v>594366238.33333325</v>
      </c>
      <c r="BW315" s="15">
        <f>SUM($BV$3:BV315)</f>
        <v>249141050613.33334</v>
      </c>
      <c r="BX315" s="15">
        <f>SUM($BT$3:BT315)</f>
        <v>18399148</v>
      </c>
      <c r="BY315" s="15">
        <f t="shared" si="170"/>
        <v>13540.901492467659</v>
      </c>
      <c r="BZ315" s="3">
        <v>313</v>
      </c>
      <c r="CA315" s="3">
        <f t="shared" si="171"/>
        <v>0</v>
      </c>
      <c r="CB315" s="3">
        <f t="shared" si="172"/>
        <v>0</v>
      </c>
      <c r="CC315" s="3">
        <f t="shared" si="173"/>
        <v>0</v>
      </c>
      <c r="CD315" s="3" t="str">
        <f t="shared" si="174"/>
        <v/>
      </c>
      <c r="CE315" s="3">
        <f t="shared" si="175"/>
        <v>0</v>
      </c>
    </row>
    <row r="316" spans="1:83" x14ac:dyDescent="0.3">
      <c r="A316" s="3" t="s">
        <v>356</v>
      </c>
      <c r="B316" s="3">
        <v>11745</v>
      </c>
      <c r="C316" s="3">
        <v>11745</v>
      </c>
      <c r="D316" s="3">
        <v>11560</v>
      </c>
      <c r="E316" s="3">
        <v>11555</v>
      </c>
      <c r="F316" s="3">
        <v>11590</v>
      </c>
      <c r="G316" s="3">
        <v>11595</v>
      </c>
      <c r="H316" s="3">
        <v>11505</v>
      </c>
      <c r="I316" s="3">
        <v>11515</v>
      </c>
      <c r="J316" s="3">
        <v>11895</v>
      </c>
      <c r="K316" s="3">
        <v>11895</v>
      </c>
      <c r="L316" s="3">
        <v>12055</v>
      </c>
      <c r="M316" s="3">
        <v>12055</v>
      </c>
      <c r="N316" s="3">
        <v>12660</v>
      </c>
      <c r="O316" s="3">
        <v>12655</v>
      </c>
      <c r="P316" s="3">
        <v>12565</v>
      </c>
      <c r="Q316" s="3">
        <v>12550</v>
      </c>
      <c r="R316" s="3">
        <v>12535</v>
      </c>
      <c r="S316" s="3">
        <v>12530</v>
      </c>
      <c r="T316" s="3">
        <v>12155</v>
      </c>
      <c r="U316" s="3">
        <v>12160</v>
      </c>
      <c r="V316" s="3">
        <v>12795</v>
      </c>
      <c r="W316" s="3">
        <v>12790</v>
      </c>
      <c r="X316" s="3">
        <v>12630</v>
      </c>
      <c r="Y316" s="3">
        <v>12615</v>
      </c>
      <c r="Z316" s="3">
        <v>12725</v>
      </c>
      <c r="AA316" s="3">
        <v>12720</v>
      </c>
      <c r="AB316" s="3">
        <v>13240</v>
      </c>
      <c r="AC316" s="3">
        <v>13230</v>
      </c>
      <c r="AD316" s="3">
        <v>13310</v>
      </c>
      <c r="AE316" s="3">
        <v>13290</v>
      </c>
      <c r="AF316" s="3">
        <v>13840</v>
      </c>
      <c r="AG316" s="3">
        <v>13830</v>
      </c>
      <c r="AH316" s="3">
        <v>13845</v>
      </c>
      <c r="AI316" s="3">
        <v>13850</v>
      </c>
      <c r="AJ316" s="3">
        <v>13680</v>
      </c>
      <c r="AK316" s="3">
        <v>13665</v>
      </c>
      <c r="AL316" s="3">
        <v>13645</v>
      </c>
      <c r="AM316" s="3">
        <v>13630</v>
      </c>
      <c r="AN316" s="3">
        <v>13385</v>
      </c>
      <c r="AO316" s="3">
        <v>13375</v>
      </c>
      <c r="AP316" s="3">
        <v>13490</v>
      </c>
      <c r="AQ316" s="3">
        <v>13470</v>
      </c>
      <c r="AR316" s="4">
        <f t="shared" si="176"/>
        <v>1.8647007805724147E-2</v>
      </c>
      <c r="AS316" s="4">
        <f t="shared" si="148"/>
        <v>4.3290043290045155E-4</v>
      </c>
      <c r="AT316" s="4">
        <f t="shared" si="149"/>
        <v>2.0686619718309762E-2</v>
      </c>
      <c r="AU316" s="4">
        <f t="shared" si="150"/>
        <v>2.2495755517826788E-2</v>
      </c>
      <c r="AV316" s="4">
        <f t="shared" si="151"/>
        <v>1.7536355859709252E-2</v>
      </c>
      <c r="AW316" s="4">
        <f t="shared" si="152"/>
        <v>1.6441821247892063E-2</v>
      </c>
      <c r="AX316" s="4">
        <f t="shared" si="153"/>
        <v>4.4572843582336041E-2</v>
      </c>
      <c r="AY316" s="4">
        <f t="shared" si="154"/>
        <v>1.7996870109546204E-2</v>
      </c>
      <c r="AZ316" s="4">
        <f t="shared" si="155"/>
        <v>1.1956954962136779E-3</v>
      </c>
      <c r="BA316" s="4">
        <f t="shared" si="156"/>
        <v>1.7373737373737375E-2</v>
      </c>
      <c r="BB316" s="4">
        <f t="shared" si="157"/>
        <v>3.6886907174706218E-2</v>
      </c>
      <c r="BC316" s="4">
        <f t="shared" si="158"/>
        <v>1.5829046299959959E-3</v>
      </c>
      <c r="BD316" s="4">
        <f t="shared" si="159"/>
        <v>9.3457943925233655E-3</v>
      </c>
      <c r="BE316" s="4">
        <f t="shared" si="160"/>
        <v>2.0439645198611744E-2</v>
      </c>
      <c r="BF316" s="4">
        <f t="shared" si="161"/>
        <v>1.5278838808250539E-2</v>
      </c>
      <c r="BG316" s="4">
        <f t="shared" si="162"/>
        <v>3.7120359955005622E-2</v>
      </c>
      <c r="BH316" s="4">
        <f t="shared" si="163"/>
        <v>4.3134435657800063E-3</v>
      </c>
      <c r="BI316" s="4">
        <f t="shared" si="164"/>
        <v>1.5135135135135092E-2</v>
      </c>
      <c r="BJ316" s="4">
        <f t="shared" si="165"/>
        <v>6.5597667638483959E-3</v>
      </c>
      <c r="BK316" s="4">
        <f t="shared" si="166"/>
        <v>2.2652539276580175E-2</v>
      </c>
      <c r="BL316" s="4">
        <f t="shared" si="167"/>
        <v>1.1148272017837968E-3</v>
      </c>
      <c r="BM316" s="4">
        <f t="shared" si="177"/>
        <v>1.7889605818733605E-2</v>
      </c>
      <c r="BN316" s="14">
        <f t="shared" si="178"/>
        <v>13695.704646291062</v>
      </c>
      <c r="BO316" s="15">
        <f t="shared" si="179"/>
        <v>13086.621002465376</v>
      </c>
      <c r="BP316" s="16">
        <v>13490</v>
      </c>
      <c r="BQ316" s="16">
        <v>13490</v>
      </c>
      <c r="BR316" s="16">
        <v>13470</v>
      </c>
      <c r="BS316" s="16">
        <v>13470</v>
      </c>
      <c r="BT316" s="16">
        <v>12645</v>
      </c>
      <c r="BU316" s="15">
        <f t="shared" si="168"/>
        <v>13476.666666666666</v>
      </c>
      <c r="BV316" s="15">
        <f t="shared" si="169"/>
        <v>170412450</v>
      </c>
      <c r="BW316" s="15">
        <f>SUM($BV$3:BV316)</f>
        <v>249311463063.33334</v>
      </c>
      <c r="BX316" s="15">
        <f>SUM($BT$3:BT316)</f>
        <v>18411793</v>
      </c>
      <c r="BY316" s="15">
        <f t="shared" si="170"/>
        <v>13540.857376754851</v>
      </c>
      <c r="BZ316" s="3">
        <v>314</v>
      </c>
      <c r="CA316" s="3">
        <f t="shared" si="171"/>
        <v>0</v>
      </c>
      <c r="CB316" s="3">
        <f t="shared" si="172"/>
        <v>0</v>
      </c>
      <c r="CC316" s="3">
        <f t="shared" si="173"/>
        <v>0</v>
      </c>
      <c r="CD316" s="3" t="str">
        <f t="shared" si="174"/>
        <v/>
      </c>
      <c r="CE316" s="3">
        <f t="shared" si="175"/>
        <v>0</v>
      </c>
    </row>
    <row r="317" spans="1:83" x14ac:dyDescent="0.3">
      <c r="A317" s="3" t="s">
        <v>357</v>
      </c>
      <c r="B317" s="3">
        <v>11745</v>
      </c>
      <c r="C317" s="3">
        <v>11740</v>
      </c>
      <c r="D317" s="3">
        <v>11555</v>
      </c>
      <c r="E317" s="3">
        <v>11540</v>
      </c>
      <c r="F317" s="3">
        <v>11595</v>
      </c>
      <c r="G317" s="3">
        <v>11600</v>
      </c>
      <c r="H317" s="3">
        <v>11515</v>
      </c>
      <c r="I317" s="3">
        <v>11530</v>
      </c>
      <c r="J317" s="3">
        <v>11895</v>
      </c>
      <c r="K317" s="3">
        <v>11895</v>
      </c>
      <c r="L317" s="3">
        <v>12055</v>
      </c>
      <c r="M317" s="3">
        <v>12055</v>
      </c>
      <c r="N317" s="3">
        <v>12655</v>
      </c>
      <c r="O317" s="3">
        <v>12665</v>
      </c>
      <c r="P317" s="3">
        <v>12550</v>
      </c>
      <c r="Q317" s="3">
        <v>12540</v>
      </c>
      <c r="R317" s="3">
        <v>12530</v>
      </c>
      <c r="S317" s="3">
        <v>12530</v>
      </c>
      <c r="T317" s="3">
        <v>12155</v>
      </c>
      <c r="U317" s="3">
        <v>12150</v>
      </c>
      <c r="V317" s="3">
        <v>12790</v>
      </c>
      <c r="W317" s="3">
        <v>12790</v>
      </c>
      <c r="X317" s="3">
        <v>12610</v>
      </c>
      <c r="Y317" s="3">
        <v>12640</v>
      </c>
      <c r="Z317" s="3">
        <v>12725</v>
      </c>
      <c r="AA317" s="3">
        <v>12715</v>
      </c>
      <c r="AB317" s="3">
        <v>13230</v>
      </c>
      <c r="AC317" s="3">
        <v>13240</v>
      </c>
      <c r="AD317" s="3">
        <v>13295</v>
      </c>
      <c r="AE317" s="3">
        <v>13295</v>
      </c>
      <c r="AF317" s="3">
        <v>13835</v>
      </c>
      <c r="AG317" s="3">
        <v>13840</v>
      </c>
      <c r="AH317" s="3">
        <v>13850</v>
      </c>
      <c r="AI317" s="3">
        <v>13860</v>
      </c>
      <c r="AJ317" s="3">
        <v>13660</v>
      </c>
      <c r="AK317" s="3">
        <v>13685</v>
      </c>
      <c r="AL317" s="3">
        <v>13635</v>
      </c>
      <c r="AM317" s="3">
        <v>13640</v>
      </c>
      <c r="AN317" s="3">
        <v>13375</v>
      </c>
      <c r="AO317" s="3">
        <v>13375</v>
      </c>
      <c r="AP317" s="3">
        <v>13475</v>
      </c>
      <c r="AQ317" s="3">
        <v>13470</v>
      </c>
      <c r="AR317" s="4">
        <f t="shared" si="176"/>
        <v>1.8213356461405095E-2</v>
      </c>
      <c r="AS317" s="4">
        <f t="shared" si="148"/>
        <v>8.658008658009031E-4</v>
      </c>
      <c r="AT317" s="4">
        <f t="shared" si="149"/>
        <v>2.1126760563380254E-2</v>
      </c>
      <c r="AU317" s="4">
        <f t="shared" si="150"/>
        <v>2.1222410865874397E-2</v>
      </c>
      <c r="AV317" s="4">
        <f t="shared" si="151"/>
        <v>1.7536355859709252E-2</v>
      </c>
      <c r="AW317" s="4">
        <f t="shared" si="152"/>
        <v>1.6441821247892063E-2</v>
      </c>
      <c r="AX317" s="4">
        <f t="shared" si="153"/>
        <v>4.5398266611638372E-2</v>
      </c>
      <c r="AY317" s="4">
        <f t="shared" si="154"/>
        <v>1.8779342723004744E-2</v>
      </c>
      <c r="AZ317" s="4">
        <f t="shared" si="155"/>
        <v>1.1956954962136779E-3</v>
      </c>
      <c r="BA317" s="4">
        <f t="shared" si="156"/>
        <v>1.8181818181818188E-2</v>
      </c>
      <c r="BB317" s="4">
        <f t="shared" si="157"/>
        <v>3.6886907174706218E-2</v>
      </c>
      <c r="BC317" s="4">
        <f t="shared" si="158"/>
        <v>3.9572615749894346E-4</v>
      </c>
      <c r="BD317" s="4">
        <f t="shared" si="159"/>
        <v>9.7352024922118252E-3</v>
      </c>
      <c r="BE317" s="4">
        <f t="shared" si="160"/>
        <v>2.121095256459693E-2</v>
      </c>
      <c r="BF317" s="4">
        <f t="shared" si="161"/>
        <v>1.5660809778456741E-2</v>
      </c>
      <c r="BG317" s="4">
        <f t="shared" si="162"/>
        <v>3.7870266216722959E-2</v>
      </c>
      <c r="BH317" s="4">
        <f t="shared" si="163"/>
        <v>3.5945363048166534E-3</v>
      </c>
      <c r="BI317" s="4">
        <f t="shared" si="164"/>
        <v>1.3693693693693665E-2</v>
      </c>
      <c r="BJ317" s="4">
        <f t="shared" si="165"/>
        <v>5.8309037900874383E-3</v>
      </c>
      <c r="BK317" s="4">
        <f t="shared" si="166"/>
        <v>2.2652539276580175E-2</v>
      </c>
      <c r="BL317" s="4">
        <f t="shared" si="167"/>
        <v>1.1148272017837968E-3</v>
      </c>
      <c r="BM317" s="4">
        <f t="shared" si="177"/>
        <v>1.7934761461574751E-2</v>
      </c>
      <c r="BN317" s="14">
        <f t="shared" si="178"/>
        <v>13696.312215465488</v>
      </c>
      <c r="BO317" s="15">
        <f t="shared" si="179"/>
        <v>13086.019303524516</v>
      </c>
      <c r="BP317" s="16">
        <v>13475</v>
      </c>
      <c r="BQ317" s="16">
        <v>13480</v>
      </c>
      <c r="BR317" s="16">
        <v>13470</v>
      </c>
      <c r="BS317" s="16">
        <v>13470</v>
      </c>
      <c r="BT317" s="16">
        <v>11037</v>
      </c>
      <c r="BU317" s="15">
        <f t="shared" si="168"/>
        <v>13473.333333333334</v>
      </c>
      <c r="BV317" s="15">
        <f t="shared" si="169"/>
        <v>148705180</v>
      </c>
      <c r="BW317" s="15">
        <f>SUM($BV$3:BV317)</f>
        <v>249460168243.33334</v>
      </c>
      <c r="BX317" s="15">
        <f>SUM($BT$3:BT317)</f>
        <v>18422830</v>
      </c>
      <c r="BY317" s="15">
        <f t="shared" si="170"/>
        <v>13540.816923530931</v>
      </c>
      <c r="BZ317" s="3">
        <v>315</v>
      </c>
      <c r="CA317" s="3">
        <f t="shared" si="171"/>
        <v>0</v>
      </c>
      <c r="CB317" s="3">
        <f t="shared" si="172"/>
        <v>0</v>
      </c>
      <c r="CC317" s="3">
        <f t="shared" si="173"/>
        <v>0</v>
      </c>
      <c r="CD317" s="3">
        <f t="shared" si="174"/>
        <v>0</v>
      </c>
      <c r="CE317" s="3">
        <f t="shared" si="175"/>
        <v>0</v>
      </c>
    </row>
    <row r="318" spans="1:83" x14ac:dyDescent="0.3">
      <c r="A318" s="3" t="s">
        <v>358</v>
      </c>
      <c r="B318" s="3">
        <v>11745</v>
      </c>
      <c r="C318" s="3">
        <v>11740</v>
      </c>
      <c r="D318" s="3">
        <v>11540</v>
      </c>
      <c r="E318" s="3">
        <v>11550</v>
      </c>
      <c r="F318" s="3">
        <v>11600</v>
      </c>
      <c r="G318" s="3">
        <v>11590</v>
      </c>
      <c r="H318" s="3">
        <v>11530</v>
      </c>
      <c r="I318" s="3">
        <v>11525</v>
      </c>
      <c r="J318" s="3">
        <v>11895</v>
      </c>
      <c r="K318" s="3">
        <v>11895</v>
      </c>
      <c r="L318" s="3">
        <v>12055</v>
      </c>
      <c r="M318" s="3">
        <v>12055</v>
      </c>
      <c r="N318" s="3">
        <v>12670</v>
      </c>
      <c r="O318" s="3">
        <v>12665</v>
      </c>
      <c r="P318" s="3">
        <v>12540</v>
      </c>
      <c r="Q318" s="3">
        <v>12495</v>
      </c>
      <c r="R318" s="3">
        <v>12525</v>
      </c>
      <c r="S318" s="3">
        <v>12530</v>
      </c>
      <c r="T318" s="3">
        <v>12145</v>
      </c>
      <c r="U318" s="3">
        <v>12150</v>
      </c>
      <c r="V318" s="3">
        <v>12790</v>
      </c>
      <c r="W318" s="3">
        <v>12790</v>
      </c>
      <c r="X318" s="3">
        <v>12635</v>
      </c>
      <c r="Y318" s="3">
        <v>12645</v>
      </c>
      <c r="Z318" s="3">
        <v>12720</v>
      </c>
      <c r="AA318" s="3">
        <v>12715</v>
      </c>
      <c r="AB318" s="3">
        <v>13235</v>
      </c>
      <c r="AC318" s="3">
        <v>13235</v>
      </c>
      <c r="AD318" s="3">
        <v>13295</v>
      </c>
      <c r="AE318" s="3">
        <v>13295</v>
      </c>
      <c r="AF318" s="3">
        <v>13845</v>
      </c>
      <c r="AG318" s="3">
        <v>13845</v>
      </c>
      <c r="AH318" s="3">
        <v>13860</v>
      </c>
      <c r="AI318" s="3">
        <v>13845</v>
      </c>
      <c r="AJ318" s="3">
        <v>13685</v>
      </c>
      <c r="AK318" s="3">
        <v>13700</v>
      </c>
      <c r="AL318" s="3">
        <v>13640</v>
      </c>
      <c r="AM318" s="3">
        <v>13635</v>
      </c>
      <c r="AN318" s="3">
        <v>13375</v>
      </c>
      <c r="AO318" s="3">
        <v>13380</v>
      </c>
      <c r="AP318" s="3">
        <v>13470</v>
      </c>
      <c r="AQ318" s="3">
        <v>13480</v>
      </c>
      <c r="AR318" s="4">
        <f t="shared" si="176"/>
        <v>1.8213356461405095E-2</v>
      </c>
      <c r="AS318" s="4">
        <f t="shared" si="148"/>
        <v>0</v>
      </c>
      <c r="AT318" s="4">
        <f t="shared" si="149"/>
        <v>2.0246478873239493E-2</v>
      </c>
      <c r="AU318" s="4">
        <f t="shared" si="150"/>
        <v>2.1646859083191861E-2</v>
      </c>
      <c r="AV318" s="4">
        <f t="shared" si="151"/>
        <v>1.7536355859709252E-2</v>
      </c>
      <c r="AW318" s="4">
        <f t="shared" si="152"/>
        <v>1.6441821247892063E-2</v>
      </c>
      <c r="AX318" s="4">
        <f t="shared" si="153"/>
        <v>4.5398266611638372E-2</v>
      </c>
      <c r="AY318" s="4">
        <f t="shared" si="154"/>
        <v>2.2300469483568119E-2</v>
      </c>
      <c r="AZ318" s="4">
        <f t="shared" si="155"/>
        <v>1.1956954962136779E-3</v>
      </c>
      <c r="BA318" s="4">
        <f t="shared" si="156"/>
        <v>1.8181818181818188E-2</v>
      </c>
      <c r="BB318" s="4">
        <f t="shared" si="157"/>
        <v>3.6886907174706218E-2</v>
      </c>
      <c r="BC318" s="4">
        <f t="shared" si="158"/>
        <v>7.9145231499810897E-4</v>
      </c>
      <c r="BD318" s="4">
        <f t="shared" si="159"/>
        <v>9.7352024922118252E-3</v>
      </c>
      <c r="BE318" s="4">
        <f t="shared" si="160"/>
        <v>2.0825298881604226E-2</v>
      </c>
      <c r="BF318" s="4">
        <f t="shared" si="161"/>
        <v>1.5660809778456741E-2</v>
      </c>
      <c r="BG318" s="4">
        <f t="shared" si="162"/>
        <v>3.8245219347581516E-2</v>
      </c>
      <c r="BH318" s="4">
        <f t="shared" si="163"/>
        <v>4.6728971962616273E-3</v>
      </c>
      <c r="BI318" s="4">
        <f t="shared" si="164"/>
        <v>1.2612612612612595E-2</v>
      </c>
      <c r="BJ318" s="4">
        <f t="shared" si="165"/>
        <v>6.1953352769679171E-3</v>
      </c>
      <c r="BK318" s="4">
        <f t="shared" si="166"/>
        <v>2.2287175739861165E-2</v>
      </c>
      <c r="BL318" s="4">
        <f t="shared" si="167"/>
        <v>1.85804533630618E-3</v>
      </c>
      <c r="BM318" s="4">
        <f t="shared" si="177"/>
        <v>1.8213511470607163E-2</v>
      </c>
      <c r="BN318" s="14">
        <f t="shared" si="178"/>
        <v>13700.062796837021</v>
      </c>
      <c r="BO318" s="15">
        <f t="shared" si="179"/>
        <v>13082.30495965416</v>
      </c>
      <c r="BP318" s="16">
        <v>13470</v>
      </c>
      <c r="BQ318" s="16">
        <v>13485</v>
      </c>
      <c r="BR318" s="16">
        <v>13470</v>
      </c>
      <c r="BS318" s="16">
        <v>13480</v>
      </c>
      <c r="BT318" s="16">
        <v>30021</v>
      </c>
      <c r="BU318" s="15">
        <f t="shared" si="168"/>
        <v>13478.333333333334</v>
      </c>
      <c r="BV318" s="15">
        <f t="shared" si="169"/>
        <v>404633045</v>
      </c>
      <c r="BW318" s="15">
        <f>SUM($BV$3:BV318)</f>
        <v>249864801288.33334</v>
      </c>
      <c r="BX318" s="15">
        <f>SUM($BT$3:BT318)</f>
        <v>18452851</v>
      </c>
      <c r="BY318" s="15">
        <f t="shared" si="170"/>
        <v>13540.715268786018</v>
      </c>
      <c r="BZ318" s="3">
        <v>316</v>
      </c>
      <c r="CA318" s="3">
        <f t="shared" si="171"/>
        <v>0</v>
      </c>
      <c r="CB318" s="3">
        <f t="shared" si="172"/>
        <v>0</v>
      </c>
      <c r="CC318" s="3">
        <f t="shared" si="173"/>
        <v>0</v>
      </c>
      <c r="CD318" s="3" t="str">
        <f t="shared" si="174"/>
        <v/>
      </c>
      <c r="CE318" s="3">
        <f t="shared" si="175"/>
        <v>0</v>
      </c>
    </row>
    <row r="319" spans="1:83" x14ac:dyDescent="0.3">
      <c r="A319" s="3" t="s">
        <v>359</v>
      </c>
      <c r="B319" s="3">
        <v>11740</v>
      </c>
      <c r="C319" s="3">
        <v>11745</v>
      </c>
      <c r="D319" s="3">
        <v>11555</v>
      </c>
      <c r="E319" s="3">
        <v>11570</v>
      </c>
      <c r="F319" s="3">
        <v>11585</v>
      </c>
      <c r="G319" s="3">
        <v>11585</v>
      </c>
      <c r="H319" s="3">
        <v>11525</v>
      </c>
      <c r="I319" s="3">
        <v>11535</v>
      </c>
      <c r="J319" s="3">
        <v>11895</v>
      </c>
      <c r="K319" s="3">
        <v>11890</v>
      </c>
      <c r="L319" s="3">
        <v>12050</v>
      </c>
      <c r="M319" s="3">
        <v>12035</v>
      </c>
      <c r="N319" s="3">
        <v>12665</v>
      </c>
      <c r="O319" s="3">
        <v>12660</v>
      </c>
      <c r="P319" s="3">
        <v>12495</v>
      </c>
      <c r="Q319" s="3">
        <v>12485</v>
      </c>
      <c r="R319" s="3">
        <v>12530</v>
      </c>
      <c r="S319" s="3">
        <v>12525</v>
      </c>
      <c r="T319" s="3">
        <v>12150</v>
      </c>
      <c r="U319" s="3">
        <v>12150</v>
      </c>
      <c r="V319" s="3">
        <v>12790</v>
      </c>
      <c r="W319" s="3">
        <v>12785</v>
      </c>
      <c r="X319" s="3">
        <v>12645</v>
      </c>
      <c r="Y319" s="3">
        <v>12635</v>
      </c>
      <c r="Z319" s="3">
        <v>12710</v>
      </c>
      <c r="AA319" s="3">
        <v>12725</v>
      </c>
      <c r="AB319" s="3">
        <v>13235</v>
      </c>
      <c r="AC319" s="3">
        <v>13255</v>
      </c>
      <c r="AD319" s="3">
        <v>13300</v>
      </c>
      <c r="AE319" s="3">
        <v>13305</v>
      </c>
      <c r="AF319" s="3">
        <v>13845</v>
      </c>
      <c r="AG319" s="3">
        <v>13845</v>
      </c>
      <c r="AH319" s="3">
        <v>13850</v>
      </c>
      <c r="AI319" s="3">
        <v>13880</v>
      </c>
      <c r="AJ319" s="3">
        <v>13705</v>
      </c>
      <c r="AK319" s="3">
        <v>13700</v>
      </c>
      <c r="AL319" s="3">
        <v>13635</v>
      </c>
      <c r="AM319" s="3">
        <v>13640</v>
      </c>
      <c r="AN319" s="3">
        <v>13380</v>
      </c>
      <c r="AO319" s="3">
        <v>13385</v>
      </c>
      <c r="AP319" s="3">
        <v>13480</v>
      </c>
      <c r="AQ319" s="3">
        <v>13465</v>
      </c>
      <c r="AR319" s="4">
        <f t="shared" si="176"/>
        <v>1.8647007805724147E-2</v>
      </c>
      <c r="AS319" s="4">
        <f t="shared" si="148"/>
        <v>1.7316017316018062E-3</v>
      </c>
      <c r="AT319" s="4">
        <f t="shared" si="149"/>
        <v>1.9806338028169002E-2</v>
      </c>
      <c r="AU319" s="4">
        <f t="shared" si="150"/>
        <v>2.0797962648556823E-2</v>
      </c>
      <c r="AV319" s="4">
        <f t="shared" si="151"/>
        <v>1.7108639863130826E-2</v>
      </c>
      <c r="AW319" s="4">
        <f t="shared" si="152"/>
        <v>1.4755480607082649E-2</v>
      </c>
      <c r="AX319" s="4">
        <f t="shared" si="153"/>
        <v>4.4985555096987095E-2</v>
      </c>
      <c r="AY319" s="4">
        <f t="shared" si="154"/>
        <v>2.3082942097026549E-2</v>
      </c>
      <c r="AZ319" s="4">
        <f t="shared" si="155"/>
        <v>1.5942606616181632E-3</v>
      </c>
      <c r="BA319" s="4">
        <f t="shared" si="156"/>
        <v>1.8181818181818188E-2</v>
      </c>
      <c r="BB319" s="4">
        <f t="shared" si="157"/>
        <v>3.6481556546412719E-2</v>
      </c>
      <c r="BC319" s="4">
        <f t="shared" si="158"/>
        <v>0</v>
      </c>
      <c r="BD319" s="4">
        <f t="shared" si="159"/>
        <v>8.9563862928349058E-3</v>
      </c>
      <c r="BE319" s="4">
        <f t="shared" si="160"/>
        <v>2.2367913613575041E-2</v>
      </c>
      <c r="BF319" s="4">
        <f t="shared" si="161"/>
        <v>1.6424751718869368E-2</v>
      </c>
      <c r="BG319" s="4">
        <f t="shared" si="162"/>
        <v>3.8245219347581516E-2</v>
      </c>
      <c r="BH319" s="4">
        <f t="shared" si="163"/>
        <v>2.1567217828900587E-3</v>
      </c>
      <c r="BI319" s="4">
        <f t="shared" si="164"/>
        <v>1.2612612612612595E-2</v>
      </c>
      <c r="BJ319" s="4">
        <f t="shared" si="165"/>
        <v>5.8309037900874383E-3</v>
      </c>
      <c r="BK319" s="4">
        <f t="shared" si="166"/>
        <v>2.1921812203142155E-2</v>
      </c>
      <c r="BL319" s="4">
        <f t="shared" si="167"/>
        <v>7.4321813452238317E-4</v>
      </c>
      <c r="BM319" s="4">
        <f t="shared" si="177"/>
        <v>1.8060175281818271E-2</v>
      </c>
      <c r="BN319" s="14">
        <f t="shared" si="178"/>
        <v>13697.999658416866</v>
      </c>
      <c r="BO319" s="15">
        <f t="shared" si="179"/>
        <v>13084.348164369772</v>
      </c>
      <c r="BP319" s="16">
        <v>13480</v>
      </c>
      <c r="BQ319" s="16">
        <v>13480</v>
      </c>
      <c r="BR319" s="16">
        <v>13460</v>
      </c>
      <c r="BS319" s="16">
        <v>13465</v>
      </c>
      <c r="BT319" s="16">
        <v>24194</v>
      </c>
      <c r="BU319" s="15">
        <f t="shared" si="168"/>
        <v>13468.333333333334</v>
      </c>
      <c r="BV319" s="15">
        <f t="shared" si="169"/>
        <v>325852856.66666669</v>
      </c>
      <c r="BW319" s="15">
        <f>SUM($BV$3:BV319)</f>
        <v>250190654145</v>
      </c>
      <c r="BX319" s="15">
        <f>SUM($BT$3:BT319)</f>
        <v>18477045</v>
      </c>
      <c r="BY319" s="15">
        <f t="shared" si="170"/>
        <v>13540.620491263619</v>
      </c>
      <c r="BZ319" s="3">
        <v>317</v>
      </c>
      <c r="CA319" s="3">
        <f t="shared" si="171"/>
        <v>0</v>
      </c>
      <c r="CB319" s="3">
        <f t="shared" si="172"/>
        <v>0</v>
      </c>
      <c r="CC319" s="3">
        <f t="shared" si="173"/>
        <v>0</v>
      </c>
      <c r="CD319" s="3" t="str">
        <f t="shared" si="174"/>
        <v/>
      </c>
      <c r="CE319" s="3">
        <f t="shared" si="175"/>
        <v>0</v>
      </c>
    </row>
    <row r="320" spans="1:83" x14ac:dyDescent="0.3">
      <c r="A320" s="3" t="s">
        <v>360</v>
      </c>
      <c r="B320" s="3">
        <v>11745</v>
      </c>
      <c r="C320" s="3">
        <v>11730</v>
      </c>
      <c r="D320" s="3">
        <v>11570</v>
      </c>
      <c r="E320" s="3">
        <v>11575</v>
      </c>
      <c r="F320" s="3">
        <v>11585</v>
      </c>
      <c r="G320" s="3">
        <v>11600</v>
      </c>
      <c r="H320" s="3">
        <v>11535</v>
      </c>
      <c r="I320" s="3">
        <v>11545</v>
      </c>
      <c r="J320" s="3">
        <v>11890</v>
      </c>
      <c r="K320" s="3">
        <v>11895</v>
      </c>
      <c r="L320" s="3">
        <v>12035</v>
      </c>
      <c r="M320" s="3">
        <v>12065</v>
      </c>
      <c r="N320" s="3">
        <v>12660</v>
      </c>
      <c r="O320" s="3">
        <v>12645</v>
      </c>
      <c r="P320" s="3">
        <v>12485</v>
      </c>
      <c r="Q320" s="3">
        <v>12455</v>
      </c>
      <c r="R320" s="3">
        <v>12525</v>
      </c>
      <c r="S320" s="3">
        <v>12525</v>
      </c>
      <c r="T320" s="3">
        <v>12145</v>
      </c>
      <c r="U320" s="3">
        <v>12145</v>
      </c>
      <c r="V320" s="3">
        <v>12785</v>
      </c>
      <c r="W320" s="3">
        <v>12760</v>
      </c>
      <c r="X320" s="3">
        <v>12630</v>
      </c>
      <c r="Y320" s="3">
        <v>12635</v>
      </c>
      <c r="Z320" s="3">
        <v>12720</v>
      </c>
      <c r="AA320" s="3">
        <v>12720</v>
      </c>
      <c r="AB320" s="3">
        <v>13250</v>
      </c>
      <c r="AC320" s="3">
        <v>13255</v>
      </c>
      <c r="AD320" s="3">
        <v>13300</v>
      </c>
      <c r="AE320" s="3">
        <v>13295</v>
      </c>
      <c r="AF320" s="3">
        <v>13850</v>
      </c>
      <c r="AG320" s="3">
        <v>13855</v>
      </c>
      <c r="AH320" s="3">
        <v>13880</v>
      </c>
      <c r="AI320" s="3">
        <v>13860</v>
      </c>
      <c r="AJ320" s="3">
        <v>13695</v>
      </c>
      <c r="AK320" s="3">
        <v>13670</v>
      </c>
      <c r="AL320" s="3">
        <v>13640</v>
      </c>
      <c r="AM320" s="3">
        <v>13625</v>
      </c>
      <c r="AN320" s="3">
        <v>13380</v>
      </c>
      <c r="AO320" s="3">
        <v>13385</v>
      </c>
      <c r="AP320" s="3">
        <v>13465</v>
      </c>
      <c r="AQ320" s="3">
        <v>13455</v>
      </c>
      <c r="AR320" s="4">
        <f t="shared" si="176"/>
        <v>1.7346053772766767E-2</v>
      </c>
      <c r="AS320" s="4">
        <f t="shared" si="148"/>
        <v>2.1645021645022577E-3</v>
      </c>
      <c r="AT320" s="4">
        <f t="shared" si="149"/>
        <v>2.1126760563380254E-2</v>
      </c>
      <c r="AU320" s="4">
        <f t="shared" si="150"/>
        <v>1.9949066213921895E-2</v>
      </c>
      <c r="AV320" s="4">
        <f t="shared" si="151"/>
        <v>1.7536355859709252E-2</v>
      </c>
      <c r="AW320" s="4">
        <f t="shared" si="152"/>
        <v>1.7284991568296881E-2</v>
      </c>
      <c r="AX320" s="4">
        <f t="shared" si="153"/>
        <v>4.3747420553033489E-2</v>
      </c>
      <c r="AY320" s="4">
        <f t="shared" si="154"/>
        <v>2.5430359937402169E-2</v>
      </c>
      <c r="AZ320" s="4">
        <f t="shared" si="155"/>
        <v>1.5942606616181632E-3</v>
      </c>
      <c r="BA320" s="4">
        <f t="shared" si="156"/>
        <v>1.8585858585858595E-2</v>
      </c>
      <c r="BB320" s="4">
        <f t="shared" si="157"/>
        <v>3.4454803404945222E-2</v>
      </c>
      <c r="BC320" s="4">
        <f t="shared" si="158"/>
        <v>0</v>
      </c>
      <c r="BD320" s="4">
        <f t="shared" si="159"/>
        <v>9.3457943925233655E-3</v>
      </c>
      <c r="BE320" s="4">
        <f t="shared" si="160"/>
        <v>2.2367913613575041E-2</v>
      </c>
      <c r="BF320" s="4">
        <f t="shared" si="161"/>
        <v>1.5660809778456741E-2</v>
      </c>
      <c r="BG320" s="4">
        <f t="shared" si="162"/>
        <v>3.8995125609298853E-2</v>
      </c>
      <c r="BH320" s="4">
        <f t="shared" si="163"/>
        <v>3.5945363048166534E-3</v>
      </c>
      <c r="BI320" s="4">
        <f t="shared" si="164"/>
        <v>1.4774774774774735E-2</v>
      </c>
      <c r="BJ320" s="4">
        <f t="shared" si="165"/>
        <v>6.9241982507288746E-3</v>
      </c>
      <c r="BK320" s="4">
        <f t="shared" si="166"/>
        <v>2.1921812203142155E-2</v>
      </c>
      <c r="BL320" s="4">
        <f t="shared" si="167"/>
        <v>0</v>
      </c>
      <c r="BM320" s="4">
        <f t="shared" si="177"/>
        <v>1.8385547719298147E-2</v>
      </c>
      <c r="BN320" s="14">
        <f t="shared" si="178"/>
        <v>13702.377544563158</v>
      </c>
      <c r="BO320" s="15">
        <f t="shared" si="179"/>
        <v>13080.012576640353</v>
      </c>
      <c r="BP320" s="16">
        <v>13465</v>
      </c>
      <c r="BQ320" s="16">
        <v>13465</v>
      </c>
      <c r="BR320" s="16">
        <v>13455</v>
      </c>
      <c r="BS320" s="16">
        <v>13455</v>
      </c>
      <c r="BT320" s="16">
        <v>19791</v>
      </c>
      <c r="BU320" s="15">
        <f t="shared" si="168"/>
        <v>13458.333333333334</v>
      </c>
      <c r="BV320" s="15">
        <f t="shared" si="169"/>
        <v>266353875</v>
      </c>
      <c r="BW320" s="15">
        <f>SUM($BV$3:BV320)</f>
        <v>250457008020</v>
      </c>
      <c r="BX320" s="15">
        <f>SUM($BT$3:BT320)</f>
        <v>18496836</v>
      </c>
      <c r="BY320" s="15">
        <f t="shared" si="170"/>
        <v>13540.532446738458</v>
      </c>
      <c r="BZ320" s="3">
        <v>318</v>
      </c>
      <c r="CA320" s="3">
        <f t="shared" si="171"/>
        <v>0</v>
      </c>
      <c r="CB320" s="3">
        <f t="shared" si="172"/>
        <v>0</v>
      </c>
      <c r="CC320" s="3">
        <f t="shared" si="173"/>
        <v>0</v>
      </c>
      <c r="CD320" s="3" t="str">
        <f t="shared" si="174"/>
        <v/>
      </c>
      <c r="CE320" s="3">
        <f t="shared" si="175"/>
        <v>0</v>
      </c>
    </row>
    <row r="321" spans="1:83" x14ac:dyDescent="0.3">
      <c r="A321" s="3" t="s">
        <v>361</v>
      </c>
      <c r="B321" s="3">
        <v>11730</v>
      </c>
      <c r="C321" s="3">
        <v>11735</v>
      </c>
      <c r="D321" s="3">
        <v>11575</v>
      </c>
      <c r="E321" s="3">
        <v>11565</v>
      </c>
      <c r="F321" s="3">
        <v>11600</v>
      </c>
      <c r="G321" s="3">
        <v>11610</v>
      </c>
      <c r="H321" s="3">
        <v>11545</v>
      </c>
      <c r="I321" s="3">
        <v>11540</v>
      </c>
      <c r="J321" s="3">
        <v>11895</v>
      </c>
      <c r="K321" s="3">
        <v>11900</v>
      </c>
      <c r="L321" s="3">
        <v>12065</v>
      </c>
      <c r="M321" s="3">
        <v>12065</v>
      </c>
      <c r="N321" s="3">
        <v>12650</v>
      </c>
      <c r="O321" s="3">
        <v>12635</v>
      </c>
      <c r="P321" s="3">
        <v>12455</v>
      </c>
      <c r="Q321" s="3">
        <v>12485</v>
      </c>
      <c r="R321" s="3">
        <v>12525</v>
      </c>
      <c r="S321" s="3">
        <v>12530</v>
      </c>
      <c r="T321" s="3">
        <v>12145</v>
      </c>
      <c r="U321" s="3">
        <v>12145</v>
      </c>
      <c r="V321" s="3">
        <v>12760</v>
      </c>
      <c r="W321" s="3">
        <v>12760</v>
      </c>
      <c r="X321" s="3">
        <v>12630</v>
      </c>
      <c r="Y321" s="3">
        <v>12625</v>
      </c>
      <c r="Z321" s="3">
        <v>12720</v>
      </c>
      <c r="AA321" s="3">
        <v>12720</v>
      </c>
      <c r="AB321" s="3">
        <v>13250</v>
      </c>
      <c r="AC321" s="3">
        <v>13245</v>
      </c>
      <c r="AD321" s="3">
        <v>13295</v>
      </c>
      <c r="AE321" s="3">
        <v>13295</v>
      </c>
      <c r="AF321" s="3">
        <v>13855</v>
      </c>
      <c r="AG321" s="3">
        <v>13845</v>
      </c>
      <c r="AH321" s="3">
        <v>13865</v>
      </c>
      <c r="AI321" s="3">
        <v>13880</v>
      </c>
      <c r="AJ321" s="3">
        <v>13675</v>
      </c>
      <c r="AK321" s="3">
        <v>13690</v>
      </c>
      <c r="AL321" s="3">
        <v>13630</v>
      </c>
      <c r="AM321" s="3">
        <v>13625</v>
      </c>
      <c r="AN321" s="3">
        <v>13380</v>
      </c>
      <c r="AO321" s="3">
        <v>13375</v>
      </c>
      <c r="AP321" s="3">
        <v>13455</v>
      </c>
      <c r="AQ321" s="3">
        <v>13470</v>
      </c>
      <c r="AR321" s="4">
        <f t="shared" si="176"/>
        <v>1.777970511708582E-2</v>
      </c>
      <c r="AS321" s="4">
        <f t="shared" si="148"/>
        <v>1.2987012987013546E-3</v>
      </c>
      <c r="AT321" s="4">
        <f t="shared" si="149"/>
        <v>2.2007042253521236E-2</v>
      </c>
      <c r="AU321" s="4">
        <f t="shared" si="150"/>
        <v>2.0373514431239359E-2</v>
      </c>
      <c r="AV321" s="4">
        <f t="shared" si="151"/>
        <v>1.7964071856287456E-2</v>
      </c>
      <c r="AW321" s="4">
        <f t="shared" si="152"/>
        <v>1.7284991568296881E-2</v>
      </c>
      <c r="AX321" s="4">
        <f t="shared" si="153"/>
        <v>4.2921997523730937E-2</v>
      </c>
      <c r="AY321" s="4">
        <f t="shared" si="154"/>
        <v>2.3082942097026549E-2</v>
      </c>
      <c r="AZ321" s="4">
        <f t="shared" si="155"/>
        <v>1.1956954962136779E-3</v>
      </c>
      <c r="BA321" s="4">
        <f t="shared" si="156"/>
        <v>1.8585858585858595E-2</v>
      </c>
      <c r="BB321" s="4">
        <f t="shared" si="157"/>
        <v>3.4454803404945222E-2</v>
      </c>
      <c r="BC321" s="4">
        <f t="shared" si="158"/>
        <v>7.9145231499799795E-4</v>
      </c>
      <c r="BD321" s="4">
        <f t="shared" si="159"/>
        <v>9.3457943925233655E-3</v>
      </c>
      <c r="BE321" s="4">
        <f t="shared" si="160"/>
        <v>2.1596606247589634E-2</v>
      </c>
      <c r="BF321" s="4">
        <f t="shared" si="161"/>
        <v>1.5660809778456741E-2</v>
      </c>
      <c r="BG321" s="4">
        <f t="shared" si="162"/>
        <v>3.8245219347581516E-2</v>
      </c>
      <c r="BH321" s="4">
        <f t="shared" si="163"/>
        <v>2.1567217828900587E-3</v>
      </c>
      <c r="BI321" s="4">
        <f t="shared" si="164"/>
        <v>1.3333333333333308E-2</v>
      </c>
      <c r="BJ321" s="4">
        <f t="shared" si="165"/>
        <v>6.9241982507288746E-3</v>
      </c>
      <c r="BK321" s="4">
        <f t="shared" si="166"/>
        <v>2.2652539276580175E-2</v>
      </c>
      <c r="BL321" s="4">
        <f t="shared" si="167"/>
        <v>1.1148272017837968E-3</v>
      </c>
      <c r="BM321" s="4">
        <f t="shared" si="177"/>
        <v>1.7924855130889761E-2</v>
      </c>
      <c r="BN321" s="14">
        <f t="shared" si="178"/>
        <v>13696.17892578612</v>
      </c>
      <c r="BO321" s="15">
        <f t="shared" si="179"/>
        <v>13086.151305380894</v>
      </c>
      <c r="BP321" s="16">
        <v>13455</v>
      </c>
      <c r="BQ321" s="16">
        <v>13470</v>
      </c>
      <c r="BR321" s="16">
        <v>13450</v>
      </c>
      <c r="BS321" s="16">
        <v>13470</v>
      </c>
      <c r="BT321" s="16">
        <v>5744</v>
      </c>
      <c r="BU321" s="15">
        <f t="shared" si="168"/>
        <v>13463.333333333334</v>
      </c>
      <c r="BV321" s="15">
        <f t="shared" si="169"/>
        <v>77333386.666666672</v>
      </c>
      <c r="BW321" s="15">
        <f>SUM($BV$3:BV321)</f>
        <v>250534341406.66666</v>
      </c>
      <c r="BX321" s="15">
        <f>SUM($BT$3:BT321)</f>
        <v>18502580</v>
      </c>
      <c r="BY321" s="15">
        <f t="shared" si="170"/>
        <v>13540.508480799253</v>
      </c>
      <c r="BZ321" s="3">
        <v>319</v>
      </c>
      <c r="CA321" s="3">
        <f t="shared" si="171"/>
        <v>0</v>
      </c>
      <c r="CB321" s="3">
        <f t="shared" si="172"/>
        <v>0</v>
      </c>
      <c r="CC321" s="3">
        <f t="shared" si="173"/>
        <v>0</v>
      </c>
      <c r="CD321" s="3" t="str">
        <f t="shared" si="174"/>
        <v/>
      </c>
      <c r="CE321" s="3">
        <f t="shared" si="175"/>
        <v>0</v>
      </c>
    </row>
    <row r="322" spans="1:83" x14ac:dyDescent="0.3">
      <c r="A322" s="3" t="s">
        <v>362</v>
      </c>
      <c r="B322" s="3">
        <v>11735</v>
      </c>
      <c r="C322" s="3">
        <v>11745</v>
      </c>
      <c r="D322" s="3">
        <v>11565</v>
      </c>
      <c r="E322" s="3">
        <v>11560</v>
      </c>
      <c r="F322" s="3">
        <v>11610</v>
      </c>
      <c r="G322" s="3">
        <v>11610</v>
      </c>
      <c r="H322" s="3">
        <v>11540</v>
      </c>
      <c r="I322" s="3">
        <v>11535</v>
      </c>
      <c r="J322" s="3">
        <v>11900</v>
      </c>
      <c r="K322" s="3">
        <v>11890</v>
      </c>
      <c r="L322" s="3">
        <v>12065</v>
      </c>
      <c r="M322" s="3">
        <v>12070</v>
      </c>
      <c r="N322" s="3">
        <v>12635</v>
      </c>
      <c r="O322" s="3">
        <v>12650</v>
      </c>
      <c r="P322" s="3">
        <v>12485</v>
      </c>
      <c r="Q322" s="3">
        <v>12510</v>
      </c>
      <c r="R322" s="3">
        <v>12535</v>
      </c>
      <c r="S322" s="3">
        <v>12540</v>
      </c>
      <c r="T322" s="3">
        <v>12150</v>
      </c>
      <c r="U322" s="3">
        <v>12145</v>
      </c>
      <c r="V322" s="3">
        <v>12765</v>
      </c>
      <c r="W322" s="3">
        <v>12775</v>
      </c>
      <c r="X322" s="3">
        <v>12625</v>
      </c>
      <c r="Y322" s="3">
        <v>12645</v>
      </c>
      <c r="Z322" s="3">
        <v>12720</v>
      </c>
      <c r="AA322" s="3">
        <v>12725</v>
      </c>
      <c r="AB322" s="3">
        <v>13245</v>
      </c>
      <c r="AC322" s="3">
        <v>13250</v>
      </c>
      <c r="AD322" s="3">
        <v>13295</v>
      </c>
      <c r="AE322" s="3">
        <v>13290</v>
      </c>
      <c r="AF322" s="3">
        <v>13845</v>
      </c>
      <c r="AG322" s="3">
        <v>13825</v>
      </c>
      <c r="AH322" s="3">
        <v>13885</v>
      </c>
      <c r="AI322" s="3">
        <v>13890</v>
      </c>
      <c r="AJ322" s="3">
        <v>13690</v>
      </c>
      <c r="AK322" s="3">
        <v>13700</v>
      </c>
      <c r="AL322" s="3">
        <v>13630</v>
      </c>
      <c r="AM322" s="3">
        <v>13635</v>
      </c>
      <c r="AN322" s="3">
        <v>13380</v>
      </c>
      <c r="AO322" s="3">
        <v>13380</v>
      </c>
      <c r="AP322" s="3">
        <v>13470</v>
      </c>
      <c r="AQ322" s="3">
        <v>13465</v>
      </c>
      <c r="AR322" s="4">
        <f t="shared" si="176"/>
        <v>1.8647007805724147E-2</v>
      </c>
      <c r="AS322" s="4">
        <f t="shared" si="148"/>
        <v>8.658008658009031E-4</v>
      </c>
      <c r="AT322" s="4">
        <f t="shared" si="149"/>
        <v>2.2007042253521236E-2</v>
      </c>
      <c r="AU322" s="4">
        <f t="shared" si="150"/>
        <v>2.0797962648556823E-2</v>
      </c>
      <c r="AV322" s="4">
        <f t="shared" si="151"/>
        <v>1.7108639863130826E-2</v>
      </c>
      <c r="AW322" s="4">
        <f t="shared" si="152"/>
        <v>1.7706576728499179E-2</v>
      </c>
      <c r="AX322" s="4">
        <f t="shared" si="153"/>
        <v>4.4160132067684765E-2</v>
      </c>
      <c r="AY322" s="4">
        <f t="shared" si="154"/>
        <v>2.1126760563380254E-2</v>
      </c>
      <c r="AZ322" s="4">
        <f t="shared" si="155"/>
        <v>3.985651654045963E-4</v>
      </c>
      <c r="BA322" s="4">
        <f t="shared" si="156"/>
        <v>1.8585858585858595E-2</v>
      </c>
      <c r="BB322" s="4">
        <f t="shared" si="157"/>
        <v>3.567085528982572E-2</v>
      </c>
      <c r="BC322" s="4">
        <f t="shared" si="158"/>
        <v>7.9145231499810897E-4</v>
      </c>
      <c r="BD322" s="4">
        <f t="shared" si="159"/>
        <v>8.9563862928349058E-3</v>
      </c>
      <c r="BE322" s="4">
        <f t="shared" si="160"/>
        <v>2.1982259930582337E-2</v>
      </c>
      <c r="BF322" s="4">
        <f t="shared" si="161"/>
        <v>1.5278838808250539E-2</v>
      </c>
      <c r="BG322" s="4">
        <f t="shared" si="162"/>
        <v>3.6745406824147064E-2</v>
      </c>
      <c r="BH322" s="4">
        <f t="shared" si="163"/>
        <v>1.4378145219267058E-3</v>
      </c>
      <c r="BI322" s="4">
        <f t="shared" si="164"/>
        <v>1.2612612612612595E-2</v>
      </c>
      <c r="BJ322" s="4">
        <f t="shared" si="165"/>
        <v>6.1953352769679171E-3</v>
      </c>
      <c r="BK322" s="4">
        <f t="shared" si="166"/>
        <v>2.2287175739861165E-2</v>
      </c>
      <c r="BL322" s="4">
        <f t="shared" si="167"/>
        <v>7.4321813452238317E-4</v>
      </c>
      <c r="BM322" s="4">
        <f t="shared" si="177"/>
        <v>1.758781814245252E-2</v>
      </c>
      <c r="BN322" s="14">
        <f t="shared" si="178"/>
        <v>13691.644093106697</v>
      </c>
      <c r="BO322" s="15">
        <f t="shared" si="179"/>
        <v>13090.642323251821</v>
      </c>
      <c r="BP322" s="16">
        <v>13470</v>
      </c>
      <c r="BQ322" s="16">
        <v>13475</v>
      </c>
      <c r="BR322" s="16">
        <v>13465</v>
      </c>
      <c r="BS322" s="16">
        <v>13465</v>
      </c>
      <c r="BT322" s="16">
        <v>15912</v>
      </c>
      <c r="BU322" s="15">
        <f t="shared" si="168"/>
        <v>13468.333333333334</v>
      </c>
      <c r="BV322" s="15">
        <f t="shared" si="169"/>
        <v>214308120</v>
      </c>
      <c r="BW322" s="15">
        <f>SUM($BV$3:BV322)</f>
        <v>250748649526.66666</v>
      </c>
      <c r="BX322" s="15">
        <f>SUM($BT$3:BT322)</f>
        <v>18518492</v>
      </c>
      <c r="BY322" s="15">
        <f t="shared" si="170"/>
        <v>13540.446464359336</v>
      </c>
      <c r="BZ322" s="3">
        <v>320</v>
      </c>
      <c r="CA322" s="3">
        <f t="shared" si="171"/>
        <v>0</v>
      </c>
      <c r="CB322" s="3">
        <f t="shared" si="172"/>
        <v>0</v>
      </c>
      <c r="CC322" s="3">
        <f t="shared" si="173"/>
        <v>0</v>
      </c>
      <c r="CD322" s="3" t="str">
        <f t="shared" si="174"/>
        <v/>
      </c>
      <c r="CE322" s="3">
        <f t="shared" si="175"/>
        <v>0</v>
      </c>
    </row>
    <row r="323" spans="1:83" x14ac:dyDescent="0.3">
      <c r="A323" s="3" t="s">
        <v>363</v>
      </c>
      <c r="B323" s="3">
        <v>11745</v>
      </c>
      <c r="C323" s="3">
        <v>11740</v>
      </c>
      <c r="D323" s="3">
        <v>11560</v>
      </c>
      <c r="E323" s="3">
        <v>11565</v>
      </c>
      <c r="F323" s="3">
        <v>11610</v>
      </c>
      <c r="G323" s="3">
        <v>11595</v>
      </c>
      <c r="H323" s="3">
        <v>11540</v>
      </c>
      <c r="I323" s="3">
        <v>11540</v>
      </c>
      <c r="J323" s="3">
        <v>11895</v>
      </c>
      <c r="K323" s="3">
        <v>11900</v>
      </c>
      <c r="L323" s="3">
        <v>12070</v>
      </c>
      <c r="M323" s="3">
        <v>12065</v>
      </c>
      <c r="N323" s="3">
        <v>12645</v>
      </c>
      <c r="O323" s="3">
        <v>12640</v>
      </c>
      <c r="P323" s="3">
        <v>12515</v>
      </c>
      <c r="Q323" s="3">
        <v>12505</v>
      </c>
      <c r="R323" s="3">
        <v>12545</v>
      </c>
      <c r="S323" s="3">
        <v>12540</v>
      </c>
      <c r="T323" s="3">
        <v>12140</v>
      </c>
      <c r="U323" s="3">
        <v>12135</v>
      </c>
      <c r="V323" s="3">
        <v>12775</v>
      </c>
      <c r="W323" s="3">
        <v>12775</v>
      </c>
      <c r="X323" s="3">
        <v>12645</v>
      </c>
      <c r="Y323" s="3">
        <v>12620</v>
      </c>
      <c r="Z323" s="3">
        <v>12725</v>
      </c>
      <c r="AA323" s="3">
        <v>12725</v>
      </c>
      <c r="AB323" s="3">
        <v>13250</v>
      </c>
      <c r="AC323" s="3">
        <v>13255</v>
      </c>
      <c r="AD323" s="3">
        <v>13285</v>
      </c>
      <c r="AE323" s="3">
        <v>13280</v>
      </c>
      <c r="AF323" s="3">
        <v>13825</v>
      </c>
      <c r="AG323" s="3">
        <v>13830</v>
      </c>
      <c r="AH323" s="3">
        <v>13885</v>
      </c>
      <c r="AI323" s="3">
        <v>13890</v>
      </c>
      <c r="AJ323" s="3">
        <v>13695</v>
      </c>
      <c r="AK323" s="3">
        <v>13705</v>
      </c>
      <c r="AL323" s="3">
        <v>13635</v>
      </c>
      <c r="AM323" s="3">
        <v>13640</v>
      </c>
      <c r="AN323" s="3">
        <v>13375</v>
      </c>
      <c r="AO323" s="3">
        <v>13375</v>
      </c>
      <c r="AP323" s="3">
        <v>13465</v>
      </c>
      <c r="AQ323" s="3">
        <v>13460</v>
      </c>
      <c r="AR323" s="4">
        <f t="shared" si="176"/>
        <v>1.8213356461405095E-2</v>
      </c>
      <c r="AS323" s="4">
        <f t="shared" si="148"/>
        <v>1.2987012987013546E-3</v>
      </c>
      <c r="AT323" s="4">
        <f t="shared" si="149"/>
        <v>2.0686619718309762E-2</v>
      </c>
      <c r="AU323" s="4">
        <f t="shared" si="150"/>
        <v>2.0373514431239359E-2</v>
      </c>
      <c r="AV323" s="4">
        <f t="shared" si="151"/>
        <v>1.7964071856287456E-2</v>
      </c>
      <c r="AW323" s="4">
        <f t="shared" si="152"/>
        <v>1.7284991568296881E-2</v>
      </c>
      <c r="AX323" s="4">
        <f t="shared" si="153"/>
        <v>4.3334709038382213E-2</v>
      </c>
      <c r="AY323" s="4">
        <f t="shared" si="154"/>
        <v>2.1517996870109579E-2</v>
      </c>
      <c r="AZ323" s="4">
        <f t="shared" si="155"/>
        <v>3.985651654045963E-4</v>
      </c>
      <c r="BA323" s="4">
        <f t="shared" si="156"/>
        <v>1.9393939393939408E-2</v>
      </c>
      <c r="BB323" s="4">
        <f t="shared" si="157"/>
        <v>3.567085528982572E-2</v>
      </c>
      <c r="BC323" s="4">
        <f t="shared" si="158"/>
        <v>1.1871784724970524E-3</v>
      </c>
      <c r="BD323" s="4">
        <f t="shared" si="159"/>
        <v>8.9563862928349058E-3</v>
      </c>
      <c r="BE323" s="4">
        <f t="shared" si="160"/>
        <v>2.2367913613575041E-2</v>
      </c>
      <c r="BF323" s="4">
        <f t="shared" si="161"/>
        <v>1.4514896867838134E-2</v>
      </c>
      <c r="BG323" s="4">
        <f t="shared" si="162"/>
        <v>3.7120359955005622E-2</v>
      </c>
      <c r="BH323" s="4">
        <f t="shared" si="163"/>
        <v>1.4378145219267058E-3</v>
      </c>
      <c r="BI323" s="4">
        <f t="shared" si="164"/>
        <v>1.2252252252252238E-2</v>
      </c>
      <c r="BJ323" s="4">
        <f t="shared" si="165"/>
        <v>5.8309037900874383E-3</v>
      </c>
      <c r="BK323" s="4">
        <f t="shared" si="166"/>
        <v>2.2652539276580175E-2</v>
      </c>
      <c r="BL323" s="4">
        <f t="shared" si="167"/>
        <v>3.7160906726119158E-4</v>
      </c>
      <c r="BM323" s="4">
        <f t="shared" si="177"/>
        <v>1.7616879342875629E-2</v>
      </c>
      <c r="BN323" s="14">
        <f t="shared" si="178"/>
        <v>13692.035111558393</v>
      </c>
      <c r="BO323" s="15">
        <f t="shared" si="179"/>
        <v>13090.255082756183</v>
      </c>
      <c r="BP323" s="16">
        <v>13465</v>
      </c>
      <c r="BQ323" s="16">
        <v>13465</v>
      </c>
      <c r="BR323" s="16">
        <v>13460</v>
      </c>
      <c r="BS323" s="16">
        <v>13460</v>
      </c>
      <c r="BT323" s="16">
        <v>13183</v>
      </c>
      <c r="BU323" s="15">
        <f t="shared" si="168"/>
        <v>13461.666666666666</v>
      </c>
      <c r="BV323" s="15">
        <f t="shared" si="169"/>
        <v>177465151.66666666</v>
      </c>
      <c r="BW323" s="15">
        <f>SUM($BV$3:BV323)</f>
        <v>250926114678.33331</v>
      </c>
      <c r="BX323" s="15">
        <f>SUM($BT$3:BT323)</f>
        <v>18531675</v>
      </c>
      <c r="BY323" s="15">
        <f t="shared" si="170"/>
        <v>13540.390422254508</v>
      </c>
      <c r="BZ323" s="3">
        <v>321</v>
      </c>
      <c r="CA323" s="3">
        <f t="shared" si="171"/>
        <v>0</v>
      </c>
      <c r="CB323" s="3">
        <f t="shared" si="172"/>
        <v>0</v>
      </c>
      <c r="CC323" s="3">
        <f t="shared" si="173"/>
        <v>0</v>
      </c>
      <c r="CD323" s="3" t="str">
        <f t="shared" si="174"/>
        <v/>
      </c>
      <c r="CE323" s="3">
        <f t="shared" si="175"/>
        <v>0</v>
      </c>
    </row>
    <row r="324" spans="1:83" x14ac:dyDescent="0.3">
      <c r="A324" s="3" t="s">
        <v>364</v>
      </c>
      <c r="B324" s="3">
        <v>11735</v>
      </c>
      <c r="C324" s="3">
        <v>11730</v>
      </c>
      <c r="D324" s="3">
        <v>11565</v>
      </c>
      <c r="E324" s="3">
        <v>11575</v>
      </c>
      <c r="F324" s="3">
        <v>11595</v>
      </c>
      <c r="G324" s="3">
        <v>11605</v>
      </c>
      <c r="H324" s="3">
        <v>11540</v>
      </c>
      <c r="I324" s="3">
        <v>11530</v>
      </c>
      <c r="J324" s="3">
        <v>11895</v>
      </c>
      <c r="K324" s="3">
        <v>11900</v>
      </c>
      <c r="L324" s="3">
        <v>12070</v>
      </c>
      <c r="M324" s="3">
        <v>12075</v>
      </c>
      <c r="N324" s="3">
        <v>12645</v>
      </c>
      <c r="O324" s="3">
        <v>12630</v>
      </c>
      <c r="P324" s="3">
        <v>12510</v>
      </c>
      <c r="Q324" s="3">
        <v>12520</v>
      </c>
      <c r="R324" s="3">
        <v>12540</v>
      </c>
      <c r="S324" s="3">
        <v>12540</v>
      </c>
      <c r="T324" s="3">
        <v>12140</v>
      </c>
      <c r="U324" s="3">
        <v>12145</v>
      </c>
      <c r="V324" s="3">
        <v>12775</v>
      </c>
      <c r="W324" s="3">
        <v>12765</v>
      </c>
      <c r="X324" s="3">
        <v>12625</v>
      </c>
      <c r="Y324" s="3">
        <v>12630</v>
      </c>
      <c r="Z324" s="3">
        <v>12720</v>
      </c>
      <c r="AA324" s="3">
        <v>12720</v>
      </c>
      <c r="AB324" s="3">
        <v>13260</v>
      </c>
      <c r="AC324" s="3">
        <v>13255</v>
      </c>
      <c r="AD324" s="3">
        <v>13280</v>
      </c>
      <c r="AE324" s="3">
        <v>13295</v>
      </c>
      <c r="AF324" s="3">
        <v>13830</v>
      </c>
      <c r="AG324" s="3">
        <v>13855</v>
      </c>
      <c r="AH324" s="3">
        <v>13890</v>
      </c>
      <c r="AI324" s="3">
        <v>13895</v>
      </c>
      <c r="AJ324" s="3">
        <v>13705</v>
      </c>
      <c r="AK324" s="3">
        <v>13710</v>
      </c>
      <c r="AL324" s="3">
        <v>13640</v>
      </c>
      <c r="AM324" s="3">
        <v>13645</v>
      </c>
      <c r="AN324" s="3">
        <v>13375</v>
      </c>
      <c r="AO324" s="3">
        <v>13380</v>
      </c>
      <c r="AP324" s="3">
        <v>13460</v>
      </c>
      <c r="AQ324" s="3">
        <v>13460</v>
      </c>
      <c r="AR324" s="4">
        <f t="shared" si="176"/>
        <v>1.7346053772766767E-2</v>
      </c>
      <c r="AS324" s="4">
        <f t="shared" ref="AS324:AS383" si="180">ABS(E324/D$3-1)</f>
        <v>2.1645021645022577E-3</v>
      </c>
      <c r="AT324" s="4">
        <f t="shared" ref="AT324:AT383" si="181">ABS(G324/F$3-1)</f>
        <v>2.1566901408450745E-2</v>
      </c>
      <c r="AU324" s="4">
        <f t="shared" ref="AU324:AU383" si="182">ABS(I324/H$3-1)</f>
        <v>2.1222410865874397E-2</v>
      </c>
      <c r="AV324" s="4">
        <f t="shared" ref="AV324:AV383" si="183">ABS(K324/J$3-1)</f>
        <v>1.7964071856287456E-2</v>
      </c>
      <c r="AW324" s="4">
        <f t="shared" ref="AW324:AW383" si="184">ABS(M324/L$3-1)</f>
        <v>1.8128161888701477E-2</v>
      </c>
      <c r="AX324" s="4">
        <f t="shared" ref="AX324:AX383" si="185">ABS(O324/N$3-1)</f>
        <v>4.2509286009079661E-2</v>
      </c>
      <c r="AY324" s="4">
        <f t="shared" ref="AY324:AY383" si="186">ABS(Q324/P$3-1)</f>
        <v>2.0344287949921713E-2</v>
      </c>
      <c r="AZ324" s="4">
        <f t="shared" ref="AZ324:AZ383" si="187">ABS(S324/R$3-1)</f>
        <v>3.985651654045963E-4</v>
      </c>
      <c r="BA324" s="4">
        <f t="shared" ref="BA324:BA383" si="188">ABS(U324/T$3-1)</f>
        <v>1.8585858585858595E-2</v>
      </c>
      <c r="BB324" s="4">
        <f t="shared" ref="BB324:BB383" si="189">ABS(W324/V$3-1)</f>
        <v>3.4860154033238722E-2</v>
      </c>
      <c r="BC324" s="4">
        <f t="shared" ref="BC324:BC383" si="190">ABS(Y324/X$3-1)</f>
        <v>3.9572615749905449E-4</v>
      </c>
      <c r="BD324" s="4">
        <f t="shared" ref="BD324:BD383" si="191">ABS(AA324/Z$3-1)</f>
        <v>9.3457943925233655E-3</v>
      </c>
      <c r="BE324" s="4">
        <f t="shared" ref="BE324:BE383" si="192">ABS(AC324/AB$3-1)</f>
        <v>2.2367913613575041E-2</v>
      </c>
      <c r="BF324" s="4">
        <f t="shared" ref="BF324:BF383" si="193">ABS(AE324/AD$3-1)</f>
        <v>1.5660809778456741E-2</v>
      </c>
      <c r="BG324" s="4">
        <f t="shared" ref="BG324:BG383" si="194">ABS(AG324/AF$3-1)</f>
        <v>3.8995125609298853E-2</v>
      </c>
      <c r="BH324" s="4">
        <f t="shared" ref="BH324:BH383" si="195">ABS(AI324/AH$3-1)</f>
        <v>1.0783608914449738E-3</v>
      </c>
      <c r="BI324" s="4">
        <f t="shared" ref="BI324:BI383" si="196">ABS(AK324/AJ$3-1)</f>
        <v>1.1891891891891881E-2</v>
      </c>
      <c r="BJ324" s="4">
        <f t="shared" ref="BJ324:BJ383" si="197">ABS(AM324/AL$3-1)</f>
        <v>5.4664723032069595E-3</v>
      </c>
      <c r="BK324" s="4">
        <f t="shared" ref="BK324:BK383" si="198">ABS(AO324/AN$3-1)</f>
        <v>2.2287175739861165E-2</v>
      </c>
      <c r="BL324" s="4">
        <f t="shared" ref="BL324:BL383" si="199">ABS(AQ324/AP$3-1)</f>
        <v>3.7160906726119158E-4</v>
      </c>
      <c r="BM324" s="4">
        <f t="shared" si="177"/>
        <v>1.7441958722947237E-2</v>
      </c>
      <c r="BN324" s="14">
        <f t="shared" si="178"/>
        <v>13689.681554617257</v>
      </c>
      <c r="BO324" s="15">
        <f t="shared" si="179"/>
        <v>13092.585900016727</v>
      </c>
      <c r="BP324" s="16">
        <v>13460</v>
      </c>
      <c r="BQ324" s="16">
        <v>13460</v>
      </c>
      <c r="BR324" s="16">
        <v>13450</v>
      </c>
      <c r="BS324" s="16">
        <v>13460</v>
      </c>
      <c r="BT324" s="16">
        <v>7294</v>
      </c>
      <c r="BU324" s="15">
        <f t="shared" ref="BU324:BU383" si="200">SUM(BQ324:BS324)/3</f>
        <v>13456.666666666666</v>
      </c>
      <c r="BV324" s="15">
        <f t="shared" ref="BV324:BV383" si="201">BU324*BT324</f>
        <v>98152926.666666657</v>
      </c>
      <c r="BW324" s="15">
        <f>SUM($BV$3:BV324)</f>
        <v>251024267604.99997</v>
      </c>
      <c r="BX324" s="15">
        <f>SUM($BT$3:BT324)</f>
        <v>18538969</v>
      </c>
      <c r="BY324" s="15">
        <f t="shared" ref="BY324:BY383" si="202">BW324/BX324</f>
        <v>13540.357481853493</v>
      </c>
      <c r="BZ324" s="3">
        <v>322</v>
      </c>
      <c r="CA324" s="3">
        <f t="shared" ref="CA324:CA383" si="203">IF(AND(BS324&gt;BN324,BS324&gt;BY324), 1, 0)</f>
        <v>0</v>
      </c>
      <c r="CB324" s="3">
        <f t="shared" ref="CB324:CB383" si="204">IF(AND(BS324&lt;BO324, BS324&lt;BY324), -1, 0)</f>
        <v>0</v>
      </c>
      <c r="CC324" s="3">
        <f t="shared" ref="CC324:CC383" si="205">SUM(CA324:CB324)</f>
        <v>0</v>
      </c>
      <c r="CD324" s="3" t="str">
        <f t="shared" ref="CD324:CD383" si="206">IF(MOD(BZ324,$CD$2)=0,CC324,"")</f>
        <v/>
      </c>
      <c r="CE324" s="3">
        <f t="shared" ref="CE324:CE383" si="207">IF(OR(CD324=1, AND(CE323=1, CD324&lt;&gt;0)), 1, 0)</f>
        <v>0</v>
      </c>
    </row>
    <row r="325" spans="1:83" x14ac:dyDescent="0.3">
      <c r="A325" s="3" t="s">
        <v>365</v>
      </c>
      <c r="B325" s="3">
        <v>11735</v>
      </c>
      <c r="C325" s="3">
        <v>11725</v>
      </c>
      <c r="D325" s="3">
        <v>11575</v>
      </c>
      <c r="E325" s="3">
        <v>11580</v>
      </c>
      <c r="F325" s="3">
        <v>11605</v>
      </c>
      <c r="G325" s="3">
        <v>11615</v>
      </c>
      <c r="H325" s="3">
        <v>11530</v>
      </c>
      <c r="I325" s="3">
        <v>11520</v>
      </c>
      <c r="J325" s="3">
        <v>11895</v>
      </c>
      <c r="K325" s="3">
        <v>11900</v>
      </c>
      <c r="L325" s="3">
        <v>12075</v>
      </c>
      <c r="M325" s="3">
        <v>12075</v>
      </c>
      <c r="N325" s="3">
        <v>12625</v>
      </c>
      <c r="O325" s="3">
        <v>12620</v>
      </c>
      <c r="P325" s="3">
        <v>12520</v>
      </c>
      <c r="Q325" s="3">
        <v>12545</v>
      </c>
      <c r="R325" s="3">
        <v>12545</v>
      </c>
      <c r="S325" s="3">
        <v>12545</v>
      </c>
      <c r="T325" s="3">
        <v>12150</v>
      </c>
      <c r="U325" s="3">
        <v>12150</v>
      </c>
      <c r="V325" s="3">
        <v>12770</v>
      </c>
      <c r="W325" s="3">
        <v>12760</v>
      </c>
      <c r="X325" s="3">
        <v>12630</v>
      </c>
      <c r="Y325" s="3">
        <v>12620</v>
      </c>
      <c r="Z325" s="3">
        <v>12720</v>
      </c>
      <c r="AA325" s="3">
        <v>12725</v>
      </c>
      <c r="AB325" s="3">
        <v>13255</v>
      </c>
      <c r="AC325" s="3">
        <v>13260</v>
      </c>
      <c r="AD325" s="3">
        <v>13300</v>
      </c>
      <c r="AE325" s="3">
        <v>13310</v>
      </c>
      <c r="AF325" s="3">
        <v>13855</v>
      </c>
      <c r="AG325" s="3">
        <v>13850</v>
      </c>
      <c r="AH325" s="3">
        <v>13890</v>
      </c>
      <c r="AI325" s="3">
        <v>13895</v>
      </c>
      <c r="AJ325" s="3">
        <v>13710</v>
      </c>
      <c r="AK325" s="3">
        <v>13720</v>
      </c>
      <c r="AL325" s="3">
        <v>13645</v>
      </c>
      <c r="AM325" s="3">
        <v>13655</v>
      </c>
      <c r="AN325" s="3">
        <v>13385</v>
      </c>
      <c r="AO325" s="3">
        <v>13380</v>
      </c>
      <c r="AP325" s="3">
        <v>13455</v>
      </c>
      <c r="AQ325" s="3">
        <v>13460</v>
      </c>
      <c r="AR325" s="4">
        <f t="shared" ref="AR325:AR383" si="208">ABS(C325/B$3-1)</f>
        <v>1.6912402428447493E-2</v>
      </c>
      <c r="AS325" s="4">
        <f t="shared" si="180"/>
        <v>2.5974025974024872E-3</v>
      </c>
      <c r="AT325" s="4">
        <f t="shared" si="181"/>
        <v>2.2447183098591506E-2</v>
      </c>
      <c r="AU325" s="4">
        <f t="shared" si="182"/>
        <v>2.2071307300509324E-2</v>
      </c>
      <c r="AV325" s="4">
        <f t="shared" si="183"/>
        <v>1.7964071856287456E-2</v>
      </c>
      <c r="AW325" s="4">
        <f t="shared" si="184"/>
        <v>1.8128161888701477E-2</v>
      </c>
      <c r="AX325" s="4">
        <f t="shared" si="185"/>
        <v>4.1683862979777109E-2</v>
      </c>
      <c r="AY325" s="4">
        <f t="shared" si="186"/>
        <v>1.8388106416275418E-2</v>
      </c>
      <c r="AZ325" s="4">
        <f t="shared" si="187"/>
        <v>0</v>
      </c>
      <c r="BA325" s="4">
        <f t="shared" si="188"/>
        <v>1.8181818181818188E-2</v>
      </c>
      <c r="BB325" s="4">
        <f t="shared" si="189"/>
        <v>3.4454803404945222E-2</v>
      </c>
      <c r="BC325" s="4">
        <f t="shared" si="190"/>
        <v>1.1871784724970524E-3</v>
      </c>
      <c r="BD325" s="4">
        <f t="shared" si="191"/>
        <v>8.9563862928349058E-3</v>
      </c>
      <c r="BE325" s="4">
        <f t="shared" si="192"/>
        <v>2.2753567296567745E-2</v>
      </c>
      <c r="BF325" s="4">
        <f t="shared" si="193"/>
        <v>1.6806722689075571E-2</v>
      </c>
      <c r="BG325" s="4">
        <f t="shared" si="194"/>
        <v>3.8620172478440296E-2</v>
      </c>
      <c r="BH325" s="4">
        <f t="shared" si="195"/>
        <v>1.0783608914449738E-3</v>
      </c>
      <c r="BI325" s="4">
        <f t="shared" si="196"/>
        <v>1.1171171171171168E-2</v>
      </c>
      <c r="BJ325" s="4">
        <f t="shared" si="197"/>
        <v>4.737609329446113E-3</v>
      </c>
      <c r="BK325" s="4">
        <f t="shared" si="198"/>
        <v>2.2287175739861165E-2</v>
      </c>
      <c r="BL325" s="4">
        <f t="shared" si="199"/>
        <v>3.7160906726119158E-4</v>
      </c>
      <c r="BM325" s="4">
        <f t="shared" ref="BM325:BM383" si="209">AVERAGE(AX325:BK325)</f>
        <v>1.7164781096011068E-2</v>
      </c>
      <c r="BN325" s="14">
        <f t="shared" ref="BN325:BN383" si="210">MAX($AP$3,$AO$383)*(1+BM325)</f>
        <v>13685.95212964683</v>
      </c>
      <c r="BO325" s="15">
        <f t="shared" ref="BO325:BO383" si="211">MIN($AP$3,$AO$383)*(1-BM325)</f>
        <v>13096.279291895653</v>
      </c>
      <c r="BP325" s="16">
        <v>13455</v>
      </c>
      <c r="BQ325" s="16">
        <v>13460</v>
      </c>
      <c r="BR325" s="16">
        <v>13455</v>
      </c>
      <c r="BS325" s="16">
        <v>13460</v>
      </c>
      <c r="BT325" s="16">
        <v>19379</v>
      </c>
      <c r="BU325" s="15">
        <f t="shared" si="200"/>
        <v>13458.333333333334</v>
      </c>
      <c r="BV325" s="15">
        <f t="shared" si="201"/>
        <v>260809041.66666669</v>
      </c>
      <c r="BW325" s="15">
        <f>SUM($BV$3:BV325)</f>
        <v>251285076646.66663</v>
      </c>
      <c r="BX325" s="15">
        <f>SUM($BT$3:BT325)</f>
        <v>18558348</v>
      </c>
      <c r="BY325" s="15">
        <f t="shared" si="202"/>
        <v>13540.271830588941</v>
      </c>
      <c r="BZ325" s="3">
        <v>323</v>
      </c>
      <c r="CA325" s="3">
        <f t="shared" si="203"/>
        <v>0</v>
      </c>
      <c r="CB325" s="3">
        <f t="shared" si="204"/>
        <v>0</v>
      </c>
      <c r="CC325" s="3">
        <f t="shared" si="205"/>
        <v>0</v>
      </c>
      <c r="CD325" s="3" t="str">
        <f t="shared" si="206"/>
        <v/>
      </c>
      <c r="CE325" s="3">
        <f t="shared" si="207"/>
        <v>0</v>
      </c>
    </row>
    <row r="326" spans="1:83" x14ac:dyDescent="0.3">
      <c r="A326" s="3" t="s">
        <v>366</v>
      </c>
      <c r="B326" s="3">
        <v>11725</v>
      </c>
      <c r="C326" s="3">
        <v>11725</v>
      </c>
      <c r="D326" s="3">
        <v>11580</v>
      </c>
      <c r="E326" s="3">
        <v>11570</v>
      </c>
      <c r="F326" s="3">
        <v>11620</v>
      </c>
      <c r="G326" s="3">
        <v>11630</v>
      </c>
      <c r="H326" s="3">
        <v>11520</v>
      </c>
      <c r="I326" s="3">
        <v>11515</v>
      </c>
      <c r="J326" s="3">
        <v>11900</v>
      </c>
      <c r="K326" s="3">
        <v>11900</v>
      </c>
      <c r="L326" s="3">
        <v>12075</v>
      </c>
      <c r="M326" s="3">
        <v>12080</v>
      </c>
      <c r="N326" s="3">
        <v>12625</v>
      </c>
      <c r="O326" s="3">
        <v>12630</v>
      </c>
      <c r="P326" s="3">
        <v>12545</v>
      </c>
      <c r="Q326" s="3">
        <v>12540</v>
      </c>
      <c r="R326" s="3">
        <v>12545</v>
      </c>
      <c r="S326" s="3">
        <v>12550</v>
      </c>
      <c r="T326" s="3">
        <v>12150</v>
      </c>
      <c r="U326" s="3">
        <v>12145</v>
      </c>
      <c r="V326" s="3">
        <v>12760</v>
      </c>
      <c r="W326" s="3">
        <v>12760</v>
      </c>
      <c r="X326" s="3">
        <v>12615</v>
      </c>
      <c r="Y326" s="3">
        <v>12610</v>
      </c>
      <c r="Z326" s="3">
        <v>12720</v>
      </c>
      <c r="AA326" s="3">
        <v>12715</v>
      </c>
      <c r="AB326" s="3">
        <v>13260</v>
      </c>
      <c r="AC326" s="3">
        <v>13265</v>
      </c>
      <c r="AD326" s="3">
        <v>13310</v>
      </c>
      <c r="AE326" s="3">
        <v>13315</v>
      </c>
      <c r="AF326" s="3">
        <v>13850</v>
      </c>
      <c r="AG326" s="3">
        <v>13850</v>
      </c>
      <c r="AH326" s="3">
        <v>13900</v>
      </c>
      <c r="AI326" s="3">
        <v>13890</v>
      </c>
      <c r="AJ326" s="3">
        <v>13725</v>
      </c>
      <c r="AK326" s="3">
        <v>13720</v>
      </c>
      <c r="AL326" s="3">
        <v>13655</v>
      </c>
      <c r="AM326" s="3">
        <v>13655</v>
      </c>
      <c r="AN326" s="3">
        <v>13380</v>
      </c>
      <c r="AO326" s="3">
        <v>13375</v>
      </c>
      <c r="AP326" s="3">
        <v>13455</v>
      </c>
      <c r="AQ326" s="3">
        <v>13480</v>
      </c>
      <c r="AR326" s="4">
        <f t="shared" si="208"/>
        <v>1.6912402428447493E-2</v>
      </c>
      <c r="AS326" s="4">
        <f t="shared" si="180"/>
        <v>1.7316017316018062E-3</v>
      </c>
      <c r="AT326" s="4">
        <f t="shared" si="181"/>
        <v>2.3767605633802757E-2</v>
      </c>
      <c r="AU326" s="4">
        <f t="shared" si="182"/>
        <v>2.2495755517826788E-2</v>
      </c>
      <c r="AV326" s="4">
        <f t="shared" si="183"/>
        <v>1.7964071856287456E-2</v>
      </c>
      <c r="AW326" s="4">
        <f t="shared" si="184"/>
        <v>1.8549747048903775E-2</v>
      </c>
      <c r="AX326" s="4">
        <f t="shared" si="185"/>
        <v>4.2509286009079661E-2</v>
      </c>
      <c r="AY326" s="4">
        <f t="shared" si="186"/>
        <v>1.8779342723004744E-2</v>
      </c>
      <c r="AZ326" s="4">
        <f t="shared" si="187"/>
        <v>3.985651654045963E-4</v>
      </c>
      <c r="BA326" s="4">
        <f t="shared" si="188"/>
        <v>1.8585858585858595E-2</v>
      </c>
      <c r="BB326" s="4">
        <f t="shared" si="189"/>
        <v>3.4454803404945222E-2</v>
      </c>
      <c r="BC326" s="4">
        <f t="shared" si="190"/>
        <v>1.9786307874950504E-3</v>
      </c>
      <c r="BD326" s="4">
        <f t="shared" si="191"/>
        <v>9.7352024922118252E-3</v>
      </c>
      <c r="BE326" s="4">
        <f t="shared" si="192"/>
        <v>2.3139220979560449E-2</v>
      </c>
      <c r="BF326" s="4">
        <f t="shared" si="193"/>
        <v>1.7188693659281995E-2</v>
      </c>
      <c r="BG326" s="4">
        <f t="shared" si="194"/>
        <v>3.8620172478440296E-2</v>
      </c>
      <c r="BH326" s="4">
        <f t="shared" si="195"/>
        <v>1.4378145219267058E-3</v>
      </c>
      <c r="BI326" s="4">
        <f t="shared" si="196"/>
        <v>1.1171171171171168E-2</v>
      </c>
      <c r="BJ326" s="4">
        <f t="shared" si="197"/>
        <v>4.737609329446113E-3</v>
      </c>
      <c r="BK326" s="4">
        <f t="shared" si="198"/>
        <v>2.2652539276580175E-2</v>
      </c>
      <c r="BL326" s="4">
        <f t="shared" si="199"/>
        <v>1.85804533630618E-3</v>
      </c>
      <c r="BM326" s="4">
        <f t="shared" si="209"/>
        <v>1.7527779327457613E-2</v>
      </c>
      <c r="BN326" s="14">
        <f t="shared" si="210"/>
        <v>13690.836270850941</v>
      </c>
      <c r="BO326" s="15">
        <f t="shared" si="211"/>
        <v>13091.442340461626</v>
      </c>
      <c r="BP326" s="16">
        <v>13455</v>
      </c>
      <c r="BQ326" s="16">
        <v>13485</v>
      </c>
      <c r="BR326" s="16">
        <v>13455</v>
      </c>
      <c r="BS326" s="16">
        <v>13480</v>
      </c>
      <c r="BT326" s="16">
        <v>75105</v>
      </c>
      <c r="BU326" s="15">
        <f t="shared" si="200"/>
        <v>13473.333333333334</v>
      </c>
      <c r="BV326" s="15">
        <f t="shared" si="201"/>
        <v>1011914700</v>
      </c>
      <c r="BW326" s="15">
        <f>SUM($BV$3:BV326)</f>
        <v>252296991346.66663</v>
      </c>
      <c r="BX326" s="15">
        <f>SUM($BT$3:BT326)</f>
        <v>18633453</v>
      </c>
      <c r="BY326" s="15">
        <f t="shared" si="202"/>
        <v>13540.002024673937</v>
      </c>
      <c r="BZ326" s="3">
        <v>324</v>
      </c>
      <c r="CA326" s="3">
        <f t="shared" si="203"/>
        <v>0</v>
      </c>
      <c r="CB326" s="3">
        <f t="shared" si="204"/>
        <v>0</v>
      </c>
      <c r="CC326" s="3">
        <f t="shared" si="205"/>
        <v>0</v>
      </c>
      <c r="CD326" s="3" t="str">
        <f t="shared" si="206"/>
        <v/>
      </c>
      <c r="CE326" s="3">
        <f t="shared" si="207"/>
        <v>0</v>
      </c>
    </row>
    <row r="327" spans="1:83" x14ac:dyDescent="0.3">
      <c r="A327" s="3" t="s">
        <v>367</v>
      </c>
      <c r="B327" s="3">
        <v>11725</v>
      </c>
      <c r="C327" s="3">
        <v>11720</v>
      </c>
      <c r="D327" s="3">
        <v>11575</v>
      </c>
      <c r="E327" s="3">
        <v>11570</v>
      </c>
      <c r="F327" s="3">
        <v>11625</v>
      </c>
      <c r="G327" s="3">
        <v>11640</v>
      </c>
      <c r="H327" s="3">
        <v>11515</v>
      </c>
      <c r="I327" s="3">
        <v>11500</v>
      </c>
      <c r="J327" s="3">
        <v>11900</v>
      </c>
      <c r="K327" s="3">
        <v>11890</v>
      </c>
      <c r="L327" s="3">
        <v>12080</v>
      </c>
      <c r="M327" s="3">
        <v>12085</v>
      </c>
      <c r="N327" s="3">
        <v>12625</v>
      </c>
      <c r="O327" s="3">
        <v>12630</v>
      </c>
      <c r="P327" s="3">
        <v>12545</v>
      </c>
      <c r="Q327" s="3">
        <v>12540</v>
      </c>
      <c r="R327" s="3">
        <v>12545</v>
      </c>
      <c r="S327" s="3">
        <v>12545</v>
      </c>
      <c r="T327" s="3">
        <v>12145</v>
      </c>
      <c r="U327" s="3">
        <v>12140</v>
      </c>
      <c r="V327" s="3">
        <v>12765</v>
      </c>
      <c r="W327" s="3">
        <v>12765</v>
      </c>
      <c r="X327" s="3">
        <v>12615</v>
      </c>
      <c r="Y327" s="3">
        <v>12620</v>
      </c>
      <c r="Z327" s="3">
        <v>12720</v>
      </c>
      <c r="AA327" s="3">
        <v>12715</v>
      </c>
      <c r="AB327" s="3">
        <v>13265</v>
      </c>
      <c r="AC327" s="3">
        <v>13265</v>
      </c>
      <c r="AD327" s="3">
        <v>13310</v>
      </c>
      <c r="AE327" s="3">
        <v>13325</v>
      </c>
      <c r="AF327" s="3">
        <v>13845</v>
      </c>
      <c r="AG327" s="3">
        <v>13845</v>
      </c>
      <c r="AH327" s="3">
        <v>13890</v>
      </c>
      <c r="AI327" s="3">
        <v>13890</v>
      </c>
      <c r="AJ327" s="3">
        <v>13720</v>
      </c>
      <c r="AK327" s="3">
        <v>13725</v>
      </c>
      <c r="AL327" s="3">
        <v>13650</v>
      </c>
      <c r="AM327" s="3">
        <v>13660</v>
      </c>
      <c r="AN327" s="3">
        <v>13380</v>
      </c>
      <c r="AO327" s="3">
        <v>13375</v>
      </c>
      <c r="AP327" s="3">
        <v>13480</v>
      </c>
      <c r="AQ327" s="3">
        <v>13480</v>
      </c>
      <c r="AR327" s="4">
        <f t="shared" si="208"/>
        <v>1.647875108412844E-2</v>
      </c>
      <c r="AS327" s="4">
        <f t="shared" si="180"/>
        <v>1.7316017316018062E-3</v>
      </c>
      <c r="AT327" s="4">
        <f t="shared" si="181"/>
        <v>2.464788732394374E-2</v>
      </c>
      <c r="AU327" s="4">
        <f t="shared" si="182"/>
        <v>2.3769100169779289E-2</v>
      </c>
      <c r="AV327" s="4">
        <f t="shared" si="183"/>
        <v>1.7108639863130826E-2</v>
      </c>
      <c r="AW327" s="4">
        <f t="shared" si="184"/>
        <v>1.8971332209106295E-2</v>
      </c>
      <c r="AX327" s="4">
        <f t="shared" si="185"/>
        <v>4.2509286009079661E-2</v>
      </c>
      <c r="AY327" s="4">
        <f t="shared" si="186"/>
        <v>1.8779342723004744E-2</v>
      </c>
      <c r="AZ327" s="4">
        <f t="shared" si="187"/>
        <v>0</v>
      </c>
      <c r="BA327" s="4">
        <f t="shared" si="188"/>
        <v>1.8989898989899001E-2</v>
      </c>
      <c r="BB327" s="4">
        <f t="shared" si="189"/>
        <v>3.4860154033238722E-2</v>
      </c>
      <c r="BC327" s="4">
        <f t="shared" si="190"/>
        <v>1.1871784724970524E-3</v>
      </c>
      <c r="BD327" s="4">
        <f t="shared" si="191"/>
        <v>9.7352024922118252E-3</v>
      </c>
      <c r="BE327" s="4">
        <f t="shared" si="192"/>
        <v>2.3139220979560449E-2</v>
      </c>
      <c r="BF327" s="4">
        <f t="shared" si="193"/>
        <v>1.79526355996944E-2</v>
      </c>
      <c r="BG327" s="4">
        <f t="shared" si="194"/>
        <v>3.8245219347581516E-2</v>
      </c>
      <c r="BH327" s="4">
        <f t="shared" si="195"/>
        <v>1.4378145219267058E-3</v>
      </c>
      <c r="BI327" s="4">
        <f t="shared" si="196"/>
        <v>1.0810810810810811E-2</v>
      </c>
      <c r="BJ327" s="4">
        <f t="shared" si="197"/>
        <v>4.3731778425656342E-3</v>
      </c>
      <c r="BK327" s="4">
        <f t="shared" si="198"/>
        <v>2.2652539276580175E-2</v>
      </c>
      <c r="BL327" s="4">
        <f t="shared" si="199"/>
        <v>1.85804533630618E-3</v>
      </c>
      <c r="BM327" s="4">
        <f t="shared" si="209"/>
        <v>1.7476605792760763E-2</v>
      </c>
      <c r="BN327" s="14">
        <f t="shared" si="210"/>
        <v>13690.147730941595</v>
      </c>
      <c r="BO327" s="15">
        <f t="shared" si="211"/>
        <v>13092.124227811462</v>
      </c>
      <c r="BP327" s="16">
        <v>13480</v>
      </c>
      <c r="BQ327" s="16">
        <v>13485</v>
      </c>
      <c r="BR327" s="16">
        <v>13475</v>
      </c>
      <c r="BS327" s="16">
        <v>13480</v>
      </c>
      <c r="BT327" s="16">
        <v>2959</v>
      </c>
      <c r="BU327" s="15">
        <f t="shared" si="200"/>
        <v>13480</v>
      </c>
      <c r="BV327" s="15">
        <f t="shared" si="201"/>
        <v>39887320</v>
      </c>
      <c r="BW327" s="15">
        <f>SUM($BV$3:BV327)</f>
        <v>252336878666.66663</v>
      </c>
      <c r="BX327" s="15">
        <f>SUM($BT$3:BT327)</f>
        <v>18636412</v>
      </c>
      <c r="BY327" s="15">
        <f t="shared" si="202"/>
        <v>13539.992497840605</v>
      </c>
      <c r="BZ327" s="3">
        <v>325</v>
      </c>
      <c r="CA327" s="3">
        <f t="shared" si="203"/>
        <v>0</v>
      </c>
      <c r="CB327" s="3">
        <f t="shared" si="204"/>
        <v>0</v>
      </c>
      <c r="CC327" s="3">
        <f t="shared" si="205"/>
        <v>0</v>
      </c>
      <c r="CD327" s="3" t="str">
        <f t="shared" si="206"/>
        <v/>
      </c>
      <c r="CE327" s="3">
        <f t="shared" si="207"/>
        <v>0</v>
      </c>
    </row>
    <row r="328" spans="1:83" x14ac:dyDescent="0.3">
      <c r="A328" s="3" t="s">
        <v>368</v>
      </c>
      <c r="B328" s="3">
        <v>11715</v>
      </c>
      <c r="C328" s="3">
        <v>11715</v>
      </c>
      <c r="D328" s="3">
        <v>11575</v>
      </c>
      <c r="E328" s="3">
        <v>11575</v>
      </c>
      <c r="F328" s="3">
        <v>11640</v>
      </c>
      <c r="G328" s="3">
        <v>11635</v>
      </c>
      <c r="H328" s="3">
        <v>11500</v>
      </c>
      <c r="I328" s="3">
        <v>11485</v>
      </c>
      <c r="J328" s="3">
        <v>11895</v>
      </c>
      <c r="K328" s="3">
        <v>11895</v>
      </c>
      <c r="L328" s="3">
        <v>12085</v>
      </c>
      <c r="M328" s="3">
        <v>12105</v>
      </c>
      <c r="N328" s="3">
        <v>12630</v>
      </c>
      <c r="O328" s="3">
        <v>12635</v>
      </c>
      <c r="P328" s="3">
        <v>12545</v>
      </c>
      <c r="Q328" s="3">
        <v>12550</v>
      </c>
      <c r="R328" s="3">
        <v>12545</v>
      </c>
      <c r="S328" s="3">
        <v>12555</v>
      </c>
      <c r="T328" s="3">
        <v>12135</v>
      </c>
      <c r="U328" s="3">
        <v>12135</v>
      </c>
      <c r="V328" s="3">
        <v>12765</v>
      </c>
      <c r="W328" s="3">
        <v>12755</v>
      </c>
      <c r="X328" s="3">
        <v>12620</v>
      </c>
      <c r="Y328" s="3">
        <v>12630</v>
      </c>
      <c r="Z328" s="3">
        <v>12710</v>
      </c>
      <c r="AA328" s="3">
        <v>12700</v>
      </c>
      <c r="AB328" s="3">
        <v>13265</v>
      </c>
      <c r="AC328" s="3">
        <v>13265</v>
      </c>
      <c r="AD328" s="3">
        <v>13325</v>
      </c>
      <c r="AE328" s="3">
        <v>13335</v>
      </c>
      <c r="AF328" s="3">
        <v>13850</v>
      </c>
      <c r="AG328" s="3">
        <v>13850</v>
      </c>
      <c r="AH328" s="3">
        <v>13895</v>
      </c>
      <c r="AI328" s="3">
        <v>13870</v>
      </c>
      <c r="AJ328" s="3">
        <v>13725</v>
      </c>
      <c r="AK328" s="3">
        <v>13710</v>
      </c>
      <c r="AL328" s="3">
        <v>13655</v>
      </c>
      <c r="AM328" s="3">
        <v>13645</v>
      </c>
      <c r="AN328" s="3">
        <v>13370</v>
      </c>
      <c r="AO328" s="3">
        <v>13375</v>
      </c>
      <c r="AP328" s="3">
        <v>13480</v>
      </c>
      <c r="AQ328" s="3">
        <v>13485</v>
      </c>
      <c r="AR328" s="4">
        <f t="shared" si="208"/>
        <v>1.6045099739809165E-2</v>
      </c>
      <c r="AS328" s="4">
        <f t="shared" si="180"/>
        <v>2.1645021645022577E-3</v>
      </c>
      <c r="AT328" s="4">
        <f t="shared" si="181"/>
        <v>2.4207746478873249E-2</v>
      </c>
      <c r="AU328" s="4">
        <f t="shared" si="182"/>
        <v>2.5042444821731791E-2</v>
      </c>
      <c r="AV328" s="4">
        <f t="shared" si="183"/>
        <v>1.7536355859709252E-2</v>
      </c>
      <c r="AW328" s="4">
        <f t="shared" si="184"/>
        <v>2.0657672849915709E-2</v>
      </c>
      <c r="AX328" s="4">
        <f t="shared" si="185"/>
        <v>4.2921997523730937E-2</v>
      </c>
      <c r="AY328" s="4">
        <f t="shared" si="186"/>
        <v>1.7996870109546204E-2</v>
      </c>
      <c r="AZ328" s="4">
        <f t="shared" si="187"/>
        <v>7.971303308091926E-4</v>
      </c>
      <c r="BA328" s="4">
        <f t="shared" si="188"/>
        <v>1.9393939393939408E-2</v>
      </c>
      <c r="BB328" s="4">
        <f t="shared" si="189"/>
        <v>3.4049452776651723E-2</v>
      </c>
      <c r="BC328" s="4">
        <f t="shared" si="190"/>
        <v>3.9572615749905449E-4</v>
      </c>
      <c r="BD328" s="4">
        <f t="shared" si="191"/>
        <v>1.0903426791277204E-2</v>
      </c>
      <c r="BE328" s="4">
        <f t="shared" si="192"/>
        <v>2.3139220979560449E-2</v>
      </c>
      <c r="BF328" s="4">
        <f t="shared" si="193"/>
        <v>1.8716577540107027E-2</v>
      </c>
      <c r="BG328" s="4">
        <f t="shared" si="194"/>
        <v>3.8620172478440296E-2</v>
      </c>
      <c r="BH328" s="4">
        <f t="shared" si="195"/>
        <v>2.8756290438533005E-3</v>
      </c>
      <c r="BI328" s="4">
        <f t="shared" si="196"/>
        <v>1.1891891891891881E-2</v>
      </c>
      <c r="BJ328" s="4">
        <f t="shared" si="197"/>
        <v>5.4664723032069595E-3</v>
      </c>
      <c r="BK328" s="4">
        <f t="shared" si="198"/>
        <v>2.2652539276580175E-2</v>
      </c>
      <c r="BL328" s="4">
        <f t="shared" si="199"/>
        <v>2.2296544035673715E-3</v>
      </c>
      <c r="BM328" s="4">
        <f t="shared" si="209"/>
        <v>1.7844360471220986E-2</v>
      </c>
      <c r="BN328" s="14">
        <f t="shared" si="210"/>
        <v>13695.09587014028</v>
      </c>
      <c r="BO328" s="15">
        <f t="shared" si="211"/>
        <v>13087.223896720981</v>
      </c>
      <c r="BP328" s="16">
        <v>13480</v>
      </c>
      <c r="BQ328" s="16">
        <v>13490</v>
      </c>
      <c r="BR328" s="16">
        <v>13480</v>
      </c>
      <c r="BS328" s="16">
        <v>13485</v>
      </c>
      <c r="BT328" s="16">
        <v>33134</v>
      </c>
      <c r="BU328" s="15">
        <f t="shared" si="200"/>
        <v>13485</v>
      </c>
      <c r="BV328" s="15">
        <f t="shared" si="201"/>
        <v>446811990</v>
      </c>
      <c r="BW328" s="15">
        <f>SUM($BV$3:BV328)</f>
        <v>252783690656.66663</v>
      </c>
      <c r="BX328" s="15">
        <f>SUM($BT$3:BT328)</f>
        <v>18669546</v>
      </c>
      <c r="BY328" s="15">
        <f t="shared" si="202"/>
        <v>13539.894899247503</v>
      </c>
      <c r="BZ328" s="3">
        <v>326</v>
      </c>
      <c r="CA328" s="3">
        <f t="shared" si="203"/>
        <v>0</v>
      </c>
      <c r="CB328" s="3">
        <f t="shared" si="204"/>
        <v>0</v>
      </c>
      <c r="CC328" s="3">
        <f t="shared" si="205"/>
        <v>0</v>
      </c>
      <c r="CD328" s="3" t="str">
        <f t="shared" si="206"/>
        <v/>
      </c>
      <c r="CE328" s="3">
        <f t="shared" si="207"/>
        <v>0</v>
      </c>
    </row>
    <row r="329" spans="1:83" x14ac:dyDescent="0.3">
      <c r="A329" s="3" t="s">
        <v>369</v>
      </c>
      <c r="B329" s="3">
        <v>11720</v>
      </c>
      <c r="C329" s="3">
        <v>11725</v>
      </c>
      <c r="D329" s="3">
        <v>11575</v>
      </c>
      <c r="E329" s="3">
        <v>11565</v>
      </c>
      <c r="F329" s="3">
        <v>11635</v>
      </c>
      <c r="G329" s="3">
        <v>11630</v>
      </c>
      <c r="H329" s="3">
        <v>11485</v>
      </c>
      <c r="I329" s="3">
        <v>11455</v>
      </c>
      <c r="J329" s="3">
        <v>11895</v>
      </c>
      <c r="K329" s="3">
        <v>11890</v>
      </c>
      <c r="L329" s="3">
        <v>12105</v>
      </c>
      <c r="M329" s="3">
        <v>12110</v>
      </c>
      <c r="N329" s="3">
        <v>12635</v>
      </c>
      <c r="O329" s="3">
        <v>12630</v>
      </c>
      <c r="P329" s="3">
        <v>12550</v>
      </c>
      <c r="Q329" s="3">
        <v>12555</v>
      </c>
      <c r="R329" s="3">
        <v>12550</v>
      </c>
      <c r="S329" s="3">
        <v>12550</v>
      </c>
      <c r="T329" s="3">
        <v>12140</v>
      </c>
      <c r="U329" s="3">
        <v>12130</v>
      </c>
      <c r="V329" s="3">
        <v>12750</v>
      </c>
      <c r="W329" s="3">
        <v>12720</v>
      </c>
      <c r="X329" s="3">
        <v>12630</v>
      </c>
      <c r="Y329" s="3">
        <v>12620</v>
      </c>
      <c r="Z329" s="3">
        <v>12700</v>
      </c>
      <c r="AA329" s="3">
        <v>12705</v>
      </c>
      <c r="AB329" s="3">
        <v>13265</v>
      </c>
      <c r="AC329" s="3">
        <v>13265</v>
      </c>
      <c r="AD329" s="3">
        <v>13335</v>
      </c>
      <c r="AE329" s="3">
        <v>13330</v>
      </c>
      <c r="AF329" s="3">
        <v>13850</v>
      </c>
      <c r="AG329" s="3">
        <v>13850</v>
      </c>
      <c r="AH329" s="3">
        <v>13870</v>
      </c>
      <c r="AI329" s="3">
        <v>13865</v>
      </c>
      <c r="AJ329" s="3">
        <v>13720</v>
      </c>
      <c r="AK329" s="3">
        <v>13750</v>
      </c>
      <c r="AL329" s="3">
        <v>13645</v>
      </c>
      <c r="AM329" s="3">
        <v>13650</v>
      </c>
      <c r="AN329" s="3">
        <v>13370</v>
      </c>
      <c r="AO329" s="3">
        <v>13380</v>
      </c>
      <c r="AP329" s="3">
        <v>13475</v>
      </c>
      <c r="AQ329" s="3">
        <v>13480</v>
      </c>
      <c r="AR329" s="4">
        <f t="shared" si="208"/>
        <v>1.6912402428447493E-2</v>
      </c>
      <c r="AS329" s="4">
        <f t="shared" si="180"/>
        <v>1.2987012987013546E-3</v>
      </c>
      <c r="AT329" s="4">
        <f t="shared" si="181"/>
        <v>2.3767605633802757E-2</v>
      </c>
      <c r="AU329" s="4">
        <f t="shared" si="182"/>
        <v>2.7589134125636683E-2</v>
      </c>
      <c r="AV329" s="4">
        <f t="shared" si="183"/>
        <v>1.7108639863130826E-2</v>
      </c>
      <c r="AW329" s="4">
        <f t="shared" si="184"/>
        <v>2.1079258010118007E-2</v>
      </c>
      <c r="AX329" s="4">
        <f t="shared" si="185"/>
        <v>4.2509286009079661E-2</v>
      </c>
      <c r="AY329" s="4">
        <f t="shared" si="186"/>
        <v>1.7605633802816878E-2</v>
      </c>
      <c r="AZ329" s="4">
        <f t="shared" si="187"/>
        <v>3.985651654045963E-4</v>
      </c>
      <c r="BA329" s="4">
        <f t="shared" si="188"/>
        <v>1.9797979797979814E-2</v>
      </c>
      <c r="BB329" s="4">
        <f t="shared" si="189"/>
        <v>3.121199837859745E-2</v>
      </c>
      <c r="BC329" s="4">
        <f t="shared" si="190"/>
        <v>1.1871784724970524E-3</v>
      </c>
      <c r="BD329" s="4">
        <f t="shared" si="191"/>
        <v>1.0514018691588745E-2</v>
      </c>
      <c r="BE329" s="4">
        <f t="shared" si="192"/>
        <v>2.3139220979560449E-2</v>
      </c>
      <c r="BF329" s="4">
        <f t="shared" si="193"/>
        <v>1.8334606569900602E-2</v>
      </c>
      <c r="BG329" s="4">
        <f t="shared" si="194"/>
        <v>3.8620172478440296E-2</v>
      </c>
      <c r="BH329" s="4">
        <f t="shared" si="195"/>
        <v>3.2350826743350325E-3</v>
      </c>
      <c r="BI329" s="4">
        <f t="shared" si="196"/>
        <v>9.009009009009028E-3</v>
      </c>
      <c r="BJ329" s="4">
        <f t="shared" si="197"/>
        <v>5.1020408163264808E-3</v>
      </c>
      <c r="BK329" s="4">
        <f t="shared" si="198"/>
        <v>2.2287175739861165E-2</v>
      </c>
      <c r="BL329" s="4">
        <f t="shared" si="199"/>
        <v>1.85804533630618E-3</v>
      </c>
      <c r="BM329" s="4">
        <f t="shared" si="209"/>
        <v>1.7353712041814091E-2</v>
      </c>
      <c r="BN329" s="14">
        <f t="shared" si="210"/>
        <v>13688.49419552261</v>
      </c>
      <c r="BO329" s="15">
        <f t="shared" si="211"/>
        <v>13093.761787042828</v>
      </c>
      <c r="BP329" s="16">
        <v>13475</v>
      </c>
      <c r="BQ329" s="16">
        <v>13480</v>
      </c>
      <c r="BR329" s="16">
        <v>13470</v>
      </c>
      <c r="BS329" s="16">
        <v>13480</v>
      </c>
      <c r="BT329" s="16">
        <v>8213</v>
      </c>
      <c r="BU329" s="15">
        <f t="shared" si="200"/>
        <v>13476.666666666666</v>
      </c>
      <c r="BV329" s="15">
        <f t="shared" si="201"/>
        <v>110683863.33333333</v>
      </c>
      <c r="BW329" s="15">
        <f>SUM($BV$3:BV329)</f>
        <v>252894374519.99997</v>
      </c>
      <c r="BX329" s="15">
        <f>SUM($BT$3:BT329)</f>
        <v>18677759</v>
      </c>
      <c r="BY329" s="15">
        <f t="shared" si="202"/>
        <v>13539.867096475544</v>
      </c>
      <c r="BZ329" s="3">
        <v>327</v>
      </c>
      <c r="CA329" s="3">
        <f t="shared" si="203"/>
        <v>0</v>
      </c>
      <c r="CB329" s="3">
        <f t="shared" si="204"/>
        <v>0</v>
      </c>
      <c r="CC329" s="3">
        <f t="shared" si="205"/>
        <v>0</v>
      </c>
      <c r="CD329" s="3" t="str">
        <f t="shared" si="206"/>
        <v/>
      </c>
      <c r="CE329" s="3">
        <f t="shared" si="207"/>
        <v>0</v>
      </c>
    </row>
    <row r="330" spans="1:83" x14ac:dyDescent="0.3">
      <c r="A330" s="3" t="s">
        <v>370</v>
      </c>
      <c r="B330" s="3">
        <v>11720</v>
      </c>
      <c r="C330" s="3">
        <v>11705</v>
      </c>
      <c r="D330" s="3">
        <v>11565</v>
      </c>
      <c r="E330" s="3">
        <v>11560</v>
      </c>
      <c r="F330" s="3">
        <v>11630</v>
      </c>
      <c r="G330" s="3">
        <v>11615</v>
      </c>
      <c r="H330" s="3">
        <v>11460</v>
      </c>
      <c r="I330" s="3">
        <v>11450</v>
      </c>
      <c r="J330" s="3">
        <v>11885</v>
      </c>
      <c r="K330" s="3">
        <v>11885</v>
      </c>
      <c r="L330" s="3">
        <v>12110</v>
      </c>
      <c r="M330" s="3">
        <v>12090</v>
      </c>
      <c r="N330" s="3">
        <v>12630</v>
      </c>
      <c r="O330" s="3">
        <v>12630</v>
      </c>
      <c r="P330" s="3">
        <v>12555</v>
      </c>
      <c r="Q330" s="3">
        <v>12550</v>
      </c>
      <c r="R330" s="3">
        <v>12550</v>
      </c>
      <c r="S330" s="3">
        <v>12545</v>
      </c>
      <c r="T330" s="3">
        <v>12130</v>
      </c>
      <c r="U330" s="3">
        <v>12125</v>
      </c>
      <c r="V330" s="3">
        <v>12720</v>
      </c>
      <c r="W330" s="3">
        <v>12730</v>
      </c>
      <c r="X330" s="3">
        <v>12615</v>
      </c>
      <c r="Y330" s="3">
        <v>12620</v>
      </c>
      <c r="Z330" s="3">
        <v>12710</v>
      </c>
      <c r="AA330" s="3">
        <v>12695</v>
      </c>
      <c r="AB330" s="3">
        <v>13270</v>
      </c>
      <c r="AC330" s="3">
        <v>13260</v>
      </c>
      <c r="AD330" s="3">
        <v>13335</v>
      </c>
      <c r="AE330" s="3">
        <v>13335</v>
      </c>
      <c r="AF330" s="3">
        <v>13850</v>
      </c>
      <c r="AG330" s="3">
        <v>13850</v>
      </c>
      <c r="AH330" s="3">
        <v>13870</v>
      </c>
      <c r="AI330" s="3">
        <v>13870</v>
      </c>
      <c r="AJ330" s="3">
        <v>13750</v>
      </c>
      <c r="AK330" s="3">
        <v>13740</v>
      </c>
      <c r="AL330" s="3">
        <v>13650</v>
      </c>
      <c r="AM330" s="3">
        <v>13655</v>
      </c>
      <c r="AN330" s="3">
        <v>13380</v>
      </c>
      <c r="AO330" s="3">
        <v>13365</v>
      </c>
      <c r="AP330" s="3">
        <v>13480</v>
      </c>
      <c r="AQ330" s="3">
        <v>13480</v>
      </c>
      <c r="AR330" s="4">
        <f t="shared" si="208"/>
        <v>1.5177797051170838E-2</v>
      </c>
      <c r="AS330" s="4">
        <f t="shared" si="180"/>
        <v>8.658008658009031E-4</v>
      </c>
      <c r="AT330" s="4">
        <f t="shared" si="181"/>
        <v>2.2447183098591506E-2</v>
      </c>
      <c r="AU330" s="4">
        <f t="shared" si="182"/>
        <v>2.8013582342954146E-2</v>
      </c>
      <c r="AV330" s="4">
        <f t="shared" si="183"/>
        <v>1.6680923866552622E-2</v>
      </c>
      <c r="AW330" s="4">
        <f t="shared" si="184"/>
        <v>1.9392917369308593E-2</v>
      </c>
      <c r="AX330" s="4">
        <f t="shared" si="185"/>
        <v>4.2509286009079661E-2</v>
      </c>
      <c r="AY330" s="4">
        <f t="shared" si="186"/>
        <v>1.7996870109546204E-2</v>
      </c>
      <c r="AZ330" s="4">
        <f t="shared" si="187"/>
        <v>0</v>
      </c>
      <c r="BA330" s="4">
        <f t="shared" si="188"/>
        <v>2.0202020202020221E-2</v>
      </c>
      <c r="BB330" s="4">
        <f t="shared" si="189"/>
        <v>3.2022699635184448E-2</v>
      </c>
      <c r="BC330" s="4">
        <f t="shared" si="190"/>
        <v>1.1871784724970524E-3</v>
      </c>
      <c r="BD330" s="4">
        <f t="shared" si="191"/>
        <v>1.1292834890965775E-2</v>
      </c>
      <c r="BE330" s="4">
        <f t="shared" si="192"/>
        <v>2.2753567296567745E-2</v>
      </c>
      <c r="BF330" s="4">
        <f t="shared" si="193"/>
        <v>1.8716577540107027E-2</v>
      </c>
      <c r="BG330" s="4">
        <f t="shared" si="194"/>
        <v>3.8620172478440296E-2</v>
      </c>
      <c r="BH330" s="4">
        <f t="shared" si="195"/>
        <v>2.8756290438533005E-3</v>
      </c>
      <c r="BI330" s="4">
        <f t="shared" si="196"/>
        <v>9.7297297297297414E-3</v>
      </c>
      <c r="BJ330" s="4">
        <f t="shared" si="197"/>
        <v>4.737609329446113E-3</v>
      </c>
      <c r="BK330" s="4">
        <f t="shared" si="198"/>
        <v>2.3383266350018306E-2</v>
      </c>
      <c r="BL330" s="4">
        <f t="shared" si="199"/>
        <v>1.85804533630618E-3</v>
      </c>
      <c r="BM330" s="4">
        <f t="shared" si="209"/>
        <v>1.7573388649103992E-2</v>
      </c>
      <c r="BN330" s="14">
        <f t="shared" si="210"/>
        <v>13691.449944273696</v>
      </c>
      <c r="BO330" s="15">
        <f t="shared" si="211"/>
        <v>13090.83459625069</v>
      </c>
      <c r="BP330" s="16">
        <v>13480</v>
      </c>
      <c r="BQ330" s="16">
        <v>13490</v>
      </c>
      <c r="BR330" s="16">
        <v>13475</v>
      </c>
      <c r="BS330" s="16">
        <v>13480</v>
      </c>
      <c r="BT330" s="16">
        <v>37204</v>
      </c>
      <c r="BU330" s="15">
        <f t="shared" si="200"/>
        <v>13481.666666666666</v>
      </c>
      <c r="BV330" s="15">
        <f t="shared" si="201"/>
        <v>501571926.66666663</v>
      </c>
      <c r="BW330" s="15">
        <f>SUM($BV$3:BV330)</f>
        <v>253395946446.66663</v>
      </c>
      <c r="BX330" s="15">
        <f>SUM($BT$3:BT330)</f>
        <v>18714963</v>
      </c>
      <c r="BY330" s="15">
        <f t="shared" si="202"/>
        <v>13539.751398208302</v>
      </c>
      <c r="BZ330" s="3">
        <v>328</v>
      </c>
      <c r="CA330" s="3">
        <f t="shared" si="203"/>
        <v>0</v>
      </c>
      <c r="CB330" s="3">
        <f t="shared" si="204"/>
        <v>0</v>
      </c>
      <c r="CC330" s="3">
        <f t="shared" si="205"/>
        <v>0</v>
      </c>
      <c r="CD330" s="3" t="str">
        <f t="shared" si="206"/>
        <v/>
      </c>
      <c r="CE330" s="3">
        <f t="shared" si="207"/>
        <v>0</v>
      </c>
    </row>
    <row r="331" spans="1:83" x14ac:dyDescent="0.3">
      <c r="A331" s="3" t="s">
        <v>371</v>
      </c>
      <c r="B331" s="3">
        <v>11710</v>
      </c>
      <c r="C331" s="3">
        <v>11695</v>
      </c>
      <c r="D331" s="3">
        <v>11560</v>
      </c>
      <c r="E331" s="3">
        <v>11555</v>
      </c>
      <c r="F331" s="3">
        <v>11615</v>
      </c>
      <c r="G331" s="3">
        <v>11610</v>
      </c>
      <c r="H331" s="3">
        <v>11450</v>
      </c>
      <c r="I331" s="3">
        <v>11430</v>
      </c>
      <c r="J331" s="3">
        <v>11885</v>
      </c>
      <c r="K331" s="3">
        <v>11885</v>
      </c>
      <c r="L331" s="3">
        <v>12090</v>
      </c>
      <c r="M331" s="3">
        <v>12100</v>
      </c>
      <c r="N331" s="3">
        <v>12635</v>
      </c>
      <c r="O331" s="3">
        <v>12625</v>
      </c>
      <c r="P331" s="3">
        <v>12555</v>
      </c>
      <c r="Q331" s="3">
        <v>12555</v>
      </c>
      <c r="R331" s="3">
        <v>12545</v>
      </c>
      <c r="S331" s="3">
        <v>12550</v>
      </c>
      <c r="T331" s="3">
        <v>12120</v>
      </c>
      <c r="U331" s="3">
        <v>12120</v>
      </c>
      <c r="V331" s="3">
        <v>12730</v>
      </c>
      <c r="W331" s="3">
        <v>12710</v>
      </c>
      <c r="X331" s="3">
        <v>12620</v>
      </c>
      <c r="Y331" s="3">
        <v>12630</v>
      </c>
      <c r="Z331" s="3">
        <v>12695</v>
      </c>
      <c r="AA331" s="3">
        <v>12685</v>
      </c>
      <c r="AB331" s="3">
        <v>13260</v>
      </c>
      <c r="AC331" s="3">
        <v>13265</v>
      </c>
      <c r="AD331" s="3">
        <v>13335</v>
      </c>
      <c r="AE331" s="3">
        <v>13330</v>
      </c>
      <c r="AF331" s="3">
        <v>13855</v>
      </c>
      <c r="AG331" s="3">
        <v>13855</v>
      </c>
      <c r="AH331" s="3">
        <v>13875</v>
      </c>
      <c r="AI331" s="3">
        <v>13860</v>
      </c>
      <c r="AJ331" s="3">
        <v>13740</v>
      </c>
      <c r="AK331" s="3">
        <v>13710</v>
      </c>
      <c r="AL331" s="3">
        <v>13660</v>
      </c>
      <c r="AM331" s="3">
        <v>13655</v>
      </c>
      <c r="AN331" s="3">
        <v>13370</v>
      </c>
      <c r="AO331" s="3">
        <v>13375</v>
      </c>
      <c r="AP331" s="3">
        <v>13485</v>
      </c>
      <c r="AQ331" s="3">
        <v>13495</v>
      </c>
      <c r="AR331" s="4">
        <f t="shared" si="208"/>
        <v>1.4310494362532511E-2</v>
      </c>
      <c r="AS331" s="4">
        <f t="shared" si="180"/>
        <v>4.3290043290045155E-4</v>
      </c>
      <c r="AT331" s="4">
        <f t="shared" si="181"/>
        <v>2.2007042253521236E-2</v>
      </c>
      <c r="AU331" s="4">
        <f t="shared" si="182"/>
        <v>2.9711375212224111E-2</v>
      </c>
      <c r="AV331" s="4">
        <f t="shared" si="183"/>
        <v>1.6680923866552622E-2</v>
      </c>
      <c r="AW331" s="4">
        <f t="shared" si="184"/>
        <v>2.0236087689713411E-2</v>
      </c>
      <c r="AX331" s="4">
        <f t="shared" si="185"/>
        <v>4.2096574494428385E-2</v>
      </c>
      <c r="AY331" s="4">
        <f t="shared" si="186"/>
        <v>1.7605633802816878E-2</v>
      </c>
      <c r="AZ331" s="4">
        <f t="shared" si="187"/>
        <v>3.985651654045963E-4</v>
      </c>
      <c r="BA331" s="4">
        <f t="shared" si="188"/>
        <v>2.0606060606060628E-2</v>
      </c>
      <c r="BB331" s="4">
        <f t="shared" si="189"/>
        <v>3.0401297122010451E-2</v>
      </c>
      <c r="BC331" s="4">
        <f t="shared" si="190"/>
        <v>3.9572615749905449E-4</v>
      </c>
      <c r="BD331" s="4">
        <f t="shared" si="191"/>
        <v>1.2071651090342694E-2</v>
      </c>
      <c r="BE331" s="4">
        <f t="shared" si="192"/>
        <v>2.3139220979560449E-2</v>
      </c>
      <c r="BF331" s="4">
        <f t="shared" si="193"/>
        <v>1.8334606569900602E-2</v>
      </c>
      <c r="BG331" s="4">
        <f t="shared" si="194"/>
        <v>3.8995125609298853E-2</v>
      </c>
      <c r="BH331" s="4">
        <f t="shared" si="195"/>
        <v>3.5945363048166534E-3</v>
      </c>
      <c r="BI331" s="4">
        <f t="shared" si="196"/>
        <v>1.1891891891891881E-2</v>
      </c>
      <c r="BJ331" s="4">
        <f t="shared" si="197"/>
        <v>4.737609329446113E-3</v>
      </c>
      <c r="BK331" s="4">
        <f t="shared" si="198"/>
        <v>2.2652539276580175E-2</v>
      </c>
      <c r="BL331" s="4">
        <f t="shared" si="199"/>
        <v>2.9728725380899768E-3</v>
      </c>
      <c r="BM331" s="4">
        <f t="shared" si="209"/>
        <v>1.7637217028575531E-2</v>
      </c>
      <c r="BN331" s="14">
        <f t="shared" si="210"/>
        <v>13692.308755119482</v>
      </c>
      <c r="BO331" s="15">
        <f t="shared" si="211"/>
        <v>13089.98408309423</v>
      </c>
      <c r="BP331" s="16">
        <v>13485</v>
      </c>
      <c r="BQ331" s="16">
        <v>13500</v>
      </c>
      <c r="BR331" s="16">
        <v>13485</v>
      </c>
      <c r="BS331" s="16">
        <v>13495</v>
      </c>
      <c r="BT331" s="16">
        <v>42612</v>
      </c>
      <c r="BU331" s="15">
        <f t="shared" si="200"/>
        <v>13493.333333333334</v>
      </c>
      <c r="BV331" s="15">
        <f t="shared" si="201"/>
        <v>574977920</v>
      </c>
      <c r="BW331" s="15">
        <f>SUM($BV$3:BV331)</f>
        <v>253970924366.66663</v>
      </c>
      <c r="BX331" s="15">
        <f>SUM($BT$3:BT331)</f>
        <v>18757575</v>
      </c>
      <c r="BY331" s="15">
        <f t="shared" si="202"/>
        <v>13539.64594925872</v>
      </c>
      <c r="BZ331" s="3">
        <v>329</v>
      </c>
      <c r="CA331" s="3">
        <f t="shared" si="203"/>
        <v>0</v>
      </c>
      <c r="CB331" s="3">
        <f t="shared" si="204"/>
        <v>0</v>
      </c>
      <c r="CC331" s="3">
        <f t="shared" si="205"/>
        <v>0</v>
      </c>
      <c r="CD331" s="3" t="str">
        <f t="shared" si="206"/>
        <v/>
      </c>
      <c r="CE331" s="3">
        <f t="shared" si="207"/>
        <v>0</v>
      </c>
    </row>
    <row r="332" spans="1:83" x14ac:dyDescent="0.3">
      <c r="A332" s="3" t="s">
        <v>372</v>
      </c>
      <c r="B332" s="3">
        <v>11690</v>
      </c>
      <c r="C332" s="3">
        <v>11710</v>
      </c>
      <c r="D332" s="3">
        <v>11555</v>
      </c>
      <c r="E332" s="3">
        <v>11560</v>
      </c>
      <c r="F332" s="3">
        <v>11610</v>
      </c>
      <c r="G332" s="3">
        <v>11610</v>
      </c>
      <c r="H332" s="3">
        <v>11435</v>
      </c>
      <c r="I332" s="3">
        <v>11435</v>
      </c>
      <c r="J332" s="3">
        <v>11885</v>
      </c>
      <c r="K332" s="3">
        <v>11890</v>
      </c>
      <c r="L332" s="3">
        <v>12105</v>
      </c>
      <c r="M332" s="3">
        <v>12095</v>
      </c>
      <c r="N332" s="3">
        <v>12630</v>
      </c>
      <c r="O332" s="3">
        <v>12645</v>
      </c>
      <c r="P332" s="3">
        <v>12560</v>
      </c>
      <c r="Q332" s="3">
        <v>12565</v>
      </c>
      <c r="R332" s="3">
        <v>12550</v>
      </c>
      <c r="S332" s="3">
        <v>12535</v>
      </c>
      <c r="T332" s="3">
        <v>12120</v>
      </c>
      <c r="U332" s="3">
        <v>12105</v>
      </c>
      <c r="V332" s="3">
        <v>12710</v>
      </c>
      <c r="W332" s="3">
        <v>12725</v>
      </c>
      <c r="X332" s="3">
        <v>12625</v>
      </c>
      <c r="Y332" s="3">
        <v>12630</v>
      </c>
      <c r="Z332" s="3">
        <v>12690</v>
      </c>
      <c r="AA332" s="3">
        <v>12700</v>
      </c>
      <c r="AB332" s="3">
        <v>13265</v>
      </c>
      <c r="AC332" s="3">
        <v>13270</v>
      </c>
      <c r="AD332" s="3">
        <v>13330</v>
      </c>
      <c r="AE332" s="3">
        <v>13325</v>
      </c>
      <c r="AF332" s="3">
        <v>13860</v>
      </c>
      <c r="AG332" s="3">
        <v>13855</v>
      </c>
      <c r="AH332" s="3">
        <v>13860</v>
      </c>
      <c r="AI332" s="3">
        <v>13870</v>
      </c>
      <c r="AJ332" s="3">
        <v>13715</v>
      </c>
      <c r="AK332" s="3">
        <v>13725</v>
      </c>
      <c r="AL332" s="3">
        <v>13660</v>
      </c>
      <c r="AM332" s="3">
        <v>13680</v>
      </c>
      <c r="AN332" s="3">
        <v>13370</v>
      </c>
      <c r="AO332" s="3">
        <v>13375</v>
      </c>
      <c r="AP332" s="3">
        <v>13495</v>
      </c>
      <c r="AQ332" s="3">
        <v>13495</v>
      </c>
      <c r="AR332" s="4">
        <f t="shared" si="208"/>
        <v>1.5611448395490113E-2</v>
      </c>
      <c r="AS332" s="4">
        <f t="shared" si="180"/>
        <v>8.658008658009031E-4</v>
      </c>
      <c r="AT332" s="4">
        <f t="shared" si="181"/>
        <v>2.2007042253521236E-2</v>
      </c>
      <c r="AU332" s="4">
        <f t="shared" si="182"/>
        <v>2.9286926994906648E-2</v>
      </c>
      <c r="AV332" s="4">
        <f t="shared" si="183"/>
        <v>1.7108639863130826E-2</v>
      </c>
      <c r="AW332" s="4">
        <f t="shared" si="184"/>
        <v>1.9814502529510891E-2</v>
      </c>
      <c r="AX332" s="4">
        <f t="shared" si="185"/>
        <v>4.3747420553033489E-2</v>
      </c>
      <c r="AY332" s="4">
        <f t="shared" si="186"/>
        <v>1.6823161189358338E-2</v>
      </c>
      <c r="AZ332" s="4">
        <f t="shared" si="187"/>
        <v>7.9713033080908158E-4</v>
      </c>
      <c r="BA332" s="4">
        <f t="shared" si="188"/>
        <v>2.1818181818181848E-2</v>
      </c>
      <c r="BB332" s="4">
        <f t="shared" si="189"/>
        <v>3.1617349006890949E-2</v>
      </c>
      <c r="BC332" s="4">
        <f t="shared" si="190"/>
        <v>3.9572615749905449E-4</v>
      </c>
      <c r="BD332" s="4">
        <f t="shared" si="191"/>
        <v>1.0903426791277204E-2</v>
      </c>
      <c r="BE332" s="4">
        <f t="shared" si="192"/>
        <v>2.352487466255293E-2</v>
      </c>
      <c r="BF332" s="4">
        <f t="shared" si="193"/>
        <v>1.79526355996944E-2</v>
      </c>
      <c r="BG332" s="4">
        <f t="shared" si="194"/>
        <v>3.8995125609298853E-2</v>
      </c>
      <c r="BH332" s="4">
        <f t="shared" si="195"/>
        <v>2.8756290438533005E-3</v>
      </c>
      <c r="BI332" s="4">
        <f t="shared" si="196"/>
        <v>1.0810810810810811E-2</v>
      </c>
      <c r="BJ332" s="4">
        <f t="shared" si="197"/>
        <v>2.9154518950437192E-3</v>
      </c>
      <c r="BK332" s="4">
        <f t="shared" si="198"/>
        <v>2.2652539276580175E-2</v>
      </c>
      <c r="BL332" s="4">
        <f t="shared" si="199"/>
        <v>2.9728725380899768E-3</v>
      </c>
      <c r="BM332" s="4">
        <f t="shared" si="209"/>
        <v>1.7559247338920298E-2</v>
      </c>
      <c r="BN332" s="14">
        <f t="shared" si="210"/>
        <v>13691.259672945172</v>
      </c>
      <c r="BO332" s="15">
        <f t="shared" si="211"/>
        <v>13091.023029208887</v>
      </c>
      <c r="BP332" s="16">
        <v>13495</v>
      </c>
      <c r="BQ332" s="16">
        <v>13495</v>
      </c>
      <c r="BR332" s="16">
        <v>13490</v>
      </c>
      <c r="BS332" s="16">
        <v>13495</v>
      </c>
      <c r="BT332" s="16">
        <v>11415</v>
      </c>
      <c r="BU332" s="15">
        <f t="shared" si="200"/>
        <v>13493.333333333334</v>
      </c>
      <c r="BV332" s="15">
        <f t="shared" si="201"/>
        <v>154026400</v>
      </c>
      <c r="BW332" s="15">
        <f>SUM($BV$3:BV332)</f>
        <v>254124950766.66663</v>
      </c>
      <c r="BX332" s="15">
        <f>SUM($BT$3:BT332)</f>
        <v>18768990</v>
      </c>
      <c r="BY332" s="15">
        <f t="shared" si="202"/>
        <v>13539.617782665269</v>
      </c>
      <c r="BZ332" s="3">
        <v>330</v>
      </c>
      <c r="CA332" s="3">
        <f t="shared" si="203"/>
        <v>0</v>
      </c>
      <c r="CB332" s="3">
        <f t="shared" si="204"/>
        <v>0</v>
      </c>
      <c r="CC332" s="3">
        <f t="shared" si="205"/>
        <v>0</v>
      </c>
      <c r="CD332" s="3">
        <f t="shared" si="206"/>
        <v>0</v>
      </c>
      <c r="CE332" s="3">
        <f t="shared" si="207"/>
        <v>0</v>
      </c>
    </row>
    <row r="333" spans="1:83" x14ac:dyDescent="0.3">
      <c r="A333" s="3" t="s">
        <v>373</v>
      </c>
      <c r="B333" s="3">
        <v>11710</v>
      </c>
      <c r="C333" s="3">
        <v>11715</v>
      </c>
      <c r="D333" s="3">
        <v>11560</v>
      </c>
      <c r="E333" s="3">
        <v>11545</v>
      </c>
      <c r="F333" s="3">
        <v>11615</v>
      </c>
      <c r="G333" s="3">
        <v>11620</v>
      </c>
      <c r="H333" s="3">
        <v>11430</v>
      </c>
      <c r="I333" s="3">
        <v>11435</v>
      </c>
      <c r="J333" s="3">
        <v>11890</v>
      </c>
      <c r="K333" s="3">
        <v>11890</v>
      </c>
      <c r="L333" s="3">
        <v>12105</v>
      </c>
      <c r="M333" s="3">
        <v>12100</v>
      </c>
      <c r="N333" s="3">
        <v>12645</v>
      </c>
      <c r="O333" s="3">
        <v>12655</v>
      </c>
      <c r="P333" s="3">
        <v>12565</v>
      </c>
      <c r="Q333" s="3">
        <v>12580</v>
      </c>
      <c r="R333" s="3">
        <v>12535</v>
      </c>
      <c r="S333" s="3">
        <v>12545</v>
      </c>
      <c r="T333" s="3">
        <v>12105</v>
      </c>
      <c r="U333" s="3">
        <v>12110</v>
      </c>
      <c r="V333" s="3">
        <v>12725</v>
      </c>
      <c r="W333" s="3">
        <v>12685</v>
      </c>
      <c r="X333" s="3">
        <v>12625</v>
      </c>
      <c r="Y333" s="3">
        <v>12630</v>
      </c>
      <c r="Z333" s="3">
        <v>12695</v>
      </c>
      <c r="AA333" s="3">
        <v>12685</v>
      </c>
      <c r="AB333" s="3">
        <v>13275</v>
      </c>
      <c r="AC333" s="3">
        <v>13270</v>
      </c>
      <c r="AD333" s="3">
        <v>13325</v>
      </c>
      <c r="AE333" s="3">
        <v>13325</v>
      </c>
      <c r="AF333" s="3">
        <v>13855</v>
      </c>
      <c r="AG333" s="3">
        <v>13860</v>
      </c>
      <c r="AH333" s="3">
        <v>13875</v>
      </c>
      <c r="AI333" s="3">
        <v>13895</v>
      </c>
      <c r="AJ333" s="3">
        <v>13725</v>
      </c>
      <c r="AK333" s="3">
        <v>13715</v>
      </c>
      <c r="AL333" s="3">
        <v>13680</v>
      </c>
      <c r="AM333" s="3">
        <v>13670</v>
      </c>
      <c r="AN333" s="3">
        <v>13375</v>
      </c>
      <c r="AO333" s="3">
        <v>13390</v>
      </c>
      <c r="AP333" s="3">
        <v>13490</v>
      </c>
      <c r="AQ333" s="3">
        <v>13480</v>
      </c>
      <c r="AR333" s="4">
        <f t="shared" si="208"/>
        <v>1.6045099739809165E-2</v>
      </c>
      <c r="AS333" s="4">
        <f t="shared" si="180"/>
        <v>4.3290043290045155E-4</v>
      </c>
      <c r="AT333" s="4">
        <f t="shared" si="181"/>
        <v>2.2887323943661997E-2</v>
      </c>
      <c r="AU333" s="4">
        <f t="shared" si="182"/>
        <v>2.9286926994906648E-2</v>
      </c>
      <c r="AV333" s="4">
        <f t="shared" si="183"/>
        <v>1.7108639863130826E-2</v>
      </c>
      <c r="AW333" s="4">
        <f t="shared" si="184"/>
        <v>2.0236087689713411E-2</v>
      </c>
      <c r="AX333" s="4">
        <f t="shared" si="185"/>
        <v>4.4572843582336041E-2</v>
      </c>
      <c r="AY333" s="4">
        <f t="shared" si="186"/>
        <v>1.5649452269170583E-2</v>
      </c>
      <c r="AZ333" s="4">
        <f t="shared" si="187"/>
        <v>0</v>
      </c>
      <c r="BA333" s="4">
        <f t="shared" si="188"/>
        <v>2.1414141414141441E-2</v>
      </c>
      <c r="BB333" s="4">
        <f t="shared" si="189"/>
        <v>2.8374543980543177E-2</v>
      </c>
      <c r="BC333" s="4">
        <f t="shared" si="190"/>
        <v>3.9572615749905449E-4</v>
      </c>
      <c r="BD333" s="4">
        <f t="shared" si="191"/>
        <v>1.2071651090342694E-2</v>
      </c>
      <c r="BE333" s="4">
        <f t="shared" si="192"/>
        <v>2.352487466255293E-2</v>
      </c>
      <c r="BF333" s="4">
        <f t="shared" si="193"/>
        <v>1.79526355996944E-2</v>
      </c>
      <c r="BG333" s="4">
        <f t="shared" si="194"/>
        <v>3.937007874015741E-2</v>
      </c>
      <c r="BH333" s="4">
        <f t="shared" si="195"/>
        <v>1.0783608914449738E-3</v>
      </c>
      <c r="BI333" s="4">
        <f t="shared" si="196"/>
        <v>1.1531531531531525E-2</v>
      </c>
      <c r="BJ333" s="4">
        <f t="shared" si="197"/>
        <v>3.6443148688046767E-3</v>
      </c>
      <c r="BK333" s="4">
        <f t="shared" si="198"/>
        <v>2.1556448666423145E-2</v>
      </c>
      <c r="BL333" s="4">
        <f t="shared" si="199"/>
        <v>1.85804533630618E-3</v>
      </c>
      <c r="BM333" s="4">
        <f t="shared" si="209"/>
        <v>1.7224043103903002E-2</v>
      </c>
      <c r="BN333" s="14">
        <f t="shared" si="210"/>
        <v>13686.749499963014</v>
      </c>
      <c r="BO333" s="15">
        <f t="shared" si="211"/>
        <v>13095.489625640492</v>
      </c>
      <c r="BP333" s="16">
        <v>13490</v>
      </c>
      <c r="BQ333" s="16">
        <v>13495</v>
      </c>
      <c r="BR333" s="16">
        <v>13475</v>
      </c>
      <c r="BS333" s="16">
        <v>13480</v>
      </c>
      <c r="BT333" s="16">
        <v>46429</v>
      </c>
      <c r="BU333" s="15">
        <f t="shared" si="200"/>
        <v>13483.333333333334</v>
      </c>
      <c r="BV333" s="15">
        <f t="shared" si="201"/>
        <v>626017683.33333337</v>
      </c>
      <c r="BW333" s="15">
        <f>SUM($BV$3:BV333)</f>
        <v>254750968449.99997</v>
      </c>
      <c r="BX333" s="15">
        <f>SUM($BT$3:BT333)</f>
        <v>18815419</v>
      </c>
      <c r="BY333" s="15">
        <f t="shared" si="202"/>
        <v>13539.478894942493</v>
      </c>
      <c r="BZ333" s="3">
        <v>331</v>
      </c>
      <c r="CA333" s="3">
        <f t="shared" si="203"/>
        <v>0</v>
      </c>
      <c r="CB333" s="3">
        <f t="shared" si="204"/>
        <v>0</v>
      </c>
      <c r="CC333" s="3">
        <f t="shared" si="205"/>
        <v>0</v>
      </c>
      <c r="CD333" s="3" t="str">
        <f t="shared" si="206"/>
        <v/>
      </c>
      <c r="CE333" s="3">
        <f t="shared" si="207"/>
        <v>0</v>
      </c>
    </row>
    <row r="334" spans="1:83" x14ac:dyDescent="0.3">
      <c r="A334" s="3" t="s">
        <v>374</v>
      </c>
      <c r="B334" s="3">
        <v>11720</v>
      </c>
      <c r="C334" s="3">
        <v>11720</v>
      </c>
      <c r="D334" s="3">
        <v>11545</v>
      </c>
      <c r="E334" s="3">
        <v>11550</v>
      </c>
      <c r="F334" s="3">
        <v>11625</v>
      </c>
      <c r="G334" s="3">
        <v>11615</v>
      </c>
      <c r="H334" s="3">
        <v>11435</v>
      </c>
      <c r="I334" s="3">
        <v>11450</v>
      </c>
      <c r="J334" s="3">
        <v>11890</v>
      </c>
      <c r="K334" s="3">
        <v>11895</v>
      </c>
      <c r="L334" s="3">
        <v>12105</v>
      </c>
      <c r="M334" s="3">
        <v>12105</v>
      </c>
      <c r="N334" s="3">
        <v>12655</v>
      </c>
      <c r="O334" s="3">
        <v>12660</v>
      </c>
      <c r="P334" s="3">
        <v>12580</v>
      </c>
      <c r="Q334" s="3">
        <v>12575</v>
      </c>
      <c r="R334" s="3">
        <v>12540</v>
      </c>
      <c r="S334" s="3">
        <v>12550</v>
      </c>
      <c r="T334" s="3">
        <v>12110</v>
      </c>
      <c r="U334" s="3">
        <v>12110</v>
      </c>
      <c r="V334" s="3">
        <v>12695</v>
      </c>
      <c r="W334" s="3">
        <v>12685</v>
      </c>
      <c r="X334" s="3">
        <v>12635</v>
      </c>
      <c r="Y334" s="3">
        <v>12615</v>
      </c>
      <c r="Z334" s="3">
        <v>12685</v>
      </c>
      <c r="AA334" s="3">
        <v>12690</v>
      </c>
      <c r="AB334" s="3">
        <v>13270</v>
      </c>
      <c r="AC334" s="3">
        <v>13265</v>
      </c>
      <c r="AD334" s="3">
        <v>13325</v>
      </c>
      <c r="AE334" s="3">
        <v>13330</v>
      </c>
      <c r="AF334" s="3">
        <v>13855</v>
      </c>
      <c r="AG334" s="3">
        <v>13855</v>
      </c>
      <c r="AH334" s="3">
        <v>13900</v>
      </c>
      <c r="AI334" s="3">
        <v>13895</v>
      </c>
      <c r="AJ334" s="3">
        <v>13710</v>
      </c>
      <c r="AK334" s="3">
        <v>13695</v>
      </c>
      <c r="AL334" s="3">
        <v>13670</v>
      </c>
      <c r="AM334" s="3">
        <v>13665</v>
      </c>
      <c r="AN334" s="3">
        <v>13395</v>
      </c>
      <c r="AO334" s="3">
        <v>13390</v>
      </c>
      <c r="AP334" s="3">
        <v>13480</v>
      </c>
      <c r="AQ334" s="3">
        <v>13470</v>
      </c>
      <c r="AR334" s="4">
        <f t="shared" si="208"/>
        <v>1.647875108412844E-2</v>
      </c>
      <c r="AS334" s="4">
        <f t="shared" si="180"/>
        <v>0</v>
      </c>
      <c r="AT334" s="4">
        <f t="shared" si="181"/>
        <v>2.2447183098591506E-2</v>
      </c>
      <c r="AU334" s="4">
        <f t="shared" si="182"/>
        <v>2.8013582342954146E-2</v>
      </c>
      <c r="AV334" s="4">
        <f t="shared" si="183"/>
        <v>1.7536355859709252E-2</v>
      </c>
      <c r="AW334" s="4">
        <f t="shared" si="184"/>
        <v>2.0657672849915709E-2</v>
      </c>
      <c r="AX334" s="4">
        <f t="shared" si="185"/>
        <v>4.4985555096987095E-2</v>
      </c>
      <c r="AY334" s="4">
        <f t="shared" si="186"/>
        <v>1.6040688575899797E-2</v>
      </c>
      <c r="AZ334" s="4">
        <f t="shared" si="187"/>
        <v>3.985651654045963E-4</v>
      </c>
      <c r="BA334" s="4">
        <f t="shared" si="188"/>
        <v>2.1414141414141441E-2</v>
      </c>
      <c r="BB334" s="4">
        <f t="shared" si="189"/>
        <v>2.8374543980543177E-2</v>
      </c>
      <c r="BC334" s="4">
        <f t="shared" si="190"/>
        <v>1.5829046299959959E-3</v>
      </c>
      <c r="BD334" s="4">
        <f t="shared" si="191"/>
        <v>1.1682242990654235E-2</v>
      </c>
      <c r="BE334" s="4">
        <f t="shared" si="192"/>
        <v>2.3139220979560449E-2</v>
      </c>
      <c r="BF334" s="4">
        <f t="shared" si="193"/>
        <v>1.8334606569900602E-2</v>
      </c>
      <c r="BG334" s="4">
        <f t="shared" si="194"/>
        <v>3.8995125609298853E-2</v>
      </c>
      <c r="BH334" s="4">
        <f t="shared" si="195"/>
        <v>1.0783608914449738E-3</v>
      </c>
      <c r="BI334" s="4">
        <f t="shared" si="196"/>
        <v>1.2972972972972951E-2</v>
      </c>
      <c r="BJ334" s="4">
        <f t="shared" si="197"/>
        <v>4.0087463556851555E-3</v>
      </c>
      <c r="BK334" s="4">
        <f t="shared" si="198"/>
        <v>2.1556448666423145E-2</v>
      </c>
      <c r="BL334" s="4">
        <f t="shared" si="199"/>
        <v>1.1148272017837968E-3</v>
      </c>
      <c r="BM334" s="4">
        <f t="shared" si="209"/>
        <v>1.7468865992779463E-2</v>
      </c>
      <c r="BN334" s="14">
        <f t="shared" si="210"/>
        <v>13690.043591932848</v>
      </c>
      <c r="BO334" s="15">
        <f t="shared" si="211"/>
        <v>13092.227360646215</v>
      </c>
      <c r="BP334" s="16">
        <v>13480</v>
      </c>
      <c r="BQ334" s="16">
        <v>13485</v>
      </c>
      <c r="BR334" s="16">
        <v>13465</v>
      </c>
      <c r="BS334" s="16">
        <v>13470</v>
      </c>
      <c r="BT334" s="16">
        <v>27008</v>
      </c>
      <c r="BU334" s="15">
        <f t="shared" si="200"/>
        <v>13473.333333333334</v>
      </c>
      <c r="BV334" s="15">
        <f t="shared" si="201"/>
        <v>363887786.66666669</v>
      </c>
      <c r="BW334" s="15">
        <f>SUM($BV$3:BV334)</f>
        <v>255114856236.66663</v>
      </c>
      <c r="BX334" s="15">
        <f>SUM($BT$3:BT334)</f>
        <v>18842427</v>
      </c>
      <c r="BY334" s="15">
        <f t="shared" si="202"/>
        <v>13539.384084474183</v>
      </c>
      <c r="BZ334" s="3">
        <v>332</v>
      </c>
      <c r="CA334" s="3">
        <f t="shared" si="203"/>
        <v>0</v>
      </c>
      <c r="CB334" s="3">
        <f t="shared" si="204"/>
        <v>0</v>
      </c>
      <c r="CC334" s="3">
        <f t="shared" si="205"/>
        <v>0</v>
      </c>
      <c r="CD334" s="3" t="str">
        <f t="shared" si="206"/>
        <v/>
      </c>
      <c r="CE334" s="3">
        <f t="shared" si="207"/>
        <v>0</v>
      </c>
    </row>
    <row r="335" spans="1:83" x14ac:dyDescent="0.3">
      <c r="A335" s="3" t="s">
        <v>375</v>
      </c>
      <c r="B335" s="3">
        <v>11720</v>
      </c>
      <c r="C335" s="3">
        <v>11720</v>
      </c>
      <c r="D335" s="3">
        <v>11545</v>
      </c>
      <c r="E335" s="3">
        <v>11555</v>
      </c>
      <c r="F335" s="3">
        <v>11615</v>
      </c>
      <c r="G335" s="3">
        <v>11625</v>
      </c>
      <c r="H335" s="3">
        <v>11450</v>
      </c>
      <c r="I335" s="3">
        <v>11455</v>
      </c>
      <c r="J335" s="3">
        <v>11895</v>
      </c>
      <c r="K335" s="3">
        <v>11895</v>
      </c>
      <c r="L335" s="3">
        <v>12105</v>
      </c>
      <c r="M335" s="3">
        <v>12105</v>
      </c>
      <c r="N335" s="3">
        <v>12660</v>
      </c>
      <c r="O335" s="3">
        <v>12670</v>
      </c>
      <c r="P335" s="3">
        <v>12575</v>
      </c>
      <c r="Q335" s="3">
        <v>12570</v>
      </c>
      <c r="R335" s="3">
        <v>12540</v>
      </c>
      <c r="S335" s="3">
        <v>12540</v>
      </c>
      <c r="T335" s="3">
        <v>12110</v>
      </c>
      <c r="U335" s="3">
        <v>12120</v>
      </c>
      <c r="V335" s="3">
        <v>12685</v>
      </c>
      <c r="W335" s="3">
        <v>12685</v>
      </c>
      <c r="X335" s="3">
        <v>12615</v>
      </c>
      <c r="Y335" s="3">
        <v>12620</v>
      </c>
      <c r="Z335" s="3">
        <v>12690</v>
      </c>
      <c r="AA335" s="3">
        <v>12690</v>
      </c>
      <c r="AB335" s="3">
        <v>13265</v>
      </c>
      <c r="AC335" s="3">
        <v>13275</v>
      </c>
      <c r="AD335" s="3">
        <v>13330</v>
      </c>
      <c r="AE335" s="3">
        <v>13325</v>
      </c>
      <c r="AF335" s="3">
        <v>13855</v>
      </c>
      <c r="AG335" s="3">
        <v>13840</v>
      </c>
      <c r="AH335" s="3">
        <v>13895</v>
      </c>
      <c r="AI335" s="3">
        <v>13885</v>
      </c>
      <c r="AJ335" s="3">
        <v>13700</v>
      </c>
      <c r="AK335" s="3">
        <v>13700</v>
      </c>
      <c r="AL335" s="3">
        <v>13665</v>
      </c>
      <c r="AM335" s="3">
        <v>13660</v>
      </c>
      <c r="AN335" s="3">
        <v>13395</v>
      </c>
      <c r="AO335" s="3">
        <v>13395</v>
      </c>
      <c r="AP335" s="3">
        <v>13470</v>
      </c>
      <c r="AQ335" s="3">
        <v>13460</v>
      </c>
      <c r="AR335" s="4">
        <f t="shared" si="208"/>
        <v>1.647875108412844E-2</v>
      </c>
      <c r="AS335" s="4">
        <f t="shared" si="180"/>
        <v>4.3290043290045155E-4</v>
      </c>
      <c r="AT335" s="4">
        <f t="shared" si="181"/>
        <v>2.3327464788732488E-2</v>
      </c>
      <c r="AU335" s="4">
        <f t="shared" si="182"/>
        <v>2.7589134125636683E-2</v>
      </c>
      <c r="AV335" s="4">
        <f t="shared" si="183"/>
        <v>1.7536355859709252E-2</v>
      </c>
      <c r="AW335" s="4">
        <f t="shared" si="184"/>
        <v>2.0657672849915709E-2</v>
      </c>
      <c r="AX335" s="4">
        <f t="shared" si="185"/>
        <v>4.5810978126289648E-2</v>
      </c>
      <c r="AY335" s="4">
        <f t="shared" si="186"/>
        <v>1.6431924882629123E-2</v>
      </c>
      <c r="AZ335" s="4">
        <f t="shared" si="187"/>
        <v>3.985651654045963E-4</v>
      </c>
      <c r="BA335" s="4">
        <f t="shared" si="188"/>
        <v>2.0606060606060628E-2</v>
      </c>
      <c r="BB335" s="4">
        <f t="shared" si="189"/>
        <v>2.8374543980543177E-2</v>
      </c>
      <c r="BC335" s="4">
        <f t="shared" si="190"/>
        <v>1.1871784724970524E-3</v>
      </c>
      <c r="BD335" s="4">
        <f t="shared" si="191"/>
        <v>1.1682242990654235E-2</v>
      </c>
      <c r="BE335" s="4">
        <f t="shared" si="192"/>
        <v>2.3910528345545634E-2</v>
      </c>
      <c r="BF335" s="4">
        <f t="shared" si="193"/>
        <v>1.79526355996944E-2</v>
      </c>
      <c r="BG335" s="4">
        <f t="shared" si="194"/>
        <v>3.7870266216722959E-2</v>
      </c>
      <c r="BH335" s="4">
        <f t="shared" si="195"/>
        <v>1.7972681524083267E-3</v>
      </c>
      <c r="BI335" s="4">
        <f t="shared" si="196"/>
        <v>1.2612612612612595E-2</v>
      </c>
      <c r="BJ335" s="4">
        <f t="shared" si="197"/>
        <v>4.3731778425656342E-3</v>
      </c>
      <c r="BK335" s="4">
        <f t="shared" si="198"/>
        <v>2.1191085129704024E-2</v>
      </c>
      <c r="BL335" s="4">
        <f t="shared" si="199"/>
        <v>3.7160906726119158E-4</v>
      </c>
      <c r="BM335" s="4">
        <f t="shared" si="209"/>
        <v>1.7442790580238003E-2</v>
      </c>
      <c r="BN335" s="14">
        <f t="shared" si="210"/>
        <v>13689.692747257101</v>
      </c>
      <c r="BO335" s="15">
        <f t="shared" si="211"/>
        <v>13092.574815518328</v>
      </c>
      <c r="BP335" s="16">
        <v>13470</v>
      </c>
      <c r="BQ335" s="16">
        <v>13470</v>
      </c>
      <c r="BR335" s="16">
        <v>13460</v>
      </c>
      <c r="BS335" s="16">
        <v>13460</v>
      </c>
      <c r="BT335" s="16">
        <v>9366</v>
      </c>
      <c r="BU335" s="15">
        <f t="shared" si="200"/>
        <v>13463.333333333334</v>
      </c>
      <c r="BV335" s="15">
        <f t="shared" si="201"/>
        <v>126097580</v>
      </c>
      <c r="BW335" s="15">
        <f>SUM($BV$3:BV335)</f>
        <v>255240953816.66663</v>
      </c>
      <c r="BX335" s="15">
        <f>SUM($BT$3:BT335)</f>
        <v>18851793</v>
      </c>
      <c r="BY335" s="15">
        <f t="shared" si="202"/>
        <v>13539.346300729412</v>
      </c>
      <c r="BZ335" s="3">
        <v>333</v>
      </c>
      <c r="CA335" s="3">
        <f t="shared" si="203"/>
        <v>0</v>
      </c>
      <c r="CB335" s="3">
        <f t="shared" si="204"/>
        <v>0</v>
      </c>
      <c r="CC335" s="3">
        <f t="shared" si="205"/>
        <v>0</v>
      </c>
      <c r="CD335" s="3" t="str">
        <f t="shared" si="206"/>
        <v/>
      </c>
      <c r="CE335" s="3">
        <f t="shared" si="207"/>
        <v>0</v>
      </c>
    </row>
    <row r="336" spans="1:83" x14ac:dyDescent="0.3">
      <c r="A336" s="3" t="s">
        <v>376</v>
      </c>
      <c r="B336" s="3">
        <v>11725</v>
      </c>
      <c r="C336" s="3">
        <v>11730</v>
      </c>
      <c r="D336" s="3">
        <v>11555</v>
      </c>
      <c r="E336" s="3">
        <v>11550</v>
      </c>
      <c r="F336" s="3">
        <v>11625</v>
      </c>
      <c r="G336" s="3">
        <v>11620</v>
      </c>
      <c r="H336" s="3">
        <v>11460</v>
      </c>
      <c r="I336" s="3">
        <v>11440</v>
      </c>
      <c r="J336" s="3">
        <v>11900</v>
      </c>
      <c r="K336" s="3">
        <v>11900</v>
      </c>
      <c r="L336" s="3">
        <v>12100</v>
      </c>
      <c r="M336" s="3">
        <v>12090</v>
      </c>
      <c r="N336" s="3">
        <v>12670</v>
      </c>
      <c r="O336" s="3">
        <v>12675</v>
      </c>
      <c r="P336" s="3">
        <v>12570</v>
      </c>
      <c r="Q336" s="3">
        <v>12565</v>
      </c>
      <c r="R336" s="3">
        <v>12540</v>
      </c>
      <c r="S336" s="3">
        <v>12540</v>
      </c>
      <c r="T336" s="3">
        <v>12115</v>
      </c>
      <c r="U336" s="3">
        <v>12115</v>
      </c>
      <c r="V336" s="3">
        <v>12690</v>
      </c>
      <c r="W336" s="3">
        <v>12690</v>
      </c>
      <c r="X336" s="3">
        <v>12625</v>
      </c>
      <c r="Y336" s="3">
        <v>12625</v>
      </c>
      <c r="Z336" s="3">
        <v>12690</v>
      </c>
      <c r="AA336" s="3">
        <v>12690</v>
      </c>
      <c r="AB336" s="3">
        <v>13275</v>
      </c>
      <c r="AC336" s="3">
        <v>13285</v>
      </c>
      <c r="AD336" s="3">
        <v>13325</v>
      </c>
      <c r="AE336" s="3">
        <v>13325</v>
      </c>
      <c r="AF336" s="3">
        <v>13840</v>
      </c>
      <c r="AG336" s="3">
        <v>13840</v>
      </c>
      <c r="AH336" s="3">
        <v>13885</v>
      </c>
      <c r="AI336" s="3">
        <v>13875</v>
      </c>
      <c r="AJ336" s="3">
        <v>13700</v>
      </c>
      <c r="AK336" s="3">
        <v>13700</v>
      </c>
      <c r="AL336" s="3">
        <v>13665</v>
      </c>
      <c r="AM336" s="3">
        <v>13660</v>
      </c>
      <c r="AN336" s="3">
        <v>13395</v>
      </c>
      <c r="AO336" s="3">
        <v>13390</v>
      </c>
      <c r="AP336" s="3">
        <v>13460</v>
      </c>
      <c r="AQ336" s="3">
        <v>13450</v>
      </c>
      <c r="AR336" s="4">
        <f t="shared" si="208"/>
        <v>1.7346053772766767E-2</v>
      </c>
      <c r="AS336" s="4">
        <f t="shared" si="180"/>
        <v>0</v>
      </c>
      <c r="AT336" s="4">
        <f t="shared" si="181"/>
        <v>2.2887323943661997E-2</v>
      </c>
      <c r="AU336" s="4">
        <f t="shared" si="182"/>
        <v>2.8862478777589184E-2</v>
      </c>
      <c r="AV336" s="4">
        <f t="shared" si="183"/>
        <v>1.7964071856287456E-2</v>
      </c>
      <c r="AW336" s="4">
        <f t="shared" si="184"/>
        <v>1.9392917369308593E-2</v>
      </c>
      <c r="AX336" s="4">
        <f t="shared" si="185"/>
        <v>4.6223689640940924E-2</v>
      </c>
      <c r="AY336" s="4">
        <f t="shared" si="186"/>
        <v>1.6823161189358338E-2</v>
      </c>
      <c r="AZ336" s="4">
        <f t="shared" si="187"/>
        <v>3.985651654045963E-4</v>
      </c>
      <c r="BA336" s="4">
        <f t="shared" si="188"/>
        <v>2.1010101010101034E-2</v>
      </c>
      <c r="BB336" s="4">
        <f t="shared" si="189"/>
        <v>2.8779894608836676E-2</v>
      </c>
      <c r="BC336" s="4">
        <f t="shared" si="190"/>
        <v>7.9145231499799795E-4</v>
      </c>
      <c r="BD336" s="4">
        <f t="shared" si="191"/>
        <v>1.1682242990654235E-2</v>
      </c>
      <c r="BE336" s="4">
        <f t="shared" si="192"/>
        <v>2.4681835711531042E-2</v>
      </c>
      <c r="BF336" s="4">
        <f t="shared" si="193"/>
        <v>1.79526355996944E-2</v>
      </c>
      <c r="BG336" s="4">
        <f t="shared" si="194"/>
        <v>3.7870266216722959E-2</v>
      </c>
      <c r="BH336" s="4">
        <f t="shared" si="195"/>
        <v>2.5161754133716796E-3</v>
      </c>
      <c r="BI336" s="4">
        <f t="shared" si="196"/>
        <v>1.2612612612612595E-2</v>
      </c>
      <c r="BJ336" s="4">
        <f t="shared" si="197"/>
        <v>4.3731778425656342E-3</v>
      </c>
      <c r="BK336" s="4">
        <f t="shared" si="198"/>
        <v>2.1556448666423145E-2</v>
      </c>
      <c r="BL336" s="4">
        <f t="shared" si="199"/>
        <v>3.7160906726119158E-4</v>
      </c>
      <c r="BM336" s="4">
        <f t="shared" si="209"/>
        <v>1.7662304213086805E-2</v>
      </c>
      <c r="BN336" s="14">
        <f t="shared" si="210"/>
        <v>13692.646303187083</v>
      </c>
      <c r="BO336" s="15">
        <f t="shared" si="211"/>
        <v>13089.649796360618</v>
      </c>
      <c r="BP336" s="16">
        <v>13460</v>
      </c>
      <c r="BQ336" s="16">
        <v>13460</v>
      </c>
      <c r="BR336" s="16">
        <v>13450</v>
      </c>
      <c r="BS336" s="16">
        <v>13450</v>
      </c>
      <c r="BT336" s="16">
        <v>10462</v>
      </c>
      <c r="BU336" s="15">
        <f t="shared" si="200"/>
        <v>13453.333333333334</v>
      </c>
      <c r="BV336" s="15">
        <f t="shared" si="201"/>
        <v>140748773.33333334</v>
      </c>
      <c r="BW336" s="15">
        <f>SUM($BV$3:BV336)</f>
        <v>255381702589.99997</v>
      </c>
      <c r="BX336" s="15">
        <f>SUM($BT$3:BT336)</f>
        <v>18862255</v>
      </c>
      <c r="BY336" s="15">
        <f t="shared" si="202"/>
        <v>13539.298593407839</v>
      </c>
      <c r="BZ336" s="3">
        <v>334</v>
      </c>
      <c r="CA336" s="3">
        <f t="shared" si="203"/>
        <v>0</v>
      </c>
      <c r="CB336" s="3">
        <f t="shared" si="204"/>
        <v>0</v>
      </c>
      <c r="CC336" s="3">
        <f t="shared" si="205"/>
        <v>0</v>
      </c>
      <c r="CD336" s="3" t="str">
        <f t="shared" si="206"/>
        <v/>
      </c>
      <c r="CE336" s="3">
        <f t="shared" si="207"/>
        <v>0</v>
      </c>
    </row>
    <row r="337" spans="1:83" x14ac:dyDescent="0.3">
      <c r="A337" s="3" t="s">
        <v>377</v>
      </c>
      <c r="B337" s="3">
        <v>11730</v>
      </c>
      <c r="C337" s="3">
        <v>11725</v>
      </c>
      <c r="D337" s="3">
        <v>11550</v>
      </c>
      <c r="E337" s="3">
        <v>11545</v>
      </c>
      <c r="F337" s="3">
        <v>11620</v>
      </c>
      <c r="G337" s="3">
        <v>11620</v>
      </c>
      <c r="H337" s="3">
        <v>11440</v>
      </c>
      <c r="I337" s="3">
        <v>11450</v>
      </c>
      <c r="J337" s="3">
        <v>11900</v>
      </c>
      <c r="K337" s="3">
        <v>11900</v>
      </c>
      <c r="L337" s="3">
        <v>12090</v>
      </c>
      <c r="M337" s="3">
        <v>12110</v>
      </c>
      <c r="N337" s="3">
        <v>12670</v>
      </c>
      <c r="O337" s="3">
        <v>12670</v>
      </c>
      <c r="P337" s="3">
        <v>12565</v>
      </c>
      <c r="Q337" s="3">
        <v>12550</v>
      </c>
      <c r="R337" s="3">
        <v>12540</v>
      </c>
      <c r="S337" s="3">
        <v>12545</v>
      </c>
      <c r="T337" s="3">
        <v>12115</v>
      </c>
      <c r="U337" s="3">
        <v>12120</v>
      </c>
      <c r="V337" s="3">
        <v>12695</v>
      </c>
      <c r="W337" s="3">
        <v>12700</v>
      </c>
      <c r="X337" s="3">
        <v>12625</v>
      </c>
      <c r="Y337" s="3">
        <v>12630</v>
      </c>
      <c r="Z337" s="3">
        <v>12690</v>
      </c>
      <c r="AA337" s="3">
        <v>12695</v>
      </c>
      <c r="AB337" s="3">
        <v>13285</v>
      </c>
      <c r="AC337" s="3">
        <v>13285</v>
      </c>
      <c r="AD337" s="3">
        <v>13330</v>
      </c>
      <c r="AE337" s="3">
        <v>13325</v>
      </c>
      <c r="AF337" s="3">
        <v>13840</v>
      </c>
      <c r="AG337" s="3">
        <v>13850</v>
      </c>
      <c r="AH337" s="3">
        <v>13875</v>
      </c>
      <c r="AI337" s="3">
        <v>13865</v>
      </c>
      <c r="AJ337" s="3">
        <v>13705</v>
      </c>
      <c r="AK337" s="3">
        <v>13690</v>
      </c>
      <c r="AL337" s="3">
        <v>13660</v>
      </c>
      <c r="AM337" s="3">
        <v>13655</v>
      </c>
      <c r="AN337" s="3">
        <v>13395</v>
      </c>
      <c r="AO337" s="3">
        <v>13395</v>
      </c>
      <c r="AP337" s="3">
        <v>13460</v>
      </c>
      <c r="AQ337" s="3">
        <v>13465</v>
      </c>
      <c r="AR337" s="4">
        <f t="shared" si="208"/>
        <v>1.6912402428447493E-2</v>
      </c>
      <c r="AS337" s="4">
        <f t="shared" si="180"/>
        <v>4.3290043290045155E-4</v>
      </c>
      <c r="AT337" s="4">
        <f t="shared" si="181"/>
        <v>2.2887323943661997E-2</v>
      </c>
      <c r="AU337" s="4">
        <f t="shared" si="182"/>
        <v>2.8013582342954146E-2</v>
      </c>
      <c r="AV337" s="4">
        <f t="shared" si="183"/>
        <v>1.7964071856287456E-2</v>
      </c>
      <c r="AW337" s="4">
        <f t="shared" si="184"/>
        <v>2.1079258010118007E-2</v>
      </c>
      <c r="AX337" s="4">
        <f t="shared" si="185"/>
        <v>4.5810978126289648E-2</v>
      </c>
      <c r="AY337" s="4">
        <f t="shared" si="186"/>
        <v>1.7996870109546204E-2</v>
      </c>
      <c r="AZ337" s="4">
        <f t="shared" si="187"/>
        <v>0</v>
      </c>
      <c r="BA337" s="4">
        <f t="shared" si="188"/>
        <v>2.0606060606060628E-2</v>
      </c>
      <c r="BB337" s="4">
        <f t="shared" si="189"/>
        <v>2.9590595865423674E-2</v>
      </c>
      <c r="BC337" s="4">
        <f t="shared" si="190"/>
        <v>3.9572615749905449E-4</v>
      </c>
      <c r="BD337" s="4">
        <f t="shared" si="191"/>
        <v>1.1292834890965775E-2</v>
      </c>
      <c r="BE337" s="4">
        <f t="shared" si="192"/>
        <v>2.4681835711531042E-2</v>
      </c>
      <c r="BF337" s="4">
        <f t="shared" si="193"/>
        <v>1.79526355996944E-2</v>
      </c>
      <c r="BG337" s="4">
        <f t="shared" si="194"/>
        <v>3.8620172478440296E-2</v>
      </c>
      <c r="BH337" s="4">
        <f t="shared" si="195"/>
        <v>3.2350826743350325E-3</v>
      </c>
      <c r="BI337" s="4">
        <f t="shared" si="196"/>
        <v>1.3333333333333308E-2</v>
      </c>
      <c r="BJ337" s="4">
        <f t="shared" si="197"/>
        <v>4.737609329446113E-3</v>
      </c>
      <c r="BK337" s="4">
        <f t="shared" si="198"/>
        <v>2.1191085129704024E-2</v>
      </c>
      <c r="BL337" s="4">
        <f t="shared" si="199"/>
        <v>7.4321813452238317E-4</v>
      </c>
      <c r="BM337" s="4">
        <f t="shared" si="209"/>
        <v>1.7817487143733515E-2</v>
      </c>
      <c r="BN337" s="14">
        <f t="shared" si="210"/>
        <v>13694.734289518934</v>
      </c>
      <c r="BO337" s="15">
        <f t="shared" si="211"/>
        <v>13087.58198380975</v>
      </c>
      <c r="BP337" s="16">
        <v>13460</v>
      </c>
      <c r="BQ337" s="16">
        <v>13470</v>
      </c>
      <c r="BR337" s="16">
        <v>13460</v>
      </c>
      <c r="BS337" s="16">
        <v>13465</v>
      </c>
      <c r="BT337" s="16">
        <v>13601</v>
      </c>
      <c r="BU337" s="15">
        <f t="shared" si="200"/>
        <v>13465</v>
      </c>
      <c r="BV337" s="15">
        <f t="shared" si="201"/>
        <v>183137465</v>
      </c>
      <c r="BW337" s="15">
        <f>SUM($BV$3:BV337)</f>
        <v>255564840054.99997</v>
      </c>
      <c r="BX337" s="15">
        <f>SUM($BT$3:BT337)</f>
        <v>18875856</v>
      </c>
      <c r="BY337" s="15">
        <f t="shared" si="202"/>
        <v>13539.245057548647</v>
      </c>
      <c r="BZ337" s="3">
        <v>335</v>
      </c>
      <c r="CA337" s="3">
        <f t="shared" si="203"/>
        <v>0</v>
      </c>
      <c r="CB337" s="3">
        <f t="shared" si="204"/>
        <v>0</v>
      </c>
      <c r="CC337" s="3">
        <f t="shared" si="205"/>
        <v>0</v>
      </c>
      <c r="CD337" s="3" t="str">
        <f t="shared" si="206"/>
        <v/>
      </c>
      <c r="CE337" s="3">
        <f t="shared" si="207"/>
        <v>0</v>
      </c>
    </row>
    <row r="338" spans="1:83" x14ac:dyDescent="0.3">
      <c r="A338" s="3" t="s">
        <v>378</v>
      </c>
      <c r="B338" s="3">
        <v>11725</v>
      </c>
      <c r="C338" s="3">
        <v>11725</v>
      </c>
      <c r="D338" s="3">
        <v>11550</v>
      </c>
      <c r="E338" s="3">
        <v>11540</v>
      </c>
      <c r="F338" s="3">
        <v>11620</v>
      </c>
      <c r="G338" s="3">
        <v>11615</v>
      </c>
      <c r="H338" s="3">
        <v>11450</v>
      </c>
      <c r="I338" s="3">
        <v>11450</v>
      </c>
      <c r="J338" s="3">
        <v>11900</v>
      </c>
      <c r="K338" s="3">
        <v>11890</v>
      </c>
      <c r="L338" s="3">
        <v>12110</v>
      </c>
      <c r="M338" s="3">
        <v>12105</v>
      </c>
      <c r="N338" s="3">
        <v>12670</v>
      </c>
      <c r="O338" s="3">
        <v>12675</v>
      </c>
      <c r="P338" s="3">
        <v>12555</v>
      </c>
      <c r="Q338" s="3">
        <v>12555</v>
      </c>
      <c r="R338" s="3">
        <v>12550</v>
      </c>
      <c r="S338" s="3">
        <v>12550</v>
      </c>
      <c r="T338" s="3">
        <v>12120</v>
      </c>
      <c r="U338" s="3">
        <v>12120</v>
      </c>
      <c r="V338" s="3">
        <v>12700</v>
      </c>
      <c r="W338" s="3">
        <v>12695</v>
      </c>
      <c r="X338" s="3">
        <v>12625</v>
      </c>
      <c r="Y338" s="3">
        <v>12625</v>
      </c>
      <c r="Z338" s="3">
        <v>12695</v>
      </c>
      <c r="AA338" s="3">
        <v>12695</v>
      </c>
      <c r="AB338" s="3">
        <v>13290</v>
      </c>
      <c r="AC338" s="3">
        <v>13275</v>
      </c>
      <c r="AD338" s="3">
        <v>13325</v>
      </c>
      <c r="AE338" s="3">
        <v>13335</v>
      </c>
      <c r="AF338" s="3">
        <v>13850</v>
      </c>
      <c r="AG338" s="3">
        <v>13850</v>
      </c>
      <c r="AH338" s="3">
        <v>13870</v>
      </c>
      <c r="AI338" s="3">
        <v>13860</v>
      </c>
      <c r="AJ338" s="3">
        <v>13690</v>
      </c>
      <c r="AK338" s="3">
        <v>13710</v>
      </c>
      <c r="AL338" s="3">
        <v>13655</v>
      </c>
      <c r="AM338" s="3">
        <v>13645</v>
      </c>
      <c r="AN338" s="3">
        <v>13395</v>
      </c>
      <c r="AO338" s="3">
        <v>13385</v>
      </c>
      <c r="AP338" s="3">
        <v>13460</v>
      </c>
      <c r="AQ338" s="3">
        <v>13455</v>
      </c>
      <c r="AR338" s="4">
        <f t="shared" si="208"/>
        <v>1.6912402428447493E-2</v>
      </c>
      <c r="AS338" s="4">
        <f t="shared" si="180"/>
        <v>8.658008658009031E-4</v>
      </c>
      <c r="AT338" s="4">
        <f t="shared" si="181"/>
        <v>2.2447183098591506E-2</v>
      </c>
      <c r="AU338" s="4">
        <f t="shared" si="182"/>
        <v>2.8013582342954146E-2</v>
      </c>
      <c r="AV338" s="4">
        <f t="shared" si="183"/>
        <v>1.7108639863130826E-2</v>
      </c>
      <c r="AW338" s="4">
        <f t="shared" si="184"/>
        <v>2.0657672849915709E-2</v>
      </c>
      <c r="AX338" s="4">
        <f t="shared" si="185"/>
        <v>4.6223689640940924E-2</v>
      </c>
      <c r="AY338" s="4">
        <f t="shared" si="186"/>
        <v>1.7605633802816878E-2</v>
      </c>
      <c r="AZ338" s="4">
        <f t="shared" si="187"/>
        <v>3.985651654045963E-4</v>
      </c>
      <c r="BA338" s="4">
        <f t="shared" si="188"/>
        <v>2.0606060606060628E-2</v>
      </c>
      <c r="BB338" s="4">
        <f t="shared" si="189"/>
        <v>2.9185245237130175E-2</v>
      </c>
      <c r="BC338" s="4">
        <f t="shared" si="190"/>
        <v>7.9145231499799795E-4</v>
      </c>
      <c r="BD338" s="4">
        <f t="shared" si="191"/>
        <v>1.1292834890965775E-2</v>
      </c>
      <c r="BE338" s="4">
        <f t="shared" si="192"/>
        <v>2.3910528345545634E-2</v>
      </c>
      <c r="BF338" s="4">
        <f t="shared" si="193"/>
        <v>1.8716577540107027E-2</v>
      </c>
      <c r="BG338" s="4">
        <f t="shared" si="194"/>
        <v>3.8620172478440296E-2</v>
      </c>
      <c r="BH338" s="4">
        <f t="shared" si="195"/>
        <v>3.5945363048166534E-3</v>
      </c>
      <c r="BI338" s="4">
        <f t="shared" si="196"/>
        <v>1.1891891891891881E-2</v>
      </c>
      <c r="BJ338" s="4">
        <f t="shared" si="197"/>
        <v>5.4664723032069595E-3</v>
      </c>
      <c r="BK338" s="4">
        <f t="shared" si="198"/>
        <v>2.1921812203142155E-2</v>
      </c>
      <c r="BL338" s="4">
        <f t="shared" si="199"/>
        <v>0</v>
      </c>
      <c r="BM338" s="4">
        <f t="shared" si="209"/>
        <v>1.7873248051819113E-2</v>
      </c>
      <c r="BN338" s="14">
        <f t="shared" si="210"/>
        <v>13695.484552537226</v>
      </c>
      <c r="BO338" s="15">
        <f t="shared" si="211"/>
        <v>13086.83896970951</v>
      </c>
      <c r="BP338" s="16">
        <v>13460</v>
      </c>
      <c r="BQ338" s="16">
        <v>13460</v>
      </c>
      <c r="BR338" s="16">
        <v>13450</v>
      </c>
      <c r="BS338" s="16">
        <v>13455</v>
      </c>
      <c r="BT338" s="16">
        <v>5256</v>
      </c>
      <c r="BU338" s="15">
        <f t="shared" si="200"/>
        <v>13455</v>
      </c>
      <c r="BV338" s="15">
        <f t="shared" si="201"/>
        <v>70719480</v>
      </c>
      <c r="BW338" s="15">
        <f>SUM($BV$3:BV338)</f>
        <v>255635559534.99997</v>
      </c>
      <c r="BX338" s="15">
        <f>SUM($BT$3:BT338)</f>
        <v>18881112</v>
      </c>
      <c r="BY338" s="15">
        <f t="shared" si="202"/>
        <v>13539.221605962613</v>
      </c>
      <c r="BZ338" s="3">
        <v>336</v>
      </c>
      <c r="CA338" s="3">
        <f t="shared" si="203"/>
        <v>0</v>
      </c>
      <c r="CB338" s="3">
        <f t="shared" si="204"/>
        <v>0</v>
      </c>
      <c r="CC338" s="3">
        <f t="shared" si="205"/>
        <v>0</v>
      </c>
      <c r="CD338" s="3" t="str">
        <f t="shared" si="206"/>
        <v/>
      </c>
      <c r="CE338" s="3">
        <f t="shared" si="207"/>
        <v>0</v>
      </c>
    </row>
    <row r="339" spans="1:83" x14ac:dyDescent="0.3">
      <c r="A339" s="3" t="s">
        <v>379</v>
      </c>
      <c r="B339" s="3">
        <v>11725</v>
      </c>
      <c r="C339" s="3">
        <v>11740</v>
      </c>
      <c r="D339" s="3">
        <v>11540</v>
      </c>
      <c r="E339" s="3">
        <v>11545</v>
      </c>
      <c r="F339" s="3">
        <v>11615</v>
      </c>
      <c r="G339" s="3">
        <v>11635</v>
      </c>
      <c r="H339" s="3">
        <v>11450</v>
      </c>
      <c r="I339" s="3">
        <v>11450</v>
      </c>
      <c r="J339" s="3">
        <v>11890</v>
      </c>
      <c r="K339" s="3">
        <v>11910</v>
      </c>
      <c r="L339" s="3">
        <v>12110</v>
      </c>
      <c r="M339" s="3">
        <v>12110</v>
      </c>
      <c r="N339" s="3">
        <v>12675</v>
      </c>
      <c r="O339" s="3">
        <v>12680</v>
      </c>
      <c r="P339" s="3">
        <v>12560</v>
      </c>
      <c r="Q339" s="3">
        <v>12590</v>
      </c>
      <c r="R339" s="3">
        <v>12555</v>
      </c>
      <c r="S339" s="3">
        <v>12550</v>
      </c>
      <c r="T339" s="3">
        <v>12120</v>
      </c>
      <c r="U339" s="3">
        <v>12120</v>
      </c>
      <c r="V339" s="3">
        <v>12695</v>
      </c>
      <c r="W339" s="3">
        <v>12700</v>
      </c>
      <c r="X339" s="3">
        <v>12625</v>
      </c>
      <c r="Y339" s="3">
        <v>12635</v>
      </c>
      <c r="Z339" s="3">
        <v>12695</v>
      </c>
      <c r="AA339" s="3">
        <v>12690</v>
      </c>
      <c r="AB339" s="3">
        <v>13275</v>
      </c>
      <c r="AC339" s="3">
        <v>13280</v>
      </c>
      <c r="AD339" s="3">
        <v>13335</v>
      </c>
      <c r="AE339" s="3">
        <v>13330</v>
      </c>
      <c r="AF339" s="3">
        <v>13850</v>
      </c>
      <c r="AG339" s="3">
        <v>13845</v>
      </c>
      <c r="AH339" s="3">
        <v>13860</v>
      </c>
      <c r="AI339" s="3">
        <v>13865</v>
      </c>
      <c r="AJ339" s="3">
        <v>13710</v>
      </c>
      <c r="AK339" s="3">
        <v>13710</v>
      </c>
      <c r="AL339" s="3">
        <v>13640</v>
      </c>
      <c r="AM339" s="3">
        <v>13630</v>
      </c>
      <c r="AN339" s="3">
        <v>13380</v>
      </c>
      <c r="AO339" s="3">
        <v>13375</v>
      </c>
      <c r="AP339" s="3">
        <v>13455</v>
      </c>
      <c r="AQ339" s="3">
        <v>13455</v>
      </c>
      <c r="AR339" s="4">
        <f t="shared" si="208"/>
        <v>1.8213356461405095E-2</v>
      </c>
      <c r="AS339" s="4">
        <f t="shared" si="180"/>
        <v>4.3290043290045155E-4</v>
      </c>
      <c r="AT339" s="4">
        <f t="shared" si="181"/>
        <v>2.4207746478873249E-2</v>
      </c>
      <c r="AU339" s="4">
        <f t="shared" si="182"/>
        <v>2.8013582342954146E-2</v>
      </c>
      <c r="AV339" s="4">
        <f t="shared" si="183"/>
        <v>1.8819503849443864E-2</v>
      </c>
      <c r="AW339" s="4">
        <f t="shared" si="184"/>
        <v>2.1079258010118007E-2</v>
      </c>
      <c r="AX339" s="4">
        <f t="shared" si="185"/>
        <v>4.66364011555922E-2</v>
      </c>
      <c r="AY339" s="4">
        <f t="shared" si="186"/>
        <v>1.4866979655712043E-2</v>
      </c>
      <c r="AZ339" s="4">
        <f t="shared" si="187"/>
        <v>3.985651654045963E-4</v>
      </c>
      <c r="BA339" s="4">
        <f t="shared" si="188"/>
        <v>2.0606060606060628E-2</v>
      </c>
      <c r="BB339" s="4">
        <f t="shared" si="189"/>
        <v>2.9590595865423674E-2</v>
      </c>
      <c r="BC339" s="4">
        <f t="shared" si="190"/>
        <v>0</v>
      </c>
      <c r="BD339" s="4">
        <f t="shared" si="191"/>
        <v>1.1682242990654235E-2</v>
      </c>
      <c r="BE339" s="4">
        <f t="shared" si="192"/>
        <v>2.4296182028538338E-2</v>
      </c>
      <c r="BF339" s="4">
        <f t="shared" si="193"/>
        <v>1.8334606569900602E-2</v>
      </c>
      <c r="BG339" s="4">
        <f t="shared" si="194"/>
        <v>3.8245219347581516E-2</v>
      </c>
      <c r="BH339" s="4">
        <f t="shared" si="195"/>
        <v>3.2350826743350325E-3</v>
      </c>
      <c r="BI339" s="4">
        <f t="shared" si="196"/>
        <v>1.1891891891891881E-2</v>
      </c>
      <c r="BJ339" s="4">
        <f t="shared" si="197"/>
        <v>6.5597667638483959E-3</v>
      </c>
      <c r="BK339" s="4">
        <f t="shared" si="198"/>
        <v>2.2652539276580175E-2</v>
      </c>
      <c r="BL339" s="4">
        <f t="shared" si="199"/>
        <v>0</v>
      </c>
      <c r="BM339" s="4">
        <f t="shared" si="209"/>
        <v>1.7785438142251666E-2</v>
      </c>
      <c r="BN339" s="14">
        <f t="shared" si="210"/>
        <v>13694.303070203998</v>
      </c>
      <c r="BO339" s="15">
        <f t="shared" si="211"/>
        <v>13088.009036754496</v>
      </c>
      <c r="BP339" s="16">
        <v>13455</v>
      </c>
      <c r="BQ339" s="16">
        <v>13460</v>
      </c>
      <c r="BR339" s="16">
        <v>13455</v>
      </c>
      <c r="BS339" s="16">
        <v>13455</v>
      </c>
      <c r="BT339" s="16">
        <v>3327</v>
      </c>
      <c r="BU339" s="15">
        <f t="shared" si="200"/>
        <v>13456.666666666666</v>
      </c>
      <c r="BV339" s="15">
        <f t="shared" si="201"/>
        <v>44770330</v>
      </c>
      <c r="BW339" s="15">
        <f>SUM($BV$3:BV339)</f>
        <v>255680329864.99997</v>
      </c>
      <c r="BX339" s="15">
        <f>SUM($BT$3:BT339)</f>
        <v>18884439</v>
      </c>
      <c r="BY339" s="15">
        <f t="shared" si="202"/>
        <v>13539.207061697727</v>
      </c>
      <c r="BZ339" s="3">
        <v>337</v>
      </c>
      <c r="CA339" s="3">
        <f t="shared" si="203"/>
        <v>0</v>
      </c>
      <c r="CB339" s="3">
        <f t="shared" si="204"/>
        <v>0</v>
      </c>
      <c r="CC339" s="3">
        <f t="shared" si="205"/>
        <v>0</v>
      </c>
      <c r="CD339" s="3" t="str">
        <f t="shared" si="206"/>
        <v/>
      </c>
      <c r="CE339" s="3">
        <f t="shared" si="207"/>
        <v>0</v>
      </c>
    </row>
    <row r="340" spans="1:83" x14ac:dyDescent="0.3">
      <c r="A340" s="3" t="s">
        <v>380</v>
      </c>
      <c r="B340" s="3">
        <v>11735</v>
      </c>
      <c r="C340" s="3">
        <v>11735</v>
      </c>
      <c r="D340" s="3">
        <v>11545</v>
      </c>
      <c r="E340" s="3">
        <v>11535</v>
      </c>
      <c r="F340" s="3">
        <v>11635</v>
      </c>
      <c r="G340" s="3">
        <v>11635</v>
      </c>
      <c r="H340" s="3">
        <v>11450</v>
      </c>
      <c r="I340" s="3">
        <v>11470</v>
      </c>
      <c r="J340" s="3">
        <v>11905</v>
      </c>
      <c r="K340" s="3">
        <v>11920</v>
      </c>
      <c r="L340" s="3">
        <v>12110</v>
      </c>
      <c r="M340" s="3">
        <v>12100</v>
      </c>
      <c r="N340" s="3">
        <v>12675</v>
      </c>
      <c r="O340" s="3">
        <v>12680</v>
      </c>
      <c r="P340" s="3">
        <v>12585</v>
      </c>
      <c r="Q340" s="3">
        <v>12585</v>
      </c>
      <c r="R340" s="3">
        <v>12550</v>
      </c>
      <c r="S340" s="3">
        <v>12555</v>
      </c>
      <c r="T340" s="3">
        <v>12120</v>
      </c>
      <c r="U340" s="3">
        <v>12125</v>
      </c>
      <c r="V340" s="3">
        <v>12695</v>
      </c>
      <c r="W340" s="3">
        <v>12710</v>
      </c>
      <c r="X340" s="3">
        <v>12640</v>
      </c>
      <c r="Y340" s="3">
        <v>12640</v>
      </c>
      <c r="Z340" s="3">
        <v>12690</v>
      </c>
      <c r="AA340" s="3">
        <v>12695</v>
      </c>
      <c r="AB340" s="3">
        <v>13280</v>
      </c>
      <c r="AC340" s="3">
        <v>13265</v>
      </c>
      <c r="AD340" s="3">
        <v>13335</v>
      </c>
      <c r="AE340" s="3">
        <v>13325</v>
      </c>
      <c r="AF340" s="3">
        <v>13845</v>
      </c>
      <c r="AG340" s="3">
        <v>13840</v>
      </c>
      <c r="AH340" s="3">
        <v>13870</v>
      </c>
      <c r="AI340" s="3">
        <v>13870</v>
      </c>
      <c r="AJ340" s="3">
        <v>13705</v>
      </c>
      <c r="AK340" s="3">
        <v>13700</v>
      </c>
      <c r="AL340" s="3">
        <v>13630</v>
      </c>
      <c r="AM340" s="3">
        <v>13630</v>
      </c>
      <c r="AN340" s="3">
        <v>13370</v>
      </c>
      <c r="AO340" s="3">
        <v>13365</v>
      </c>
      <c r="AP340" s="3">
        <v>13455</v>
      </c>
      <c r="AQ340" s="3">
        <v>13455</v>
      </c>
      <c r="AR340" s="4">
        <f t="shared" si="208"/>
        <v>1.777970511708582E-2</v>
      </c>
      <c r="AS340" s="4">
        <f t="shared" si="180"/>
        <v>1.2987012987012436E-3</v>
      </c>
      <c r="AT340" s="4">
        <f t="shared" si="181"/>
        <v>2.4207746478873249E-2</v>
      </c>
      <c r="AU340" s="4">
        <f t="shared" si="182"/>
        <v>2.6315789473684181E-2</v>
      </c>
      <c r="AV340" s="4">
        <f t="shared" si="183"/>
        <v>1.9674935842600494E-2</v>
      </c>
      <c r="AW340" s="4">
        <f t="shared" si="184"/>
        <v>2.0236087689713411E-2</v>
      </c>
      <c r="AX340" s="4">
        <f t="shared" si="185"/>
        <v>4.66364011555922E-2</v>
      </c>
      <c r="AY340" s="4">
        <f t="shared" si="186"/>
        <v>1.5258215962441368E-2</v>
      </c>
      <c r="AZ340" s="4">
        <f t="shared" si="187"/>
        <v>7.971303308091926E-4</v>
      </c>
      <c r="BA340" s="4">
        <f t="shared" si="188"/>
        <v>2.0202020202020221E-2</v>
      </c>
      <c r="BB340" s="4">
        <f t="shared" si="189"/>
        <v>3.0401297122010451E-2</v>
      </c>
      <c r="BC340" s="4">
        <f t="shared" si="190"/>
        <v>3.9572615749894346E-4</v>
      </c>
      <c r="BD340" s="4">
        <f t="shared" si="191"/>
        <v>1.1292834890965775E-2</v>
      </c>
      <c r="BE340" s="4">
        <f t="shared" si="192"/>
        <v>2.3139220979560449E-2</v>
      </c>
      <c r="BF340" s="4">
        <f t="shared" si="193"/>
        <v>1.79526355996944E-2</v>
      </c>
      <c r="BG340" s="4">
        <f t="shared" si="194"/>
        <v>3.7870266216722959E-2</v>
      </c>
      <c r="BH340" s="4">
        <f t="shared" si="195"/>
        <v>2.8756290438533005E-3</v>
      </c>
      <c r="BI340" s="4">
        <f t="shared" si="196"/>
        <v>1.2612612612612595E-2</v>
      </c>
      <c r="BJ340" s="4">
        <f t="shared" si="197"/>
        <v>6.5597667638483959E-3</v>
      </c>
      <c r="BK340" s="4">
        <f t="shared" si="198"/>
        <v>2.3383266350018306E-2</v>
      </c>
      <c r="BL340" s="4">
        <f t="shared" si="199"/>
        <v>0</v>
      </c>
      <c r="BM340" s="4">
        <f t="shared" si="209"/>
        <v>1.7812644527689183E-2</v>
      </c>
      <c r="BN340" s="14">
        <f t="shared" si="210"/>
        <v>13694.669132120058</v>
      </c>
      <c r="BO340" s="15">
        <f t="shared" si="211"/>
        <v>13087.646511668541</v>
      </c>
      <c r="BP340" s="16">
        <v>13455</v>
      </c>
      <c r="BQ340" s="16">
        <v>13460</v>
      </c>
      <c r="BR340" s="16">
        <v>13455</v>
      </c>
      <c r="BS340" s="16">
        <v>13455</v>
      </c>
      <c r="BT340" s="16">
        <v>5112</v>
      </c>
      <c r="BU340" s="15">
        <f t="shared" si="200"/>
        <v>13456.666666666666</v>
      </c>
      <c r="BV340" s="15">
        <f t="shared" si="201"/>
        <v>68790480</v>
      </c>
      <c r="BW340" s="15">
        <f>SUM($BV$3:BV340)</f>
        <v>255749120344.99997</v>
      </c>
      <c r="BX340" s="15">
        <f>SUM($BT$3:BT340)</f>
        <v>18889551</v>
      </c>
      <c r="BY340" s="15">
        <f t="shared" si="202"/>
        <v>13539.184724136639</v>
      </c>
      <c r="BZ340" s="3">
        <v>338</v>
      </c>
      <c r="CA340" s="3">
        <f t="shared" si="203"/>
        <v>0</v>
      </c>
      <c r="CB340" s="3">
        <f t="shared" si="204"/>
        <v>0</v>
      </c>
      <c r="CC340" s="3">
        <f t="shared" si="205"/>
        <v>0</v>
      </c>
      <c r="CD340" s="3" t="str">
        <f t="shared" si="206"/>
        <v/>
      </c>
      <c r="CE340" s="3">
        <f t="shared" si="207"/>
        <v>0</v>
      </c>
    </row>
    <row r="341" spans="1:83" x14ac:dyDescent="0.3">
      <c r="A341" s="3" t="s">
        <v>381</v>
      </c>
      <c r="B341" s="3">
        <v>11730</v>
      </c>
      <c r="C341" s="3">
        <v>11725</v>
      </c>
      <c r="D341" s="3">
        <v>11535</v>
      </c>
      <c r="E341" s="3">
        <v>11540</v>
      </c>
      <c r="F341" s="3">
        <v>11635</v>
      </c>
      <c r="G341" s="3">
        <v>11655</v>
      </c>
      <c r="H341" s="3">
        <v>11470</v>
      </c>
      <c r="I341" s="3">
        <v>11455</v>
      </c>
      <c r="J341" s="3">
        <v>11920</v>
      </c>
      <c r="K341" s="3">
        <v>11915</v>
      </c>
      <c r="L341" s="3">
        <v>12100</v>
      </c>
      <c r="M341" s="3">
        <v>12095</v>
      </c>
      <c r="N341" s="3">
        <v>12680</v>
      </c>
      <c r="O341" s="3">
        <v>12675</v>
      </c>
      <c r="P341" s="3">
        <v>12585</v>
      </c>
      <c r="Q341" s="3">
        <v>12585</v>
      </c>
      <c r="R341" s="3">
        <v>12550</v>
      </c>
      <c r="S341" s="3">
        <v>12555</v>
      </c>
      <c r="T341" s="3">
        <v>12130</v>
      </c>
      <c r="U341" s="3">
        <v>12135</v>
      </c>
      <c r="V341" s="3">
        <v>12705</v>
      </c>
      <c r="W341" s="3">
        <v>12705</v>
      </c>
      <c r="X341" s="3">
        <v>12640</v>
      </c>
      <c r="Y341" s="3">
        <v>12660</v>
      </c>
      <c r="Z341" s="3">
        <v>12690</v>
      </c>
      <c r="AA341" s="3">
        <v>12690</v>
      </c>
      <c r="AB341" s="3">
        <v>13270</v>
      </c>
      <c r="AC341" s="3">
        <v>13270</v>
      </c>
      <c r="AD341" s="3">
        <v>13325</v>
      </c>
      <c r="AE341" s="3">
        <v>13335</v>
      </c>
      <c r="AF341" s="3">
        <v>13840</v>
      </c>
      <c r="AG341" s="3">
        <v>13840</v>
      </c>
      <c r="AH341" s="3">
        <v>13870</v>
      </c>
      <c r="AI341" s="3">
        <v>13875</v>
      </c>
      <c r="AJ341" s="3">
        <v>13700</v>
      </c>
      <c r="AK341" s="3">
        <v>13700</v>
      </c>
      <c r="AL341" s="3">
        <v>13630</v>
      </c>
      <c r="AM341" s="3">
        <v>13645</v>
      </c>
      <c r="AN341" s="3">
        <v>13370</v>
      </c>
      <c r="AO341" s="3">
        <v>13365</v>
      </c>
      <c r="AP341" s="3">
        <v>13455</v>
      </c>
      <c r="AQ341" s="3">
        <v>13455</v>
      </c>
      <c r="AR341" s="4">
        <f t="shared" si="208"/>
        <v>1.6912402428447493E-2</v>
      </c>
      <c r="AS341" s="4">
        <f t="shared" si="180"/>
        <v>8.658008658009031E-4</v>
      </c>
      <c r="AT341" s="4">
        <f t="shared" si="181"/>
        <v>2.5968309859154992E-2</v>
      </c>
      <c r="AU341" s="4">
        <f t="shared" si="182"/>
        <v>2.7589134125636683E-2</v>
      </c>
      <c r="AV341" s="4">
        <f t="shared" si="183"/>
        <v>1.924721984602229E-2</v>
      </c>
      <c r="AW341" s="4">
        <f t="shared" si="184"/>
        <v>1.9814502529510891E-2</v>
      </c>
      <c r="AX341" s="4">
        <f t="shared" si="185"/>
        <v>4.6223689640940924E-2</v>
      </c>
      <c r="AY341" s="4">
        <f t="shared" si="186"/>
        <v>1.5258215962441368E-2</v>
      </c>
      <c r="AZ341" s="4">
        <f t="shared" si="187"/>
        <v>7.971303308091926E-4</v>
      </c>
      <c r="BA341" s="4">
        <f t="shared" si="188"/>
        <v>1.9393939393939408E-2</v>
      </c>
      <c r="BB341" s="4">
        <f t="shared" si="189"/>
        <v>2.9995946493717174E-2</v>
      </c>
      <c r="BC341" s="4">
        <f t="shared" si="190"/>
        <v>1.9786307874951614E-3</v>
      </c>
      <c r="BD341" s="4">
        <f t="shared" si="191"/>
        <v>1.1682242990654235E-2</v>
      </c>
      <c r="BE341" s="4">
        <f t="shared" si="192"/>
        <v>2.352487466255293E-2</v>
      </c>
      <c r="BF341" s="4">
        <f t="shared" si="193"/>
        <v>1.8716577540107027E-2</v>
      </c>
      <c r="BG341" s="4">
        <f t="shared" si="194"/>
        <v>3.7870266216722959E-2</v>
      </c>
      <c r="BH341" s="4">
        <f t="shared" si="195"/>
        <v>2.5161754133716796E-3</v>
      </c>
      <c r="BI341" s="4">
        <f t="shared" si="196"/>
        <v>1.2612612612612595E-2</v>
      </c>
      <c r="BJ341" s="4">
        <f t="shared" si="197"/>
        <v>5.4664723032069595E-3</v>
      </c>
      <c r="BK341" s="4">
        <f t="shared" si="198"/>
        <v>2.3383266350018306E-2</v>
      </c>
      <c r="BL341" s="4">
        <f t="shared" si="199"/>
        <v>0</v>
      </c>
      <c r="BM341" s="4">
        <f t="shared" si="209"/>
        <v>1.7815717192756424E-2</v>
      </c>
      <c r="BN341" s="14">
        <f t="shared" si="210"/>
        <v>13694.710474828538</v>
      </c>
      <c r="BO341" s="15">
        <f t="shared" si="211"/>
        <v>13087.605568406521</v>
      </c>
      <c r="BP341" s="16">
        <v>13455</v>
      </c>
      <c r="BQ341" s="16">
        <v>13465</v>
      </c>
      <c r="BR341" s="16">
        <v>13455</v>
      </c>
      <c r="BS341" s="16">
        <v>13455</v>
      </c>
      <c r="BT341" s="16">
        <v>4488</v>
      </c>
      <c r="BU341" s="15">
        <f t="shared" si="200"/>
        <v>13458.333333333334</v>
      </c>
      <c r="BV341" s="15">
        <f t="shared" si="201"/>
        <v>60401000</v>
      </c>
      <c r="BW341" s="15">
        <f>SUM($BV$3:BV341)</f>
        <v>255809521344.99997</v>
      </c>
      <c r="BX341" s="15">
        <f>SUM($BT$3:BT341)</f>
        <v>18894039</v>
      </c>
      <c r="BY341" s="15">
        <f t="shared" si="202"/>
        <v>13539.165519082499</v>
      </c>
      <c r="BZ341" s="3">
        <v>339</v>
      </c>
      <c r="CA341" s="3">
        <f t="shared" si="203"/>
        <v>0</v>
      </c>
      <c r="CB341" s="3">
        <f t="shared" si="204"/>
        <v>0</v>
      </c>
      <c r="CC341" s="3">
        <f t="shared" si="205"/>
        <v>0</v>
      </c>
      <c r="CD341" s="3" t="str">
        <f t="shared" si="206"/>
        <v/>
      </c>
      <c r="CE341" s="3">
        <f t="shared" si="207"/>
        <v>0</v>
      </c>
    </row>
    <row r="342" spans="1:83" x14ac:dyDescent="0.3">
      <c r="A342" s="3" t="s">
        <v>382</v>
      </c>
      <c r="B342" s="3">
        <v>11730</v>
      </c>
      <c r="C342" s="3">
        <v>11730</v>
      </c>
      <c r="D342" s="3">
        <v>11540</v>
      </c>
      <c r="E342" s="3">
        <v>11530</v>
      </c>
      <c r="F342" s="3">
        <v>11655</v>
      </c>
      <c r="G342" s="3">
        <v>11660</v>
      </c>
      <c r="H342" s="3">
        <v>11455</v>
      </c>
      <c r="I342" s="3">
        <v>11470</v>
      </c>
      <c r="J342" s="3">
        <v>11915</v>
      </c>
      <c r="K342" s="3">
        <v>11920</v>
      </c>
      <c r="L342" s="3">
        <v>12095</v>
      </c>
      <c r="M342" s="3">
        <v>12085</v>
      </c>
      <c r="N342" s="3">
        <v>12670</v>
      </c>
      <c r="O342" s="3">
        <v>12675</v>
      </c>
      <c r="P342" s="3">
        <v>12590</v>
      </c>
      <c r="Q342" s="3">
        <v>12590</v>
      </c>
      <c r="R342" s="3">
        <v>12550</v>
      </c>
      <c r="S342" s="3">
        <v>12550</v>
      </c>
      <c r="T342" s="3">
        <v>12135</v>
      </c>
      <c r="U342" s="3">
        <v>12145</v>
      </c>
      <c r="V342" s="3">
        <v>12700</v>
      </c>
      <c r="W342" s="3">
        <v>12700</v>
      </c>
      <c r="X342" s="3">
        <v>12660</v>
      </c>
      <c r="Y342" s="3">
        <v>12655</v>
      </c>
      <c r="Z342" s="3">
        <v>12690</v>
      </c>
      <c r="AA342" s="3">
        <v>12695</v>
      </c>
      <c r="AB342" s="3">
        <v>13270</v>
      </c>
      <c r="AC342" s="3">
        <v>13270</v>
      </c>
      <c r="AD342" s="3">
        <v>13340</v>
      </c>
      <c r="AE342" s="3">
        <v>13340</v>
      </c>
      <c r="AF342" s="3">
        <v>13840</v>
      </c>
      <c r="AG342" s="3">
        <v>13845</v>
      </c>
      <c r="AH342" s="3">
        <v>13875</v>
      </c>
      <c r="AI342" s="3">
        <v>13900</v>
      </c>
      <c r="AJ342" s="3">
        <v>13700</v>
      </c>
      <c r="AK342" s="3">
        <v>13715</v>
      </c>
      <c r="AL342" s="3">
        <v>13645</v>
      </c>
      <c r="AM342" s="3">
        <v>13635</v>
      </c>
      <c r="AN342" s="3">
        <v>13365</v>
      </c>
      <c r="AO342" s="3">
        <v>13360</v>
      </c>
      <c r="AP342" s="3">
        <v>13460</v>
      </c>
      <c r="AQ342" s="3">
        <v>13445</v>
      </c>
      <c r="AR342" s="4">
        <f t="shared" si="208"/>
        <v>1.7346053772766767E-2</v>
      </c>
      <c r="AS342" s="4">
        <f t="shared" si="180"/>
        <v>1.7316017316016952E-3</v>
      </c>
      <c r="AT342" s="4">
        <f t="shared" si="181"/>
        <v>2.6408450704225261E-2</v>
      </c>
      <c r="AU342" s="4">
        <f t="shared" si="182"/>
        <v>2.6315789473684181E-2</v>
      </c>
      <c r="AV342" s="4">
        <f t="shared" si="183"/>
        <v>1.9674935842600494E-2</v>
      </c>
      <c r="AW342" s="4">
        <f t="shared" si="184"/>
        <v>1.8971332209106295E-2</v>
      </c>
      <c r="AX342" s="4">
        <f t="shared" si="185"/>
        <v>4.6223689640940924E-2</v>
      </c>
      <c r="AY342" s="4">
        <f t="shared" si="186"/>
        <v>1.4866979655712043E-2</v>
      </c>
      <c r="AZ342" s="4">
        <f t="shared" si="187"/>
        <v>3.985651654045963E-4</v>
      </c>
      <c r="BA342" s="4">
        <f t="shared" si="188"/>
        <v>1.8585858585858595E-2</v>
      </c>
      <c r="BB342" s="4">
        <f t="shared" si="189"/>
        <v>2.9590595865423674E-2</v>
      </c>
      <c r="BC342" s="4">
        <f t="shared" si="190"/>
        <v>1.5829046299959959E-3</v>
      </c>
      <c r="BD342" s="4">
        <f t="shared" si="191"/>
        <v>1.1292834890965775E-2</v>
      </c>
      <c r="BE342" s="4">
        <f t="shared" si="192"/>
        <v>2.352487466255293E-2</v>
      </c>
      <c r="BF342" s="4">
        <f t="shared" si="193"/>
        <v>1.9098548510313229E-2</v>
      </c>
      <c r="BG342" s="4">
        <f t="shared" si="194"/>
        <v>3.8245219347581516E-2</v>
      </c>
      <c r="BH342" s="4">
        <f t="shared" si="195"/>
        <v>7.1890726096335289E-4</v>
      </c>
      <c r="BI342" s="4">
        <f t="shared" si="196"/>
        <v>1.1531531531531525E-2</v>
      </c>
      <c r="BJ342" s="4">
        <f t="shared" si="197"/>
        <v>6.1953352769679171E-3</v>
      </c>
      <c r="BK342" s="4">
        <f t="shared" si="198"/>
        <v>2.3748629886737316E-2</v>
      </c>
      <c r="BL342" s="4">
        <f t="shared" si="199"/>
        <v>7.4321813452249419E-4</v>
      </c>
      <c r="BM342" s="4">
        <f t="shared" si="209"/>
        <v>1.7543176779353527E-2</v>
      </c>
      <c r="BN342" s="14">
        <f t="shared" si="210"/>
        <v>13691.043443566201</v>
      </c>
      <c r="BO342" s="15">
        <f t="shared" si="211"/>
        <v>13091.237169415113</v>
      </c>
      <c r="BP342" s="16">
        <v>13460</v>
      </c>
      <c r="BQ342" s="16">
        <v>13460</v>
      </c>
      <c r="BR342" s="16">
        <v>13440</v>
      </c>
      <c r="BS342" s="16">
        <v>13445</v>
      </c>
      <c r="BT342" s="16">
        <v>20406</v>
      </c>
      <c r="BU342" s="15">
        <f t="shared" si="200"/>
        <v>13448.333333333334</v>
      </c>
      <c r="BV342" s="15">
        <f t="shared" si="201"/>
        <v>274426690</v>
      </c>
      <c r="BW342" s="15">
        <f>SUM($BV$3:BV342)</f>
        <v>256083948034.99997</v>
      </c>
      <c r="BX342" s="15">
        <f>SUM($BT$3:BT342)</f>
        <v>18914445</v>
      </c>
      <c r="BY342" s="15">
        <f t="shared" si="202"/>
        <v>13539.067524053704</v>
      </c>
      <c r="BZ342" s="3">
        <v>340</v>
      </c>
      <c r="CA342" s="3">
        <f t="shared" si="203"/>
        <v>0</v>
      </c>
      <c r="CB342" s="3">
        <f t="shared" si="204"/>
        <v>0</v>
      </c>
      <c r="CC342" s="3">
        <f t="shared" si="205"/>
        <v>0</v>
      </c>
      <c r="CD342" s="3" t="str">
        <f t="shared" si="206"/>
        <v/>
      </c>
      <c r="CE342" s="3">
        <f t="shared" si="207"/>
        <v>0</v>
      </c>
    </row>
    <row r="343" spans="1:83" x14ac:dyDescent="0.3">
      <c r="A343" s="3" t="s">
        <v>383</v>
      </c>
      <c r="B343" s="3">
        <v>11725</v>
      </c>
      <c r="C343" s="3">
        <v>11730</v>
      </c>
      <c r="D343" s="3">
        <v>11530</v>
      </c>
      <c r="E343" s="3">
        <v>11520</v>
      </c>
      <c r="F343" s="3">
        <v>11660</v>
      </c>
      <c r="G343" s="3">
        <v>11650</v>
      </c>
      <c r="H343" s="3">
        <v>11475</v>
      </c>
      <c r="I343" s="3">
        <v>11465</v>
      </c>
      <c r="J343" s="3">
        <v>11920</v>
      </c>
      <c r="K343" s="3">
        <v>11915</v>
      </c>
      <c r="L343" s="3">
        <v>12085</v>
      </c>
      <c r="M343" s="3">
        <v>12085</v>
      </c>
      <c r="N343" s="3">
        <v>12675</v>
      </c>
      <c r="O343" s="3">
        <v>12660</v>
      </c>
      <c r="P343" s="3">
        <v>12590</v>
      </c>
      <c r="Q343" s="3">
        <v>12585</v>
      </c>
      <c r="R343" s="3">
        <v>12550</v>
      </c>
      <c r="S343" s="3">
        <v>12545</v>
      </c>
      <c r="T343" s="3">
        <v>12145</v>
      </c>
      <c r="U343" s="3">
        <v>12140</v>
      </c>
      <c r="V343" s="3">
        <v>12700</v>
      </c>
      <c r="W343" s="3">
        <v>12695</v>
      </c>
      <c r="X343" s="3">
        <v>12655</v>
      </c>
      <c r="Y343" s="3">
        <v>12675</v>
      </c>
      <c r="Z343" s="3">
        <v>12690</v>
      </c>
      <c r="AA343" s="3">
        <v>12695</v>
      </c>
      <c r="AB343" s="3">
        <v>13270</v>
      </c>
      <c r="AC343" s="3">
        <v>13260</v>
      </c>
      <c r="AD343" s="3">
        <v>13340</v>
      </c>
      <c r="AE343" s="3">
        <v>13340</v>
      </c>
      <c r="AF343" s="3">
        <v>13845</v>
      </c>
      <c r="AG343" s="3">
        <v>13850</v>
      </c>
      <c r="AH343" s="3">
        <v>13900</v>
      </c>
      <c r="AI343" s="3">
        <v>13925</v>
      </c>
      <c r="AJ343" s="3">
        <v>13710</v>
      </c>
      <c r="AK343" s="3">
        <v>13720</v>
      </c>
      <c r="AL343" s="3">
        <v>13630</v>
      </c>
      <c r="AM343" s="3">
        <v>13625</v>
      </c>
      <c r="AN343" s="3">
        <v>13360</v>
      </c>
      <c r="AO343" s="3">
        <v>13335</v>
      </c>
      <c r="AP343" s="3">
        <v>13445</v>
      </c>
      <c r="AQ343" s="3">
        <v>13420</v>
      </c>
      <c r="AR343" s="4">
        <f t="shared" si="208"/>
        <v>1.7346053772766767E-2</v>
      </c>
      <c r="AS343" s="4">
        <f t="shared" si="180"/>
        <v>2.5974025974025983E-3</v>
      </c>
      <c r="AT343" s="4">
        <f t="shared" si="181"/>
        <v>2.5528169014084501E-2</v>
      </c>
      <c r="AU343" s="4">
        <f t="shared" si="182"/>
        <v>2.6740237691001645E-2</v>
      </c>
      <c r="AV343" s="4">
        <f t="shared" si="183"/>
        <v>1.924721984602229E-2</v>
      </c>
      <c r="AW343" s="4">
        <f t="shared" si="184"/>
        <v>1.8971332209106295E-2</v>
      </c>
      <c r="AX343" s="4">
        <f t="shared" si="185"/>
        <v>4.4985555096987095E-2</v>
      </c>
      <c r="AY343" s="4">
        <f t="shared" si="186"/>
        <v>1.5258215962441368E-2</v>
      </c>
      <c r="AZ343" s="4">
        <f t="shared" si="187"/>
        <v>0</v>
      </c>
      <c r="BA343" s="4">
        <f t="shared" si="188"/>
        <v>1.8989898989899001E-2</v>
      </c>
      <c r="BB343" s="4">
        <f t="shared" si="189"/>
        <v>2.9185245237130175E-2</v>
      </c>
      <c r="BC343" s="4">
        <f t="shared" si="190"/>
        <v>3.1658092599919918E-3</v>
      </c>
      <c r="BD343" s="4">
        <f t="shared" si="191"/>
        <v>1.1292834890965775E-2</v>
      </c>
      <c r="BE343" s="4">
        <f t="shared" si="192"/>
        <v>2.2753567296567745E-2</v>
      </c>
      <c r="BF343" s="4">
        <f t="shared" si="193"/>
        <v>1.9098548510313229E-2</v>
      </c>
      <c r="BG343" s="4">
        <f t="shared" si="194"/>
        <v>3.8620172478440296E-2</v>
      </c>
      <c r="BH343" s="4">
        <f t="shared" si="195"/>
        <v>1.0783608914450848E-3</v>
      </c>
      <c r="BI343" s="4">
        <f t="shared" si="196"/>
        <v>1.1171171171171168E-2</v>
      </c>
      <c r="BJ343" s="4">
        <f t="shared" si="197"/>
        <v>6.9241982507288746E-3</v>
      </c>
      <c r="BK343" s="4">
        <f t="shared" si="198"/>
        <v>2.5575447570332477E-2</v>
      </c>
      <c r="BL343" s="4">
        <f t="shared" si="199"/>
        <v>2.6012634708286742E-3</v>
      </c>
      <c r="BM343" s="4">
        <f t="shared" si="209"/>
        <v>1.7721358971886734E-2</v>
      </c>
      <c r="BN343" s="14">
        <f t="shared" si="210"/>
        <v>13693.440884966736</v>
      </c>
      <c r="BO343" s="15">
        <f t="shared" si="211"/>
        <v>13088.862891699609</v>
      </c>
      <c r="BP343" s="16">
        <v>13445</v>
      </c>
      <c r="BQ343" s="16">
        <v>13445</v>
      </c>
      <c r="BR343" s="16">
        <v>13420</v>
      </c>
      <c r="BS343" s="16">
        <v>13420</v>
      </c>
      <c r="BT343" s="16">
        <v>48022</v>
      </c>
      <c r="BU343" s="15">
        <f t="shared" si="200"/>
        <v>13428.333333333334</v>
      </c>
      <c r="BV343" s="15">
        <f t="shared" si="201"/>
        <v>644855423.33333337</v>
      </c>
      <c r="BW343" s="15">
        <f>SUM($BV$3:BV343)</f>
        <v>256728803458.33331</v>
      </c>
      <c r="BX343" s="15">
        <f>SUM($BT$3:BT343)</f>
        <v>18962467</v>
      </c>
      <c r="BY343" s="15">
        <f t="shared" si="202"/>
        <v>13538.787092329985</v>
      </c>
      <c r="BZ343" s="3">
        <v>341</v>
      </c>
      <c r="CA343" s="3">
        <f t="shared" si="203"/>
        <v>0</v>
      </c>
      <c r="CB343" s="3">
        <f t="shared" si="204"/>
        <v>0</v>
      </c>
      <c r="CC343" s="3">
        <f t="shared" si="205"/>
        <v>0</v>
      </c>
      <c r="CD343" s="3" t="str">
        <f t="shared" si="206"/>
        <v/>
      </c>
      <c r="CE343" s="3">
        <f t="shared" si="207"/>
        <v>0</v>
      </c>
    </row>
    <row r="344" spans="1:83" x14ac:dyDescent="0.3">
      <c r="A344" s="3" t="s">
        <v>384</v>
      </c>
      <c r="B344" s="3">
        <v>11725</v>
      </c>
      <c r="C344" s="3">
        <v>11720</v>
      </c>
      <c r="D344" s="3">
        <v>11520</v>
      </c>
      <c r="E344" s="3">
        <v>11530</v>
      </c>
      <c r="F344" s="3">
        <v>11650</v>
      </c>
      <c r="G344" s="3">
        <v>11655</v>
      </c>
      <c r="H344" s="3">
        <v>11465</v>
      </c>
      <c r="I344" s="3">
        <v>11470</v>
      </c>
      <c r="J344" s="3">
        <v>11915</v>
      </c>
      <c r="K344" s="3">
        <v>11925</v>
      </c>
      <c r="L344" s="3">
        <v>12085</v>
      </c>
      <c r="M344" s="3">
        <v>12095</v>
      </c>
      <c r="N344" s="3">
        <v>12665</v>
      </c>
      <c r="O344" s="3">
        <v>12665</v>
      </c>
      <c r="P344" s="3">
        <v>12590</v>
      </c>
      <c r="Q344" s="3">
        <v>12575</v>
      </c>
      <c r="R344" s="3">
        <v>12540</v>
      </c>
      <c r="S344" s="3">
        <v>12535</v>
      </c>
      <c r="T344" s="3">
        <v>12140</v>
      </c>
      <c r="U344" s="3">
        <v>12145</v>
      </c>
      <c r="V344" s="3">
        <v>12690</v>
      </c>
      <c r="W344" s="3">
        <v>12695</v>
      </c>
      <c r="X344" s="3">
        <v>12670</v>
      </c>
      <c r="Y344" s="3">
        <v>12665</v>
      </c>
      <c r="Z344" s="3">
        <v>12690</v>
      </c>
      <c r="AA344" s="3">
        <v>12700</v>
      </c>
      <c r="AB344" s="3">
        <v>13265</v>
      </c>
      <c r="AC344" s="3">
        <v>13265</v>
      </c>
      <c r="AD344" s="3">
        <v>13340</v>
      </c>
      <c r="AE344" s="3">
        <v>13330</v>
      </c>
      <c r="AF344" s="3">
        <v>13850</v>
      </c>
      <c r="AG344" s="3">
        <v>13845</v>
      </c>
      <c r="AH344" s="3">
        <v>13925</v>
      </c>
      <c r="AI344" s="3">
        <v>13920</v>
      </c>
      <c r="AJ344" s="3">
        <v>13720</v>
      </c>
      <c r="AK344" s="3">
        <v>13730</v>
      </c>
      <c r="AL344" s="3">
        <v>13625</v>
      </c>
      <c r="AM344" s="3">
        <v>13615</v>
      </c>
      <c r="AN344" s="3">
        <v>13330</v>
      </c>
      <c r="AO344" s="3">
        <v>13305</v>
      </c>
      <c r="AP344" s="3">
        <v>13425</v>
      </c>
      <c r="AQ344" s="3">
        <v>13425</v>
      </c>
      <c r="AR344" s="4">
        <f t="shared" si="208"/>
        <v>1.647875108412844E-2</v>
      </c>
      <c r="AS344" s="4">
        <f t="shared" si="180"/>
        <v>1.7316017316016952E-3</v>
      </c>
      <c r="AT344" s="4">
        <f t="shared" si="181"/>
        <v>2.5968309859154992E-2</v>
      </c>
      <c r="AU344" s="4">
        <f t="shared" si="182"/>
        <v>2.6315789473684181E-2</v>
      </c>
      <c r="AV344" s="4">
        <f t="shared" si="183"/>
        <v>2.0102651839178698E-2</v>
      </c>
      <c r="AW344" s="4">
        <f t="shared" si="184"/>
        <v>1.9814502529510891E-2</v>
      </c>
      <c r="AX344" s="4">
        <f t="shared" si="185"/>
        <v>4.5398266611638372E-2</v>
      </c>
      <c r="AY344" s="4">
        <f t="shared" si="186"/>
        <v>1.6040688575899797E-2</v>
      </c>
      <c r="AZ344" s="4">
        <f t="shared" si="187"/>
        <v>7.9713033080908158E-4</v>
      </c>
      <c r="BA344" s="4">
        <f t="shared" si="188"/>
        <v>1.8585858585858595E-2</v>
      </c>
      <c r="BB344" s="4">
        <f t="shared" si="189"/>
        <v>2.9185245237130175E-2</v>
      </c>
      <c r="BC344" s="4">
        <f t="shared" si="190"/>
        <v>2.3743569449941049E-3</v>
      </c>
      <c r="BD344" s="4">
        <f t="shared" si="191"/>
        <v>1.0903426791277204E-2</v>
      </c>
      <c r="BE344" s="4">
        <f t="shared" si="192"/>
        <v>2.3139220979560449E-2</v>
      </c>
      <c r="BF344" s="4">
        <f t="shared" si="193"/>
        <v>1.8334606569900602E-2</v>
      </c>
      <c r="BG344" s="4">
        <f t="shared" si="194"/>
        <v>3.8245219347581516E-2</v>
      </c>
      <c r="BH344" s="4">
        <f t="shared" si="195"/>
        <v>7.1890726096324187E-4</v>
      </c>
      <c r="BI344" s="4">
        <f t="shared" si="196"/>
        <v>1.0450450450450455E-2</v>
      </c>
      <c r="BJ344" s="4">
        <f t="shared" si="197"/>
        <v>7.6530612244898322E-3</v>
      </c>
      <c r="BK344" s="4">
        <f t="shared" si="198"/>
        <v>2.7767628790646648E-2</v>
      </c>
      <c r="BL344" s="4">
        <f t="shared" si="199"/>
        <v>2.2296544035674826E-3</v>
      </c>
      <c r="BM344" s="4">
        <f t="shared" si="209"/>
        <v>1.7828147692942862E-2</v>
      </c>
      <c r="BN344" s="14">
        <f t="shared" si="210"/>
        <v>13694.877727208548</v>
      </c>
      <c r="BO344" s="15">
        <f t="shared" si="211"/>
        <v>13087.439931991537</v>
      </c>
      <c r="BP344" s="16">
        <v>13425</v>
      </c>
      <c r="BQ344" s="16">
        <v>13425</v>
      </c>
      <c r="BR344" s="16">
        <v>13415</v>
      </c>
      <c r="BS344" s="16">
        <v>13425</v>
      </c>
      <c r="BT344" s="16">
        <v>13951</v>
      </c>
      <c r="BU344" s="15">
        <f t="shared" si="200"/>
        <v>13421.666666666666</v>
      </c>
      <c r="BV344" s="15">
        <f t="shared" si="201"/>
        <v>187245671.66666666</v>
      </c>
      <c r="BW344" s="15">
        <f>SUM($BV$3:BV344)</f>
        <v>256916049129.99997</v>
      </c>
      <c r="BX344" s="15">
        <f>SUM($BT$3:BT344)</f>
        <v>18976418</v>
      </c>
      <c r="BY344" s="15">
        <f t="shared" si="202"/>
        <v>13538.700988247623</v>
      </c>
      <c r="BZ344" s="3">
        <v>342</v>
      </c>
      <c r="CA344" s="3">
        <f t="shared" si="203"/>
        <v>0</v>
      </c>
      <c r="CB344" s="3">
        <f t="shared" si="204"/>
        <v>0</v>
      </c>
      <c r="CC344" s="3">
        <f t="shared" si="205"/>
        <v>0</v>
      </c>
      <c r="CD344" s="3" t="str">
        <f t="shared" si="206"/>
        <v/>
      </c>
      <c r="CE344" s="3">
        <f t="shared" si="207"/>
        <v>0</v>
      </c>
    </row>
    <row r="345" spans="1:83" x14ac:dyDescent="0.3">
      <c r="A345" s="3" t="s">
        <v>385</v>
      </c>
      <c r="B345" s="3">
        <v>11725</v>
      </c>
      <c r="C345" s="3">
        <v>11715</v>
      </c>
      <c r="D345" s="3">
        <v>11530</v>
      </c>
      <c r="E345" s="3">
        <v>11540</v>
      </c>
      <c r="F345" s="3">
        <v>11650</v>
      </c>
      <c r="G345" s="3">
        <v>11660</v>
      </c>
      <c r="H345" s="3">
        <v>11475</v>
      </c>
      <c r="I345" s="3">
        <v>11475</v>
      </c>
      <c r="J345" s="3">
        <v>11925</v>
      </c>
      <c r="K345" s="3">
        <v>11930</v>
      </c>
      <c r="L345" s="3">
        <v>12100</v>
      </c>
      <c r="M345" s="3">
        <v>12090</v>
      </c>
      <c r="N345" s="3">
        <v>12660</v>
      </c>
      <c r="O345" s="3">
        <v>12660</v>
      </c>
      <c r="P345" s="3">
        <v>12575</v>
      </c>
      <c r="Q345" s="3">
        <v>12570</v>
      </c>
      <c r="R345" s="3">
        <v>12535</v>
      </c>
      <c r="S345" s="3">
        <v>12540</v>
      </c>
      <c r="T345" s="3">
        <v>12140</v>
      </c>
      <c r="U345" s="3">
        <v>12145</v>
      </c>
      <c r="V345" s="3">
        <v>12700</v>
      </c>
      <c r="W345" s="3">
        <v>12680</v>
      </c>
      <c r="X345" s="3">
        <v>12665</v>
      </c>
      <c r="Y345" s="3">
        <v>12660</v>
      </c>
      <c r="Z345" s="3">
        <v>12695</v>
      </c>
      <c r="AA345" s="3">
        <v>12700</v>
      </c>
      <c r="AB345" s="3">
        <v>13270</v>
      </c>
      <c r="AC345" s="3">
        <v>13265</v>
      </c>
      <c r="AD345" s="3">
        <v>13325</v>
      </c>
      <c r="AE345" s="3">
        <v>13330</v>
      </c>
      <c r="AF345" s="3">
        <v>13850</v>
      </c>
      <c r="AG345" s="3">
        <v>13855</v>
      </c>
      <c r="AH345" s="3">
        <v>13920</v>
      </c>
      <c r="AI345" s="3">
        <v>13920</v>
      </c>
      <c r="AJ345" s="3">
        <v>13725</v>
      </c>
      <c r="AK345" s="3">
        <v>13725</v>
      </c>
      <c r="AL345" s="3">
        <v>13615</v>
      </c>
      <c r="AM345" s="3">
        <v>13620</v>
      </c>
      <c r="AN345" s="3">
        <v>13305</v>
      </c>
      <c r="AO345" s="3">
        <v>13275</v>
      </c>
      <c r="AP345" s="3">
        <v>13425</v>
      </c>
      <c r="AQ345" s="3">
        <v>13430</v>
      </c>
      <c r="AR345" s="4">
        <f t="shared" si="208"/>
        <v>1.6045099739809165E-2</v>
      </c>
      <c r="AS345" s="4">
        <f t="shared" si="180"/>
        <v>8.658008658009031E-4</v>
      </c>
      <c r="AT345" s="4">
        <f t="shared" si="181"/>
        <v>2.6408450704225261E-2</v>
      </c>
      <c r="AU345" s="4">
        <f t="shared" si="182"/>
        <v>2.5891341256366718E-2</v>
      </c>
      <c r="AV345" s="4">
        <f t="shared" si="183"/>
        <v>2.0530367835757124E-2</v>
      </c>
      <c r="AW345" s="4">
        <f t="shared" si="184"/>
        <v>1.9392917369308593E-2</v>
      </c>
      <c r="AX345" s="4">
        <f t="shared" si="185"/>
        <v>4.4985555096987095E-2</v>
      </c>
      <c r="AY345" s="4">
        <f t="shared" si="186"/>
        <v>1.6431924882629123E-2</v>
      </c>
      <c r="AZ345" s="4">
        <f t="shared" si="187"/>
        <v>3.985651654045963E-4</v>
      </c>
      <c r="BA345" s="4">
        <f t="shared" si="188"/>
        <v>1.8585858585858595E-2</v>
      </c>
      <c r="BB345" s="4">
        <f t="shared" si="189"/>
        <v>2.7969193352249677E-2</v>
      </c>
      <c r="BC345" s="4">
        <f t="shared" si="190"/>
        <v>1.9786307874951614E-3</v>
      </c>
      <c r="BD345" s="4">
        <f t="shared" si="191"/>
        <v>1.0903426791277204E-2</v>
      </c>
      <c r="BE345" s="4">
        <f t="shared" si="192"/>
        <v>2.3139220979560449E-2</v>
      </c>
      <c r="BF345" s="4">
        <f t="shared" si="193"/>
        <v>1.8334606569900602E-2</v>
      </c>
      <c r="BG345" s="4">
        <f t="shared" si="194"/>
        <v>3.8995125609298853E-2</v>
      </c>
      <c r="BH345" s="4">
        <f t="shared" si="195"/>
        <v>7.1890726096324187E-4</v>
      </c>
      <c r="BI345" s="4">
        <f t="shared" si="196"/>
        <v>1.0810810810810811E-2</v>
      </c>
      <c r="BJ345" s="4">
        <f t="shared" si="197"/>
        <v>7.2886297376093534E-3</v>
      </c>
      <c r="BK345" s="4">
        <f t="shared" si="198"/>
        <v>2.995981001096093E-2</v>
      </c>
      <c r="BL345" s="4">
        <f t="shared" si="199"/>
        <v>1.85804533630618E-3</v>
      </c>
      <c r="BM345" s="4">
        <f t="shared" si="209"/>
        <v>1.7892876117214691E-2</v>
      </c>
      <c r="BN345" s="14">
        <f t="shared" si="210"/>
        <v>13695.748648157125</v>
      </c>
      <c r="BO345" s="15">
        <f t="shared" si="211"/>
        <v>13086.577425738114</v>
      </c>
      <c r="BP345" s="16">
        <v>13425</v>
      </c>
      <c r="BQ345" s="16">
        <v>13430</v>
      </c>
      <c r="BR345" s="16">
        <v>13415</v>
      </c>
      <c r="BS345" s="16">
        <v>13430</v>
      </c>
      <c r="BT345" s="16">
        <v>15950</v>
      </c>
      <c r="BU345" s="15">
        <f t="shared" si="200"/>
        <v>13425</v>
      </c>
      <c r="BV345" s="15">
        <f t="shared" si="201"/>
        <v>214128750</v>
      </c>
      <c r="BW345" s="15">
        <f>SUM($BV$3:BV345)</f>
        <v>257130177879.99997</v>
      </c>
      <c r="BX345" s="15">
        <f>SUM($BT$3:BT345)</f>
        <v>18992368</v>
      </c>
      <c r="BY345" s="15">
        <f t="shared" si="202"/>
        <v>13538.605500904361</v>
      </c>
      <c r="BZ345" s="3">
        <v>343</v>
      </c>
      <c r="CA345" s="3">
        <f t="shared" si="203"/>
        <v>0</v>
      </c>
      <c r="CB345" s="3">
        <f t="shared" si="204"/>
        <v>0</v>
      </c>
      <c r="CC345" s="3">
        <f t="shared" si="205"/>
        <v>0</v>
      </c>
      <c r="CD345" s="3" t="str">
        <f t="shared" si="206"/>
        <v/>
      </c>
      <c r="CE345" s="3">
        <f t="shared" si="207"/>
        <v>0</v>
      </c>
    </row>
    <row r="346" spans="1:83" x14ac:dyDescent="0.3">
      <c r="A346" s="3" t="s">
        <v>386</v>
      </c>
      <c r="B346" s="3">
        <v>11720</v>
      </c>
      <c r="C346" s="3">
        <v>11715</v>
      </c>
      <c r="D346" s="3">
        <v>11535</v>
      </c>
      <c r="E346" s="3">
        <v>11540</v>
      </c>
      <c r="F346" s="3">
        <v>11660</v>
      </c>
      <c r="G346" s="3">
        <v>11650</v>
      </c>
      <c r="H346" s="3">
        <v>11475</v>
      </c>
      <c r="I346" s="3">
        <v>11465</v>
      </c>
      <c r="J346" s="3">
        <v>11930</v>
      </c>
      <c r="K346" s="3">
        <v>11930</v>
      </c>
      <c r="L346" s="3">
        <v>12090</v>
      </c>
      <c r="M346" s="3">
        <v>12090</v>
      </c>
      <c r="N346" s="3">
        <v>12660</v>
      </c>
      <c r="O346" s="3">
        <v>12665</v>
      </c>
      <c r="P346" s="3">
        <v>12570</v>
      </c>
      <c r="Q346" s="3">
        <v>12575</v>
      </c>
      <c r="R346" s="3">
        <v>12540</v>
      </c>
      <c r="S346" s="3">
        <v>12540</v>
      </c>
      <c r="T346" s="3">
        <v>12145</v>
      </c>
      <c r="U346" s="3">
        <v>12155</v>
      </c>
      <c r="V346" s="3">
        <v>12680</v>
      </c>
      <c r="W346" s="3">
        <v>12680</v>
      </c>
      <c r="X346" s="3">
        <v>12660</v>
      </c>
      <c r="Y346" s="3">
        <v>12670</v>
      </c>
      <c r="Z346" s="3">
        <v>12700</v>
      </c>
      <c r="AA346" s="3">
        <v>12705</v>
      </c>
      <c r="AB346" s="3">
        <v>13265</v>
      </c>
      <c r="AC346" s="3">
        <v>13270</v>
      </c>
      <c r="AD346" s="3">
        <v>13325</v>
      </c>
      <c r="AE346" s="3">
        <v>13325</v>
      </c>
      <c r="AF346" s="3">
        <v>13855</v>
      </c>
      <c r="AG346" s="3">
        <v>13860</v>
      </c>
      <c r="AH346" s="3">
        <v>13925</v>
      </c>
      <c r="AI346" s="3">
        <v>13965</v>
      </c>
      <c r="AJ346" s="3">
        <v>13725</v>
      </c>
      <c r="AK346" s="3">
        <v>13700</v>
      </c>
      <c r="AL346" s="3">
        <v>13615</v>
      </c>
      <c r="AM346" s="3">
        <v>13610</v>
      </c>
      <c r="AN346" s="3">
        <v>13280</v>
      </c>
      <c r="AO346" s="3">
        <v>13275</v>
      </c>
      <c r="AP346" s="3">
        <v>13430</v>
      </c>
      <c r="AQ346" s="3">
        <v>13435</v>
      </c>
      <c r="AR346" s="4">
        <f t="shared" si="208"/>
        <v>1.6045099739809165E-2</v>
      </c>
      <c r="AS346" s="4">
        <f t="shared" si="180"/>
        <v>8.658008658009031E-4</v>
      </c>
      <c r="AT346" s="4">
        <f t="shared" si="181"/>
        <v>2.5528169014084501E-2</v>
      </c>
      <c r="AU346" s="4">
        <f t="shared" si="182"/>
        <v>2.6740237691001645E-2</v>
      </c>
      <c r="AV346" s="4">
        <f t="shared" si="183"/>
        <v>2.0530367835757124E-2</v>
      </c>
      <c r="AW346" s="4">
        <f t="shared" si="184"/>
        <v>1.9392917369308593E-2</v>
      </c>
      <c r="AX346" s="4">
        <f t="shared" si="185"/>
        <v>4.5398266611638372E-2</v>
      </c>
      <c r="AY346" s="4">
        <f t="shared" si="186"/>
        <v>1.6040688575899797E-2</v>
      </c>
      <c r="AZ346" s="4">
        <f t="shared" si="187"/>
        <v>3.985651654045963E-4</v>
      </c>
      <c r="BA346" s="4">
        <f t="shared" si="188"/>
        <v>1.7777777777777781E-2</v>
      </c>
      <c r="BB346" s="4">
        <f t="shared" si="189"/>
        <v>2.7969193352249677E-2</v>
      </c>
      <c r="BC346" s="4">
        <f t="shared" si="190"/>
        <v>2.7700831024930483E-3</v>
      </c>
      <c r="BD346" s="4">
        <f t="shared" si="191"/>
        <v>1.0514018691588745E-2</v>
      </c>
      <c r="BE346" s="4">
        <f t="shared" si="192"/>
        <v>2.352487466255293E-2</v>
      </c>
      <c r="BF346" s="4">
        <f t="shared" si="193"/>
        <v>1.79526355996944E-2</v>
      </c>
      <c r="BG346" s="4">
        <f t="shared" si="194"/>
        <v>3.937007874015741E-2</v>
      </c>
      <c r="BH346" s="4">
        <f t="shared" si="195"/>
        <v>3.9539899352982744E-3</v>
      </c>
      <c r="BI346" s="4">
        <f t="shared" si="196"/>
        <v>1.2612612612612595E-2</v>
      </c>
      <c r="BJ346" s="4">
        <f t="shared" si="197"/>
        <v>8.0174927113703109E-3</v>
      </c>
      <c r="BK346" s="4">
        <f t="shared" si="198"/>
        <v>2.995981001096093E-2</v>
      </c>
      <c r="BL346" s="4">
        <f t="shared" si="199"/>
        <v>1.4864362690449884E-3</v>
      </c>
      <c r="BM346" s="4">
        <f t="shared" si="209"/>
        <v>1.8304291967835635E-2</v>
      </c>
      <c r="BN346" s="14">
        <f t="shared" si="210"/>
        <v>13701.284248427228</v>
      </c>
      <c r="BO346" s="15">
        <f t="shared" si="211"/>
        <v>13081.095309528589</v>
      </c>
      <c r="BP346" s="16">
        <v>13430</v>
      </c>
      <c r="BQ346" s="16">
        <v>13440</v>
      </c>
      <c r="BR346" s="16">
        <v>13430</v>
      </c>
      <c r="BS346" s="16">
        <v>13435</v>
      </c>
      <c r="BT346" s="16">
        <v>11241</v>
      </c>
      <c r="BU346" s="15">
        <f t="shared" si="200"/>
        <v>13435</v>
      </c>
      <c r="BV346" s="15">
        <f t="shared" si="201"/>
        <v>151022835</v>
      </c>
      <c r="BW346" s="15">
        <f>SUM($BV$3:BV346)</f>
        <v>257281200714.99997</v>
      </c>
      <c r="BX346" s="15">
        <f>SUM($BT$3:BT346)</f>
        <v>19003609</v>
      </c>
      <c r="BY346" s="15">
        <f t="shared" si="202"/>
        <v>13538.544216259132</v>
      </c>
      <c r="BZ346" s="3">
        <v>344</v>
      </c>
      <c r="CA346" s="3">
        <f t="shared" si="203"/>
        <v>0</v>
      </c>
      <c r="CB346" s="3">
        <f t="shared" si="204"/>
        <v>0</v>
      </c>
      <c r="CC346" s="3">
        <f t="shared" si="205"/>
        <v>0</v>
      </c>
      <c r="CD346" s="3" t="str">
        <f t="shared" si="206"/>
        <v/>
      </c>
      <c r="CE346" s="3">
        <f t="shared" si="207"/>
        <v>0</v>
      </c>
    </row>
    <row r="347" spans="1:83" x14ac:dyDescent="0.3">
      <c r="A347" s="3" t="s">
        <v>387</v>
      </c>
      <c r="B347" s="3">
        <v>11715</v>
      </c>
      <c r="C347" s="3">
        <v>11710</v>
      </c>
      <c r="D347" s="3">
        <v>11545</v>
      </c>
      <c r="E347" s="3">
        <v>11535</v>
      </c>
      <c r="F347" s="3">
        <v>11655</v>
      </c>
      <c r="G347" s="3">
        <v>11650</v>
      </c>
      <c r="H347" s="3">
        <v>11465</v>
      </c>
      <c r="I347" s="3">
        <v>11455</v>
      </c>
      <c r="J347" s="3">
        <v>11930</v>
      </c>
      <c r="K347" s="3">
        <v>11925</v>
      </c>
      <c r="L347" s="3">
        <v>12090</v>
      </c>
      <c r="M347" s="3">
        <v>12095</v>
      </c>
      <c r="N347" s="3">
        <v>12670</v>
      </c>
      <c r="O347" s="3">
        <v>12660</v>
      </c>
      <c r="P347" s="3">
        <v>12575</v>
      </c>
      <c r="Q347" s="3">
        <v>12565</v>
      </c>
      <c r="R347" s="3">
        <v>12535</v>
      </c>
      <c r="S347" s="3">
        <v>12520</v>
      </c>
      <c r="T347" s="3">
        <v>12155</v>
      </c>
      <c r="U347" s="3">
        <v>12155</v>
      </c>
      <c r="V347" s="3">
        <v>12685</v>
      </c>
      <c r="W347" s="3">
        <v>12670</v>
      </c>
      <c r="X347" s="3">
        <v>12670</v>
      </c>
      <c r="Y347" s="3">
        <v>12660</v>
      </c>
      <c r="Z347" s="3">
        <v>12705</v>
      </c>
      <c r="AA347" s="3">
        <v>12695</v>
      </c>
      <c r="AB347" s="3">
        <v>13270</v>
      </c>
      <c r="AC347" s="3">
        <v>13250</v>
      </c>
      <c r="AD347" s="3">
        <v>13325</v>
      </c>
      <c r="AE347" s="3">
        <v>13320</v>
      </c>
      <c r="AF347" s="3">
        <v>13850</v>
      </c>
      <c r="AG347" s="3">
        <v>13860</v>
      </c>
      <c r="AH347" s="3">
        <v>13965</v>
      </c>
      <c r="AI347" s="3">
        <v>13960</v>
      </c>
      <c r="AJ347" s="3">
        <v>13700</v>
      </c>
      <c r="AK347" s="3">
        <v>13705</v>
      </c>
      <c r="AL347" s="3">
        <v>13615</v>
      </c>
      <c r="AM347" s="3">
        <v>13600</v>
      </c>
      <c r="AN347" s="3">
        <v>13275</v>
      </c>
      <c r="AO347" s="3">
        <v>13260</v>
      </c>
      <c r="AP347" s="3">
        <v>13435</v>
      </c>
      <c r="AQ347" s="3">
        <v>13430</v>
      </c>
      <c r="AR347" s="4">
        <f t="shared" si="208"/>
        <v>1.5611448395490113E-2</v>
      </c>
      <c r="AS347" s="4">
        <f t="shared" si="180"/>
        <v>1.2987012987012436E-3</v>
      </c>
      <c r="AT347" s="4">
        <f t="shared" si="181"/>
        <v>2.5528169014084501E-2</v>
      </c>
      <c r="AU347" s="4">
        <f t="shared" si="182"/>
        <v>2.7589134125636683E-2</v>
      </c>
      <c r="AV347" s="4">
        <f t="shared" si="183"/>
        <v>2.0102651839178698E-2</v>
      </c>
      <c r="AW347" s="4">
        <f t="shared" si="184"/>
        <v>1.9814502529510891E-2</v>
      </c>
      <c r="AX347" s="4">
        <f t="shared" si="185"/>
        <v>4.4985555096987095E-2</v>
      </c>
      <c r="AY347" s="4">
        <f t="shared" si="186"/>
        <v>1.6823161189358338E-2</v>
      </c>
      <c r="AZ347" s="4">
        <f t="shared" si="187"/>
        <v>1.9928258270227595E-3</v>
      </c>
      <c r="BA347" s="4">
        <f t="shared" si="188"/>
        <v>1.7777777777777781E-2</v>
      </c>
      <c r="BB347" s="4">
        <f t="shared" si="189"/>
        <v>2.7158492095662679E-2</v>
      </c>
      <c r="BC347" s="4">
        <f t="shared" si="190"/>
        <v>1.9786307874951614E-3</v>
      </c>
      <c r="BD347" s="4">
        <f t="shared" si="191"/>
        <v>1.1292834890965775E-2</v>
      </c>
      <c r="BE347" s="4">
        <f t="shared" si="192"/>
        <v>2.1982259930582337E-2</v>
      </c>
      <c r="BF347" s="4">
        <f t="shared" si="193"/>
        <v>1.7570664629488197E-2</v>
      </c>
      <c r="BG347" s="4">
        <f t="shared" si="194"/>
        <v>3.937007874015741E-2</v>
      </c>
      <c r="BH347" s="4">
        <f t="shared" si="195"/>
        <v>3.5945363048166534E-3</v>
      </c>
      <c r="BI347" s="4">
        <f t="shared" si="196"/>
        <v>1.2252252252252238E-2</v>
      </c>
      <c r="BJ347" s="4">
        <f t="shared" si="197"/>
        <v>8.7463556851311575E-3</v>
      </c>
      <c r="BK347" s="4">
        <f t="shared" si="198"/>
        <v>3.105590062111796E-2</v>
      </c>
      <c r="BL347" s="4">
        <f t="shared" si="199"/>
        <v>1.85804533630618E-3</v>
      </c>
      <c r="BM347" s="4">
        <f t="shared" si="209"/>
        <v>1.8327237559201109E-2</v>
      </c>
      <c r="BN347" s="14">
        <f t="shared" si="210"/>
        <v>13701.592981359052</v>
      </c>
      <c r="BO347" s="15">
        <f t="shared" si="211"/>
        <v>13080.789559523646</v>
      </c>
      <c r="BP347" s="16">
        <v>13435</v>
      </c>
      <c r="BQ347" s="16">
        <v>13435</v>
      </c>
      <c r="BR347" s="16">
        <v>13425</v>
      </c>
      <c r="BS347" s="16">
        <v>13430</v>
      </c>
      <c r="BT347" s="16">
        <v>16052</v>
      </c>
      <c r="BU347" s="15">
        <f t="shared" si="200"/>
        <v>13430</v>
      </c>
      <c r="BV347" s="15">
        <f t="shared" si="201"/>
        <v>215578360</v>
      </c>
      <c r="BW347" s="15">
        <f>SUM($BV$3:BV347)</f>
        <v>257496779074.99997</v>
      </c>
      <c r="BX347" s="15">
        <f>SUM($BT$3:BT347)</f>
        <v>19019661</v>
      </c>
      <c r="BY347" s="15">
        <f t="shared" si="202"/>
        <v>13538.452608329873</v>
      </c>
      <c r="BZ347" s="3">
        <v>345</v>
      </c>
      <c r="CA347" s="3">
        <f t="shared" si="203"/>
        <v>0</v>
      </c>
      <c r="CB347" s="3">
        <f t="shared" si="204"/>
        <v>0</v>
      </c>
      <c r="CC347" s="3">
        <f t="shared" si="205"/>
        <v>0</v>
      </c>
      <c r="CD347" s="3">
        <f t="shared" si="206"/>
        <v>0</v>
      </c>
      <c r="CE347" s="3">
        <f t="shared" si="207"/>
        <v>0</v>
      </c>
    </row>
    <row r="348" spans="1:83" x14ac:dyDescent="0.3">
      <c r="A348" s="3" t="s">
        <v>388</v>
      </c>
      <c r="B348" s="3">
        <v>11710</v>
      </c>
      <c r="C348" s="3">
        <v>11710</v>
      </c>
      <c r="D348" s="3">
        <v>11535</v>
      </c>
      <c r="E348" s="3">
        <v>11530</v>
      </c>
      <c r="F348" s="3">
        <v>11655</v>
      </c>
      <c r="G348" s="3">
        <v>11650</v>
      </c>
      <c r="H348" s="3">
        <v>11455</v>
      </c>
      <c r="I348" s="3">
        <v>11445</v>
      </c>
      <c r="J348" s="3">
        <v>11925</v>
      </c>
      <c r="K348" s="3">
        <v>11930</v>
      </c>
      <c r="L348" s="3">
        <v>12100</v>
      </c>
      <c r="M348" s="3">
        <v>12105</v>
      </c>
      <c r="N348" s="3">
        <v>12665</v>
      </c>
      <c r="O348" s="3">
        <v>12655</v>
      </c>
      <c r="P348" s="3">
        <v>12565</v>
      </c>
      <c r="Q348" s="3">
        <v>12560</v>
      </c>
      <c r="R348" s="3">
        <v>12520</v>
      </c>
      <c r="S348" s="3">
        <v>12520</v>
      </c>
      <c r="T348" s="3">
        <v>12155</v>
      </c>
      <c r="U348" s="3">
        <v>12165</v>
      </c>
      <c r="V348" s="3">
        <v>12675</v>
      </c>
      <c r="W348" s="3">
        <v>12670</v>
      </c>
      <c r="X348" s="3">
        <v>12665</v>
      </c>
      <c r="Y348" s="3">
        <v>12665</v>
      </c>
      <c r="Z348" s="3">
        <v>12700</v>
      </c>
      <c r="AA348" s="3">
        <v>12700</v>
      </c>
      <c r="AB348" s="3">
        <v>13250</v>
      </c>
      <c r="AC348" s="3">
        <v>13235</v>
      </c>
      <c r="AD348" s="3">
        <v>13320</v>
      </c>
      <c r="AE348" s="3">
        <v>13305</v>
      </c>
      <c r="AF348" s="3">
        <v>13855</v>
      </c>
      <c r="AG348" s="3">
        <v>13845</v>
      </c>
      <c r="AH348" s="3">
        <v>13965</v>
      </c>
      <c r="AI348" s="3">
        <v>13970</v>
      </c>
      <c r="AJ348" s="3">
        <v>13700</v>
      </c>
      <c r="AK348" s="3">
        <v>13700</v>
      </c>
      <c r="AL348" s="3">
        <v>13600</v>
      </c>
      <c r="AM348" s="3">
        <v>13615</v>
      </c>
      <c r="AN348" s="3">
        <v>13260</v>
      </c>
      <c r="AO348" s="3">
        <v>13280</v>
      </c>
      <c r="AP348" s="3">
        <v>13420</v>
      </c>
      <c r="AQ348" s="3">
        <v>13430</v>
      </c>
      <c r="AR348" s="4">
        <f t="shared" si="208"/>
        <v>1.5611448395490113E-2</v>
      </c>
      <c r="AS348" s="4">
        <f t="shared" si="180"/>
        <v>1.7316017316016952E-3</v>
      </c>
      <c r="AT348" s="4">
        <f t="shared" si="181"/>
        <v>2.5528169014084501E-2</v>
      </c>
      <c r="AU348" s="4">
        <f t="shared" si="182"/>
        <v>2.843803056027161E-2</v>
      </c>
      <c r="AV348" s="4">
        <f t="shared" si="183"/>
        <v>2.0530367835757124E-2</v>
      </c>
      <c r="AW348" s="4">
        <f t="shared" si="184"/>
        <v>2.0657672849915709E-2</v>
      </c>
      <c r="AX348" s="4">
        <f t="shared" si="185"/>
        <v>4.4572843582336041E-2</v>
      </c>
      <c r="AY348" s="4">
        <f t="shared" si="186"/>
        <v>1.7214397496087663E-2</v>
      </c>
      <c r="AZ348" s="4">
        <f t="shared" si="187"/>
        <v>1.9928258270227595E-3</v>
      </c>
      <c r="BA348" s="4">
        <f t="shared" si="188"/>
        <v>1.6969696969696968E-2</v>
      </c>
      <c r="BB348" s="4">
        <f t="shared" si="189"/>
        <v>2.7158492095662679E-2</v>
      </c>
      <c r="BC348" s="4">
        <f t="shared" si="190"/>
        <v>2.3743569449941049E-3</v>
      </c>
      <c r="BD348" s="4">
        <f t="shared" si="191"/>
        <v>1.0903426791277204E-2</v>
      </c>
      <c r="BE348" s="4">
        <f t="shared" si="192"/>
        <v>2.0825298881604226E-2</v>
      </c>
      <c r="BF348" s="4">
        <f t="shared" si="193"/>
        <v>1.6424751718869368E-2</v>
      </c>
      <c r="BG348" s="4">
        <f t="shared" si="194"/>
        <v>3.8245219347581516E-2</v>
      </c>
      <c r="BH348" s="4">
        <f t="shared" si="195"/>
        <v>4.3134435657801173E-3</v>
      </c>
      <c r="BI348" s="4">
        <f t="shared" si="196"/>
        <v>1.2612612612612595E-2</v>
      </c>
      <c r="BJ348" s="4">
        <f t="shared" si="197"/>
        <v>7.6530612244898322E-3</v>
      </c>
      <c r="BK348" s="4">
        <f t="shared" si="198"/>
        <v>2.959444647424192E-2</v>
      </c>
      <c r="BL348" s="4">
        <f t="shared" si="199"/>
        <v>1.85804533630618E-3</v>
      </c>
      <c r="BM348" s="4">
        <f t="shared" si="209"/>
        <v>1.791820525230407E-2</v>
      </c>
      <c r="BN348" s="14">
        <f t="shared" si="210"/>
        <v>13696.089451669752</v>
      </c>
      <c r="BO348" s="15">
        <f t="shared" si="211"/>
        <v>13086.23991501305</v>
      </c>
      <c r="BP348" s="16">
        <v>13420</v>
      </c>
      <c r="BQ348" s="16">
        <v>13430</v>
      </c>
      <c r="BR348" s="16">
        <v>13415</v>
      </c>
      <c r="BS348" s="16">
        <v>13430</v>
      </c>
      <c r="BT348" s="16">
        <v>12371</v>
      </c>
      <c r="BU348" s="15">
        <f t="shared" si="200"/>
        <v>13425</v>
      </c>
      <c r="BV348" s="15">
        <f t="shared" si="201"/>
        <v>166080675</v>
      </c>
      <c r="BW348" s="15">
        <f>SUM($BV$3:BV348)</f>
        <v>257662859749.99997</v>
      </c>
      <c r="BX348" s="15">
        <f>SUM($BT$3:BT348)</f>
        <v>19032032</v>
      </c>
      <c r="BY348" s="15">
        <f t="shared" si="202"/>
        <v>13538.378863066222</v>
      </c>
      <c r="BZ348" s="3">
        <v>346</v>
      </c>
      <c r="CA348" s="3">
        <f t="shared" si="203"/>
        <v>0</v>
      </c>
      <c r="CB348" s="3">
        <f t="shared" si="204"/>
        <v>0</v>
      </c>
      <c r="CC348" s="3">
        <f t="shared" si="205"/>
        <v>0</v>
      </c>
      <c r="CD348" s="3" t="str">
        <f t="shared" si="206"/>
        <v/>
      </c>
      <c r="CE348" s="3">
        <f t="shared" si="207"/>
        <v>0</v>
      </c>
    </row>
    <row r="349" spans="1:83" x14ac:dyDescent="0.3">
      <c r="A349" s="3" t="s">
        <v>389</v>
      </c>
      <c r="B349" s="3">
        <v>11710</v>
      </c>
      <c r="C349" s="3">
        <v>11705</v>
      </c>
      <c r="D349" s="3">
        <v>11530</v>
      </c>
      <c r="E349" s="3">
        <v>11540</v>
      </c>
      <c r="F349" s="3">
        <v>11650</v>
      </c>
      <c r="G349" s="3">
        <v>11665</v>
      </c>
      <c r="H349" s="3">
        <v>11450</v>
      </c>
      <c r="I349" s="3">
        <v>11475</v>
      </c>
      <c r="J349" s="3">
        <v>11930</v>
      </c>
      <c r="K349" s="3">
        <v>11935</v>
      </c>
      <c r="L349" s="3">
        <v>12110</v>
      </c>
      <c r="M349" s="3">
        <v>12105</v>
      </c>
      <c r="N349" s="3">
        <v>12650</v>
      </c>
      <c r="O349" s="3">
        <v>12660</v>
      </c>
      <c r="P349" s="3">
        <v>12565</v>
      </c>
      <c r="Q349" s="3">
        <v>12580</v>
      </c>
      <c r="R349" s="3">
        <v>12525</v>
      </c>
      <c r="S349" s="3">
        <v>12525</v>
      </c>
      <c r="T349" s="3">
        <v>12160</v>
      </c>
      <c r="U349" s="3">
        <v>12175</v>
      </c>
      <c r="V349" s="3">
        <v>12670</v>
      </c>
      <c r="W349" s="3">
        <v>12680</v>
      </c>
      <c r="X349" s="3">
        <v>12670</v>
      </c>
      <c r="Y349" s="3">
        <v>12675</v>
      </c>
      <c r="Z349" s="3">
        <v>12695</v>
      </c>
      <c r="AA349" s="3">
        <v>12695</v>
      </c>
      <c r="AB349" s="3">
        <v>13230</v>
      </c>
      <c r="AC349" s="3">
        <v>13225</v>
      </c>
      <c r="AD349" s="3">
        <v>13300</v>
      </c>
      <c r="AE349" s="3">
        <v>13305</v>
      </c>
      <c r="AF349" s="3">
        <v>13850</v>
      </c>
      <c r="AG349" s="3">
        <v>13840</v>
      </c>
      <c r="AH349" s="3">
        <v>13975</v>
      </c>
      <c r="AI349" s="3">
        <v>13980</v>
      </c>
      <c r="AJ349" s="3">
        <v>13695</v>
      </c>
      <c r="AK349" s="3">
        <v>13690</v>
      </c>
      <c r="AL349" s="3">
        <v>13620</v>
      </c>
      <c r="AM349" s="3">
        <v>13615</v>
      </c>
      <c r="AN349" s="3">
        <v>13275</v>
      </c>
      <c r="AO349" s="3">
        <v>13295</v>
      </c>
      <c r="AP349" s="3">
        <v>13430</v>
      </c>
      <c r="AQ349" s="3">
        <v>13435</v>
      </c>
      <c r="AR349" s="4">
        <f t="shared" si="208"/>
        <v>1.5177797051170838E-2</v>
      </c>
      <c r="AS349" s="4">
        <f t="shared" si="180"/>
        <v>8.658008658009031E-4</v>
      </c>
      <c r="AT349" s="4">
        <f t="shared" si="181"/>
        <v>2.6848591549295753E-2</v>
      </c>
      <c r="AU349" s="4">
        <f t="shared" si="182"/>
        <v>2.5891341256366718E-2</v>
      </c>
      <c r="AV349" s="4">
        <f t="shared" si="183"/>
        <v>2.0958083832335328E-2</v>
      </c>
      <c r="AW349" s="4">
        <f t="shared" si="184"/>
        <v>2.0657672849915709E-2</v>
      </c>
      <c r="AX349" s="4">
        <f t="shared" si="185"/>
        <v>4.4985555096987095E-2</v>
      </c>
      <c r="AY349" s="4">
        <f t="shared" si="186"/>
        <v>1.5649452269170583E-2</v>
      </c>
      <c r="AZ349" s="4">
        <f t="shared" si="187"/>
        <v>1.5942606616181632E-3</v>
      </c>
      <c r="BA349" s="4">
        <f t="shared" si="188"/>
        <v>1.6161616161616155E-2</v>
      </c>
      <c r="BB349" s="4">
        <f t="shared" si="189"/>
        <v>2.7969193352249677E-2</v>
      </c>
      <c r="BC349" s="4">
        <f t="shared" si="190"/>
        <v>3.1658092599919918E-3</v>
      </c>
      <c r="BD349" s="4">
        <f t="shared" si="191"/>
        <v>1.1292834890965775E-2</v>
      </c>
      <c r="BE349" s="4">
        <f t="shared" si="192"/>
        <v>2.0053991515619041E-2</v>
      </c>
      <c r="BF349" s="4">
        <f t="shared" si="193"/>
        <v>1.6424751718869368E-2</v>
      </c>
      <c r="BG349" s="4">
        <f t="shared" si="194"/>
        <v>3.7870266216722959E-2</v>
      </c>
      <c r="BH349" s="4">
        <f t="shared" si="195"/>
        <v>5.0323508267433592E-3</v>
      </c>
      <c r="BI349" s="4">
        <f t="shared" si="196"/>
        <v>1.3333333333333308E-2</v>
      </c>
      <c r="BJ349" s="4">
        <f t="shared" si="197"/>
        <v>7.6530612244898322E-3</v>
      </c>
      <c r="BK349" s="4">
        <f t="shared" si="198"/>
        <v>2.8498355864084779E-2</v>
      </c>
      <c r="BL349" s="4">
        <f t="shared" si="199"/>
        <v>1.4864362690449884E-3</v>
      </c>
      <c r="BM349" s="4">
        <f t="shared" si="209"/>
        <v>1.7834630885175864E-2</v>
      </c>
      <c r="BN349" s="14">
        <f t="shared" si="210"/>
        <v>13694.96495856004</v>
      </c>
      <c r="BO349" s="15">
        <f t="shared" si="211"/>
        <v>13087.35354345503</v>
      </c>
      <c r="BP349" s="16">
        <v>13430</v>
      </c>
      <c r="BQ349" s="16">
        <v>13435</v>
      </c>
      <c r="BR349" s="16">
        <v>13425</v>
      </c>
      <c r="BS349" s="16">
        <v>13435</v>
      </c>
      <c r="BT349" s="16">
        <v>23223</v>
      </c>
      <c r="BU349" s="15">
        <f t="shared" si="200"/>
        <v>13431.666666666666</v>
      </c>
      <c r="BV349" s="15">
        <f t="shared" si="201"/>
        <v>311923595</v>
      </c>
      <c r="BW349" s="15">
        <f>SUM($BV$3:BV349)</f>
        <v>257974783344.99997</v>
      </c>
      <c r="BX349" s="15">
        <f>SUM($BT$3:BT349)</f>
        <v>19055255</v>
      </c>
      <c r="BY349" s="15">
        <f t="shared" si="202"/>
        <v>13538.248810892323</v>
      </c>
      <c r="BZ349" s="3">
        <v>347</v>
      </c>
      <c r="CA349" s="3">
        <f t="shared" si="203"/>
        <v>0</v>
      </c>
      <c r="CB349" s="3">
        <f t="shared" si="204"/>
        <v>0</v>
      </c>
      <c r="CC349" s="3">
        <f t="shared" si="205"/>
        <v>0</v>
      </c>
      <c r="CD349" s="3" t="str">
        <f t="shared" si="206"/>
        <v/>
      </c>
      <c r="CE349" s="3">
        <f t="shared" si="207"/>
        <v>0</v>
      </c>
    </row>
    <row r="350" spans="1:83" x14ac:dyDescent="0.3">
      <c r="A350" s="3" t="s">
        <v>390</v>
      </c>
      <c r="B350" s="3">
        <v>11705</v>
      </c>
      <c r="C350" s="3">
        <v>11705</v>
      </c>
      <c r="D350" s="3">
        <v>11540</v>
      </c>
      <c r="E350" s="3">
        <v>11550</v>
      </c>
      <c r="F350" s="3">
        <v>11665</v>
      </c>
      <c r="G350" s="3">
        <v>11665</v>
      </c>
      <c r="H350" s="3">
        <v>11475</v>
      </c>
      <c r="I350" s="3">
        <v>11475</v>
      </c>
      <c r="J350" s="3">
        <v>11935</v>
      </c>
      <c r="K350" s="3">
        <v>11945</v>
      </c>
      <c r="L350" s="3">
        <v>12100</v>
      </c>
      <c r="M350" s="3">
        <v>12115</v>
      </c>
      <c r="N350" s="3">
        <v>12665</v>
      </c>
      <c r="O350" s="3">
        <v>12670</v>
      </c>
      <c r="P350" s="3">
        <v>12580</v>
      </c>
      <c r="Q350" s="3">
        <v>12585</v>
      </c>
      <c r="R350" s="3">
        <v>12520</v>
      </c>
      <c r="S350" s="3">
        <v>12525</v>
      </c>
      <c r="T350" s="3">
        <v>12175</v>
      </c>
      <c r="U350" s="3">
        <v>12170</v>
      </c>
      <c r="V350" s="3">
        <v>12685</v>
      </c>
      <c r="W350" s="3">
        <v>12695</v>
      </c>
      <c r="X350" s="3">
        <v>12680</v>
      </c>
      <c r="Y350" s="3">
        <v>12685</v>
      </c>
      <c r="Z350" s="3">
        <v>12700</v>
      </c>
      <c r="AA350" s="3">
        <v>12690</v>
      </c>
      <c r="AB350" s="3">
        <v>13225</v>
      </c>
      <c r="AC350" s="3">
        <v>13230</v>
      </c>
      <c r="AD350" s="3">
        <v>13310</v>
      </c>
      <c r="AE350" s="3">
        <v>13295</v>
      </c>
      <c r="AF350" s="3">
        <v>13840</v>
      </c>
      <c r="AG350" s="3">
        <v>13845</v>
      </c>
      <c r="AH350" s="3">
        <v>13980</v>
      </c>
      <c r="AI350" s="3">
        <v>13970</v>
      </c>
      <c r="AJ350" s="3">
        <v>13690</v>
      </c>
      <c r="AK350" s="3">
        <v>13680</v>
      </c>
      <c r="AL350" s="3">
        <v>13615</v>
      </c>
      <c r="AM350" s="3">
        <v>13610</v>
      </c>
      <c r="AN350" s="3">
        <v>13300</v>
      </c>
      <c r="AO350" s="3">
        <v>13295</v>
      </c>
      <c r="AP350" s="3">
        <v>13435</v>
      </c>
      <c r="AQ350" s="3">
        <v>13430</v>
      </c>
      <c r="AR350" s="4">
        <f t="shared" si="208"/>
        <v>1.5177797051170838E-2</v>
      </c>
      <c r="AS350" s="4">
        <f t="shared" si="180"/>
        <v>0</v>
      </c>
      <c r="AT350" s="4">
        <f t="shared" si="181"/>
        <v>2.6848591549295753E-2</v>
      </c>
      <c r="AU350" s="4">
        <f t="shared" si="182"/>
        <v>2.5891341256366718E-2</v>
      </c>
      <c r="AV350" s="4">
        <f t="shared" si="183"/>
        <v>2.1813515825491958E-2</v>
      </c>
      <c r="AW350" s="4">
        <f t="shared" si="184"/>
        <v>2.1500843170320305E-2</v>
      </c>
      <c r="AX350" s="4">
        <f t="shared" si="185"/>
        <v>4.5810978126289648E-2</v>
      </c>
      <c r="AY350" s="4">
        <f t="shared" si="186"/>
        <v>1.5258215962441368E-2</v>
      </c>
      <c r="AZ350" s="4">
        <f t="shared" si="187"/>
        <v>1.5942606616181632E-3</v>
      </c>
      <c r="BA350" s="4">
        <f t="shared" si="188"/>
        <v>1.6565656565656561E-2</v>
      </c>
      <c r="BB350" s="4">
        <f t="shared" si="189"/>
        <v>2.9185245237130175E-2</v>
      </c>
      <c r="BC350" s="4">
        <f t="shared" si="190"/>
        <v>3.9572615749901008E-3</v>
      </c>
      <c r="BD350" s="4">
        <f t="shared" si="191"/>
        <v>1.1682242990654235E-2</v>
      </c>
      <c r="BE350" s="4">
        <f t="shared" si="192"/>
        <v>2.0439645198611744E-2</v>
      </c>
      <c r="BF350" s="4">
        <f t="shared" si="193"/>
        <v>1.5660809778456741E-2</v>
      </c>
      <c r="BG350" s="4">
        <f t="shared" si="194"/>
        <v>3.8245219347581516E-2</v>
      </c>
      <c r="BH350" s="4">
        <f t="shared" si="195"/>
        <v>4.3134435657801173E-3</v>
      </c>
      <c r="BI350" s="4">
        <f t="shared" si="196"/>
        <v>1.4054054054054022E-2</v>
      </c>
      <c r="BJ350" s="4">
        <f t="shared" si="197"/>
        <v>8.0174927113703109E-3</v>
      </c>
      <c r="BK350" s="4">
        <f t="shared" si="198"/>
        <v>2.8498355864084779E-2</v>
      </c>
      <c r="BL350" s="4">
        <f t="shared" si="199"/>
        <v>1.85804533630618E-3</v>
      </c>
      <c r="BM350" s="4">
        <f t="shared" si="209"/>
        <v>1.8091634402765677E-2</v>
      </c>
      <c r="BN350" s="14">
        <f t="shared" si="210"/>
        <v>13698.422940889213</v>
      </c>
      <c r="BO350" s="15">
        <f t="shared" si="211"/>
        <v>13083.928971583147</v>
      </c>
      <c r="BP350" s="16">
        <v>13435</v>
      </c>
      <c r="BQ350" s="16">
        <v>13435</v>
      </c>
      <c r="BR350" s="16">
        <v>13430</v>
      </c>
      <c r="BS350" s="16">
        <v>13430</v>
      </c>
      <c r="BT350" s="16">
        <v>8438</v>
      </c>
      <c r="BU350" s="15">
        <f t="shared" si="200"/>
        <v>13431.666666666666</v>
      </c>
      <c r="BV350" s="15">
        <f t="shared" si="201"/>
        <v>113336403.33333333</v>
      </c>
      <c r="BW350" s="15">
        <f>SUM($BV$3:BV350)</f>
        <v>258088119748.33331</v>
      </c>
      <c r="BX350" s="15">
        <f>SUM($BT$3:BT350)</f>
        <v>19063693</v>
      </c>
      <c r="BY350" s="15">
        <f t="shared" si="202"/>
        <v>13538.201635345958</v>
      </c>
      <c r="BZ350" s="3">
        <v>348</v>
      </c>
      <c r="CA350" s="3">
        <f t="shared" si="203"/>
        <v>0</v>
      </c>
      <c r="CB350" s="3">
        <f t="shared" si="204"/>
        <v>0</v>
      </c>
      <c r="CC350" s="3">
        <f t="shared" si="205"/>
        <v>0</v>
      </c>
      <c r="CD350" s="3" t="str">
        <f t="shared" si="206"/>
        <v/>
      </c>
      <c r="CE350" s="3">
        <f t="shared" si="207"/>
        <v>0</v>
      </c>
    </row>
    <row r="351" spans="1:83" x14ac:dyDescent="0.3">
      <c r="A351" s="3" t="s">
        <v>391</v>
      </c>
      <c r="B351" s="3">
        <v>11705</v>
      </c>
      <c r="C351" s="3">
        <v>11715</v>
      </c>
      <c r="D351" s="3">
        <v>11550</v>
      </c>
      <c r="E351" s="3">
        <v>11545</v>
      </c>
      <c r="F351" s="3">
        <v>11665</v>
      </c>
      <c r="G351" s="3">
        <v>11660</v>
      </c>
      <c r="H351" s="3">
        <v>11470</v>
      </c>
      <c r="I351" s="3">
        <v>11455</v>
      </c>
      <c r="J351" s="3">
        <v>11950</v>
      </c>
      <c r="K351" s="3">
        <v>11945</v>
      </c>
      <c r="L351" s="3">
        <v>12120</v>
      </c>
      <c r="M351" s="3">
        <v>12130</v>
      </c>
      <c r="N351" s="3">
        <v>12670</v>
      </c>
      <c r="O351" s="3">
        <v>12670</v>
      </c>
      <c r="P351" s="3">
        <v>12585</v>
      </c>
      <c r="Q351" s="3">
        <v>12595</v>
      </c>
      <c r="R351" s="3">
        <v>12520</v>
      </c>
      <c r="S351" s="3">
        <v>12520</v>
      </c>
      <c r="T351" s="3">
        <v>12170</v>
      </c>
      <c r="U351" s="3">
        <v>12190</v>
      </c>
      <c r="V351" s="3">
        <v>12695</v>
      </c>
      <c r="W351" s="3">
        <v>12705</v>
      </c>
      <c r="X351" s="3">
        <v>12680</v>
      </c>
      <c r="Y351" s="3">
        <v>12710</v>
      </c>
      <c r="Z351" s="3">
        <v>12690</v>
      </c>
      <c r="AA351" s="3">
        <v>12695</v>
      </c>
      <c r="AB351" s="3">
        <v>13230</v>
      </c>
      <c r="AC351" s="3">
        <v>13240</v>
      </c>
      <c r="AD351" s="3">
        <v>13295</v>
      </c>
      <c r="AE351" s="3">
        <v>13295</v>
      </c>
      <c r="AF351" s="3">
        <v>13850</v>
      </c>
      <c r="AG351" s="3">
        <v>13850</v>
      </c>
      <c r="AH351" s="3">
        <v>13965</v>
      </c>
      <c r="AI351" s="3">
        <v>13955</v>
      </c>
      <c r="AJ351" s="3">
        <v>13680</v>
      </c>
      <c r="AK351" s="3">
        <v>13695</v>
      </c>
      <c r="AL351" s="3">
        <v>13610</v>
      </c>
      <c r="AM351" s="3">
        <v>13625</v>
      </c>
      <c r="AN351" s="3">
        <v>13290</v>
      </c>
      <c r="AO351" s="3">
        <v>13300</v>
      </c>
      <c r="AP351" s="3">
        <v>13430</v>
      </c>
      <c r="AQ351" s="3">
        <v>13420</v>
      </c>
      <c r="AR351" s="4">
        <f t="shared" si="208"/>
        <v>1.6045099739809165E-2</v>
      </c>
      <c r="AS351" s="4">
        <f t="shared" si="180"/>
        <v>4.3290043290045155E-4</v>
      </c>
      <c r="AT351" s="4">
        <f t="shared" si="181"/>
        <v>2.6408450704225261E-2</v>
      </c>
      <c r="AU351" s="4">
        <f t="shared" si="182"/>
        <v>2.7589134125636683E-2</v>
      </c>
      <c r="AV351" s="4">
        <f t="shared" si="183"/>
        <v>2.1813515825491958E-2</v>
      </c>
      <c r="AW351" s="4">
        <f t="shared" si="184"/>
        <v>2.2765598650927421E-2</v>
      </c>
      <c r="AX351" s="4">
        <f t="shared" si="185"/>
        <v>4.5810978126289648E-2</v>
      </c>
      <c r="AY351" s="4">
        <f t="shared" si="186"/>
        <v>1.4475743348982828E-2</v>
      </c>
      <c r="AZ351" s="4">
        <f t="shared" si="187"/>
        <v>1.9928258270227595E-3</v>
      </c>
      <c r="BA351" s="4">
        <f t="shared" si="188"/>
        <v>1.4949494949494935E-2</v>
      </c>
      <c r="BB351" s="4">
        <f t="shared" si="189"/>
        <v>2.9995946493717174E-2</v>
      </c>
      <c r="BC351" s="4">
        <f t="shared" si="190"/>
        <v>5.9358923624852622E-3</v>
      </c>
      <c r="BD351" s="4">
        <f t="shared" si="191"/>
        <v>1.1292834890965775E-2</v>
      </c>
      <c r="BE351" s="4">
        <f t="shared" si="192"/>
        <v>2.121095256459693E-2</v>
      </c>
      <c r="BF351" s="4">
        <f t="shared" si="193"/>
        <v>1.5660809778456741E-2</v>
      </c>
      <c r="BG351" s="4">
        <f t="shared" si="194"/>
        <v>3.8620172478440296E-2</v>
      </c>
      <c r="BH351" s="4">
        <f t="shared" si="195"/>
        <v>3.2350826743350325E-3</v>
      </c>
      <c r="BI351" s="4">
        <f t="shared" si="196"/>
        <v>1.2972972972972951E-2</v>
      </c>
      <c r="BJ351" s="4">
        <f t="shared" si="197"/>
        <v>6.9241982507288746E-3</v>
      </c>
      <c r="BK351" s="4">
        <f t="shared" si="198"/>
        <v>2.8132992327365769E-2</v>
      </c>
      <c r="BL351" s="4">
        <f t="shared" si="199"/>
        <v>2.6012634708286742E-3</v>
      </c>
      <c r="BM351" s="4">
        <f t="shared" si="209"/>
        <v>1.7943635503275355E-2</v>
      </c>
      <c r="BN351" s="14">
        <f t="shared" si="210"/>
        <v>13696.431615696571</v>
      </c>
      <c r="BO351" s="15">
        <f t="shared" si="211"/>
        <v>13085.901056918856</v>
      </c>
      <c r="BP351" s="16">
        <v>13430</v>
      </c>
      <c r="BQ351" s="16">
        <v>13430</v>
      </c>
      <c r="BR351" s="16">
        <v>13415</v>
      </c>
      <c r="BS351" s="16">
        <v>13420</v>
      </c>
      <c r="BT351" s="16">
        <v>78401</v>
      </c>
      <c r="BU351" s="15">
        <f t="shared" si="200"/>
        <v>13421.666666666666</v>
      </c>
      <c r="BV351" s="15">
        <f t="shared" si="201"/>
        <v>1052272088.3333333</v>
      </c>
      <c r="BW351" s="15">
        <f>SUM($BV$3:BV351)</f>
        <v>259140391836.66666</v>
      </c>
      <c r="BX351" s="15">
        <f>SUM($BT$3:BT351)</f>
        <v>19142094</v>
      </c>
      <c r="BY351" s="15">
        <f t="shared" si="202"/>
        <v>13537.724338657341</v>
      </c>
      <c r="BZ351" s="3">
        <v>349</v>
      </c>
      <c r="CA351" s="3">
        <f t="shared" si="203"/>
        <v>0</v>
      </c>
      <c r="CB351" s="3">
        <f t="shared" si="204"/>
        <v>0</v>
      </c>
      <c r="CC351" s="3">
        <f t="shared" si="205"/>
        <v>0</v>
      </c>
      <c r="CD351" s="3" t="str">
        <f t="shared" si="206"/>
        <v/>
      </c>
      <c r="CE351" s="3">
        <f t="shared" si="207"/>
        <v>0</v>
      </c>
    </row>
    <row r="352" spans="1:83" x14ac:dyDescent="0.3">
      <c r="A352" s="3" t="s">
        <v>392</v>
      </c>
      <c r="B352" s="3">
        <v>11715</v>
      </c>
      <c r="C352" s="3">
        <v>11720</v>
      </c>
      <c r="D352" s="3">
        <v>11545</v>
      </c>
      <c r="E352" s="3">
        <v>11545</v>
      </c>
      <c r="F352" s="3">
        <v>11665</v>
      </c>
      <c r="G352" s="3">
        <v>11660</v>
      </c>
      <c r="H352" s="3">
        <v>11455</v>
      </c>
      <c r="I352" s="3">
        <v>11475</v>
      </c>
      <c r="J352" s="3">
        <v>11940</v>
      </c>
      <c r="K352" s="3">
        <v>11945</v>
      </c>
      <c r="L352" s="3">
        <v>12130</v>
      </c>
      <c r="M352" s="3">
        <v>12115</v>
      </c>
      <c r="N352" s="3">
        <v>12665</v>
      </c>
      <c r="O352" s="3">
        <v>12675</v>
      </c>
      <c r="P352" s="3">
        <v>12600</v>
      </c>
      <c r="Q352" s="3">
        <v>12590</v>
      </c>
      <c r="R352" s="3">
        <v>12520</v>
      </c>
      <c r="S352" s="3">
        <v>12515</v>
      </c>
      <c r="T352" s="3">
        <v>12195</v>
      </c>
      <c r="U352" s="3">
        <v>12195</v>
      </c>
      <c r="V352" s="3">
        <v>12710</v>
      </c>
      <c r="W352" s="3">
        <v>12720</v>
      </c>
      <c r="X352" s="3">
        <v>12710</v>
      </c>
      <c r="Y352" s="3">
        <v>12710</v>
      </c>
      <c r="Z352" s="3">
        <v>12695</v>
      </c>
      <c r="AA352" s="3">
        <v>12695</v>
      </c>
      <c r="AB352" s="3">
        <v>13240</v>
      </c>
      <c r="AC352" s="3">
        <v>13255</v>
      </c>
      <c r="AD352" s="3">
        <v>13295</v>
      </c>
      <c r="AE352" s="3">
        <v>13285</v>
      </c>
      <c r="AF352" s="3">
        <v>13850</v>
      </c>
      <c r="AG352" s="3">
        <v>13850</v>
      </c>
      <c r="AH352" s="3">
        <v>13955</v>
      </c>
      <c r="AI352" s="3">
        <v>13985</v>
      </c>
      <c r="AJ352" s="3">
        <v>13700</v>
      </c>
      <c r="AK352" s="3">
        <v>13710</v>
      </c>
      <c r="AL352" s="3">
        <v>13625</v>
      </c>
      <c r="AM352" s="3">
        <v>13620</v>
      </c>
      <c r="AN352" s="3">
        <v>13305</v>
      </c>
      <c r="AO352" s="3">
        <v>13310</v>
      </c>
      <c r="AP352" s="3">
        <v>13420</v>
      </c>
      <c r="AQ352" s="3">
        <v>13410</v>
      </c>
      <c r="AR352" s="4">
        <f t="shared" si="208"/>
        <v>1.647875108412844E-2</v>
      </c>
      <c r="AS352" s="4">
        <f t="shared" si="180"/>
        <v>4.3290043290045155E-4</v>
      </c>
      <c r="AT352" s="4">
        <f t="shared" si="181"/>
        <v>2.6408450704225261E-2</v>
      </c>
      <c r="AU352" s="4">
        <f t="shared" si="182"/>
        <v>2.5891341256366718E-2</v>
      </c>
      <c r="AV352" s="4">
        <f t="shared" si="183"/>
        <v>2.1813515825491958E-2</v>
      </c>
      <c r="AW352" s="4">
        <f t="shared" si="184"/>
        <v>2.1500843170320305E-2</v>
      </c>
      <c r="AX352" s="4">
        <f t="shared" si="185"/>
        <v>4.6223689640940924E-2</v>
      </c>
      <c r="AY352" s="4">
        <f t="shared" si="186"/>
        <v>1.4866979655712043E-2</v>
      </c>
      <c r="AZ352" s="4">
        <f t="shared" si="187"/>
        <v>2.3913909924272447E-3</v>
      </c>
      <c r="BA352" s="4">
        <f t="shared" si="188"/>
        <v>1.4545454545454528E-2</v>
      </c>
      <c r="BB352" s="4">
        <f t="shared" si="189"/>
        <v>3.121199837859745E-2</v>
      </c>
      <c r="BC352" s="4">
        <f t="shared" si="190"/>
        <v>5.9358923624852622E-3</v>
      </c>
      <c r="BD352" s="4">
        <f t="shared" si="191"/>
        <v>1.1292834890965775E-2</v>
      </c>
      <c r="BE352" s="4">
        <f t="shared" si="192"/>
        <v>2.2367913613575041E-2</v>
      </c>
      <c r="BF352" s="4">
        <f t="shared" si="193"/>
        <v>1.4896867838044336E-2</v>
      </c>
      <c r="BG352" s="4">
        <f t="shared" si="194"/>
        <v>3.8620172478440296E-2</v>
      </c>
      <c r="BH352" s="4">
        <f t="shared" si="195"/>
        <v>5.3918044572249801E-3</v>
      </c>
      <c r="BI352" s="4">
        <f t="shared" si="196"/>
        <v>1.1891891891891881E-2</v>
      </c>
      <c r="BJ352" s="4">
        <f t="shared" si="197"/>
        <v>7.2886297376093534E-3</v>
      </c>
      <c r="BK352" s="4">
        <f t="shared" si="198"/>
        <v>2.7402265253927638E-2</v>
      </c>
      <c r="BL352" s="4">
        <f t="shared" si="199"/>
        <v>3.3444816053511683E-3</v>
      </c>
      <c r="BM352" s="4">
        <f t="shared" si="209"/>
        <v>1.8166270409806912E-2</v>
      </c>
      <c r="BN352" s="14">
        <f t="shared" si="210"/>
        <v>13699.427168363953</v>
      </c>
      <c r="BO352" s="15">
        <f t="shared" si="211"/>
        <v>13082.934446789322</v>
      </c>
      <c r="BP352" s="16">
        <v>13420</v>
      </c>
      <c r="BQ352" s="16">
        <v>13420</v>
      </c>
      <c r="BR352" s="16">
        <v>13410</v>
      </c>
      <c r="BS352" s="16">
        <v>13410</v>
      </c>
      <c r="BT352" s="16">
        <v>19366</v>
      </c>
      <c r="BU352" s="15">
        <f t="shared" si="200"/>
        <v>13413.333333333334</v>
      </c>
      <c r="BV352" s="15">
        <f t="shared" si="201"/>
        <v>259762613.33333334</v>
      </c>
      <c r="BW352" s="15">
        <f>SUM($BV$3:BV352)</f>
        <v>259400154450</v>
      </c>
      <c r="BX352" s="15">
        <f>SUM($BT$3:BT352)</f>
        <v>19161460</v>
      </c>
      <c r="BY352" s="15">
        <f t="shared" si="202"/>
        <v>13537.59861983377</v>
      </c>
      <c r="BZ352" s="3">
        <v>350</v>
      </c>
      <c r="CA352" s="3">
        <f t="shared" si="203"/>
        <v>0</v>
      </c>
      <c r="CB352" s="3">
        <f t="shared" si="204"/>
        <v>0</v>
      </c>
      <c r="CC352" s="3">
        <f t="shared" si="205"/>
        <v>0</v>
      </c>
      <c r="CD352" s="3" t="str">
        <f t="shared" si="206"/>
        <v/>
      </c>
      <c r="CE352" s="3">
        <f t="shared" si="207"/>
        <v>0</v>
      </c>
    </row>
    <row r="353" spans="1:83" x14ac:dyDescent="0.3">
      <c r="A353" s="3" t="s">
        <v>393</v>
      </c>
      <c r="B353" s="3">
        <v>11715</v>
      </c>
      <c r="C353" s="3">
        <v>11725</v>
      </c>
      <c r="D353" s="3">
        <v>11550</v>
      </c>
      <c r="E353" s="3">
        <v>11555</v>
      </c>
      <c r="F353" s="3">
        <v>11655</v>
      </c>
      <c r="G353" s="3">
        <v>11655</v>
      </c>
      <c r="H353" s="3">
        <v>11475</v>
      </c>
      <c r="I353" s="3">
        <v>11485</v>
      </c>
      <c r="J353" s="3">
        <v>11945</v>
      </c>
      <c r="K353" s="3">
        <v>11945</v>
      </c>
      <c r="L353" s="3">
        <v>12120</v>
      </c>
      <c r="M353" s="3">
        <v>12110</v>
      </c>
      <c r="N353" s="3">
        <v>12675</v>
      </c>
      <c r="O353" s="3">
        <v>12675</v>
      </c>
      <c r="P353" s="3">
        <v>12590</v>
      </c>
      <c r="Q353" s="3">
        <v>12600</v>
      </c>
      <c r="R353" s="3">
        <v>12515</v>
      </c>
      <c r="S353" s="3">
        <v>12510</v>
      </c>
      <c r="T353" s="3">
        <v>12195</v>
      </c>
      <c r="U353" s="3">
        <v>12200</v>
      </c>
      <c r="V353" s="3">
        <v>12720</v>
      </c>
      <c r="W353" s="3">
        <v>12720</v>
      </c>
      <c r="X353" s="3">
        <v>12705</v>
      </c>
      <c r="Y353" s="3">
        <v>12705</v>
      </c>
      <c r="Z353" s="3">
        <v>12695</v>
      </c>
      <c r="AA353" s="3">
        <v>12700</v>
      </c>
      <c r="AB353" s="3">
        <v>13260</v>
      </c>
      <c r="AC353" s="3">
        <v>13270</v>
      </c>
      <c r="AD353" s="3">
        <v>13285</v>
      </c>
      <c r="AE353" s="3">
        <v>13290</v>
      </c>
      <c r="AF353" s="3">
        <v>13855</v>
      </c>
      <c r="AG353" s="3">
        <v>13840</v>
      </c>
      <c r="AH353" s="3">
        <v>13985</v>
      </c>
      <c r="AI353" s="3">
        <v>13995</v>
      </c>
      <c r="AJ353" s="3">
        <v>13705</v>
      </c>
      <c r="AK353" s="3">
        <v>13720</v>
      </c>
      <c r="AL353" s="3">
        <v>13620</v>
      </c>
      <c r="AM353" s="3">
        <v>13635</v>
      </c>
      <c r="AN353" s="3">
        <v>13310</v>
      </c>
      <c r="AO353" s="3">
        <v>13315</v>
      </c>
      <c r="AP353" s="3">
        <v>13410</v>
      </c>
      <c r="AQ353" s="3">
        <v>13405</v>
      </c>
      <c r="AR353" s="4">
        <f t="shared" si="208"/>
        <v>1.6912402428447493E-2</v>
      </c>
      <c r="AS353" s="4">
        <f t="shared" si="180"/>
        <v>4.3290043290045155E-4</v>
      </c>
      <c r="AT353" s="4">
        <f t="shared" si="181"/>
        <v>2.5968309859154992E-2</v>
      </c>
      <c r="AU353" s="4">
        <f t="shared" si="182"/>
        <v>2.5042444821731791E-2</v>
      </c>
      <c r="AV353" s="4">
        <f t="shared" si="183"/>
        <v>2.1813515825491958E-2</v>
      </c>
      <c r="AW353" s="4">
        <f t="shared" si="184"/>
        <v>2.1079258010118007E-2</v>
      </c>
      <c r="AX353" s="4">
        <f t="shared" si="185"/>
        <v>4.6223689640940924E-2</v>
      </c>
      <c r="AY353" s="4">
        <f t="shared" si="186"/>
        <v>1.4084507042253502E-2</v>
      </c>
      <c r="AZ353" s="4">
        <f t="shared" si="187"/>
        <v>2.789956157831841E-3</v>
      </c>
      <c r="BA353" s="4">
        <f t="shared" si="188"/>
        <v>1.4141414141414121E-2</v>
      </c>
      <c r="BB353" s="4">
        <f t="shared" si="189"/>
        <v>3.121199837859745E-2</v>
      </c>
      <c r="BC353" s="4">
        <f t="shared" si="190"/>
        <v>5.5401662049860967E-3</v>
      </c>
      <c r="BD353" s="4">
        <f t="shared" si="191"/>
        <v>1.0903426791277204E-2</v>
      </c>
      <c r="BE353" s="4">
        <f t="shared" si="192"/>
        <v>2.352487466255293E-2</v>
      </c>
      <c r="BF353" s="4">
        <f t="shared" si="193"/>
        <v>1.5278838808250539E-2</v>
      </c>
      <c r="BG353" s="4">
        <f t="shared" si="194"/>
        <v>3.7870266216722959E-2</v>
      </c>
      <c r="BH353" s="4">
        <f t="shared" si="195"/>
        <v>6.1107117181884441E-3</v>
      </c>
      <c r="BI353" s="4">
        <f t="shared" si="196"/>
        <v>1.1171171171171168E-2</v>
      </c>
      <c r="BJ353" s="4">
        <f t="shared" si="197"/>
        <v>6.1953352769679171E-3</v>
      </c>
      <c r="BK353" s="4">
        <f t="shared" si="198"/>
        <v>2.7036901717208628E-2</v>
      </c>
      <c r="BL353" s="4">
        <f t="shared" si="199"/>
        <v>3.7160906726123599E-3</v>
      </c>
      <c r="BM353" s="4">
        <f t="shared" si="209"/>
        <v>1.8005946994883122E-2</v>
      </c>
      <c r="BN353" s="14">
        <f t="shared" si="210"/>
        <v>13697.270016816154</v>
      </c>
      <c r="BO353" s="15">
        <f t="shared" si="211"/>
        <v>13085.070756293182</v>
      </c>
      <c r="BP353" s="16">
        <v>13410</v>
      </c>
      <c r="BQ353" s="16">
        <v>13410</v>
      </c>
      <c r="BR353" s="16">
        <v>13400</v>
      </c>
      <c r="BS353" s="16">
        <v>13405</v>
      </c>
      <c r="BT353" s="16">
        <v>25194</v>
      </c>
      <c r="BU353" s="15">
        <f t="shared" si="200"/>
        <v>13405</v>
      </c>
      <c r="BV353" s="15">
        <f t="shared" si="201"/>
        <v>337725570</v>
      </c>
      <c r="BW353" s="15">
        <f>SUM($BV$3:BV353)</f>
        <v>259737880020</v>
      </c>
      <c r="BX353" s="15">
        <f>SUM($BT$3:BT353)</f>
        <v>19186654</v>
      </c>
      <c r="BY353" s="15">
        <f t="shared" si="202"/>
        <v>13537.42450455405</v>
      </c>
      <c r="BZ353" s="3">
        <v>351</v>
      </c>
      <c r="CA353" s="3">
        <f t="shared" si="203"/>
        <v>0</v>
      </c>
      <c r="CB353" s="3">
        <f t="shared" si="204"/>
        <v>0</v>
      </c>
      <c r="CC353" s="3">
        <f t="shared" si="205"/>
        <v>0</v>
      </c>
      <c r="CD353" s="3" t="str">
        <f t="shared" si="206"/>
        <v/>
      </c>
      <c r="CE353" s="3">
        <f t="shared" si="207"/>
        <v>0</v>
      </c>
    </row>
    <row r="354" spans="1:83" x14ac:dyDescent="0.3">
      <c r="A354" s="3" t="s">
        <v>394</v>
      </c>
      <c r="B354" s="3">
        <v>11725</v>
      </c>
      <c r="C354" s="3">
        <v>11725</v>
      </c>
      <c r="D354" s="3">
        <v>11555</v>
      </c>
      <c r="E354" s="3">
        <v>11555</v>
      </c>
      <c r="F354" s="3">
        <v>11655</v>
      </c>
      <c r="G354" s="3">
        <v>11645</v>
      </c>
      <c r="H354" s="3">
        <v>11485</v>
      </c>
      <c r="I354" s="3">
        <v>11495</v>
      </c>
      <c r="J354" s="3">
        <v>11945</v>
      </c>
      <c r="K354" s="3">
        <v>11955</v>
      </c>
      <c r="L354" s="3">
        <v>12110</v>
      </c>
      <c r="M354" s="3">
        <v>12125</v>
      </c>
      <c r="N354" s="3">
        <v>12680</v>
      </c>
      <c r="O354" s="3">
        <v>12690</v>
      </c>
      <c r="P354" s="3">
        <v>12605</v>
      </c>
      <c r="Q354" s="3">
        <v>12595</v>
      </c>
      <c r="R354" s="3">
        <v>12510</v>
      </c>
      <c r="S354" s="3">
        <v>12515</v>
      </c>
      <c r="T354" s="3">
        <v>12200</v>
      </c>
      <c r="U354" s="3">
        <v>12210</v>
      </c>
      <c r="V354" s="3">
        <v>12715</v>
      </c>
      <c r="W354" s="3">
        <v>12715</v>
      </c>
      <c r="X354" s="3">
        <v>12705</v>
      </c>
      <c r="Y354" s="3">
        <v>12720</v>
      </c>
      <c r="Z354" s="3">
        <v>12700</v>
      </c>
      <c r="AA354" s="3">
        <v>12705</v>
      </c>
      <c r="AB354" s="3">
        <v>13270</v>
      </c>
      <c r="AC354" s="3">
        <v>13270</v>
      </c>
      <c r="AD354" s="3">
        <v>13285</v>
      </c>
      <c r="AE354" s="3">
        <v>13280</v>
      </c>
      <c r="AF354" s="3">
        <v>13840</v>
      </c>
      <c r="AG354" s="3">
        <v>13835</v>
      </c>
      <c r="AH354" s="3">
        <v>14000</v>
      </c>
      <c r="AI354" s="3">
        <v>14010</v>
      </c>
      <c r="AJ354" s="3">
        <v>13720</v>
      </c>
      <c r="AK354" s="3">
        <v>13710</v>
      </c>
      <c r="AL354" s="3">
        <v>13635</v>
      </c>
      <c r="AM354" s="3">
        <v>13635</v>
      </c>
      <c r="AN354" s="3">
        <v>13315</v>
      </c>
      <c r="AO354" s="3">
        <v>13320</v>
      </c>
      <c r="AP354" s="3">
        <v>13405</v>
      </c>
      <c r="AQ354" s="3">
        <v>13390</v>
      </c>
      <c r="AR354" s="4">
        <f t="shared" si="208"/>
        <v>1.6912402428447493E-2</v>
      </c>
      <c r="AS354" s="4">
        <f t="shared" si="180"/>
        <v>4.3290043290045155E-4</v>
      </c>
      <c r="AT354" s="4">
        <f t="shared" si="181"/>
        <v>2.5088028169014009E-2</v>
      </c>
      <c r="AU354" s="4">
        <f t="shared" si="182"/>
        <v>2.4193548387096753E-2</v>
      </c>
      <c r="AV354" s="4">
        <f t="shared" si="183"/>
        <v>2.2668947818648366E-2</v>
      </c>
      <c r="AW354" s="4">
        <f t="shared" si="184"/>
        <v>2.2344013490725123E-2</v>
      </c>
      <c r="AX354" s="4">
        <f t="shared" si="185"/>
        <v>4.7461824184894752E-2</v>
      </c>
      <c r="AY354" s="4">
        <f t="shared" si="186"/>
        <v>1.4475743348982828E-2</v>
      </c>
      <c r="AZ354" s="4">
        <f t="shared" si="187"/>
        <v>2.3913909924272447E-3</v>
      </c>
      <c r="BA354" s="4">
        <f t="shared" si="188"/>
        <v>1.3333333333333308E-2</v>
      </c>
      <c r="BB354" s="4">
        <f t="shared" si="189"/>
        <v>3.080664775030395E-2</v>
      </c>
      <c r="BC354" s="4">
        <f t="shared" si="190"/>
        <v>6.7273446774831491E-3</v>
      </c>
      <c r="BD354" s="4">
        <f t="shared" si="191"/>
        <v>1.0514018691588745E-2</v>
      </c>
      <c r="BE354" s="4">
        <f t="shared" si="192"/>
        <v>2.352487466255293E-2</v>
      </c>
      <c r="BF354" s="4">
        <f t="shared" si="193"/>
        <v>1.4514896867838134E-2</v>
      </c>
      <c r="BG354" s="4">
        <f t="shared" si="194"/>
        <v>3.7495313085864179E-2</v>
      </c>
      <c r="BH354" s="4">
        <f t="shared" si="195"/>
        <v>7.1890726096333069E-3</v>
      </c>
      <c r="BI354" s="4">
        <f t="shared" si="196"/>
        <v>1.1891891891891881E-2</v>
      </c>
      <c r="BJ354" s="4">
        <f t="shared" si="197"/>
        <v>6.1953352769679171E-3</v>
      </c>
      <c r="BK354" s="4">
        <f t="shared" si="198"/>
        <v>2.6671538180489618E-2</v>
      </c>
      <c r="BL354" s="4">
        <f t="shared" si="199"/>
        <v>4.8309178743961567E-3</v>
      </c>
      <c r="BM354" s="4">
        <f t="shared" si="209"/>
        <v>1.8085230396732283E-2</v>
      </c>
      <c r="BN354" s="14">
        <f t="shared" si="210"/>
        <v>13698.336774988033</v>
      </c>
      <c r="BO354" s="15">
        <f t="shared" si="211"/>
        <v>13084.014304963543</v>
      </c>
      <c r="BP354" s="16">
        <v>13405</v>
      </c>
      <c r="BQ354" s="16">
        <v>13410</v>
      </c>
      <c r="BR354" s="16">
        <v>13385</v>
      </c>
      <c r="BS354" s="16">
        <v>13390</v>
      </c>
      <c r="BT354" s="16">
        <v>39477</v>
      </c>
      <c r="BU354" s="15">
        <f t="shared" si="200"/>
        <v>13395</v>
      </c>
      <c r="BV354" s="15">
        <f t="shared" si="201"/>
        <v>528794415</v>
      </c>
      <c r="BW354" s="15">
        <f>SUM($BV$3:BV354)</f>
        <v>260266674435</v>
      </c>
      <c r="BX354" s="15">
        <f>SUM($BT$3:BT354)</f>
        <v>19226131</v>
      </c>
      <c r="BY354" s="15">
        <f t="shared" si="202"/>
        <v>13537.132064428355</v>
      </c>
      <c r="BZ354" s="3">
        <v>352</v>
      </c>
      <c r="CA354" s="3">
        <f t="shared" si="203"/>
        <v>0</v>
      </c>
      <c r="CB354" s="3">
        <f t="shared" si="204"/>
        <v>0</v>
      </c>
      <c r="CC354" s="3">
        <f t="shared" si="205"/>
        <v>0</v>
      </c>
      <c r="CD354" s="3" t="str">
        <f t="shared" si="206"/>
        <v/>
      </c>
      <c r="CE354" s="3">
        <f t="shared" si="207"/>
        <v>0</v>
      </c>
    </row>
    <row r="355" spans="1:83" x14ac:dyDescent="0.3">
      <c r="A355" s="3" t="s">
        <v>395</v>
      </c>
      <c r="B355" s="3">
        <v>11725</v>
      </c>
      <c r="C355" s="3">
        <v>11725</v>
      </c>
      <c r="D355" s="3">
        <v>11550</v>
      </c>
      <c r="E355" s="3">
        <v>11555</v>
      </c>
      <c r="F355" s="3">
        <v>11650</v>
      </c>
      <c r="G355" s="3">
        <v>11650</v>
      </c>
      <c r="H355" s="3">
        <v>11495</v>
      </c>
      <c r="I355" s="3">
        <v>11495</v>
      </c>
      <c r="J355" s="3">
        <v>11955</v>
      </c>
      <c r="K355" s="3">
        <v>11975</v>
      </c>
      <c r="L355" s="3">
        <v>12125</v>
      </c>
      <c r="M355" s="3">
        <v>12125</v>
      </c>
      <c r="N355" s="3">
        <v>12695</v>
      </c>
      <c r="O355" s="3">
        <v>12690</v>
      </c>
      <c r="P355" s="3">
        <v>12595</v>
      </c>
      <c r="Q355" s="3">
        <v>12600</v>
      </c>
      <c r="R355" s="3">
        <v>12515</v>
      </c>
      <c r="S355" s="3">
        <v>12515</v>
      </c>
      <c r="T355" s="3">
        <v>12210</v>
      </c>
      <c r="U355" s="3">
        <v>12195</v>
      </c>
      <c r="V355" s="3">
        <v>12715</v>
      </c>
      <c r="W355" s="3">
        <v>12715</v>
      </c>
      <c r="X355" s="3">
        <v>12720</v>
      </c>
      <c r="Y355" s="3">
        <v>12725</v>
      </c>
      <c r="Z355" s="3">
        <v>12700</v>
      </c>
      <c r="AA355" s="3">
        <v>12700</v>
      </c>
      <c r="AB355" s="3">
        <v>13270</v>
      </c>
      <c r="AC355" s="3">
        <v>13275</v>
      </c>
      <c r="AD355" s="3">
        <v>13285</v>
      </c>
      <c r="AE355" s="3">
        <v>13285</v>
      </c>
      <c r="AF355" s="3">
        <v>13835</v>
      </c>
      <c r="AG355" s="3">
        <v>13830</v>
      </c>
      <c r="AH355" s="3">
        <v>14005</v>
      </c>
      <c r="AI355" s="3">
        <v>14015</v>
      </c>
      <c r="AJ355" s="3">
        <v>13710</v>
      </c>
      <c r="AK355" s="3">
        <v>13700</v>
      </c>
      <c r="AL355" s="3">
        <v>13635</v>
      </c>
      <c r="AM355" s="3">
        <v>13630</v>
      </c>
      <c r="AN355" s="3">
        <v>13315</v>
      </c>
      <c r="AO355" s="3">
        <v>13315</v>
      </c>
      <c r="AP355" s="3">
        <v>13400</v>
      </c>
      <c r="AQ355" s="3">
        <v>13395</v>
      </c>
      <c r="AR355" s="4">
        <f t="shared" si="208"/>
        <v>1.6912402428447493E-2</v>
      </c>
      <c r="AS355" s="4">
        <f t="shared" si="180"/>
        <v>4.3290043290045155E-4</v>
      </c>
      <c r="AT355" s="4">
        <f t="shared" si="181"/>
        <v>2.5528169014084501E-2</v>
      </c>
      <c r="AU355" s="4">
        <f t="shared" si="182"/>
        <v>2.4193548387096753E-2</v>
      </c>
      <c r="AV355" s="4">
        <f t="shared" si="183"/>
        <v>2.4379811804961404E-2</v>
      </c>
      <c r="AW355" s="4">
        <f t="shared" si="184"/>
        <v>2.2344013490725123E-2</v>
      </c>
      <c r="AX355" s="4">
        <f t="shared" si="185"/>
        <v>4.7461824184894752E-2</v>
      </c>
      <c r="AY355" s="4">
        <f t="shared" si="186"/>
        <v>1.4084507042253502E-2</v>
      </c>
      <c r="AZ355" s="4">
        <f t="shared" si="187"/>
        <v>2.3913909924272447E-3</v>
      </c>
      <c r="BA355" s="4">
        <f t="shared" si="188"/>
        <v>1.4545454545454528E-2</v>
      </c>
      <c r="BB355" s="4">
        <f t="shared" si="189"/>
        <v>3.080664775030395E-2</v>
      </c>
      <c r="BC355" s="4">
        <f t="shared" si="190"/>
        <v>7.1230708349820926E-3</v>
      </c>
      <c r="BD355" s="4">
        <f t="shared" si="191"/>
        <v>1.0903426791277204E-2</v>
      </c>
      <c r="BE355" s="4">
        <f t="shared" si="192"/>
        <v>2.3910528345545634E-2</v>
      </c>
      <c r="BF355" s="4">
        <f t="shared" si="193"/>
        <v>1.4896867838044336E-2</v>
      </c>
      <c r="BG355" s="4">
        <f t="shared" si="194"/>
        <v>3.7120359955005622E-2</v>
      </c>
      <c r="BH355" s="4">
        <f t="shared" si="195"/>
        <v>7.5485262401149278E-3</v>
      </c>
      <c r="BI355" s="4">
        <f t="shared" si="196"/>
        <v>1.2612612612612595E-2</v>
      </c>
      <c r="BJ355" s="4">
        <f t="shared" si="197"/>
        <v>6.5597667638483959E-3</v>
      </c>
      <c r="BK355" s="4">
        <f t="shared" si="198"/>
        <v>2.7036901717208628E-2</v>
      </c>
      <c r="BL355" s="4">
        <f t="shared" si="199"/>
        <v>4.4593088071348541E-3</v>
      </c>
      <c r="BM355" s="4">
        <f t="shared" si="209"/>
        <v>1.8357277543855244E-2</v>
      </c>
      <c r="BN355" s="14">
        <f t="shared" si="210"/>
        <v>13701.997169352571</v>
      </c>
      <c r="BO355" s="15">
        <f t="shared" si="211"/>
        <v>13080.38927672813</v>
      </c>
      <c r="BP355" s="16">
        <v>13400</v>
      </c>
      <c r="BQ355" s="16">
        <v>13410</v>
      </c>
      <c r="BR355" s="16">
        <v>13390</v>
      </c>
      <c r="BS355" s="16">
        <v>13395</v>
      </c>
      <c r="BT355" s="16">
        <v>357573</v>
      </c>
      <c r="BU355" s="15">
        <f t="shared" si="200"/>
        <v>13398.333333333334</v>
      </c>
      <c r="BV355" s="15">
        <f t="shared" si="201"/>
        <v>4790882245</v>
      </c>
      <c r="BW355" s="15">
        <f>SUM($BV$3:BV355)</f>
        <v>265057556680</v>
      </c>
      <c r="BX355" s="15">
        <f>SUM($BT$3:BT355)</f>
        <v>19583704</v>
      </c>
      <c r="BY355" s="15">
        <f t="shared" si="202"/>
        <v>13534.597779868405</v>
      </c>
      <c r="BZ355" s="3">
        <v>353</v>
      </c>
      <c r="CA355" s="3">
        <f t="shared" si="203"/>
        <v>0</v>
      </c>
      <c r="CB355" s="3">
        <f t="shared" si="204"/>
        <v>0</v>
      </c>
      <c r="CC355" s="3">
        <f t="shared" si="205"/>
        <v>0</v>
      </c>
      <c r="CD355" s="3" t="str">
        <f t="shared" si="206"/>
        <v/>
      </c>
      <c r="CE355" s="3">
        <f t="shared" si="207"/>
        <v>0</v>
      </c>
    </row>
    <row r="356" spans="1:83" x14ac:dyDescent="0.3">
      <c r="A356" s="3" t="s">
        <v>396</v>
      </c>
      <c r="B356" s="3">
        <v>11725</v>
      </c>
      <c r="C356" s="3">
        <v>11720</v>
      </c>
      <c r="D356" s="3">
        <v>11555</v>
      </c>
      <c r="E356" s="3">
        <v>11560</v>
      </c>
      <c r="F356" s="3">
        <v>11650</v>
      </c>
      <c r="G356" s="3">
        <v>11655</v>
      </c>
      <c r="H356" s="3">
        <v>11500</v>
      </c>
      <c r="I356" s="3">
        <v>11505</v>
      </c>
      <c r="J356" s="3">
        <v>11975</v>
      </c>
      <c r="K356" s="3">
        <v>11980</v>
      </c>
      <c r="L356" s="3">
        <v>12125</v>
      </c>
      <c r="M356" s="3">
        <v>12130</v>
      </c>
      <c r="N356" s="3">
        <v>12690</v>
      </c>
      <c r="O356" s="3">
        <v>12685</v>
      </c>
      <c r="P356" s="3">
        <v>12605</v>
      </c>
      <c r="Q356" s="3">
        <v>12590</v>
      </c>
      <c r="R356" s="3">
        <v>12515</v>
      </c>
      <c r="S356" s="3">
        <v>12515</v>
      </c>
      <c r="T356" s="3">
        <v>12195</v>
      </c>
      <c r="U356" s="3">
        <v>12205</v>
      </c>
      <c r="V356" s="3">
        <v>12715</v>
      </c>
      <c r="W356" s="3">
        <v>12715</v>
      </c>
      <c r="X356" s="3">
        <v>12725</v>
      </c>
      <c r="Y356" s="3">
        <v>12725</v>
      </c>
      <c r="Z356" s="3">
        <v>12700</v>
      </c>
      <c r="AA356" s="3">
        <v>12710</v>
      </c>
      <c r="AB356" s="3">
        <v>13275</v>
      </c>
      <c r="AC356" s="3">
        <v>13275</v>
      </c>
      <c r="AD356" s="3">
        <v>13290</v>
      </c>
      <c r="AE356" s="3">
        <v>13290</v>
      </c>
      <c r="AF356" s="3">
        <v>13830</v>
      </c>
      <c r="AG356" s="3">
        <v>13835</v>
      </c>
      <c r="AH356" s="3">
        <v>14015</v>
      </c>
      <c r="AI356" s="3">
        <v>14005</v>
      </c>
      <c r="AJ356" s="3">
        <v>13700</v>
      </c>
      <c r="AK356" s="3">
        <v>13705</v>
      </c>
      <c r="AL356" s="3">
        <v>13630</v>
      </c>
      <c r="AM356" s="3">
        <v>13630</v>
      </c>
      <c r="AN356" s="3">
        <v>13315</v>
      </c>
      <c r="AO356" s="3">
        <v>13330</v>
      </c>
      <c r="AP356" s="3">
        <v>13395</v>
      </c>
      <c r="AQ356" s="3">
        <v>13375</v>
      </c>
      <c r="AR356" s="4">
        <f t="shared" si="208"/>
        <v>1.647875108412844E-2</v>
      </c>
      <c r="AS356" s="4">
        <f t="shared" si="180"/>
        <v>8.658008658009031E-4</v>
      </c>
      <c r="AT356" s="4">
        <f t="shared" si="181"/>
        <v>2.5968309859154992E-2</v>
      </c>
      <c r="AU356" s="4">
        <f t="shared" si="182"/>
        <v>2.3344651952461826E-2</v>
      </c>
      <c r="AV356" s="4">
        <f t="shared" si="183"/>
        <v>2.480752780153983E-2</v>
      </c>
      <c r="AW356" s="4">
        <f t="shared" si="184"/>
        <v>2.2765598650927421E-2</v>
      </c>
      <c r="AX356" s="4">
        <f t="shared" si="185"/>
        <v>4.7049112670243476E-2</v>
      </c>
      <c r="AY356" s="4">
        <f t="shared" si="186"/>
        <v>1.4866979655712043E-2</v>
      </c>
      <c r="AZ356" s="4">
        <f t="shared" si="187"/>
        <v>2.3913909924272447E-3</v>
      </c>
      <c r="BA356" s="4">
        <f t="shared" si="188"/>
        <v>1.3737373737373715E-2</v>
      </c>
      <c r="BB356" s="4">
        <f t="shared" si="189"/>
        <v>3.080664775030395E-2</v>
      </c>
      <c r="BC356" s="4">
        <f t="shared" si="190"/>
        <v>7.1230708349820926E-3</v>
      </c>
      <c r="BD356" s="4">
        <f t="shared" si="191"/>
        <v>1.0124610591900285E-2</v>
      </c>
      <c r="BE356" s="4">
        <f t="shared" si="192"/>
        <v>2.3910528345545634E-2</v>
      </c>
      <c r="BF356" s="4">
        <f t="shared" si="193"/>
        <v>1.5278838808250539E-2</v>
      </c>
      <c r="BG356" s="4">
        <f t="shared" si="194"/>
        <v>3.7495313085864179E-2</v>
      </c>
      <c r="BH356" s="4">
        <f t="shared" si="195"/>
        <v>6.8296189791516859E-3</v>
      </c>
      <c r="BI356" s="4">
        <f t="shared" si="196"/>
        <v>1.2252252252252238E-2</v>
      </c>
      <c r="BJ356" s="4">
        <f t="shared" si="197"/>
        <v>6.5597667638483959E-3</v>
      </c>
      <c r="BK356" s="4">
        <f t="shared" si="198"/>
        <v>2.5940811107051487E-2</v>
      </c>
      <c r="BL356" s="4">
        <f t="shared" si="199"/>
        <v>5.9457450761798425E-3</v>
      </c>
      <c r="BM356" s="4">
        <f t="shared" si="209"/>
        <v>1.8169022541064783E-2</v>
      </c>
      <c r="BN356" s="14">
        <f t="shared" si="210"/>
        <v>13699.464198290028</v>
      </c>
      <c r="BO356" s="15">
        <f t="shared" si="211"/>
        <v>13082.897774640312</v>
      </c>
      <c r="BP356" s="16">
        <v>13395</v>
      </c>
      <c r="BQ356" s="16">
        <v>13405</v>
      </c>
      <c r="BR356" s="16">
        <v>13375</v>
      </c>
      <c r="BS356" s="16">
        <v>13375</v>
      </c>
      <c r="BT356" s="16">
        <v>152336</v>
      </c>
      <c r="BU356" s="15">
        <f t="shared" si="200"/>
        <v>13385</v>
      </c>
      <c r="BV356" s="15">
        <f t="shared" si="201"/>
        <v>2039017360</v>
      </c>
      <c r="BW356" s="15">
        <f>SUM($BV$3:BV356)</f>
        <v>267096574040</v>
      </c>
      <c r="BX356" s="15">
        <f>SUM($BT$3:BT356)</f>
        <v>19736040</v>
      </c>
      <c r="BY356" s="15">
        <f t="shared" si="202"/>
        <v>13533.443083820261</v>
      </c>
      <c r="BZ356" s="3">
        <v>354</v>
      </c>
      <c r="CA356" s="3">
        <f t="shared" si="203"/>
        <v>0</v>
      </c>
      <c r="CB356" s="3">
        <f t="shared" si="204"/>
        <v>0</v>
      </c>
      <c r="CC356" s="3">
        <f t="shared" si="205"/>
        <v>0</v>
      </c>
      <c r="CD356" s="3" t="str">
        <f t="shared" si="206"/>
        <v/>
      </c>
      <c r="CE356" s="3">
        <f t="shared" si="207"/>
        <v>0</v>
      </c>
    </row>
    <row r="357" spans="1:83" x14ac:dyDescent="0.3">
      <c r="A357" s="3" t="s">
        <v>397</v>
      </c>
      <c r="B357" s="3">
        <v>11715</v>
      </c>
      <c r="C357" s="3">
        <v>11720</v>
      </c>
      <c r="D357" s="3">
        <v>11555</v>
      </c>
      <c r="E357" s="3">
        <v>11540</v>
      </c>
      <c r="F357" s="3">
        <v>11655</v>
      </c>
      <c r="G357" s="3">
        <v>11660</v>
      </c>
      <c r="H357" s="3">
        <v>11505</v>
      </c>
      <c r="I357" s="3">
        <v>11510</v>
      </c>
      <c r="J357" s="3">
        <v>11980</v>
      </c>
      <c r="K357" s="3">
        <v>11975</v>
      </c>
      <c r="L357" s="3">
        <v>12130</v>
      </c>
      <c r="M357" s="3">
        <v>12120</v>
      </c>
      <c r="N357" s="3">
        <v>12685</v>
      </c>
      <c r="O357" s="3">
        <v>12690</v>
      </c>
      <c r="P357" s="3">
        <v>12595</v>
      </c>
      <c r="Q357" s="3">
        <v>12600</v>
      </c>
      <c r="R357" s="3">
        <v>12515</v>
      </c>
      <c r="S357" s="3">
        <v>12520</v>
      </c>
      <c r="T357" s="3">
        <v>12200</v>
      </c>
      <c r="U357" s="3">
        <v>12220</v>
      </c>
      <c r="V357" s="3">
        <v>12715</v>
      </c>
      <c r="W357" s="3">
        <v>12730</v>
      </c>
      <c r="X357" s="3">
        <v>12725</v>
      </c>
      <c r="Y357" s="3">
        <v>12740</v>
      </c>
      <c r="Z357" s="3">
        <v>12710</v>
      </c>
      <c r="AA357" s="3">
        <v>12710</v>
      </c>
      <c r="AB357" s="3">
        <v>13270</v>
      </c>
      <c r="AC357" s="3">
        <v>13275</v>
      </c>
      <c r="AD357" s="3">
        <v>13285</v>
      </c>
      <c r="AE357" s="3">
        <v>13285</v>
      </c>
      <c r="AF357" s="3">
        <v>13840</v>
      </c>
      <c r="AG357" s="3">
        <v>13840</v>
      </c>
      <c r="AH357" s="3">
        <v>14000</v>
      </c>
      <c r="AI357" s="3">
        <v>14000</v>
      </c>
      <c r="AJ357" s="3">
        <v>13700</v>
      </c>
      <c r="AK357" s="3">
        <v>13695</v>
      </c>
      <c r="AL357" s="3">
        <v>13630</v>
      </c>
      <c r="AM357" s="3">
        <v>13630</v>
      </c>
      <c r="AN357" s="3">
        <v>13335</v>
      </c>
      <c r="AO357" s="3">
        <v>13335</v>
      </c>
      <c r="AP357" s="3">
        <v>13380</v>
      </c>
      <c r="AQ357" s="3">
        <v>13390</v>
      </c>
      <c r="AR357" s="4">
        <f t="shared" si="208"/>
        <v>1.647875108412844E-2</v>
      </c>
      <c r="AS357" s="4">
        <f t="shared" si="180"/>
        <v>8.658008658009031E-4</v>
      </c>
      <c r="AT357" s="4">
        <f t="shared" si="181"/>
        <v>2.6408450704225261E-2</v>
      </c>
      <c r="AU357" s="4">
        <f t="shared" si="182"/>
        <v>2.2920203735144362E-2</v>
      </c>
      <c r="AV357" s="4">
        <f t="shared" si="183"/>
        <v>2.4379811804961404E-2</v>
      </c>
      <c r="AW357" s="4">
        <f t="shared" si="184"/>
        <v>2.1922428330522825E-2</v>
      </c>
      <c r="AX357" s="4">
        <f t="shared" si="185"/>
        <v>4.7461824184894752E-2</v>
      </c>
      <c r="AY357" s="4">
        <f t="shared" si="186"/>
        <v>1.4084507042253502E-2</v>
      </c>
      <c r="AZ357" s="4">
        <f t="shared" si="187"/>
        <v>1.9928258270227595E-3</v>
      </c>
      <c r="BA357" s="4">
        <f t="shared" si="188"/>
        <v>1.2525252525252495E-2</v>
      </c>
      <c r="BB357" s="4">
        <f t="shared" si="189"/>
        <v>3.2022699635184448E-2</v>
      </c>
      <c r="BC357" s="4">
        <f t="shared" si="190"/>
        <v>8.310249307479145E-3</v>
      </c>
      <c r="BD357" s="4">
        <f t="shared" si="191"/>
        <v>1.0124610591900285E-2</v>
      </c>
      <c r="BE357" s="4">
        <f t="shared" si="192"/>
        <v>2.3910528345545634E-2</v>
      </c>
      <c r="BF357" s="4">
        <f t="shared" si="193"/>
        <v>1.4896867838044336E-2</v>
      </c>
      <c r="BG357" s="4">
        <f t="shared" si="194"/>
        <v>3.7870266216722959E-2</v>
      </c>
      <c r="BH357" s="4">
        <f t="shared" si="195"/>
        <v>6.470165348670065E-3</v>
      </c>
      <c r="BI357" s="4">
        <f t="shared" si="196"/>
        <v>1.2972972972972951E-2</v>
      </c>
      <c r="BJ357" s="4">
        <f t="shared" si="197"/>
        <v>6.5597667638483959E-3</v>
      </c>
      <c r="BK357" s="4">
        <f t="shared" si="198"/>
        <v>2.5575447570332477E-2</v>
      </c>
      <c r="BL357" s="4">
        <f t="shared" si="199"/>
        <v>4.8309178743961567E-3</v>
      </c>
      <c r="BM357" s="4">
        <f t="shared" si="209"/>
        <v>1.8198427440723159E-2</v>
      </c>
      <c r="BN357" s="14">
        <f t="shared" si="210"/>
        <v>13699.859841214931</v>
      </c>
      <c r="BO357" s="15">
        <f t="shared" si="211"/>
        <v>13082.505954352364</v>
      </c>
      <c r="BP357" s="16">
        <v>13380</v>
      </c>
      <c r="BQ357" s="16">
        <v>13390</v>
      </c>
      <c r="BR357" s="16">
        <v>13375</v>
      </c>
      <c r="BS357" s="16">
        <v>13390</v>
      </c>
      <c r="BT357" s="16">
        <v>39642</v>
      </c>
      <c r="BU357" s="15">
        <f t="shared" si="200"/>
        <v>13385</v>
      </c>
      <c r="BV357" s="15">
        <f t="shared" si="201"/>
        <v>530608170</v>
      </c>
      <c r="BW357" s="15">
        <f>SUM($BV$3:BV357)</f>
        <v>267627182210</v>
      </c>
      <c r="BX357" s="15">
        <f>SUM($BT$3:BT357)</f>
        <v>19775682</v>
      </c>
      <c r="BY357" s="15">
        <f t="shared" si="202"/>
        <v>13533.14551730757</v>
      </c>
      <c r="BZ357" s="3">
        <v>355</v>
      </c>
      <c r="CA357" s="3">
        <f t="shared" si="203"/>
        <v>0</v>
      </c>
      <c r="CB357" s="3">
        <f t="shared" si="204"/>
        <v>0</v>
      </c>
      <c r="CC357" s="3">
        <f t="shared" si="205"/>
        <v>0</v>
      </c>
      <c r="CD357" s="3" t="str">
        <f t="shared" si="206"/>
        <v/>
      </c>
      <c r="CE357" s="3">
        <f t="shared" si="207"/>
        <v>0</v>
      </c>
    </row>
    <row r="358" spans="1:83" x14ac:dyDescent="0.3">
      <c r="A358" s="3" t="s">
        <v>398</v>
      </c>
      <c r="B358" s="3">
        <v>11720</v>
      </c>
      <c r="C358" s="3">
        <v>11725</v>
      </c>
      <c r="D358" s="3">
        <v>11545</v>
      </c>
      <c r="E358" s="3">
        <v>11545</v>
      </c>
      <c r="F358" s="3">
        <v>11655</v>
      </c>
      <c r="G358" s="3">
        <v>11665</v>
      </c>
      <c r="H358" s="3">
        <v>11510</v>
      </c>
      <c r="I358" s="3">
        <v>11530</v>
      </c>
      <c r="J358" s="3">
        <v>11975</v>
      </c>
      <c r="K358" s="3">
        <v>11980</v>
      </c>
      <c r="L358" s="3">
        <v>12125</v>
      </c>
      <c r="M358" s="3">
        <v>12125</v>
      </c>
      <c r="N358" s="3">
        <v>12690</v>
      </c>
      <c r="O358" s="3">
        <v>12695</v>
      </c>
      <c r="P358" s="3">
        <v>12600</v>
      </c>
      <c r="Q358" s="3">
        <v>12605</v>
      </c>
      <c r="R358" s="3">
        <v>12520</v>
      </c>
      <c r="S358" s="3">
        <v>12515</v>
      </c>
      <c r="T358" s="3">
        <v>12220</v>
      </c>
      <c r="U358" s="3">
        <v>12215</v>
      </c>
      <c r="V358" s="3">
        <v>12730</v>
      </c>
      <c r="W358" s="3">
        <v>12710</v>
      </c>
      <c r="X358" s="3">
        <v>12735</v>
      </c>
      <c r="Y358" s="3">
        <v>12735</v>
      </c>
      <c r="Z358" s="3">
        <v>12710</v>
      </c>
      <c r="AA358" s="3">
        <v>12710</v>
      </c>
      <c r="AB358" s="3">
        <v>13275</v>
      </c>
      <c r="AC358" s="3">
        <v>13275</v>
      </c>
      <c r="AD358" s="3">
        <v>13280</v>
      </c>
      <c r="AE358" s="3">
        <v>13270</v>
      </c>
      <c r="AF358" s="3">
        <v>13840</v>
      </c>
      <c r="AG358" s="3">
        <v>13845</v>
      </c>
      <c r="AH358" s="3">
        <v>14000</v>
      </c>
      <c r="AI358" s="3">
        <v>14005</v>
      </c>
      <c r="AJ358" s="3">
        <v>13705</v>
      </c>
      <c r="AK358" s="3">
        <v>13710</v>
      </c>
      <c r="AL358" s="3">
        <v>13630</v>
      </c>
      <c r="AM358" s="3">
        <v>13630</v>
      </c>
      <c r="AN358" s="3">
        <v>13335</v>
      </c>
      <c r="AO358" s="3">
        <v>13335</v>
      </c>
      <c r="AP358" s="3">
        <v>13390</v>
      </c>
      <c r="AQ358" s="3">
        <v>13395</v>
      </c>
      <c r="AR358" s="4">
        <f t="shared" si="208"/>
        <v>1.6912402428447493E-2</v>
      </c>
      <c r="AS358" s="4">
        <f t="shared" si="180"/>
        <v>4.3290043290045155E-4</v>
      </c>
      <c r="AT358" s="4">
        <f t="shared" si="181"/>
        <v>2.6848591549295753E-2</v>
      </c>
      <c r="AU358" s="4">
        <f t="shared" si="182"/>
        <v>2.1222410865874397E-2</v>
      </c>
      <c r="AV358" s="4">
        <f t="shared" si="183"/>
        <v>2.480752780153983E-2</v>
      </c>
      <c r="AW358" s="4">
        <f t="shared" si="184"/>
        <v>2.2344013490725123E-2</v>
      </c>
      <c r="AX358" s="4">
        <f t="shared" si="185"/>
        <v>4.7874535699546028E-2</v>
      </c>
      <c r="AY358" s="4">
        <f t="shared" si="186"/>
        <v>1.3693270735524288E-2</v>
      </c>
      <c r="AZ358" s="4">
        <f t="shared" si="187"/>
        <v>2.3913909924272447E-3</v>
      </c>
      <c r="BA358" s="4">
        <f t="shared" si="188"/>
        <v>1.2929292929292902E-2</v>
      </c>
      <c r="BB358" s="4">
        <f t="shared" si="189"/>
        <v>3.0401297122010451E-2</v>
      </c>
      <c r="BC358" s="4">
        <f t="shared" si="190"/>
        <v>7.9145231499802016E-3</v>
      </c>
      <c r="BD358" s="4">
        <f t="shared" si="191"/>
        <v>1.0124610591900285E-2</v>
      </c>
      <c r="BE358" s="4">
        <f t="shared" si="192"/>
        <v>2.3910528345545634E-2</v>
      </c>
      <c r="BF358" s="4">
        <f t="shared" si="193"/>
        <v>1.3750954927425507E-2</v>
      </c>
      <c r="BG358" s="4">
        <f t="shared" si="194"/>
        <v>3.8245219347581516E-2</v>
      </c>
      <c r="BH358" s="4">
        <f t="shared" si="195"/>
        <v>6.8296189791516859E-3</v>
      </c>
      <c r="BI358" s="4">
        <f t="shared" si="196"/>
        <v>1.1891891891891881E-2</v>
      </c>
      <c r="BJ358" s="4">
        <f t="shared" si="197"/>
        <v>6.5597667638483959E-3</v>
      </c>
      <c r="BK358" s="4">
        <f t="shared" si="198"/>
        <v>2.5575447570332477E-2</v>
      </c>
      <c r="BL358" s="4">
        <f t="shared" si="199"/>
        <v>4.4593088071348541E-3</v>
      </c>
      <c r="BM358" s="4">
        <f t="shared" si="209"/>
        <v>1.800659636046132E-2</v>
      </c>
      <c r="BN358" s="14">
        <f t="shared" si="210"/>
        <v>13697.278754030009</v>
      </c>
      <c r="BO358" s="15">
        <f t="shared" si="211"/>
        <v>13085.062103496854</v>
      </c>
      <c r="BP358" s="16">
        <v>13390</v>
      </c>
      <c r="BQ358" s="16">
        <v>13395</v>
      </c>
      <c r="BR358" s="16">
        <v>13375</v>
      </c>
      <c r="BS358" s="16">
        <v>13395</v>
      </c>
      <c r="BT358" s="16">
        <v>44236</v>
      </c>
      <c r="BU358" s="15">
        <f t="shared" si="200"/>
        <v>13388.333333333334</v>
      </c>
      <c r="BV358" s="15">
        <f t="shared" si="201"/>
        <v>592246313.33333337</v>
      </c>
      <c r="BW358" s="15">
        <f>SUM($BV$3:BV358)</f>
        <v>268219428523.33334</v>
      </c>
      <c r="BX358" s="15">
        <f>SUM($BT$3:BT358)</f>
        <v>19819918</v>
      </c>
      <c r="BY358" s="15">
        <f t="shared" si="202"/>
        <v>13532.822311542022</v>
      </c>
      <c r="BZ358" s="3">
        <v>356</v>
      </c>
      <c r="CA358" s="3">
        <f t="shared" si="203"/>
        <v>0</v>
      </c>
      <c r="CB358" s="3">
        <f t="shared" si="204"/>
        <v>0</v>
      </c>
      <c r="CC358" s="3">
        <f t="shared" si="205"/>
        <v>0</v>
      </c>
      <c r="CD358" s="3" t="str">
        <f t="shared" si="206"/>
        <v/>
      </c>
      <c r="CE358" s="3">
        <f t="shared" si="207"/>
        <v>0</v>
      </c>
    </row>
    <row r="359" spans="1:83" x14ac:dyDescent="0.3">
      <c r="A359" s="3" t="s">
        <v>399</v>
      </c>
      <c r="B359" s="3">
        <v>11725</v>
      </c>
      <c r="C359" s="3">
        <v>11725</v>
      </c>
      <c r="D359" s="3">
        <v>11540</v>
      </c>
      <c r="E359" s="3">
        <v>11545</v>
      </c>
      <c r="F359" s="3">
        <v>11665</v>
      </c>
      <c r="G359" s="3">
        <v>11670</v>
      </c>
      <c r="H359" s="3">
        <v>11530</v>
      </c>
      <c r="I359" s="3">
        <v>11520</v>
      </c>
      <c r="J359" s="3">
        <v>11985</v>
      </c>
      <c r="K359" s="3">
        <v>11985</v>
      </c>
      <c r="L359" s="3">
        <v>12125</v>
      </c>
      <c r="M359" s="3">
        <v>12120</v>
      </c>
      <c r="N359" s="3">
        <v>12695</v>
      </c>
      <c r="O359" s="3">
        <v>12700</v>
      </c>
      <c r="P359" s="3">
        <v>12610</v>
      </c>
      <c r="Q359" s="3">
        <v>12620</v>
      </c>
      <c r="R359" s="3">
        <v>12515</v>
      </c>
      <c r="S359" s="3">
        <v>12510</v>
      </c>
      <c r="T359" s="3">
        <v>12220</v>
      </c>
      <c r="U359" s="3">
        <v>12245</v>
      </c>
      <c r="V359" s="3">
        <v>12710</v>
      </c>
      <c r="W359" s="3">
        <v>12710</v>
      </c>
      <c r="X359" s="3">
        <v>12740</v>
      </c>
      <c r="Y359" s="3">
        <v>12730</v>
      </c>
      <c r="Z359" s="3">
        <v>12710</v>
      </c>
      <c r="AA359" s="3">
        <v>12705</v>
      </c>
      <c r="AB359" s="3">
        <v>13275</v>
      </c>
      <c r="AC359" s="3">
        <v>13280</v>
      </c>
      <c r="AD359" s="3">
        <v>13275</v>
      </c>
      <c r="AE359" s="3">
        <v>13270</v>
      </c>
      <c r="AF359" s="3">
        <v>13850</v>
      </c>
      <c r="AG359" s="3">
        <v>13870</v>
      </c>
      <c r="AH359" s="3">
        <v>14005</v>
      </c>
      <c r="AI359" s="3">
        <v>13995</v>
      </c>
      <c r="AJ359" s="3">
        <v>13705</v>
      </c>
      <c r="AK359" s="3">
        <v>13695</v>
      </c>
      <c r="AL359" s="3">
        <v>13630</v>
      </c>
      <c r="AM359" s="3">
        <v>13645</v>
      </c>
      <c r="AN359" s="3">
        <v>13340</v>
      </c>
      <c r="AO359" s="3">
        <v>13330</v>
      </c>
      <c r="AP359" s="3">
        <v>13390</v>
      </c>
      <c r="AQ359" s="3">
        <v>13395</v>
      </c>
      <c r="AR359" s="4">
        <f t="shared" si="208"/>
        <v>1.6912402428447493E-2</v>
      </c>
      <c r="AS359" s="4">
        <f t="shared" si="180"/>
        <v>4.3290043290045155E-4</v>
      </c>
      <c r="AT359" s="4">
        <f t="shared" si="181"/>
        <v>2.7288732394366244E-2</v>
      </c>
      <c r="AU359" s="4">
        <f t="shared" si="182"/>
        <v>2.2071307300509324E-2</v>
      </c>
      <c r="AV359" s="4">
        <f t="shared" si="183"/>
        <v>2.5235243798118034E-2</v>
      </c>
      <c r="AW359" s="4">
        <f t="shared" si="184"/>
        <v>2.1922428330522825E-2</v>
      </c>
      <c r="AX359" s="4">
        <f t="shared" si="185"/>
        <v>4.8287247214197304E-2</v>
      </c>
      <c r="AY359" s="4">
        <f t="shared" si="186"/>
        <v>1.2519561815336422E-2</v>
      </c>
      <c r="AZ359" s="4">
        <f t="shared" si="187"/>
        <v>2.789956157831841E-3</v>
      </c>
      <c r="BA359" s="4">
        <f t="shared" si="188"/>
        <v>1.0505050505050462E-2</v>
      </c>
      <c r="BB359" s="4">
        <f t="shared" si="189"/>
        <v>3.0401297122010451E-2</v>
      </c>
      <c r="BC359" s="4">
        <f t="shared" si="190"/>
        <v>7.5187969924812581E-3</v>
      </c>
      <c r="BD359" s="4">
        <f t="shared" si="191"/>
        <v>1.0514018691588745E-2</v>
      </c>
      <c r="BE359" s="4">
        <f t="shared" si="192"/>
        <v>2.4296182028538338E-2</v>
      </c>
      <c r="BF359" s="4">
        <f t="shared" si="193"/>
        <v>1.3750954927425507E-2</v>
      </c>
      <c r="BG359" s="4">
        <f t="shared" si="194"/>
        <v>4.0119985001874747E-2</v>
      </c>
      <c r="BH359" s="4">
        <f t="shared" si="195"/>
        <v>6.1107117181884441E-3</v>
      </c>
      <c r="BI359" s="4">
        <f t="shared" si="196"/>
        <v>1.2972972972972951E-2</v>
      </c>
      <c r="BJ359" s="4">
        <f t="shared" si="197"/>
        <v>5.4664723032069595E-3</v>
      </c>
      <c r="BK359" s="4">
        <f t="shared" si="198"/>
        <v>2.5940811107051487E-2</v>
      </c>
      <c r="BL359" s="4">
        <f t="shared" si="199"/>
        <v>4.4593088071348541E-3</v>
      </c>
      <c r="BM359" s="4">
        <f t="shared" si="209"/>
        <v>1.7942429896982495E-2</v>
      </c>
      <c r="BN359" s="14">
        <f t="shared" si="210"/>
        <v>13696.4153942639</v>
      </c>
      <c r="BO359" s="15">
        <f t="shared" si="211"/>
        <v>13085.917121622708</v>
      </c>
      <c r="BP359" s="16">
        <v>13390</v>
      </c>
      <c r="BQ359" s="16">
        <v>13395</v>
      </c>
      <c r="BR359" s="16">
        <v>13385</v>
      </c>
      <c r="BS359" s="16">
        <v>13395</v>
      </c>
      <c r="BT359" s="16">
        <v>19346</v>
      </c>
      <c r="BU359" s="15">
        <f t="shared" si="200"/>
        <v>13391.666666666666</v>
      </c>
      <c r="BV359" s="15">
        <f t="shared" si="201"/>
        <v>259075183.33333331</v>
      </c>
      <c r="BW359" s="15">
        <f>SUM($BV$3:BV359)</f>
        <v>268478503706.66669</v>
      </c>
      <c r="BX359" s="15">
        <f>SUM($BT$3:BT359)</f>
        <v>19839264</v>
      </c>
      <c r="BY359" s="15">
        <f t="shared" si="202"/>
        <v>13532.684665452643</v>
      </c>
      <c r="BZ359" s="3">
        <v>357</v>
      </c>
      <c r="CA359" s="3">
        <f t="shared" si="203"/>
        <v>0</v>
      </c>
      <c r="CB359" s="3">
        <f t="shared" si="204"/>
        <v>0</v>
      </c>
      <c r="CC359" s="3">
        <f t="shared" si="205"/>
        <v>0</v>
      </c>
      <c r="CD359" s="3" t="str">
        <f t="shared" si="206"/>
        <v/>
      </c>
      <c r="CE359" s="3">
        <f t="shared" si="207"/>
        <v>0</v>
      </c>
    </row>
    <row r="360" spans="1:83" x14ac:dyDescent="0.3">
      <c r="A360" s="3" t="s">
        <v>400</v>
      </c>
      <c r="B360" s="3">
        <v>11730</v>
      </c>
      <c r="C360" s="3">
        <v>11730</v>
      </c>
      <c r="D360" s="3">
        <v>11545</v>
      </c>
      <c r="E360" s="3">
        <v>11540</v>
      </c>
      <c r="F360" s="3">
        <v>11670</v>
      </c>
      <c r="G360" s="3">
        <v>11675</v>
      </c>
      <c r="H360" s="3">
        <v>11520</v>
      </c>
      <c r="I360" s="3">
        <v>11515</v>
      </c>
      <c r="J360" s="3">
        <v>11985</v>
      </c>
      <c r="K360" s="3">
        <v>11995</v>
      </c>
      <c r="L360" s="3">
        <v>12120</v>
      </c>
      <c r="M360" s="3">
        <v>12120</v>
      </c>
      <c r="N360" s="3">
        <v>12700</v>
      </c>
      <c r="O360" s="3">
        <v>12700</v>
      </c>
      <c r="P360" s="3">
        <v>12625</v>
      </c>
      <c r="Q360" s="3">
        <v>12625</v>
      </c>
      <c r="R360" s="3">
        <v>12510</v>
      </c>
      <c r="S360" s="3">
        <v>12525</v>
      </c>
      <c r="T360" s="3">
        <v>12240</v>
      </c>
      <c r="U360" s="3">
        <v>12235</v>
      </c>
      <c r="V360" s="3">
        <v>12710</v>
      </c>
      <c r="W360" s="3">
        <v>12720</v>
      </c>
      <c r="X360" s="3">
        <v>12735</v>
      </c>
      <c r="Y360" s="3">
        <v>12735</v>
      </c>
      <c r="Z360" s="3">
        <v>12710</v>
      </c>
      <c r="AA360" s="3">
        <v>12700</v>
      </c>
      <c r="AB360" s="3">
        <v>13275</v>
      </c>
      <c r="AC360" s="3">
        <v>13280</v>
      </c>
      <c r="AD360" s="3">
        <v>13275</v>
      </c>
      <c r="AE360" s="3">
        <v>13260</v>
      </c>
      <c r="AF360" s="3">
        <v>13870</v>
      </c>
      <c r="AG360" s="3">
        <v>13875</v>
      </c>
      <c r="AH360" s="3">
        <v>13995</v>
      </c>
      <c r="AI360" s="3">
        <v>13995</v>
      </c>
      <c r="AJ360" s="3">
        <v>13695</v>
      </c>
      <c r="AK360" s="3">
        <v>13700</v>
      </c>
      <c r="AL360" s="3">
        <v>13645</v>
      </c>
      <c r="AM360" s="3">
        <v>13650</v>
      </c>
      <c r="AN360" s="3">
        <v>13330</v>
      </c>
      <c r="AO360" s="3">
        <v>13320</v>
      </c>
      <c r="AP360" s="3">
        <v>13395</v>
      </c>
      <c r="AQ360" s="3">
        <v>13395</v>
      </c>
      <c r="AR360" s="4">
        <f t="shared" si="208"/>
        <v>1.7346053772766767E-2</v>
      </c>
      <c r="AS360" s="4">
        <f t="shared" si="180"/>
        <v>8.658008658009031E-4</v>
      </c>
      <c r="AT360" s="4">
        <f t="shared" si="181"/>
        <v>2.7728873239436513E-2</v>
      </c>
      <c r="AU360" s="4">
        <f t="shared" si="182"/>
        <v>2.2495755517826788E-2</v>
      </c>
      <c r="AV360" s="4">
        <f t="shared" si="183"/>
        <v>2.6090675791274665E-2</v>
      </c>
      <c r="AW360" s="4">
        <f t="shared" si="184"/>
        <v>2.1922428330522825E-2</v>
      </c>
      <c r="AX360" s="4">
        <f t="shared" si="185"/>
        <v>4.8287247214197304E-2</v>
      </c>
      <c r="AY360" s="4">
        <f t="shared" si="186"/>
        <v>1.2128325508607207E-2</v>
      </c>
      <c r="AZ360" s="4">
        <f t="shared" si="187"/>
        <v>1.5942606616181632E-3</v>
      </c>
      <c r="BA360" s="4">
        <f t="shared" si="188"/>
        <v>1.1313131313131275E-2</v>
      </c>
      <c r="BB360" s="4">
        <f t="shared" si="189"/>
        <v>3.121199837859745E-2</v>
      </c>
      <c r="BC360" s="4">
        <f t="shared" si="190"/>
        <v>7.9145231499802016E-3</v>
      </c>
      <c r="BD360" s="4">
        <f t="shared" si="191"/>
        <v>1.0903426791277204E-2</v>
      </c>
      <c r="BE360" s="4">
        <f t="shared" si="192"/>
        <v>2.4296182028538338E-2</v>
      </c>
      <c r="BF360" s="4">
        <f t="shared" si="193"/>
        <v>1.298701298701288E-2</v>
      </c>
      <c r="BG360" s="4">
        <f t="shared" si="194"/>
        <v>4.0494938132733305E-2</v>
      </c>
      <c r="BH360" s="4">
        <f t="shared" si="195"/>
        <v>6.1107117181884441E-3</v>
      </c>
      <c r="BI360" s="4">
        <f t="shared" si="196"/>
        <v>1.2612612612612595E-2</v>
      </c>
      <c r="BJ360" s="4">
        <f t="shared" si="197"/>
        <v>5.1020408163264808E-3</v>
      </c>
      <c r="BK360" s="4">
        <f t="shared" si="198"/>
        <v>2.6671538180489618E-2</v>
      </c>
      <c r="BL360" s="4">
        <f t="shared" si="199"/>
        <v>4.4593088071348541E-3</v>
      </c>
      <c r="BM360" s="4">
        <f t="shared" si="209"/>
        <v>1.7973424963807889E-2</v>
      </c>
      <c r="BN360" s="14">
        <f t="shared" si="210"/>
        <v>13696.832432888035</v>
      </c>
      <c r="BO360" s="15">
        <f t="shared" si="211"/>
        <v>13085.504112357259</v>
      </c>
      <c r="BP360" s="16">
        <v>13395</v>
      </c>
      <c r="BQ360" s="16">
        <v>13400</v>
      </c>
      <c r="BR360" s="16">
        <v>13390</v>
      </c>
      <c r="BS360" s="16">
        <v>13395</v>
      </c>
      <c r="BT360" s="16">
        <v>27424</v>
      </c>
      <c r="BU360" s="15">
        <f t="shared" si="200"/>
        <v>13395</v>
      </c>
      <c r="BV360" s="15">
        <f t="shared" si="201"/>
        <v>367344480</v>
      </c>
      <c r="BW360" s="15">
        <f>SUM($BV$3:BV360)</f>
        <v>268845848186.66669</v>
      </c>
      <c r="BX360" s="15">
        <f>SUM($BT$3:BT360)</f>
        <v>19866688</v>
      </c>
      <c r="BY360" s="15">
        <f t="shared" si="202"/>
        <v>13532.494605374921</v>
      </c>
      <c r="BZ360" s="3">
        <v>358</v>
      </c>
      <c r="CA360" s="3">
        <f t="shared" si="203"/>
        <v>0</v>
      </c>
      <c r="CB360" s="3">
        <f t="shared" si="204"/>
        <v>0</v>
      </c>
      <c r="CC360" s="3">
        <f t="shared" si="205"/>
        <v>0</v>
      </c>
      <c r="CD360" s="3" t="str">
        <f t="shared" si="206"/>
        <v/>
      </c>
      <c r="CE360" s="3">
        <f t="shared" si="207"/>
        <v>0</v>
      </c>
    </row>
    <row r="361" spans="1:83" x14ac:dyDescent="0.3">
      <c r="A361" s="3" t="s">
        <v>401</v>
      </c>
      <c r="B361" s="3">
        <v>11725</v>
      </c>
      <c r="C361" s="3">
        <v>11735</v>
      </c>
      <c r="D361" s="3">
        <v>11540</v>
      </c>
      <c r="E361" s="3">
        <v>11545</v>
      </c>
      <c r="F361" s="3">
        <v>11675</v>
      </c>
      <c r="G361" s="3">
        <v>11685</v>
      </c>
      <c r="H361" s="3">
        <v>11520</v>
      </c>
      <c r="I361" s="3">
        <v>11505</v>
      </c>
      <c r="J361" s="3">
        <v>11990</v>
      </c>
      <c r="K361" s="3">
        <v>11990</v>
      </c>
      <c r="L361" s="3">
        <v>12125</v>
      </c>
      <c r="M361" s="3">
        <v>12130</v>
      </c>
      <c r="N361" s="3">
        <v>12700</v>
      </c>
      <c r="O361" s="3">
        <v>12710</v>
      </c>
      <c r="P361" s="3">
        <v>12620</v>
      </c>
      <c r="Q361" s="3">
        <v>12600</v>
      </c>
      <c r="R361" s="3">
        <v>12525</v>
      </c>
      <c r="S361" s="3">
        <v>12520</v>
      </c>
      <c r="T361" s="3">
        <v>12235</v>
      </c>
      <c r="U361" s="3">
        <v>12230</v>
      </c>
      <c r="V361" s="3">
        <v>12720</v>
      </c>
      <c r="W361" s="3">
        <v>12720</v>
      </c>
      <c r="X361" s="3">
        <v>12735</v>
      </c>
      <c r="Y361" s="3">
        <v>12730</v>
      </c>
      <c r="Z361" s="3">
        <v>12700</v>
      </c>
      <c r="AA361" s="3">
        <v>12695</v>
      </c>
      <c r="AB361" s="3">
        <v>13280</v>
      </c>
      <c r="AC361" s="3">
        <v>13275</v>
      </c>
      <c r="AD361" s="3">
        <v>13260</v>
      </c>
      <c r="AE361" s="3">
        <v>13275</v>
      </c>
      <c r="AF361" s="3">
        <v>13870</v>
      </c>
      <c r="AG361" s="3">
        <v>13875</v>
      </c>
      <c r="AH361" s="3">
        <v>13995</v>
      </c>
      <c r="AI361" s="3">
        <v>13980</v>
      </c>
      <c r="AJ361" s="3">
        <v>13700</v>
      </c>
      <c r="AK361" s="3">
        <v>13695</v>
      </c>
      <c r="AL361" s="3">
        <v>13650</v>
      </c>
      <c r="AM361" s="3">
        <v>13640</v>
      </c>
      <c r="AN361" s="3">
        <v>13325</v>
      </c>
      <c r="AO361" s="3">
        <v>13330</v>
      </c>
      <c r="AP361" s="3">
        <v>13390</v>
      </c>
      <c r="AQ361" s="3">
        <v>13405</v>
      </c>
      <c r="AR361" s="4">
        <f t="shared" si="208"/>
        <v>1.777970511708582E-2</v>
      </c>
      <c r="AS361" s="4">
        <f t="shared" si="180"/>
        <v>4.3290043290045155E-4</v>
      </c>
      <c r="AT361" s="4">
        <f t="shared" si="181"/>
        <v>2.8609154929577496E-2</v>
      </c>
      <c r="AU361" s="4">
        <f t="shared" si="182"/>
        <v>2.3344651952461826E-2</v>
      </c>
      <c r="AV361" s="4">
        <f t="shared" si="183"/>
        <v>2.5662959794696238E-2</v>
      </c>
      <c r="AW361" s="4">
        <f t="shared" si="184"/>
        <v>2.2765598650927421E-2</v>
      </c>
      <c r="AX361" s="4">
        <f t="shared" si="185"/>
        <v>4.9112670243499856E-2</v>
      </c>
      <c r="AY361" s="4">
        <f t="shared" si="186"/>
        <v>1.4084507042253502E-2</v>
      </c>
      <c r="AZ361" s="4">
        <f t="shared" si="187"/>
        <v>1.9928258270227595E-3</v>
      </c>
      <c r="BA361" s="4">
        <f t="shared" si="188"/>
        <v>1.1717171717171682E-2</v>
      </c>
      <c r="BB361" s="4">
        <f t="shared" si="189"/>
        <v>3.121199837859745E-2</v>
      </c>
      <c r="BC361" s="4">
        <f t="shared" si="190"/>
        <v>7.5187969924812581E-3</v>
      </c>
      <c r="BD361" s="4">
        <f t="shared" si="191"/>
        <v>1.1292834890965775E-2</v>
      </c>
      <c r="BE361" s="4">
        <f t="shared" si="192"/>
        <v>2.3910528345545634E-2</v>
      </c>
      <c r="BF361" s="4">
        <f t="shared" si="193"/>
        <v>1.413292589763171E-2</v>
      </c>
      <c r="BG361" s="4">
        <f t="shared" si="194"/>
        <v>4.0494938132733305E-2</v>
      </c>
      <c r="BH361" s="4">
        <f t="shared" si="195"/>
        <v>5.0323508267433592E-3</v>
      </c>
      <c r="BI361" s="4">
        <f t="shared" si="196"/>
        <v>1.2972972972972951E-2</v>
      </c>
      <c r="BJ361" s="4">
        <f t="shared" si="197"/>
        <v>5.8309037900874383E-3</v>
      </c>
      <c r="BK361" s="4">
        <f t="shared" si="198"/>
        <v>2.5940811107051487E-2</v>
      </c>
      <c r="BL361" s="4">
        <f t="shared" si="199"/>
        <v>3.7160906726123599E-3</v>
      </c>
      <c r="BM361" s="4">
        <f t="shared" si="209"/>
        <v>1.8231874011768439E-2</v>
      </c>
      <c r="BN361" s="14">
        <f t="shared" si="210"/>
        <v>13700.309864828343</v>
      </c>
      <c r="BO361" s="15">
        <f t="shared" si="211"/>
        <v>13082.060278793186</v>
      </c>
      <c r="BP361" s="16">
        <v>13390</v>
      </c>
      <c r="BQ361" s="16">
        <v>13410</v>
      </c>
      <c r="BR361" s="16">
        <v>13385</v>
      </c>
      <c r="BS361" s="16">
        <v>13405</v>
      </c>
      <c r="BT361" s="16">
        <v>48406</v>
      </c>
      <c r="BU361" s="15">
        <f t="shared" si="200"/>
        <v>13400</v>
      </c>
      <c r="BV361" s="15">
        <f t="shared" si="201"/>
        <v>648640400</v>
      </c>
      <c r="BW361" s="15">
        <f>SUM($BV$3:BV361)</f>
        <v>269494488586.66669</v>
      </c>
      <c r="BX361" s="15">
        <f>SUM($BT$3:BT361)</f>
        <v>19915094</v>
      </c>
      <c r="BY361" s="15">
        <f t="shared" si="202"/>
        <v>13532.172561508707</v>
      </c>
      <c r="BZ361" s="3">
        <v>359</v>
      </c>
      <c r="CA361" s="3">
        <f t="shared" si="203"/>
        <v>0</v>
      </c>
      <c r="CB361" s="3">
        <f t="shared" si="204"/>
        <v>0</v>
      </c>
      <c r="CC361" s="3">
        <f t="shared" si="205"/>
        <v>0</v>
      </c>
      <c r="CD361" s="3" t="str">
        <f t="shared" si="206"/>
        <v/>
      </c>
      <c r="CE361" s="3">
        <f t="shared" si="207"/>
        <v>0</v>
      </c>
    </row>
    <row r="362" spans="1:83" x14ac:dyDescent="0.3">
      <c r="A362" s="3" t="s">
        <v>402</v>
      </c>
      <c r="B362" s="3">
        <v>11735</v>
      </c>
      <c r="C362" s="3">
        <v>11730</v>
      </c>
      <c r="D362" s="3">
        <v>11545</v>
      </c>
      <c r="E362" s="3">
        <v>11545</v>
      </c>
      <c r="F362" s="3">
        <v>11685</v>
      </c>
      <c r="G362" s="3">
        <v>11685</v>
      </c>
      <c r="H362" s="3">
        <v>11505</v>
      </c>
      <c r="I362" s="3">
        <v>11505</v>
      </c>
      <c r="J362" s="3">
        <v>11990</v>
      </c>
      <c r="K362" s="3">
        <v>11985</v>
      </c>
      <c r="L362" s="3">
        <v>12130</v>
      </c>
      <c r="M362" s="3">
        <v>12135</v>
      </c>
      <c r="N362" s="3">
        <v>12710</v>
      </c>
      <c r="O362" s="3">
        <v>12710</v>
      </c>
      <c r="P362" s="3">
        <v>12595</v>
      </c>
      <c r="Q362" s="3">
        <v>12600</v>
      </c>
      <c r="R362" s="3">
        <v>12520</v>
      </c>
      <c r="S362" s="3">
        <v>12520</v>
      </c>
      <c r="T362" s="3">
        <v>12235</v>
      </c>
      <c r="U362" s="3">
        <v>12235</v>
      </c>
      <c r="V362" s="3">
        <v>12715</v>
      </c>
      <c r="W362" s="3">
        <v>12710</v>
      </c>
      <c r="X362" s="3">
        <v>12730</v>
      </c>
      <c r="Y362" s="3">
        <v>12735</v>
      </c>
      <c r="Z362" s="3">
        <v>12695</v>
      </c>
      <c r="AA362" s="3">
        <v>12700</v>
      </c>
      <c r="AB362" s="3">
        <v>13275</v>
      </c>
      <c r="AC362" s="3">
        <v>13265</v>
      </c>
      <c r="AD362" s="3">
        <v>13275</v>
      </c>
      <c r="AE362" s="3">
        <v>13270</v>
      </c>
      <c r="AF362" s="3">
        <v>13875</v>
      </c>
      <c r="AG362" s="3">
        <v>13870</v>
      </c>
      <c r="AH362" s="3">
        <v>13980</v>
      </c>
      <c r="AI362" s="3">
        <v>13960</v>
      </c>
      <c r="AJ362" s="3">
        <v>13695</v>
      </c>
      <c r="AK362" s="3">
        <v>13685</v>
      </c>
      <c r="AL362" s="3">
        <v>13645</v>
      </c>
      <c r="AM362" s="3">
        <v>13635</v>
      </c>
      <c r="AN362" s="3">
        <v>13330</v>
      </c>
      <c r="AO362" s="3">
        <v>13330</v>
      </c>
      <c r="AP362" s="3">
        <v>13410</v>
      </c>
      <c r="AQ362" s="3">
        <v>13400</v>
      </c>
      <c r="AR362" s="4">
        <f t="shared" si="208"/>
        <v>1.7346053772766767E-2</v>
      </c>
      <c r="AS362" s="4">
        <f t="shared" si="180"/>
        <v>4.3290043290045155E-4</v>
      </c>
      <c r="AT362" s="4">
        <f t="shared" si="181"/>
        <v>2.8609154929577496E-2</v>
      </c>
      <c r="AU362" s="4">
        <f t="shared" si="182"/>
        <v>2.3344651952461826E-2</v>
      </c>
      <c r="AV362" s="4">
        <f t="shared" si="183"/>
        <v>2.5235243798118034E-2</v>
      </c>
      <c r="AW362" s="4">
        <f t="shared" si="184"/>
        <v>2.3187183811129941E-2</v>
      </c>
      <c r="AX362" s="4">
        <f t="shared" si="185"/>
        <v>4.9112670243499856E-2</v>
      </c>
      <c r="AY362" s="4">
        <f t="shared" si="186"/>
        <v>1.4084507042253502E-2</v>
      </c>
      <c r="AZ362" s="4">
        <f t="shared" si="187"/>
        <v>1.9928258270227595E-3</v>
      </c>
      <c r="BA362" s="4">
        <f t="shared" si="188"/>
        <v>1.1313131313131275E-2</v>
      </c>
      <c r="BB362" s="4">
        <f t="shared" si="189"/>
        <v>3.0401297122010451E-2</v>
      </c>
      <c r="BC362" s="4">
        <f t="shared" si="190"/>
        <v>7.9145231499802016E-3</v>
      </c>
      <c r="BD362" s="4">
        <f t="shared" si="191"/>
        <v>1.0903426791277204E-2</v>
      </c>
      <c r="BE362" s="4">
        <f t="shared" si="192"/>
        <v>2.3139220979560449E-2</v>
      </c>
      <c r="BF362" s="4">
        <f t="shared" si="193"/>
        <v>1.3750954927425507E-2</v>
      </c>
      <c r="BG362" s="4">
        <f t="shared" si="194"/>
        <v>4.0119985001874747E-2</v>
      </c>
      <c r="BH362" s="4">
        <f t="shared" si="195"/>
        <v>3.5945363048166534E-3</v>
      </c>
      <c r="BI362" s="4">
        <f t="shared" si="196"/>
        <v>1.3693693693693665E-2</v>
      </c>
      <c r="BJ362" s="4">
        <f t="shared" si="197"/>
        <v>6.1953352769679171E-3</v>
      </c>
      <c r="BK362" s="4">
        <f t="shared" si="198"/>
        <v>2.5940811107051487E-2</v>
      </c>
      <c r="BL362" s="4">
        <f t="shared" si="199"/>
        <v>4.0876997398736625E-3</v>
      </c>
      <c r="BM362" s="4">
        <f t="shared" si="209"/>
        <v>1.8011208484326118E-2</v>
      </c>
      <c r="BN362" s="14">
        <f t="shared" si="210"/>
        <v>13697.340810156607</v>
      </c>
      <c r="BO362" s="15">
        <f t="shared" si="211"/>
        <v>13085.000646946355</v>
      </c>
      <c r="BP362" s="16">
        <v>13410</v>
      </c>
      <c r="BQ362" s="16">
        <v>13410</v>
      </c>
      <c r="BR362" s="16">
        <v>13400</v>
      </c>
      <c r="BS362" s="16">
        <v>13400</v>
      </c>
      <c r="BT362" s="16">
        <v>28515</v>
      </c>
      <c r="BU362" s="15">
        <f t="shared" si="200"/>
        <v>13403.333333333334</v>
      </c>
      <c r="BV362" s="15">
        <f t="shared" si="201"/>
        <v>382196050</v>
      </c>
      <c r="BW362" s="15">
        <f>SUM($BV$3:BV362)</f>
        <v>269876684636.66669</v>
      </c>
      <c r="BX362" s="15">
        <f>SUM($BT$3:BT362)</f>
        <v>19943609</v>
      </c>
      <c r="BY362" s="15">
        <f t="shared" si="202"/>
        <v>13531.988349584404</v>
      </c>
      <c r="BZ362" s="3">
        <v>360</v>
      </c>
      <c r="CA362" s="3">
        <f t="shared" si="203"/>
        <v>0</v>
      </c>
      <c r="CB362" s="3">
        <f t="shared" si="204"/>
        <v>0</v>
      </c>
      <c r="CC362" s="3">
        <f t="shared" si="205"/>
        <v>0</v>
      </c>
      <c r="CD362" s="3">
        <f t="shared" si="206"/>
        <v>0</v>
      </c>
      <c r="CE362" s="3">
        <f t="shared" si="207"/>
        <v>0</v>
      </c>
    </row>
    <row r="363" spans="1:83" x14ac:dyDescent="0.3">
      <c r="A363" s="3" t="s">
        <v>403</v>
      </c>
      <c r="B363" s="3">
        <v>11725</v>
      </c>
      <c r="C363" s="3">
        <v>11730</v>
      </c>
      <c r="D363" s="3">
        <v>11545</v>
      </c>
      <c r="E363" s="3">
        <v>11550</v>
      </c>
      <c r="F363" s="3">
        <v>11685</v>
      </c>
      <c r="G363" s="3">
        <v>11685</v>
      </c>
      <c r="H363" s="3">
        <v>11505</v>
      </c>
      <c r="I363" s="3">
        <v>11490</v>
      </c>
      <c r="J363" s="3">
        <v>11985</v>
      </c>
      <c r="K363" s="3">
        <v>11975</v>
      </c>
      <c r="L363" s="3">
        <v>12135</v>
      </c>
      <c r="M363" s="3">
        <v>12135</v>
      </c>
      <c r="N363" s="3">
        <v>12710</v>
      </c>
      <c r="O363" s="3">
        <v>12700</v>
      </c>
      <c r="P363" s="3">
        <v>12605</v>
      </c>
      <c r="Q363" s="3">
        <v>12605</v>
      </c>
      <c r="R363" s="3">
        <v>12515</v>
      </c>
      <c r="S363" s="3">
        <v>12515</v>
      </c>
      <c r="T363" s="3">
        <v>12235</v>
      </c>
      <c r="U363" s="3">
        <v>12240</v>
      </c>
      <c r="V363" s="3">
        <v>12705</v>
      </c>
      <c r="W363" s="3">
        <v>12690</v>
      </c>
      <c r="X363" s="3">
        <v>12740</v>
      </c>
      <c r="Y363" s="3">
        <v>12750</v>
      </c>
      <c r="Z363" s="3">
        <v>12700</v>
      </c>
      <c r="AA363" s="3">
        <v>12705</v>
      </c>
      <c r="AB363" s="3">
        <v>13265</v>
      </c>
      <c r="AC363" s="3">
        <v>13260</v>
      </c>
      <c r="AD363" s="3">
        <v>13270</v>
      </c>
      <c r="AE363" s="3">
        <v>13280</v>
      </c>
      <c r="AF363" s="3">
        <v>13870</v>
      </c>
      <c r="AG363" s="3">
        <v>13860</v>
      </c>
      <c r="AH363" s="3">
        <v>13960</v>
      </c>
      <c r="AI363" s="3">
        <v>13955</v>
      </c>
      <c r="AJ363" s="3">
        <v>13685</v>
      </c>
      <c r="AK363" s="3">
        <v>13715</v>
      </c>
      <c r="AL363" s="3">
        <v>13640</v>
      </c>
      <c r="AM363" s="3">
        <v>13640</v>
      </c>
      <c r="AN363" s="3">
        <v>13330</v>
      </c>
      <c r="AO363" s="3">
        <v>13340</v>
      </c>
      <c r="AP363" s="3">
        <v>13395</v>
      </c>
      <c r="AQ363" s="3">
        <v>13405</v>
      </c>
      <c r="AR363" s="4">
        <f t="shared" si="208"/>
        <v>1.7346053772766767E-2</v>
      </c>
      <c r="AS363" s="4">
        <f t="shared" si="180"/>
        <v>0</v>
      </c>
      <c r="AT363" s="4">
        <f t="shared" si="181"/>
        <v>2.8609154929577496E-2</v>
      </c>
      <c r="AU363" s="4">
        <f t="shared" si="182"/>
        <v>2.4617996604414216E-2</v>
      </c>
      <c r="AV363" s="4">
        <f t="shared" si="183"/>
        <v>2.4379811804961404E-2</v>
      </c>
      <c r="AW363" s="4">
        <f t="shared" si="184"/>
        <v>2.3187183811129941E-2</v>
      </c>
      <c r="AX363" s="4">
        <f t="shared" si="185"/>
        <v>4.8287247214197304E-2</v>
      </c>
      <c r="AY363" s="4">
        <f t="shared" si="186"/>
        <v>1.3693270735524288E-2</v>
      </c>
      <c r="AZ363" s="4">
        <f t="shared" si="187"/>
        <v>2.3913909924272447E-3</v>
      </c>
      <c r="BA363" s="4">
        <f t="shared" si="188"/>
        <v>1.0909090909090868E-2</v>
      </c>
      <c r="BB363" s="4">
        <f t="shared" si="189"/>
        <v>2.8779894608836676E-2</v>
      </c>
      <c r="BC363" s="4">
        <f t="shared" si="190"/>
        <v>9.101701622477254E-3</v>
      </c>
      <c r="BD363" s="4">
        <f t="shared" si="191"/>
        <v>1.0514018691588745E-2</v>
      </c>
      <c r="BE363" s="4">
        <f t="shared" si="192"/>
        <v>2.2753567296567745E-2</v>
      </c>
      <c r="BF363" s="4">
        <f t="shared" si="193"/>
        <v>1.4514896867838134E-2</v>
      </c>
      <c r="BG363" s="4">
        <f t="shared" si="194"/>
        <v>3.937007874015741E-2</v>
      </c>
      <c r="BH363" s="4">
        <f t="shared" si="195"/>
        <v>3.2350826743350325E-3</v>
      </c>
      <c r="BI363" s="4">
        <f t="shared" si="196"/>
        <v>1.1531531531531525E-2</v>
      </c>
      <c r="BJ363" s="4">
        <f t="shared" si="197"/>
        <v>5.8309037900874383E-3</v>
      </c>
      <c r="BK363" s="4">
        <f t="shared" si="198"/>
        <v>2.5210084033613467E-2</v>
      </c>
      <c r="BL363" s="4">
        <f t="shared" si="199"/>
        <v>3.7160906726123599E-3</v>
      </c>
      <c r="BM363" s="4">
        <f t="shared" si="209"/>
        <v>1.7580197122019508E-2</v>
      </c>
      <c r="BN363" s="14">
        <f t="shared" si="210"/>
        <v>13691.541552276773</v>
      </c>
      <c r="BO363" s="15">
        <f t="shared" si="211"/>
        <v>13090.743873349089</v>
      </c>
      <c r="BP363" s="16">
        <v>13395</v>
      </c>
      <c r="BQ363" s="16">
        <v>13405</v>
      </c>
      <c r="BR363" s="16">
        <v>13390</v>
      </c>
      <c r="BS363" s="16">
        <v>13405</v>
      </c>
      <c r="BT363" s="16">
        <v>11400</v>
      </c>
      <c r="BU363" s="15">
        <f t="shared" si="200"/>
        <v>13400</v>
      </c>
      <c r="BV363" s="15">
        <f t="shared" si="201"/>
        <v>152760000</v>
      </c>
      <c r="BW363" s="15">
        <f>SUM($BV$3:BV363)</f>
        <v>270029444636.66669</v>
      </c>
      <c r="BX363" s="15">
        <f>SUM($BT$3:BT363)</f>
        <v>19955009</v>
      </c>
      <c r="BY363" s="15">
        <f t="shared" si="202"/>
        <v>13531.912946602364</v>
      </c>
      <c r="BZ363" s="3">
        <v>361</v>
      </c>
      <c r="CA363" s="3">
        <f t="shared" si="203"/>
        <v>0</v>
      </c>
      <c r="CB363" s="3">
        <f t="shared" si="204"/>
        <v>0</v>
      </c>
      <c r="CC363" s="3">
        <f t="shared" si="205"/>
        <v>0</v>
      </c>
      <c r="CD363" s="3" t="str">
        <f t="shared" si="206"/>
        <v/>
      </c>
      <c r="CE363" s="3">
        <f t="shared" si="207"/>
        <v>0</v>
      </c>
    </row>
    <row r="364" spans="1:83" x14ac:dyDescent="0.3">
      <c r="A364" s="3" t="s">
        <v>404</v>
      </c>
      <c r="B364" s="3">
        <v>11735</v>
      </c>
      <c r="C364" s="3">
        <v>11735</v>
      </c>
      <c r="D364" s="3">
        <v>11555</v>
      </c>
      <c r="E364" s="3">
        <v>11555</v>
      </c>
      <c r="F364" s="3">
        <v>11685</v>
      </c>
      <c r="G364" s="3">
        <v>11675</v>
      </c>
      <c r="H364" s="3">
        <v>11485</v>
      </c>
      <c r="I364" s="3">
        <v>11485</v>
      </c>
      <c r="J364" s="3">
        <v>11980</v>
      </c>
      <c r="K364" s="3">
        <v>11980</v>
      </c>
      <c r="L364" s="3">
        <v>12135</v>
      </c>
      <c r="M364" s="3">
        <v>12145</v>
      </c>
      <c r="N364" s="3">
        <v>12700</v>
      </c>
      <c r="O364" s="3">
        <v>12700</v>
      </c>
      <c r="P364" s="3">
        <v>12605</v>
      </c>
      <c r="Q364" s="3">
        <v>12615</v>
      </c>
      <c r="R364" s="3">
        <v>12520</v>
      </c>
      <c r="S364" s="3">
        <v>12520</v>
      </c>
      <c r="T364" s="3">
        <v>12240</v>
      </c>
      <c r="U364" s="3">
        <v>12220</v>
      </c>
      <c r="V364" s="3">
        <v>12690</v>
      </c>
      <c r="W364" s="3">
        <v>12695</v>
      </c>
      <c r="X364" s="3">
        <v>12745</v>
      </c>
      <c r="Y364" s="3">
        <v>12735</v>
      </c>
      <c r="Z364" s="3">
        <v>12700</v>
      </c>
      <c r="AA364" s="3">
        <v>12705</v>
      </c>
      <c r="AB364" s="3">
        <v>13260</v>
      </c>
      <c r="AC364" s="3">
        <v>13250</v>
      </c>
      <c r="AD364" s="3">
        <v>13280</v>
      </c>
      <c r="AE364" s="3">
        <v>13260</v>
      </c>
      <c r="AF364" s="3">
        <v>13860</v>
      </c>
      <c r="AG364" s="3">
        <v>13840</v>
      </c>
      <c r="AH364" s="3">
        <v>13960</v>
      </c>
      <c r="AI364" s="3">
        <v>13930</v>
      </c>
      <c r="AJ364" s="3">
        <v>13710</v>
      </c>
      <c r="AK364" s="3">
        <v>13715</v>
      </c>
      <c r="AL364" s="3">
        <v>13640</v>
      </c>
      <c r="AM364" s="3">
        <v>13625</v>
      </c>
      <c r="AN364" s="3">
        <v>13340</v>
      </c>
      <c r="AO364" s="3">
        <v>13345</v>
      </c>
      <c r="AP364" s="3">
        <v>13405</v>
      </c>
      <c r="AQ364" s="3">
        <v>13395</v>
      </c>
      <c r="AR364" s="4">
        <f t="shared" si="208"/>
        <v>1.777970511708582E-2</v>
      </c>
      <c r="AS364" s="4">
        <f t="shared" si="180"/>
        <v>4.3290043290045155E-4</v>
      </c>
      <c r="AT364" s="4">
        <f t="shared" si="181"/>
        <v>2.7728873239436513E-2</v>
      </c>
      <c r="AU364" s="4">
        <f t="shared" si="182"/>
        <v>2.5042444821731791E-2</v>
      </c>
      <c r="AV364" s="4">
        <f t="shared" si="183"/>
        <v>2.480752780153983E-2</v>
      </c>
      <c r="AW364" s="4">
        <f t="shared" si="184"/>
        <v>2.4030354131534537E-2</v>
      </c>
      <c r="AX364" s="4">
        <f t="shared" si="185"/>
        <v>4.8287247214197304E-2</v>
      </c>
      <c r="AY364" s="4">
        <f t="shared" si="186"/>
        <v>1.2910798122065748E-2</v>
      </c>
      <c r="AZ364" s="4">
        <f t="shared" si="187"/>
        <v>1.9928258270227595E-3</v>
      </c>
      <c r="BA364" s="4">
        <f t="shared" si="188"/>
        <v>1.2525252525252495E-2</v>
      </c>
      <c r="BB364" s="4">
        <f t="shared" si="189"/>
        <v>2.9185245237130175E-2</v>
      </c>
      <c r="BC364" s="4">
        <f t="shared" si="190"/>
        <v>7.9145231499802016E-3</v>
      </c>
      <c r="BD364" s="4">
        <f t="shared" si="191"/>
        <v>1.0514018691588745E-2</v>
      </c>
      <c r="BE364" s="4">
        <f t="shared" si="192"/>
        <v>2.1982259930582337E-2</v>
      </c>
      <c r="BF364" s="4">
        <f t="shared" si="193"/>
        <v>1.298701298701288E-2</v>
      </c>
      <c r="BG364" s="4">
        <f t="shared" si="194"/>
        <v>3.7870266216722959E-2</v>
      </c>
      <c r="BH364" s="4">
        <f t="shared" si="195"/>
        <v>1.4378145219267058E-3</v>
      </c>
      <c r="BI364" s="4">
        <f t="shared" si="196"/>
        <v>1.1531531531531525E-2</v>
      </c>
      <c r="BJ364" s="4">
        <f t="shared" si="197"/>
        <v>6.9241982507288746E-3</v>
      </c>
      <c r="BK364" s="4">
        <f t="shared" si="198"/>
        <v>2.4844720496894457E-2</v>
      </c>
      <c r="BL364" s="4">
        <f t="shared" si="199"/>
        <v>4.4593088071348541E-3</v>
      </c>
      <c r="BM364" s="4">
        <f t="shared" si="209"/>
        <v>1.7207693907331227E-2</v>
      </c>
      <c r="BN364" s="14">
        <f t="shared" si="210"/>
        <v>13686.52952152314</v>
      </c>
      <c r="BO364" s="15">
        <f t="shared" si="211"/>
        <v>13095.707478684812</v>
      </c>
      <c r="BP364" s="16">
        <v>13405</v>
      </c>
      <c r="BQ364" s="16">
        <v>13405</v>
      </c>
      <c r="BR364" s="16">
        <v>13395</v>
      </c>
      <c r="BS364" s="16">
        <v>13395</v>
      </c>
      <c r="BT364" s="16">
        <v>43073</v>
      </c>
      <c r="BU364" s="15">
        <f t="shared" si="200"/>
        <v>13398.333333333334</v>
      </c>
      <c r="BV364" s="15">
        <f t="shared" si="201"/>
        <v>577106411.66666675</v>
      </c>
      <c r="BW364" s="15">
        <f>SUM($BV$3:BV364)</f>
        <v>270606551048.33334</v>
      </c>
      <c r="BX364" s="15">
        <f>SUM($BT$3:BT364)</f>
        <v>19998082</v>
      </c>
      <c r="BY364" s="15">
        <f t="shared" si="202"/>
        <v>13531.62523527673</v>
      </c>
      <c r="BZ364" s="3">
        <v>362</v>
      </c>
      <c r="CA364" s="3">
        <f t="shared" si="203"/>
        <v>0</v>
      </c>
      <c r="CB364" s="3">
        <f t="shared" si="204"/>
        <v>0</v>
      </c>
      <c r="CC364" s="3">
        <f t="shared" si="205"/>
        <v>0</v>
      </c>
      <c r="CD364" s="3" t="str">
        <f t="shared" si="206"/>
        <v/>
      </c>
      <c r="CE364" s="3">
        <f t="shared" si="207"/>
        <v>0</v>
      </c>
    </row>
    <row r="365" spans="1:83" x14ac:dyDescent="0.3">
      <c r="A365" s="3" t="s">
        <v>405</v>
      </c>
      <c r="B365" s="3">
        <v>11735</v>
      </c>
      <c r="C365" s="3">
        <v>11735</v>
      </c>
      <c r="D365" s="3">
        <v>11555</v>
      </c>
      <c r="E365" s="3">
        <v>11570</v>
      </c>
      <c r="F365" s="3">
        <v>11675</v>
      </c>
      <c r="G365" s="3">
        <v>11675</v>
      </c>
      <c r="H365" s="3">
        <v>11485</v>
      </c>
      <c r="I365" s="3">
        <v>11480</v>
      </c>
      <c r="J365" s="3">
        <v>11985</v>
      </c>
      <c r="K365" s="3">
        <v>11980</v>
      </c>
      <c r="L365" s="3">
        <v>12140</v>
      </c>
      <c r="M365" s="3">
        <v>12145</v>
      </c>
      <c r="N365" s="3">
        <v>12695</v>
      </c>
      <c r="O365" s="3">
        <v>12695</v>
      </c>
      <c r="P365" s="3">
        <v>12615</v>
      </c>
      <c r="Q365" s="3">
        <v>12610</v>
      </c>
      <c r="R365" s="3">
        <v>12520</v>
      </c>
      <c r="S365" s="3">
        <v>12515</v>
      </c>
      <c r="T365" s="3">
        <v>12220</v>
      </c>
      <c r="U365" s="3">
        <v>12230</v>
      </c>
      <c r="V365" s="3">
        <v>12695</v>
      </c>
      <c r="W365" s="3">
        <v>12695</v>
      </c>
      <c r="X365" s="3">
        <v>12740</v>
      </c>
      <c r="Y365" s="3">
        <v>12750</v>
      </c>
      <c r="Z365" s="3">
        <v>12705</v>
      </c>
      <c r="AA365" s="3">
        <v>12705</v>
      </c>
      <c r="AB365" s="3">
        <v>13250</v>
      </c>
      <c r="AC365" s="3">
        <v>13245</v>
      </c>
      <c r="AD365" s="3">
        <v>13265</v>
      </c>
      <c r="AE365" s="3">
        <v>13270</v>
      </c>
      <c r="AF365" s="3">
        <v>13845</v>
      </c>
      <c r="AG365" s="3">
        <v>13860</v>
      </c>
      <c r="AH365" s="3">
        <v>13930</v>
      </c>
      <c r="AI365" s="3">
        <v>13935</v>
      </c>
      <c r="AJ365" s="3">
        <v>13715</v>
      </c>
      <c r="AK365" s="3">
        <v>13720</v>
      </c>
      <c r="AL365" s="3">
        <v>13630</v>
      </c>
      <c r="AM365" s="3">
        <v>13625</v>
      </c>
      <c r="AN365" s="3">
        <v>13350</v>
      </c>
      <c r="AO365" s="3">
        <v>13355</v>
      </c>
      <c r="AP365" s="3">
        <v>13395</v>
      </c>
      <c r="AQ365" s="3">
        <v>13400</v>
      </c>
      <c r="AR365" s="4">
        <f t="shared" si="208"/>
        <v>1.777970511708582E-2</v>
      </c>
      <c r="AS365" s="4">
        <f t="shared" si="180"/>
        <v>1.7316017316018062E-3</v>
      </c>
      <c r="AT365" s="4">
        <f t="shared" si="181"/>
        <v>2.7728873239436513E-2</v>
      </c>
      <c r="AU365" s="4">
        <f t="shared" si="182"/>
        <v>2.5466893039049254E-2</v>
      </c>
      <c r="AV365" s="4">
        <f t="shared" si="183"/>
        <v>2.480752780153983E-2</v>
      </c>
      <c r="AW365" s="4">
        <f t="shared" si="184"/>
        <v>2.4030354131534537E-2</v>
      </c>
      <c r="AX365" s="4">
        <f t="shared" si="185"/>
        <v>4.7874535699546028E-2</v>
      </c>
      <c r="AY365" s="4">
        <f t="shared" si="186"/>
        <v>1.3302034428794962E-2</v>
      </c>
      <c r="AZ365" s="4">
        <f t="shared" si="187"/>
        <v>2.3913909924272447E-3</v>
      </c>
      <c r="BA365" s="4">
        <f t="shared" si="188"/>
        <v>1.1717171717171682E-2</v>
      </c>
      <c r="BB365" s="4">
        <f t="shared" si="189"/>
        <v>2.9185245237130175E-2</v>
      </c>
      <c r="BC365" s="4">
        <f t="shared" si="190"/>
        <v>9.101701622477254E-3</v>
      </c>
      <c r="BD365" s="4">
        <f t="shared" si="191"/>
        <v>1.0514018691588745E-2</v>
      </c>
      <c r="BE365" s="4">
        <f t="shared" si="192"/>
        <v>2.1596606247589634E-2</v>
      </c>
      <c r="BF365" s="4">
        <f t="shared" si="193"/>
        <v>1.3750954927425507E-2</v>
      </c>
      <c r="BG365" s="4">
        <f t="shared" si="194"/>
        <v>3.937007874015741E-2</v>
      </c>
      <c r="BH365" s="4">
        <f t="shared" si="195"/>
        <v>1.7972681524083267E-3</v>
      </c>
      <c r="BI365" s="4">
        <f t="shared" si="196"/>
        <v>1.1171171171171168E-2</v>
      </c>
      <c r="BJ365" s="4">
        <f t="shared" si="197"/>
        <v>6.9241982507288746E-3</v>
      </c>
      <c r="BK365" s="4">
        <f t="shared" si="198"/>
        <v>2.4113993423456326E-2</v>
      </c>
      <c r="BL365" s="4">
        <f t="shared" si="199"/>
        <v>4.0876997398736625E-3</v>
      </c>
      <c r="BM365" s="4">
        <f t="shared" si="209"/>
        <v>1.7343597807290952E-2</v>
      </c>
      <c r="BN365" s="14">
        <f t="shared" si="210"/>
        <v>13688.358108497099</v>
      </c>
      <c r="BO365" s="15">
        <f t="shared" si="211"/>
        <v>13093.896559217847</v>
      </c>
      <c r="BP365" s="16">
        <v>13395</v>
      </c>
      <c r="BQ365" s="16">
        <v>13400</v>
      </c>
      <c r="BR365" s="16">
        <v>13395</v>
      </c>
      <c r="BS365" s="16">
        <v>13400</v>
      </c>
      <c r="BT365" s="16">
        <v>14444</v>
      </c>
      <c r="BU365" s="15">
        <f t="shared" si="200"/>
        <v>13398.333333333334</v>
      </c>
      <c r="BV365" s="15">
        <f t="shared" si="201"/>
        <v>193525526.66666669</v>
      </c>
      <c r="BW365" s="15">
        <f>SUM($BV$3:BV365)</f>
        <v>270800076575</v>
      </c>
      <c r="BX365" s="15">
        <f>SUM($BT$3:BT365)</f>
        <v>20012526</v>
      </c>
      <c r="BY365" s="15">
        <f t="shared" si="202"/>
        <v>13531.529032117185</v>
      </c>
      <c r="BZ365" s="3">
        <v>363</v>
      </c>
      <c r="CA365" s="3">
        <f t="shared" si="203"/>
        <v>0</v>
      </c>
      <c r="CB365" s="3">
        <f t="shared" si="204"/>
        <v>0</v>
      </c>
      <c r="CC365" s="3">
        <f t="shared" si="205"/>
        <v>0</v>
      </c>
      <c r="CD365" s="3" t="str">
        <f t="shared" si="206"/>
        <v/>
      </c>
      <c r="CE365" s="3">
        <f t="shared" si="207"/>
        <v>0</v>
      </c>
    </row>
    <row r="366" spans="1:83" x14ac:dyDescent="0.3">
      <c r="A366" s="3" t="s">
        <v>406</v>
      </c>
      <c r="B366" s="3">
        <v>11740</v>
      </c>
      <c r="C366" s="3">
        <v>11745</v>
      </c>
      <c r="D366" s="3">
        <v>11575</v>
      </c>
      <c r="E366" s="3">
        <v>11575</v>
      </c>
      <c r="F366" s="3">
        <v>11670</v>
      </c>
      <c r="G366" s="3">
        <v>11670</v>
      </c>
      <c r="H366" s="3">
        <v>11485</v>
      </c>
      <c r="I366" s="3">
        <v>11470</v>
      </c>
      <c r="J366" s="3">
        <v>11985</v>
      </c>
      <c r="K366" s="3">
        <v>11990</v>
      </c>
      <c r="L366" s="3">
        <v>12145</v>
      </c>
      <c r="M366" s="3">
        <v>12130</v>
      </c>
      <c r="N366" s="3">
        <v>12695</v>
      </c>
      <c r="O366" s="3">
        <v>12695</v>
      </c>
      <c r="P366" s="3">
        <v>12610</v>
      </c>
      <c r="Q366" s="3">
        <v>12595</v>
      </c>
      <c r="R366" s="3">
        <v>12515</v>
      </c>
      <c r="S366" s="3">
        <v>12530</v>
      </c>
      <c r="T366" s="3">
        <v>12225</v>
      </c>
      <c r="U366" s="3">
        <v>12220</v>
      </c>
      <c r="V366" s="3">
        <v>12695</v>
      </c>
      <c r="W366" s="3">
        <v>12710</v>
      </c>
      <c r="X366" s="3">
        <v>12745</v>
      </c>
      <c r="Y366" s="3">
        <v>12745</v>
      </c>
      <c r="Z366" s="3">
        <v>12705</v>
      </c>
      <c r="AA366" s="3">
        <v>12700</v>
      </c>
      <c r="AB366" s="3">
        <v>13245</v>
      </c>
      <c r="AC366" s="3">
        <v>13240</v>
      </c>
      <c r="AD366" s="3">
        <v>13275</v>
      </c>
      <c r="AE366" s="3">
        <v>13265</v>
      </c>
      <c r="AF366" s="3">
        <v>13860</v>
      </c>
      <c r="AG366" s="3">
        <v>13835</v>
      </c>
      <c r="AH366" s="3">
        <v>13935</v>
      </c>
      <c r="AI366" s="3">
        <v>13915</v>
      </c>
      <c r="AJ366" s="3">
        <v>13720</v>
      </c>
      <c r="AK366" s="3">
        <v>13725</v>
      </c>
      <c r="AL366" s="3">
        <v>13625</v>
      </c>
      <c r="AM366" s="3">
        <v>13640</v>
      </c>
      <c r="AN366" s="3">
        <v>13355</v>
      </c>
      <c r="AO366" s="3">
        <v>13345</v>
      </c>
      <c r="AP366" s="3">
        <v>13400</v>
      </c>
      <c r="AQ366" s="3">
        <v>13395</v>
      </c>
      <c r="AR366" s="4">
        <f t="shared" si="208"/>
        <v>1.8647007805724147E-2</v>
      </c>
      <c r="AS366" s="4">
        <f t="shared" si="180"/>
        <v>2.1645021645022577E-3</v>
      </c>
      <c r="AT366" s="4">
        <f t="shared" si="181"/>
        <v>2.7288732394366244E-2</v>
      </c>
      <c r="AU366" s="4">
        <f t="shared" si="182"/>
        <v>2.6315789473684181E-2</v>
      </c>
      <c r="AV366" s="4">
        <f t="shared" si="183"/>
        <v>2.5662959794696238E-2</v>
      </c>
      <c r="AW366" s="4">
        <f t="shared" si="184"/>
        <v>2.2765598650927421E-2</v>
      </c>
      <c r="AX366" s="4">
        <f t="shared" si="185"/>
        <v>4.7874535699546028E-2</v>
      </c>
      <c r="AY366" s="4">
        <f t="shared" si="186"/>
        <v>1.4475743348982828E-2</v>
      </c>
      <c r="AZ366" s="4">
        <f t="shared" si="187"/>
        <v>1.1956954962136779E-3</v>
      </c>
      <c r="BA366" s="4">
        <f t="shared" si="188"/>
        <v>1.2525252525252495E-2</v>
      </c>
      <c r="BB366" s="4">
        <f t="shared" si="189"/>
        <v>3.0401297122010451E-2</v>
      </c>
      <c r="BC366" s="4">
        <f t="shared" si="190"/>
        <v>8.7059754649783105E-3</v>
      </c>
      <c r="BD366" s="4">
        <f t="shared" si="191"/>
        <v>1.0903426791277204E-2</v>
      </c>
      <c r="BE366" s="4">
        <f t="shared" si="192"/>
        <v>2.121095256459693E-2</v>
      </c>
      <c r="BF366" s="4">
        <f t="shared" si="193"/>
        <v>1.3368983957219305E-2</v>
      </c>
      <c r="BG366" s="4">
        <f t="shared" si="194"/>
        <v>3.7495313085864179E-2</v>
      </c>
      <c r="BH366" s="4">
        <f t="shared" si="195"/>
        <v>3.5945363048162093E-4</v>
      </c>
      <c r="BI366" s="4">
        <f t="shared" si="196"/>
        <v>1.0810810810810811E-2</v>
      </c>
      <c r="BJ366" s="4">
        <f t="shared" si="197"/>
        <v>5.8309037900874383E-3</v>
      </c>
      <c r="BK366" s="4">
        <f t="shared" si="198"/>
        <v>2.4844720496894457E-2</v>
      </c>
      <c r="BL366" s="4">
        <f t="shared" si="199"/>
        <v>4.4593088071348541E-3</v>
      </c>
      <c r="BM366" s="4">
        <f t="shared" si="209"/>
        <v>1.7143076056015411E-2</v>
      </c>
      <c r="BN366" s="14">
        <f t="shared" si="210"/>
        <v>13685.660088333687</v>
      </c>
      <c r="BO366" s="15">
        <f t="shared" si="211"/>
        <v>13096.568511553594</v>
      </c>
      <c r="BP366" s="16">
        <v>13400</v>
      </c>
      <c r="BQ366" s="16">
        <v>13400</v>
      </c>
      <c r="BR366" s="16">
        <v>13390</v>
      </c>
      <c r="BS366" s="16">
        <v>13395</v>
      </c>
      <c r="BT366" s="16">
        <v>14741</v>
      </c>
      <c r="BU366" s="15">
        <f t="shared" si="200"/>
        <v>13395</v>
      </c>
      <c r="BV366" s="15">
        <f t="shared" si="201"/>
        <v>197455695</v>
      </c>
      <c r="BW366" s="15">
        <f>SUM($BV$3:BV366)</f>
        <v>270997532270</v>
      </c>
      <c r="BX366" s="15">
        <f>SUM($BT$3:BT366)</f>
        <v>20027267</v>
      </c>
      <c r="BY366" s="15">
        <f t="shared" si="202"/>
        <v>13531.428540399447</v>
      </c>
      <c r="BZ366" s="3">
        <v>364</v>
      </c>
      <c r="CA366" s="3">
        <f t="shared" si="203"/>
        <v>0</v>
      </c>
      <c r="CB366" s="3">
        <f t="shared" si="204"/>
        <v>0</v>
      </c>
      <c r="CC366" s="3">
        <f t="shared" si="205"/>
        <v>0</v>
      </c>
      <c r="CD366" s="3" t="str">
        <f t="shared" si="206"/>
        <v/>
      </c>
      <c r="CE366" s="3">
        <f t="shared" si="207"/>
        <v>0</v>
      </c>
    </row>
    <row r="367" spans="1:83" x14ac:dyDescent="0.3">
      <c r="A367" s="3" t="s">
        <v>407</v>
      </c>
      <c r="B367" s="3">
        <v>11745</v>
      </c>
      <c r="C367" s="3">
        <v>11740</v>
      </c>
      <c r="D367" s="3">
        <v>11570</v>
      </c>
      <c r="E367" s="3">
        <v>11570</v>
      </c>
      <c r="F367" s="3">
        <v>11660</v>
      </c>
      <c r="G367" s="3">
        <v>11660</v>
      </c>
      <c r="H367" s="3">
        <v>11475</v>
      </c>
      <c r="I367" s="3">
        <v>11470</v>
      </c>
      <c r="J367" s="3">
        <v>11995</v>
      </c>
      <c r="K367" s="3">
        <v>11995</v>
      </c>
      <c r="L367" s="3">
        <v>12130</v>
      </c>
      <c r="M367" s="3">
        <v>12135</v>
      </c>
      <c r="N367" s="3">
        <v>12700</v>
      </c>
      <c r="O367" s="3">
        <v>12700</v>
      </c>
      <c r="P367" s="3">
        <v>12600</v>
      </c>
      <c r="Q367" s="3">
        <v>12600</v>
      </c>
      <c r="R367" s="3">
        <v>12530</v>
      </c>
      <c r="S367" s="3">
        <v>12525</v>
      </c>
      <c r="T367" s="3">
        <v>12220</v>
      </c>
      <c r="U367" s="3">
        <v>12215</v>
      </c>
      <c r="V367" s="3">
        <v>12710</v>
      </c>
      <c r="W367" s="3">
        <v>12700</v>
      </c>
      <c r="X367" s="3">
        <v>12745</v>
      </c>
      <c r="Y367" s="3">
        <v>12745</v>
      </c>
      <c r="Z367" s="3">
        <v>12700</v>
      </c>
      <c r="AA367" s="3">
        <v>12700</v>
      </c>
      <c r="AB367" s="3">
        <v>13235</v>
      </c>
      <c r="AC367" s="3">
        <v>13250</v>
      </c>
      <c r="AD367" s="3">
        <v>13270</v>
      </c>
      <c r="AE367" s="3">
        <v>13265</v>
      </c>
      <c r="AF367" s="3">
        <v>13835</v>
      </c>
      <c r="AG367" s="3">
        <v>13845</v>
      </c>
      <c r="AH367" s="3">
        <v>13915</v>
      </c>
      <c r="AI367" s="3">
        <v>13915</v>
      </c>
      <c r="AJ367" s="3">
        <v>13725</v>
      </c>
      <c r="AK367" s="3">
        <v>13715</v>
      </c>
      <c r="AL367" s="3">
        <v>13640</v>
      </c>
      <c r="AM367" s="3">
        <v>13655</v>
      </c>
      <c r="AN367" s="3">
        <v>13345</v>
      </c>
      <c r="AO367" s="3">
        <v>13335</v>
      </c>
      <c r="AP367" s="3">
        <v>13395</v>
      </c>
      <c r="AQ367" s="3">
        <v>13395</v>
      </c>
      <c r="AR367" s="4">
        <f t="shared" si="208"/>
        <v>1.8213356461405095E-2</v>
      </c>
      <c r="AS367" s="4">
        <f t="shared" si="180"/>
        <v>1.7316017316018062E-3</v>
      </c>
      <c r="AT367" s="4">
        <f t="shared" si="181"/>
        <v>2.6408450704225261E-2</v>
      </c>
      <c r="AU367" s="4">
        <f t="shared" si="182"/>
        <v>2.6315789473684181E-2</v>
      </c>
      <c r="AV367" s="4">
        <f t="shared" si="183"/>
        <v>2.6090675791274665E-2</v>
      </c>
      <c r="AW367" s="4">
        <f t="shared" si="184"/>
        <v>2.3187183811129941E-2</v>
      </c>
      <c r="AX367" s="4">
        <f t="shared" si="185"/>
        <v>4.8287247214197304E-2</v>
      </c>
      <c r="AY367" s="4">
        <f t="shared" si="186"/>
        <v>1.4084507042253502E-2</v>
      </c>
      <c r="AZ367" s="4">
        <f t="shared" si="187"/>
        <v>1.5942606616181632E-3</v>
      </c>
      <c r="BA367" s="4">
        <f t="shared" si="188"/>
        <v>1.2929292929292902E-2</v>
      </c>
      <c r="BB367" s="4">
        <f t="shared" si="189"/>
        <v>2.9590595865423674E-2</v>
      </c>
      <c r="BC367" s="4">
        <f t="shared" si="190"/>
        <v>8.7059754649783105E-3</v>
      </c>
      <c r="BD367" s="4">
        <f t="shared" si="191"/>
        <v>1.0903426791277204E-2</v>
      </c>
      <c r="BE367" s="4">
        <f t="shared" si="192"/>
        <v>2.1982259930582337E-2</v>
      </c>
      <c r="BF367" s="4">
        <f t="shared" si="193"/>
        <v>1.3368983957219305E-2</v>
      </c>
      <c r="BG367" s="4">
        <f t="shared" si="194"/>
        <v>3.8245219347581516E-2</v>
      </c>
      <c r="BH367" s="4">
        <f t="shared" si="195"/>
        <v>3.5945363048162093E-4</v>
      </c>
      <c r="BI367" s="4">
        <f t="shared" si="196"/>
        <v>1.1531531531531525E-2</v>
      </c>
      <c r="BJ367" s="4">
        <f t="shared" si="197"/>
        <v>4.737609329446113E-3</v>
      </c>
      <c r="BK367" s="4">
        <f t="shared" si="198"/>
        <v>2.5575447570332477E-2</v>
      </c>
      <c r="BL367" s="4">
        <f t="shared" si="199"/>
        <v>4.4593088071348541E-3</v>
      </c>
      <c r="BM367" s="4">
        <f t="shared" si="209"/>
        <v>1.727827223330114E-2</v>
      </c>
      <c r="BN367" s="14">
        <f t="shared" si="210"/>
        <v>13687.479152899066</v>
      </c>
      <c r="BO367" s="15">
        <f t="shared" si="211"/>
        <v>13094.767022491262</v>
      </c>
      <c r="BP367" s="16">
        <v>13395</v>
      </c>
      <c r="BQ367" s="16">
        <v>13395</v>
      </c>
      <c r="BR367" s="16">
        <v>13390</v>
      </c>
      <c r="BS367" s="16">
        <v>13395</v>
      </c>
      <c r="BT367" s="16">
        <v>19501</v>
      </c>
      <c r="BU367" s="15">
        <f t="shared" si="200"/>
        <v>13393.333333333334</v>
      </c>
      <c r="BV367" s="15">
        <f t="shared" si="201"/>
        <v>261183393.33333334</v>
      </c>
      <c r="BW367" s="15">
        <f>SUM($BV$3:BV367)</f>
        <v>271258715663.33334</v>
      </c>
      <c r="BX367" s="15">
        <f>SUM($BT$3:BT367)</f>
        <v>20046768</v>
      </c>
      <c r="BY367" s="15">
        <f t="shared" si="202"/>
        <v>13531.294204798167</v>
      </c>
      <c r="BZ367" s="3">
        <v>365</v>
      </c>
      <c r="CA367" s="3">
        <f t="shared" si="203"/>
        <v>0</v>
      </c>
      <c r="CB367" s="3">
        <f t="shared" si="204"/>
        <v>0</v>
      </c>
      <c r="CC367" s="3">
        <f t="shared" si="205"/>
        <v>0</v>
      </c>
      <c r="CD367" s="3" t="str">
        <f t="shared" si="206"/>
        <v/>
      </c>
      <c r="CE367" s="3">
        <f t="shared" si="207"/>
        <v>0</v>
      </c>
    </row>
    <row r="368" spans="1:83" x14ac:dyDescent="0.3">
      <c r="A368" s="3" t="s">
        <v>408</v>
      </c>
      <c r="B368" s="3">
        <v>11740</v>
      </c>
      <c r="C368" s="3">
        <v>11730</v>
      </c>
      <c r="D368" s="3">
        <v>11570</v>
      </c>
      <c r="E368" s="3">
        <v>11565</v>
      </c>
      <c r="F368" s="3">
        <v>11660</v>
      </c>
      <c r="G368" s="3">
        <v>11670</v>
      </c>
      <c r="H368" s="3">
        <v>11475</v>
      </c>
      <c r="I368" s="3">
        <v>11485</v>
      </c>
      <c r="J368" s="3">
        <v>11995</v>
      </c>
      <c r="K368" s="3">
        <v>11990</v>
      </c>
      <c r="L368" s="3">
        <v>12135</v>
      </c>
      <c r="M368" s="3">
        <v>12130</v>
      </c>
      <c r="N368" s="3">
        <v>12700</v>
      </c>
      <c r="O368" s="3">
        <v>12700</v>
      </c>
      <c r="P368" s="3">
        <v>12595</v>
      </c>
      <c r="Q368" s="3">
        <v>12610</v>
      </c>
      <c r="R368" s="3">
        <v>12530</v>
      </c>
      <c r="S368" s="3">
        <v>12525</v>
      </c>
      <c r="T368" s="3">
        <v>12215</v>
      </c>
      <c r="U368" s="3">
        <v>12215</v>
      </c>
      <c r="V368" s="3">
        <v>12695</v>
      </c>
      <c r="W368" s="3">
        <v>12710</v>
      </c>
      <c r="X368" s="3">
        <v>12745</v>
      </c>
      <c r="Y368" s="3">
        <v>12735</v>
      </c>
      <c r="Z368" s="3">
        <v>12700</v>
      </c>
      <c r="AA368" s="3">
        <v>12695</v>
      </c>
      <c r="AB368" s="3">
        <v>13250</v>
      </c>
      <c r="AC368" s="3">
        <v>13245</v>
      </c>
      <c r="AD368" s="3">
        <v>13265</v>
      </c>
      <c r="AE368" s="3">
        <v>13265</v>
      </c>
      <c r="AF368" s="3">
        <v>13845</v>
      </c>
      <c r="AG368" s="3">
        <v>13845</v>
      </c>
      <c r="AH368" s="3">
        <v>13915</v>
      </c>
      <c r="AI368" s="3">
        <v>13920</v>
      </c>
      <c r="AJ368" s="3">
        <v>13720</v>
      </c>
      <c r="AK368" s="3">
        <v>13720</v>
      </c>
      <c r="AL368" s="3">
        <v>13650</v>
      </c>
      <c r="AM368" s="3">
        <v>13655</v>
      </c>
      <c r="AN368" s="3">
        <v>13335</v>
      </c>
      <c r="AO368" s="3">
        <v>13335</v>
      </c>
      <c r="AP368" s="3">
        <v>13395</v>
      </c>
      <c r="AQ368" s="3">
        <v>13395</v>
      </c>
      <c r="AR368" s="4">
        <f t="shared" si="208"/>
        <v>1.7346053772766767E-2</v>
      </c>
      <c r="AS368" s="4">
        <f t="shared" si="180"/>
        <v>1.2987012987013546E-3</v>
      </c>
      <c r="AT368" s="4">
        <f t="shared" si="181"/>
        <v>2.7288732394366244E-2</v>
      </c>
      <c r="AU368" s="4">
        <f t="shared" si="182"/>
        <v>2.5042444821731791E-2</v>
      </c>
      <c r="AV368" s="4">
        <f t="shared" si="183"/>
        <v>2.5662959794696238E-2</v>
      </c>
      <c r="AW368" s="4">
        <f t="shared" si="184"/>
        <v>2.2765598650927421E-2</v>
      </c>
      <c r="AX368" s="4">
        <f t="shared" si="185"/>
        <v>4.8287247214197304E-2</v>
      </c>
      <c r="AY368" s="4">
        <f t="shared" si="186"/>
        <v>1.3302034428794962E-2</v>
      </c>
      <c r="AZ368" s="4">
        <f t="shared" si="187"/>
        <v>1.5942606616181632E-3</v>
      </c>
      <c r="BA368" s="4">
        <f t="shared" si="188"/>
        <v>1.2929292929292902E-2</v>
      </c>
      <c r="BB368" s="4">
        <f t="shared" si="189"/>
        <v>3.0401297122010451E-2</v>
      </c>
      <c r="BC368" s="4">
        <f t="shared" si="190"/>
        <v>7.9145231499802016E-3</v>
      </c>
      <c r="BD368" s="4">
        <f t="shared" si="191"/>
        <v>1.1292834890965775E-2</v>
      </c>
      <c r="BE368" s="4">
        <f t="shared" si="192"/>
        <v>2.1596606247589634E-2</v>
      </c>
      <c r="BF368" s="4">
        <f t="shared" si="193"/>
        <v>1.3368983957219305E-2</v>
      </c>
      <c r="BG368" s="4">
        <f t="shared" si="194"/>
        <v>3.8245219347581516E-2</v>
      </c>
      <c r="BH368" s="4">
        <f t="shared" si="195"/>
        <v>7.1890726096324187E-4</v>
      </c>
      <c r="BI368" s="4">
        <f t="shared" si="196"/>
        <v>1.1171171171171168E-2</v>
      </c>
      <c r="BJ368" s="4">
        <f t="shared" si="197"/>
        <v>4.737609329446113E-3</v>
      </c>
      <c r="BK368" s="4">
        <f t="shared" si="198"/>
        <v>2.5575447570332477E-2</v>
      </c>
      <c r="BL368" s="4">
        <f t="shared" si="199"/>
        <v>4.4593088071348541E-3</v>
      </c>
      <c r="BM368" s="4">
        <f t="shared" si="209"/>
        <v>1.7223959662940231E-2</v>
      </c>
      <c r="BN368" s="14">
        <f t="shared" si="210"/>
        <v>13686.748377264861</v>
      </c>
      <c r="BO368" s="15">
        <f t="shared" si="211"/>
        <v>13095.490737491322</v>
      </c>
      <c r="BP368" s="16">
        <v>13395</v>
      </c>
      <c r="BQ368" s="16">
        <v>13400</v>
      </c>
      <c r="BR368" s="16">
        <v>13390</v>
      </c>
      <c r="BS368" s="16">
        <v>13395</v>
      </c>
      <c r="BT368" s="16">
        <v>58529</v>
      </c>
      <c r="BU368" s="15">
        <f t="shared" si="200"/>
        <v>13395</v>
      </c>
      <c r="BV368" s="15">
        <f t="shared" si="201"/>
        <v>783995955</v>
      </c>
      <c r="BW368" s="15">
        <f>SUM($BV$3:BV368)</f>
        <v>272042711618.33334</v>
      </c>
      <c r="BX368" s="15">
        <f>SUM($BT$3:BT368)</f>
        <v>20105297</v>
      </c>
      <c r="BY368" s="15">
        <f t="shared" si="202"/>
        <v>13530.897435553095</v>
      </c>
      <c r="BZ368" s="3">
        <v>366</v>
      </c>
      <c r="CA368" s="3">
        <f t="shared" si="203"/>
        <v>0</v>
      </c>
      <c r="CB368" s="3">
        <f t="shared" si="204"/>
        <v>0</v>
      </c>
      <c r="CC368" s="3">
        <f t="shared" si="205"/>
        <v>0</v>
      </c>
      <c r="CD368" s="3" t="str">
        <f t="shared" si="206"/>
        <v/>
      </c>
      <c r="CE368" s="3">
        <f t="shared" si="207"/>
        <v>0</v>
      </c>
    </row>
    <row r="369" spans="1:83" x14ac:dyDescent="0.3">
      <c r="A369" s="3" t="s">
        <v>409</v>
      </c>
      <c r="B369" s="3">
        <v>11730</v>
      </c>
      <c r="C369" s="3">
        <v>11715</v>
      </c>
      <c r="D369" s="3">
        <v>11560</v>
      </c>
      <c r="E369" s="3">
        <v>11555</v>
      </c>
      <c r="F369" s="3">
        <v>11660</v>
      </c>
      <c r="G369" s="3">
        <v>11670</v>
      </c>
      <c r="H369" s="3">
        <v>11490</v>
      </c>
      <c r="I369" s="3">
        <v>11490</v>
      </c>
      <c r="J369" s="3">
        <v>11990</v>
      </c>
      <c r="K369" s="3">
        <v>11980</v>
      </c>
      <c r="L369" s="3">
        <v>12130</v>
      </c>
      <c r="M369" s="3">
        <v>12140</v>
      </c>
      <c r="N369" s="3">
        <v>12700</v>
      </c>
      <c r="O369" s="3">
        <v>12700</v>
      </c>
      <c r="P369" s="3">
        <v>12610</v>
      </c>
      <c r="Q369" s="3">
        <v>12620</v>
      </c>
      <c r="R369" s="3">
        <v>12530</v>
      </c>
      <c r="S369" s="3">
        <v>12520</v>
      </c>
      <c r="T369" s="3">
        <v>12215</v>
      </c>
      <c r="U369" s="3">
        <v>12210</v>
      </c>
      <c r="V369" s="3">
        <v>12705</v>
      </c>
      <c r="W369" s="3">
        <v>12700</v>
      </c>
      <c r="X369" s="3">
        <v>12735</v>
      </c>
      <c r="Y369" s="3">
        <v>12740</v>
      </c>
      <c r="Z369" s="3">
        <v>12695</v>
      </c>
      <c r="AA369" s="3">
        <v>12690</v>
      </c>
      <c r="AB369" s="3">
        <v>13245</v>
      </c>
      <c r="AC369" s="3">
        <v>13245</v>
      </c>
      <c r="AD369" s="3">
        <v>13260</v>
      </c>
      <c r="AE369" s="3">
        <v>13260</v>
      </c>
      <c r="AF369" s="3">
        <v>13845</v>
      </c>
      <c r="AG369" s="3">
        <v>13835</v>
      </c>
      <c r="AH369" s="3">
        <v>13920</v>
      </c>
      <c r="AI369" s="3">
        <v>13915</v>
      </c>
      <c r="AJ369" s="3">
        <v>13725</v>
      </c>
      <c r="AK369" s="3">
        <v>13710</v>
      </c>
      <c r="AL369" s="3">
        <v>13655</v>
      </c>
      <c r="AM369" s="3">
        <v>13655</v>
      </c>
      <c r="AN369" s="3">
        <v>13335</v>
      </c>
      <c r="AO369" s="3">
        <v>13315</v>
      </c>
      <c r="AP369" s="3">
        <v>13395</v>
      </c>
      <c r="AQ369" s="3">
        <v>13385</v>
      </c>
      <c r="AR369" s="4">
        <f t="shared" si="208"/>
        <v>1.6045099739809165E-2</v>
      </c>
      <c r="AS369" s="4">
        <f t="shared" si="180"/>
        <v>4.3290043290045155E-4</v>
      </c>
      <c r="AT369" s="4">
        <f t="shared" si="181"/>
        <v>2.7288732394366244E-2</v>
      </c>
      <c r="AU369" s="4">
        <f t="shared" si="182"/>
        <v>2.4617996604414216E-2</v>
      </c>
      <c r="AV369" s="4">
        <f t="shared" si="183"/>
        <v>2.480752780153983E-2</v>
      </c>
      <c r="AW369" s="4">
        <f t="shared" si="184"/>
        <v>2.3608768971332239E-2</v>
      </c>
      <c r="AX369" s="4">
        <f t="shared" si="185"/>
        <v>4.8287247214197304E-2</v>
      </c>
      <c r="AY369" s="4">
        <f t="shared" si="186"/>
        <v>1.2519561815336422E-2</v>
      </c>
      <c r="AZ369" s="4">
        <f t="shared" si="187"/>
        <v>1.9928258270227595E-3</v>
      </c>
      <c r="BA369" s="4">
        <f t="shared" si="188"/>
        <v>1.3333333333333308E-2</v>
      </c>
      <c r="BB369" s="4">
        <f t="shared" si="189"/>
        <v>2.9590595865423674E-2</v>
      </c>
      <c r="BC369" s="4">
        <f t="shared" si="190"/>
        <v>8.310249307479145E-3</v>
      </c>
      <c r="BD369" s="4">
        <f t="shared" si="191"/>
        <v>1.1682242990654235E-2</v>
      </c>
      <c r="BE369" s="4">
        <f t="shared" si="192"/>
        <v>2.1596606247589634E-2</v>
      </c>
      <c r="BF369" s="4">
        <f t="shared" si="193"/>
        <v>1.298701298701288E-2</v>
      </c>
      <c r="BG369" s="4">
        <f t="shared" si="194"/>
        <v>3.7495313085864179E-2</v>
      </c>
      <c r="BH369" s="4">
        <f t="shared" si="195"/>
        <v>3.5945363048162093E-4</v>
      </c>
      <c r="BI369" s="4">
        <f t="shared" si="196"/>
        <v>1.1891891891891881E-2</v>
      </c>
      <c r="BJ369" s="4">
        <f t="shared" si="197"/>
        <v>4.737609329446113E-3</v>
      </c>
      <c r="BK369" s="4">
        <f t="shared" si="198"/>
        <v>2.7036901717208628E-2</v>
      </c>
      <c r="BL369" s="4">
        <f t="shared" si="199"/>
        <v>5.2025269416573483E-3</v>
      </c>
      <c r="BM369" s="4">
        <f t="shared" si="209"/>
        <v>1.7272917517352986E-2</v>
      </c>
      <c r="BN369" s="14">
        <f t="shared" si="210"/>
        <v>13687.407105195984</v>
      </c>
      <c r="BO369" s="15">
        <f t="shared" si="211"/>
        <v>13094.838374081271</v>
      </c>
      <c r="BP369" s="16">
        <v>13395</v>
      </c>
      <c r="BQ369" s="16">
        <v>13395</v>
      </c>
      <c r="BR369" s="16">
        <v>13380</v>
      </c>
      <c r="BS369" s="16">
        <v>13385</v>
      </c>
      <c r="BT369" s="16">
        <v>45288</v>
      </c>
      <c r="BU369" s="15">
        <f t="shared" si="200"/>
        <v>13386.666666666666</v>
      </c>
      <c r="BV369" s="15">
        <f t="shared" si="201"/>
        <v>606255360</v>
      </c>
      <c r="BW369" s="15">
        <f>SUM($BV$3:BV369)</f>
        <v>272648966978.33334</v>
      </c>
      <c r="BX369" s="15">
        <f>SUM($BT$3:BT369)</f>
        <v>20150585</v>
      </c>
      <c r="BY369" s="15">
        <f t="shared" si="202"/>
        <v>13530.573280047867</v>
      </c>
      <c r="BZ369" s="3">
        <v>367</v>
      </c>
      <c r="CA369" s="3">
        <f t="shared" si="203"/>
        <v>0</v>
      </c>
      <c r="CB369" s="3">
        <f t="shared" si="204"/>
        <v>0</v>
      </c>
      <c r="CC369" s="3">
        <f t="shared" si="205"/>
        <v>0</v>
      </c>
      <c r="CD369" s="3" t="str">
        <f t="shared" si="206"/>
        <v/>
      </c>
      <c r="CE369" s="3">
        <f t="shared" si="207"/>
        <v>0</v>
      </c>
    </row>
    <row r="370" spans="1:83" x14ac:dyDescent="0.3">
      <c r="A370" s="3" t="s">
        <v>410</v>
      </c>
      <c r="B370" s="3">
        <v>11715</v>
      </c>
      <c r="C370" s="3">
        <v>11705</v>
      </c>
      <c r="D370" s="3">
        <v>11555</v>
      </c>
      <c r="E370" s="3">
        <v>11560</v>
      </c>
      <c r="F370" s="3">
        <v>11670</v>
      </c>
      <c r="G370" s="3">
        <v>11665</v>
      </c>
      <c r="H370" s="3">
        <v>11495</v>
      </c>
      <c r="I370" s="3">
        <v>11490</v>
      </c>
      <c r="J370" s="3">
        <v>11980</v>
      </c>
      <c r="K370" s="3">
        <v>11970</v>
      </c>
      <c r="L370" s="3">
        <v>12140</v>
      </c>
      <c r="M370" s="3">
        <v>12145</v>
      </c>
      <c r="N370" s="3">
        <v>12700</v>
      </c>
      <c r="O370" s="3">
        <v>12700</v>
      </c>
      <c r="P370" s="3">
        <v>12615</v>
      </c>
      <c r="Q370" s="3">
        <v>12620</v>
      </c>
      <c r="R370" s="3">
        <v>12520</v>
      </c>
      <c r="S370" s="3">
        <v>12525</v>
      </c>
      <c r="T370" s="3">
        <v>12210</v>
      </c>
      <c r="U370" s="3">
        <v>12220</v>
      </c>
      <c r="V370" s="3">
        <v>12700</v>
      </c>
      <c r="W370" s="3">
        <v>12705</v>
      </c>
      <c r="X370" s="3">
        <v>12740</v>
      </c>
      <c r="Y370" s="3">
        <v>12735</v>
      </c>
      <c r="Z370" s="3">
        <v>12695</v>
      </c>
      <c r="AA370" s="3">
        <v>12690</v>
      </c>
      <c r="AB370" s="3">
        <v>13245</v>
      </c>
      <c r="AC370" s="3">
        <v>13250</v>
      </c>
      <c r="AD370" s="3">
        <v>13260</v>
      </c>
      <c r="AE370" s="3">
        <v>13250</v>
      </c>
      <c r="AF370" s="3">
        <v>13835</v>
      </c>
      <c r="AG370" s="3">
        <v>13840</v>
      </c>
      <c r="AH370" s="3">
        <v>13915</v>
      </c>
      <c r="AI370" s="3">
        <v>13905</v>
      </c>
      <c r="AJ370" s="3">
        <v>13710</v>
      </c>
      <c r="AK370" s="3">
        <v>13705</v>
      </c>
      <c r="AL370" s="3">
        <v>13655</v>
      </c>
      <c r="AM370" s="3">
        <v>13650</v>
      </c>
      <c r="AN370" s="3">
        <v>13315</v>
      </c>
      <c r="AO370" s="3">
        <v>13310</v>
      </c>
      <c r="AP370" s="3">
        <v>13385</v>
      </c>
      <c r="AQ370" s="3">
        <v>13385</v>
      </c>
      <c r="AR370" s="4">
        <f t="shared" si="208"/>
        <v>1.5177797051170838E-2</v>
      </c>
      <c r="AS370" s="4">
        <f t="shared" si="180"/>
        <v>8.658008658009031E-4</v>
      </c>
      <c r="AT370" s="4">
        <f t="shared" si="181"/>
        <v>2.6848591549295753E-2</v>
      </c>
      <c r="AU370" s="4">
        <f t="shared" si="182"/>
        <v>2.4617996604414216E-2</v>
      </c>
      <c r="AV370" s="4">
        <f t="shared" si="183"/>
        <v>2.39520958083832E-2</v>
      </c>
      <c r="AW370" s="4">
        <f t="shared" si="184"/>
        <v>2.4030354131534537E-2</v>
      </c>
      <c r="AX370" s="4">
        <f t="shared" si="185"/>
        <v>4.8287247214197304E-2</v>
      </c>
      <c r="AY370" s="4">
        <f t="shared" si="186"/>
        <v>1.2519561815336422E-2</v>
      </c>
      <c r="AZ370" s="4">
        <f t="shared" si="187"/>
        <v>1.5942606616181632E-3</v>
      </c>
      <c r="BA370" s="4">
        <f t="shared" si="188"/>
        <v>1.2525252525252495E-2</v>
      </c>
      <c r="BB370" s="4">
        <f t="shared" si="189"/>
        <v>2.9995946493717174E-2</v>
      </c>
      <c r="BC370" s="4">
        <f t="shared" si="190"/>
        <v>7.9145231499802016E-3</v>
      </c>
      <c r="BD370" s="4">
        <f t="shared" si="191"/>
        <v>1.1682242990654235E-2</v>
      </c>
      <c r="BE370" s="4">
        <f t="shared" si="192"/>
        <v>2.1982259930582337E-2</v>
      </c>
      <c r="BF370" s="4">
        <f t="shared" si="193"/>
        <v>1.2223071046600475E-2</v>
      </c>
      <c r="BG370" s="4">
        <f t="shared" si="194"/>
        <v>3.7870266216722959E-2</v>
      </c>
      <c r="BH370" s="4">
        <f t="shared" si="195"/>
        <v>3.5945363048162093E-4</v>
      </c>
      <c r="BI370" s="4">
        <f t="shared" si="196"/>
        <v>1.2252252252252238E-2</v>
      </c>
      <c r="BJ370" s="4">
        <f t="shared" si="197"/>
        <v>5.1020408163264808E-3</v>
      </c>
      <c r="BK370" s="4">
        <f t="shared" si="198"/>
        <v>2.7402265253927638E-2</v>
      </c>
      <c r="BL370" s="4">
        <f t="shared" si="199"/>
        <v>5.2025269416573483E-3</v>
      </c>
      <c r="BM370" s="4">
        <f t="shared" si="209"/>
        <v>1.7265045999832123E-2</v>
      </c>
      <c r="BN370" s="14">
        <f t="shared" si="210"/>
        <v>13687.30119392774</v>
      </c>
      <c r="BO370" s="15">
        <f t="shared" si="211"/>
        <v>13094.943262052237</v>
      </c>
      <c r="BP370" s="16">
        <v>13385</v>
      </c>
      <c r="BQ370" s="16">
        <v>13390</v>
      </c>
      <c r="BR370" s="16">
        <v>13380</v>
      </c>
      <c r="BS370" s="16">
        <v>13385</v>
      </c>
      <c r="BT370" s="16">
        <v>10367</v>
      </c>
      <c r="BU370" s="15">
        <f t="shared" si="200"/>
        <v>13385</v>
      </c>
      <c r="BV370" s="15">
        <f t="shared" si="201"/>
        <v>138762295</v>
      </c>
      <c r="BW370" s="15">
        <f>SUM($BV$3:BV370)</f>
        <v>272787729273.33334</v>
      </c>
      <c r="BX370" s="15">
        <f>SUM($BT$3:BT370)</f>
        <v>20160952</v>
      </c>
      <c r="BY370" s="15">
        <f t="shared" si="202"/>
        <v>13530.498424545296</v>
      </c>
      <c r="BZ370" s="3">
        <v>368</v>
      </c>
      <c r="CA370" s="3">
        <f t="shared" si="203"/>
        <v>0</v>
      </c>
      <c r="CB370" s="3">
        <f t="shared" si="204"/>
        <v>0</v>
      </c>
      <c r="CC370" s="3">
        <f t="shared" si="205"/>
        <v>0</v>
      </c>
      <c r="CD370" s="3" t="str">
        <f t="shared" si="206"/>
        <v/>
      </c>
      <c r="CE370" s="3">
        <f t="shared" si="207"/>
        <v>0</v>
      </c>
    </row>
    <row r="371" spans="1:83" x14ac:dyDescent="0.3">
      <c r="A371" s="3" t="s">
        <v>411</v>
      </c>
      <c r="B371" s="3">
        <v>11710</v>
      </c>
      <c r="C371" s="3">
        <v>11715</v>
      </c>
      <c r="D371" s="3">
        <v>11565</v>
      </c>
      <c r="E371" s="3">
        <v>11565</v>
      </c>
      <c r="F371" s="3">
        <v>11665</v>
      </c>
      <c r="G371" s="3">
        <v>11665</v>
      </c>
      <c r="H371" s="3">
        <v>11490</v>
      </c>
      <c r="I371" s="3">
        <v>11465</v>
      </c>
      <c r="J371" s="3">
        <v>11970</v>
      </c>
      <c r="K371" s="3">
        <v>11975</v>
      </c>
      <c r="L371" s="3">
        <v>12145</v>
      </c>
      <c r="M371" s="3">
        <v>12145</v>
      </c>
      <c r="N371" s="3">
        <v>12700</v>
      </c>
      <c r="O371" s="3">
        <v>12700</v>
      </c>
      <c r="P371" s="3">
        <v>12620</v>
      </c>
      <c r="Q371" s="3">
        <v>12620</v>
      </c>
      <c r="R371" s="3">
        <v>12525</v>
      </c>
      <c r="S371" s="3">
        <v>12525</v>
      </c>
      <c r="T371" s="3">
        <v>12220</v>
      </c>
      <c r="U371" s="3">
        <v>12220</v>
      </c>
      <c r="V371" s="3">
        <v>12705</v>
      </c>
      <c r="W371" s="3">
        <v>12710</v>
      </c>
      <c r="X371" s="3">
        <v>12740</v>
      </c>
      <c r="Y371" s="3">
        <v>12730</v>
      </c>
      <c r="Z371" s="3">
        <v>12690</v>
      </c>
      <c r="AA371" s="3">
        <v>12685</v>
      </c>
      <c r="AB371" s="3">
        <v>13250</v>
      </c>
      <c r="AC371" s="3">
        <v>13260</v>
      </c>
      <c r="AD371" s="3">
        <v>13245</v>
      </c>
      <c r="AE371" s="3">
        <v>13250</v>
      </c>
      <c r="AF371" s="3">
        <v>13835</v>
      </c>
      <c r="AG371" s="3">
        <v>13845</v>
      </c>
      <c r="AH371" s="3">
        <v>13905</v>
      </c>
      <c r="AI371" s="3">
        <v>13905</v>
      </c>
      <c r="AJ371" s="3">
        <v>13705</v>
      </c>
      <c r="AK371" s="3">
        <v>13705</v>
      </c>
      <c r="AL371" s="3">
        <v>13650</v>
      </c>
      <c r="AM371" s="3">
        <v>13650</v>
      </c>
      <c r="AN371" s="3">
        <v>13310</v>
      </c>
      <c r="AO371" s="3">
        <v>13305</v>
      </c>
      <c r="AP371" s="3">
        <v>13385</v>
      </c>
      <c r="AQ371" s="3">
        <v>13375</v>
      </c>
      <c r="AR371" s="4">
        <f t="shared" si="208"/>
        <v>1.6045099739809165E-2</v>
      </c>
      <c r="AS371" s="4">
        <f t="shared" si="180"/>
        <v>1.2987012987013546E-3</v>
      </c>
      <c r="AT371" s="4">
        <f t="shared" si="181"/>
        <v>2.6848591549295753E-2</v>
      </c>
      <c r="AU371" s="4">
        <f t="shared" si="182"/>
        <v>2.6740237691001645E-2</v>
      </c>
      <c r="AV371" s="4">
        <f t="shared" si="183"/>
        <v>2.4379811804961404E-2</v>
      </c>
      <c r="AW371" s="4">
        <f t="shared" si="184"/>
        <v>2.4030354131534537E-2</v>
      </c>
      <c r="AX371" s="4">
        <f t="shared" si="185"/>
        <v>4.8287247214197304E-2</v>
      </c>
      <c r="AY371" s="4">
        <f t="shared" si="186"/>
        <v>1.2519561815336422E-2</v>
      </c>
      <c r="AZ371" s="4">
        <f t="shared" si="187"/>
        <v>1.5942606616181632E-3</v>
      </c>
      <c r="BA371" s="4">
        <f t="shared" si="188"/>
        <v>1.2525252525252495E-2</v>
      </c>
      <c r="BB371" s="4">
        <f t="shared" si="189"/>
        <v>3.0401297122010451E-2</v>
      </c>
      <c r="BC371" s="4">
        <f t="shared" si="190"/>
        <v>7.5187969924812581E-3</v>
      </c>
      <c r="BD371" s="4">
        <f t="shared" si="191"/>
        <v>1.2071651090342694E-2</v>
      </c>
      <c r="BE371" s="4">
        <f t="shared" si="192"/>
        <v>2.2753567296567745E-2</v>
      </c>
      <c r="BF371" s="4">
        <f t="shared" si="193"/>
        <v>1.2223071046600475E-2</v>
      </c>
      <c r="BG371" s="4">
        <f t="shared" si="194"/>
        <v>3.8245219347581516E-2</v>
      </c>
      <c r="BH371" s="4">
        <f t="shared" si="195"/>
        <v>3.5945363048162093E-4</v>
      </c>
      <c r="BI371" s="4">
        <f t="shared" si="196"/>
        <v>1.2252252252252238E-2</v>
      </c>
      <c r="BJ371" s="4">
        <f t="shared" si="197"/>
        <v>5.1020408163264808E-3</v>
      </c>
      <c r="BK371" s="4">
        <f t="shared" si="198"/>
        <v>2.7767628790646648E-2</v>
      </c>
      <c r="BL371" s="4">
        <f t="shared" si="199"/>
        <v>5.9457450761798425E-3</v>
      </c>
      <c r="BM371" s="4">
        <f t="shared" si="209"/>
        <v>1.7401521471549681E-2</v>
      </c>
      <c r="BN371" s="14">
        <f t="shared" si="210"/>
        <v>13689.137471399701</v>
      </c>
      <c r="BO371" s="15">
        <f t="shared" si="211"/>
        <v>13093.124726391599</v>
      </c>
      <c r="BP371" s="16">
        <v>13385</v>
      </c>
      <c r="BQ371" s="16">
        <v>13390</v>
      </c>
      <c r="BR371" s="16">
        <v>13370</v>
      </c>
      <c r="BS371" s="16">
        <v>13375</v>
      </c>
      <c r="BT371" s="16">
        <v>32143</v>
      </c>
      <c r="BU371" s="15">
        <f t="shared" si="200"/>
        <v>13378.333333333334</v>
      </c>
      <c r="BV371" s="15">
        <f t="shared" si="201"/>
        <v>430019768.33333337</v>
      </c>
      <c r="BW371" s="15">
        <f>SUM($BV$3:BV371)</f>
        <v>273217749041.66669</v>
      </c>
      <c r="BX371" s="15">
        <f>SUM($BT$3:BT371)</f>
        <v>20193095</v>
      </c>
      <c r="BY371" s="15">
        <f t="shared" si="202"/>
        <v>13530.256210930849</v>
      </c>
      <c r="BZ371" s="3">
        <v>369</v>
      </c>
      <c r="CA371" s="3">
        <f t="shared" si="203"/>
        <v>0</v>
      </c>
      <c r="CB371" s="3">
        <f t="shared" si="204"/>
        <v>0</v>
      </c>
      <c r="CC371" s="3">
        <f t="shared" si="205"/>
        <v>0</v>
      </c>
      <c r="CD371" s="3" t="str">
        <f t="shared" si="206"/>
        <v/>
      </c>
      <c r="CE371" s="3">
        <f t="shared" si="207"/>
        <v>0</v>
      </c>
    </row>
    <row r="372" spans="1:83" x14ac:dyDescent="0.3">
      <c r="A372" s="3" t="s">
        <v>412</v>
      </c>
      <c r="B372" s="3">
        <v>11710</v>
      </c>
      <c r="C372" s="3">
        <v>11710</v>
      </c>
      <c r="D372" s="3">
        <v>11570</v>
      </c>
      <c r="E372" s="3">
        <v>11570</v>
      </c>
      <c r="F372" s="3">
        <v>11675</v>
      </c>
      <c r="G372" s="3">
        <v>11675</v>
      </c>
      <c r="H372" s="3">
        <v>11465</v>
      </c>
      <c r="I372" s="3">
        <v>11470</v>
      </c>
      <c r="J372" s="3">
        <v>11980</v>
      </c>
      <c r="K372" s="3">
        <v>11980</v>
      </c>
      <c r="L372" s="3">
        <v>12145</v>
      </c>
      <c r="M372" s="3">
        <v>12140</v>
      </c>
      <c r="N372" s="3">
        <v>12695</v>
      </c>
      <c r="O372" s="3">
        <v>12695</v>
      </c>
      <c r="P372" s="3">
        <v>12625</v>
      </c>
      <c r="Q372" s="3">
        <v>12605</v>
      </c>
      <c r="R372" s="3">
        <v>12525</v>
      </c>
      <c r="S372" s="3">
        <v>12525</v>
      </c>
      <c r="T372" s="3">
        <v>12220</v>
      </c>
      <c r="U372" s="3">
        <v>12230</v>
      </c>
      <c r="V372" s="3">
        <v>12705</v>
      </c>
      <c r="W372" s="3">
        <v>12695</v>
      </c>
      <c r="X372" s="3">
        <v>12735</v>
      </c>
      <c r="Y372" s="3">
        <v>12740</v>
      </c>
      <c r="Z372" s="3">
        <v>12685</v>
      </c>
      <c r="AA372" s="3">
        <v>12690</v>
      </c>
      <c r="AB372" s="3">
        <v>13255</v>
      </c>
      <c r="AC372" s="3">
        <v>13270</v>
      </c>
      <c r="AD372" s="3">
        <v>13255</v>
      </c>
      <c r="AE372" s="3">
        <v>13260</v>
      </c>
      <c r="AF372" s="3">
        <v>13840</v>
      </c>
      <c r="AG372" s="3">
        <v>13835</v>
      </c>
      <c r="AH372" s="3">
        <v>13905</v>
      </c>
      <c r="AI372" s="3">
        <v>13930</v>
      </c>
      <c r="AJ372" s="3">
        <v>13705</v>
      </c>
      <c r="AK372" s="3">
        <v>13705</v>
      </c>
      <c r="AL372" s="3">
        <v>13650</v>
      </c>
      <c r="AM372" s="3">
        <v>13640</v>
      </c>
      <c r="AN372" s="3">
        <v>13310</v>
      </c>
      <c r="AO372" s="3">
        <v>13305</v>
      </c>
      <c r="AP372" s="3">
        <v>13375</v>
      </c>
      <c r="AQ372" s="3">
        <v>13395</v>
      </c>
      <c r="AR372" s="4">
        <f t="shared" si="208"/>
        <v>1.5611448395490113E-2</v>
      </c>
      <c r="AS372" s="4">
        <f t="shared" si="180"/>
        <v>1.7316017316018062E-3</v>
      </c>
      <c r="AT372" s="4">
        <f t="shared" si="181"/>
        <v>2.7728873239436513E-2</v>
      </c>
      <c r="AU372" s="4">
        <f t="shared" si="182"/>
        <v>2.6315789473684181E-2</v>
      </c>
      <c r="AV372" s="4">
        <f t="shared" si="183"/>
        <v>2.480752780153983E-2</v>
      </c>
      <c r="AW372" s="4">
        <f t="shared" si="184"/>
        <v>2.3608768971332239E-2</v>
      </c>
      <c r="AX372" s="4">
        <f t="shared" si="185"/>
        <v>4.7874535699546028E-2</v>
      </c>
      <c r="AY372" s="4">
        <f t="shared" si="186"/>
        <v>1.3693270735524288E-2</v>
      </c>
      <c r="AZ372" s="4">
        <f t="shared" si="187"/>
        <v>1.5942606616181632E-3</v>
      </c>
      <c r="BA372" s="4">
        <f t="shared" si="188"/>
        <v>1.1717171717171682E-2</v>
      </c>
      <c r="BB372" s="4">
        <f t="shared" si="189"/>
        <v>2.9185245237130175E-2</v>
      </c>
      <c r="BC372" s="4">
        <f t="shared" si="190"/>
        <v>8.310249307479145E-3</v>
      </c>
      <c r="BD372" s="4">
        <f t="shared" si="191"/>
        <v>1.1682242990654235E-2</v>
      </c>
      <c r="BE372" s="4">
        <f t="shared" si="192"/>
        <v>2.352487466255293E-2</v>
      </c>
      <c r="BF372" s="4">
        <f t="shared" si="193"/>
        <v>1.298701298701288E-2</v>
      </c>
      <c r="BG372" s="4">
        <f t="shared" si="194"/>
        <v>3.7495313085864179E-2</v>
      </c>
      <c r="BH372" s="4">
        <f t="shared" si="195"/>
        <v>1.4378145219267058E-3</v>
      </c>
      <c r="BI372" s="4">
        <f t="shared" si="196"/>
        <v>1.2252252252252238E-2</v>
      </c>
      <c r="BJ372" s="4">
        <f t="shared" si="197"/>
        <v>5.8309037900874383E-3</v>
      </c>
      <c r="BK372" s="4">
        <f t="shared" si="198"/>
        <v>2.7767628790646648E-2</v>
      </c>
      <c r="BL372" s="4">
        <f t="shared" si="199"/>
        <v>4.4593088071348541E-3</v>
      </c>
      <c r="BM372" s="4">
        <f t="shared" si="209"/>
        <v>1.7525198317104768E-2</v>
      </c>
      <c r="BN372" s="14">
        <f t="shared" si="210"/>
        <v>13690.801543356645</v>
      </c>
      <c r="BO372" s="15">
        <f t="shared" si="211"/>
        <v>13091.476732424579</v>
      </c>
      <c r="BP372" s="16">
        <v>13375</v>
      </c>
      <c r="BQ372" s="16">
        <v>13395</v>
      </c>
      <c r="BR372" s="16">
        <v>13370</v>
      </c>
      <c r="BS372" s="16">
        <v>13395</v>
      </c>
      <c r="BT372" s="16">
        <v>57990</v>
      </c>
      <c r="BU372" s="15">
        <f t="shared" si="200"/>
        <v>13386.666666666666</v>
      </c>
      <c r="BV372" s="15">
        <f t="shared" si="201"/>
        <v>776292800</v>
      </c>
      <c r="BW372" s="15">
        <f>SUM($BV$3:BV372)</f>
        <v>273994041841.66669</v>
      </c>
      <c r="BX372" s="15">
        <f>SUM($BT$3:BT372)</f>
        <v>20251085</v>
      </c>
      <c r="BY372" s="15">
        <f t="shared" si="202"/>
        <v>13529.845035052032</v>
      </c>
      <c r="BZ372" s="3">
        <v>370</v>
      </c>
      <c r="CA372" s="3">
        <f t="shared" si="203"/>
        <v>0</v>
      </c>
      <c r="CB372" s="3">
        <f t="shared" si="204"/>
        <v>0</v>
      </c>
      <c r="CC372" s="3">
        <f t="shared" si="205"/>
        <v>0</v>
      </c>
      <c r="CD372" s="3" t="str">
        <f t="shared" si="206"/>
        <v/>
      </c>
      <c r="CE372" s="3">
        <f t="shared" si="207"/>
        <v>0</v>
      </c>
    </row>
    <row r="373" spans="1:83" x14ac:dyDescent="0.3">
      <c r="A373" s="3" t="s">
        <v>413</v>
      </c>
      <c r="B373" s="3">
        <v>11710</v>
      </c>
      <c r="C373" s="3">
        <v>11700</v>
      </c>
      <c r="D373" s="3">
        <v>11570</v>
      </c>
      <c r="E373" s="3">
        <v>11565</v>
      </c>
      <c r="F373" s="3">
        <v>11675</v>
      </c>
      <c r="G373" s="3">
        <v>11670</v>
      </c>
      <c r="H373" s="3">
        <v>11470</v>
      </c>
      <c r="I373" s="3">
        <v>11480</v>
      </c>
      <c r="J373" s="3">
        <v>11975</v>
      </c>
      <c r="K373" s="3">
        <v>11970</v>
      </c>
      <c r="L373" s="3">
        <v>12140</v>
      </c>
      <c r="M373" s="3">
        <v>12140</v>
      </c>
      <c r="N373" s="3">
        <v>12690</v>
      </c>
      <c r="O373" s="3">
        <v>12690</v>
      </c>
      <c r="P373" s="3">
        <v>12600</v>
      </c>
      <c r="Q373" s="3">
        <v>12595</v>
      </c>
      <c r="R373" s="3">
        <v>12525</v>
      </c>
      <c r="S373" s="3">
        <v>12525</v>
      </c>
      <c r="T373" s="3">
        <v>12230</v>
      </c>
      <c r="U373" s="3">
        <v>12225</v>
      </c>
      <c r="V373" s="3">
        <v>12700</v>
      </c>
      <c r="W373" s="3">
        <v>12690</v>
      </c>
      <c r="X373" s="3">
        <v>12735</v>
      </c>
      <c r="Y373" s="3">
        <v>12725</v>
      </c>
      <c r="Z373" s="3">
        <v>12685</v>
      </c>
      <c r="AA373" s="3">
        <v>12685</v>
      </c>
      <c r="AB373" s="3">
        <v>13270</v>
      </c>
      <c r="AC373" s="3">
        <v>13255</v>
      </c>
      <c r="AD373" s="3">
        <v>13260</v>
      </c>
      <c r="AE373" s="3">
        <v>13265</v>
      </c>
      <c r="AF373" s="3">
        <v>13835</v>
      </c>
      <c r="AG373" s="3">
        <v>13825</v>
      </c>
      <c r="AH373" s="3">
        <v>13925</v>
      </c>
      <c r="AI373" s="3">
        <v>13925</v>
      </c>
      <c r="AJ373" s="3">
        <v>13710</v>
      </c>
      <c r="AK373" s="3">
        <v>13715</v>
      </c>
      <c r="AL373" s="3">
        <v>13640</v>
      </c>
      <c r="AM373" s="3">
        <v>13640</v>
      </c>
      <c r="AN373" s="3">
        <v>13300</v>
      </c>
      <c r="AO373" s="3">
        <v>13305</v>
      </c>
      <c r="AP373" s="3">
        <v>13390</v>
      </c>
      <c r="AQ373" s="3">
        <v>13385</v>
      </c>
      <c r="AR373" s="4">
        <f t="shared" si="208"/>
        <v>1.4744145706851786E-2</v>
      </c>
      <c r="AS373" s="4">
        <f t="shared" si="180"/>
        <v>1.2987012987013546E-3</v>
      </c>
      <c r="AT373" s="4">
        <f t="shared" si="181"/>
        <v>2.7288732394366244E-2</v>
      </c>
      <c r="AU373" s="4">
        <f t="shared" si="182"/>
        <v>2.5466893039049254E-2</v>
      </c>
      <c r="AV373" s="4">
        <f t="shared" si="183"/>
        <v>2.39520958083832E-2</v>
      </c>
      <c r="AW373" s="4">
        <f t="shared" si="184"/>
        <v>2.3608768971332239E-2</v>
      </c>
      <c r="AX373" s="4">
        <f t="shared" si="185"/>
        <v>4.7461824184894752E-2</v>
      </c>
      <c r="AY373" s="4">
        <f t="shared" si="186"/>
        <v>1.4475743348982828E-2</v>
      </c>
      <c r="AZ373" s="4">
        <f t="shared" si="187"/>
        <v>1.5942606616181632E-3</v>
      </c>
      <c r="BA373" s="4">
        <f t="shared" si="188"/>
        <v>1.2121212121212088E-2</v>
      </c>
      <c r="BB373" s="4">
        <f t="shared" si="189"/>
        <v>2.8779894608836676E-2</v>
      </c>
      <c r="BC373" s="4">
        <f t="shared" si="190"/>
        <v>7.1230708349820926E-3</v>
      </c>
      <c r="BD373" s="4">
        <f t="shared" si="191"/>
        <v>1.2071651090342694E-2</v>
      </c>
      <c r="BE373" s="4">
        <f t="shared" si="192"/>
        <v>2.2367913613575041E-2</v>
      </c>
      <c r="BF373" s="4">
        <f t="shared" si="193"/>
        <v>1.3368983957219305E-2</v>
      </c>
      <c r="BG373" s="4">
        <f t="shared" si="194"/>
        <v>3.6745406824147064E-2</v>
      </c>
      <c r="BH373" s="4">
        <f t="shared" si="195"/>
        <v>1.0783608914450848E-3</v>
      </c>
      <c r="BI373" s="4">
        <f t="shared" si="196"/>
        <v>1.1531531531531525E-2</v>
      </c>
      <c r="BJ373" s="4">
        <f t="shared" si="197"/>
        <v>5.8309037900874383E-3</v>
      </c>
      <c r="BK373" s="4">
        <f t="shared" si="198"/>
        <v>2.7767628790646648E-2</v>
      </c>
      <c r="BL373" s="4">
        <f t="shared" si="199"/>
        <v>5.2025269416573483E-3</v>
      </c>
      <c r="BM373" s="4">
        <f t="shared" si="209"/>
        <v>1.7308456160680101E-2</v>
      </c>
      <c r="BN373" s="14">
        <f t="shared" si="210"/>
        <v>13687.88527764195</v>
      </c>
      <c r="BO373" s="15">
        <f t="shared" si="211"/>
        <v>13094.364821658937</v>
      </c>
      <c r="BP373" s="16">
        <v>13390</v>
      </c>
      <c r="BQ373" s="16">
        <v>13390</v>
      </c>
      <c r="BR373" s="16">
        <v>13380</v>
      </c>
      <c r="BS373" s="16">
        <v>13385</v>
      </c>
      <c r="BT373" s="16">
        <v>27098</v>
      </c>
      <c r="BU373" s="15">
        <f t="shared" si="200"/>
        <v>13385</v>
      </c>
      <c r="BV373" s="15">
        <f t="shared" si="201"/>
        <v>362706730</v>
      </c>
      <c r="BW373" s="15">
        <f>SUM($BV$3:BV373)</f>
        <v>274356748571.66669</v>
      </c>
      <c r="BX373" s="15">
        <f>SUM($BT$3:BT373)</f>
        <v>20278183</v>
      </c>
      <c r="BY373" s="15">
        <f t="shared" si="202"/>
        <v>13529.651476745559</v>
      </c>
      <c r="BZ373" s="3">
        <v>371</v>
      </c>
      <c r="CA373" s="3">
        <f t="shared" si="203"/>
        <v>0</v>
      </c>
      <c r="CB373" s="3">
        <f t="shared" si="204"/>
        <v>0</v>
      </c>
      <c r="CC373" s="3">
        <f t="shared" si="205"/>
        <v>0</v>
      </c>
      <c r="CD373" s="3" t="str">
        <f t="shared" si="206"/>
        <v/>
      </c>
      <c r="CE373" s="3">
        <f t="shared" si="207"/>
        <v>0</v>
      </c>
    </row>
    <row r="374" spans="1:83" x14ac:dyDescent="0.3">
      <c r="A374" s="3" t="s">
        <v>414</v>
      </c>
      <c r="B374" s="3">
        <v>11700</v>
      </c>
      <c r="C374" s="3">
        <v>11695</v>
      </c>
      <c r="D374" s="3">
        <v>11565</v>
      </c>
      <c r="E374" s="3">
        <v>11555</v>
      </c>
      <c r="F374" s="3">
        <v>11670</v>
      </c>
      <c r="G374" s="3">
        <v>11670</v>
      </c>
      <c r="H374" s="3">
        <v>11485</v>
      </c>
      <c r="I374" s="3">
        <v>11475</v>
      </c>
      <c r="J374" s="3">
        <v>11965</v>
      </c>
      <c r="K374" s="3">
        <v>11970</v>
      </c>
      <c r="L374" s="3">
        <v>12140</v>
      </c>
      <c r="M374" s="3">
        <v>12135</v>
      </c>
      <c r="N374" s="3">
        <v>12690</v>
      </c>
      <c r="O374" s="3">
        <v>12695</v>
      </c>
      <c r="P374" s="3">
        <v>12595</v>
      </c>
      <c r="Q374" s="3">
        <v>12595</v>
      </c>
      <c r="R374" s="3">
        <v>12525</v>
      </c>
      <c r="S374" s="3">
        <v>12530</v>
      </c>
      <c r="T374" s="3">
        <v>12225</v>
      </c>
      <c r="U374" s="3">
        <v>12225</v>
      </c>
      <c r="V374" s="3">
        <v>12685</v>
      </c>
      <c r="W374" s="3">
        <v>12685</v>
      </c>
      <c r="X374" s="3">
        <v>12730</v>
      </c>
      <c r="Y374" s="3">
        <v>12730</v>
      </c>
      <c r="Z374" s="3">
        <v>12680</v>
      </c>
      <c r="AA374" s="3">
        <v>12690</v>
      </c>
      <c r="AB374" s="3">
        <v>13260</v>
      </c>
      <c r="AC374" s="3">
        <v>13265</v>
      </c>
      <c r="AD374" s="3">
        <v>13260</v>
      </c>
      <c r="AE374" s="3">
        <v>13260</v>
      </c>
      <c r="AF374" s="3">
        <v>13825</v>
      </c>
      <c r="AG374" s="3">
        <v>13835</v>
      </c>
      <c r="AH374" s="3">
        <v>13920</v>
      </c>
      <c r="AI374" s="3">
        <v>13910</v>
      </c>
      <c r="AJ374" s="3">
        <v>13715</v>
      </c>
      <c r="AK374" s="3">
        <v>13705</v>
      </c>
      <c r="AL374" s="3">
        <v>13640</v>
      </c>
      <c r="AM374" s="3">
        <v>13645</v>
      </c>
      <c r="AN374" s="3">
        <v>13300</v>
      </c>
      <c r="AO374" s="3">
        <v>13315</v>
      </c>
      <c r="AP374" s="3">
        <v>13385</v>
      </c>
      <c r="AQ374" s="3">
        <v>13395</v>
      </c>
      <c r="AR374" s="4">
        <f t="shared" si="208"/>
        <v>1.4310494362532511E-2</v>
      </c>
      <c r="AS374" s="4">
        <f t="shared" si="180"/>
        <v>4.3290043290045155E-4</v>
      </c>
      <c r="AT374" s="4">
        <f t="shared" si="181"/>
        <v>2.7288732394366244E-2</v>
      </c>
      <c r="AU374" s="4">
        <f t="shared" si="182"/>
        <v>2.5891341256366718E-2</v>
      </c>
      <c r="AV374" s="4">
        <f t="shared" si="183"/>
        <v>2.39520958083832E-2</v>
      </c>
      <c r="AW374" s="4">
        <f t="shared" si="184"/>
        <v>2.3187183811129941E-2</v>
      </c>
      <c r="AX374" s="4">
        <f t="shared" si="185"/>
        <v>4.7874535699546028E-2</v>
      </c>
      <c r="AY374" s="4">
        <f t="shared" si="186"/>
        <v>1.4475743348982828E-2</v>
      </c>
      <c r="AZ374" s="4">
        <f t="shared" si="187"/>
        <v>1.1956954962136779E-3</v>
      </c>
      <c r="BA374" s="4">
        <f t="shared" si="188"/>
        <v>1.2121212121212088E-2</v>
      </c>
      <c r="BB374" s="4">
        <f t="shared" si="189"/>
        <v>2.8374543980543177E-2</v>
      </c>
      <c r="BC374" s="4">
        <f t="shared" si="190"/>
        <v>7.5187969924812581E-3</v>
      </c>
      <c r="BD374" s="4">
        <f t="shared" si="191"/>
        <v>1.1682242990654235E-2</v>
      </c>
      <c r="BE374" s="4">
        <f t="shared" si="192"/>
        <v>2.3139220979560449E-2</v>
      </c>
      <c r="BF374" s="4">
        <f t="shared" si="193"/>
        <v>1.298701298701288E-2</v>
      </c>
      <c r="BG374" s="4">
        <f t="shared" si="194"/>
        <v>3.7495313085864179E-2</v>
      </c>
      <c r="BH374" s="4">
        <f t="shared" si="195"/>
        <v>0</v>
      </c>
      <c r="BI374" s="4">
        <f t="shared" si="196"/>
        <v>1.2252252252252238E-2</v>
      </c>
      <c r="BJ374" s="4">
        <f t="shared" si="197"/>
        <v>5.4664723032069595E-3</v>
      </c>
      <c r="BK374" s="4">
        <f t="shared" si="198"/>
        <v>2.7036901717208628E-2</v>
      </c>
      <c r="BL374" s="4">
        <f t="shared" si="199"/>
        <v>4.4593088071348541E-3</v>
      </c>
      <c r="BM374" s="4">
        <f t="shared" si="209"/>
        <v>1.7258567425338472E-2</v>
      </c>
      <c r="BN374" s="14">
        <f t="shared" si="210"/>
        <v>13687.21402470793</v>
      </c>
      <c r="BO374" s="15">
        <f t="shared" si="211"/>
        <v>13095.029589057365</v>
      </c>
      <c r="BP374" s="16">
        <v>13385</v>
      </c>
      <c r="BQ374" s="16">
        <v>13395</v>
      </c>
      <c r="BR374" s="16">
        <v>13375</v>
      </c>
      <c r="BS374" s="16">
        <v>13395</v>
      </c>
      <c r="BT374" s="16">
        <v>27638</v>
      </c>
      <c r="BU374" s="15">
        <f t="shared" si="200"/>
        <v>13388.333333333334</v>
      </c>
      <c r="BV374" s="15">
        <f t="shared" si="201"/>
        <v>370026756.66666669</v>
      </c>
      <c r="BW374" s="15">
        <f>SUM($BV$3:BV374)</f>
        <v>274726775328.33334</v>
      </c>
      <c r="BX374" s="15">
        <f>SUM($BT$3:BT374)</f>
        <v>20305821</v>
      </c>
      <c r="BY374" s="15">
        <f t="shared" si="202"/>
        <v>13529.459130381054</v>
      </c>
      <c r="BZ374" s="3">
        <v>372</v>
      </c>
      <c r="CA374" s="3">
        <f t="shared" si="203"/>
        <v>0</v>
      </c>
      <c r="CB374" s="3">
        <f t="shared" si="204"/>
        <v>0</v>
      </c>
      <c r="CC374" s="3">
        <f t="shared" si="205"/>
        <v>0</v>
      </c>
      <c r="CD374" s="3" t="str">
        <f t="shared" si="206"/>
        <v/>
      </c>
      <c r="CE374" s="3">
        <f t="shared" si="207"/>
        <v>0</v>
      </c>
    </row>
    <row r="375" spans="1:83" x14ac:dyDescent="0.3">
      <c r="A375" s="3" t="s">
        <v>415</v>
      </c>
      <c r="B375" s="3">
        <v>11695</v>
      </c>
      <c r="C375" s="3">
        <v>11705</v>
      </c>
      <c r="D375" s="3">
        <v>11560</v>
      </c>
      <c r="E375" s="3">
        <v>11560</v>
      </c>
      <c r="F375" s="3">
        <v>11670</v>
      </c>
      <c r="G375" s="3">
        <v>11670</v>
      </c>
      <c r="H375" s="3">
        <v>11485</v>
      </c>
      <c r="I375" s="3">
        <v>11485</v>
      </c>
      <c r="J375" s="3">
        <v>11970</v>
      </c>
      <c r="K375" s="3">
        <v>11970</v>
      </c>
      <c r="L375" s="3">
        <v>12135</v>
      </c>
      <c r="M375" s="3">
        <v>12120</v>
      </c>
      <c r="N375" s="3">
        <v>12700</v>
      </c>
      <c r="O375" s="3">
        <v>12690</v>
      </c>
      <c r="P375" s="3">
        <v>12590</v>
      </c>
      <c r="Q375" s="3">
        <v>12570</v>
      </c>
      <c r="R375" s="3">
        <v>12530</v>
      </c>
      <c r="S375" s="3">
        <v>12535</v>
      </c>
      <c r="T375" s="3">
        <v>12225</v>
      </c>
      <c r="U375" s="3">
        <v>12235</v>
      </c>
      <c r="V375" s="3">
        <v>12690</v>
      </c>
      <c r="W375" s="3">
        <v>12695</v>
      </c>
      <c r="X375" s="3">
        <v>12735</v>
      </c>
      <c r="Y375" s="3">
        <v>12730</v>
      </c>
      <c r="Z375" s="3">
        <v>12690</v>
      </c>
      <c r="AA375" s="3">
        <v>12685</v>
      </c>
      <c r="AB375" s="3">
        <v>13265</v>
      </c>
      <c r="AC375" s="3">
        <v>13275</v>
      </c>
      <c r="AD375" s="3">
        <v>13260</v>
      </c>
      <c r="AE375" s="3">
        <v>13270</v>
      </c>
      <c r="AF375" s="3">
        <v>13835</v>
      </c>
      <c r="AG375" s="3">
        <v>13845</v>
      </c>
      <c r="AH375" s="3">
        <v>13910</v>
      </c>
      <c r="AI375" s="3">
        <v>13905</v>
      </c>
      <c r="AJ375" s="3">
        <v>13705</v>
      </c>
      <c r="AK375" s="3">
        <v>13710</v>
      </c>
      <c r="AL375" s="3">
        <v>13645</v>
      </c>
      <c r="AM375" s="3">
        <v>13630</v>
      </c>
      <c r="AN375" s="3">
        <v>13310</v>
      </c>
      <c r="AO375" s="3">
        <v>13315</v>
      </c>
      <c r="AP375" s="3">
        <v>13395</v>
      </c>
      <c r="AQ375" s="3">
        <v>13390</v>
      </c>
      <c r="AR375" s="4">
        <f t="shared" si="208"/>
        <v>1.5177797051170838E-2</v>
      </c>
      <c r="AS375" s="4">
        <f t="shared" si="180"/>
        <v>8.658008658009031E-4</v>
      </c>
      <c r="AT375" s="4">
        <f t="shared" si="181"/>
        <v>2.7288732394366244E-2</v>
      </c>
      <c r="AU375" s="4">
        <f t="shared" si="182"/>
        <v>2.5042444821731791E-2</v>
      </c>
      <c r="AV375" s="4">
        <f t="shared" si="183"/>
        <v>2.39520958083832E-2</v>
      </c>
      <c r="AW375" s="4">
        <f t="shared" si="184"/>
        <v>2.1922428330522825E-2</v>
      </c>
      <c r="AX375" s="4">
        <f t="shared" si="185"/>
        <v>4.7461824184894752E-2</v>
      </c>
      <c r="AY375" s="4">
        <f t="shared" si="186"/>
        <v>1.6431924882629123E-2</v>
      </c>
      <c r="AZ375" s="4">
        <f t="shared" si="187"/>
        <v>7.9713033080908158E-4</v>
      </c>
      <c r="BA375" s="4">
        <f t="shared" si="188"/>
        <v>1.1313131313131275E-2</v>
      </c>
      <c r="BB375" s="4">
        <f t="shared" si="189"/>
        <v>2.9185245237130175E-2</v>
      </c>
      <c r="BC375" s="4">
        <f t="shared" si="190"/>
        <v>7.5187969924812581E-3</v>
      </c>
      <c r="BD375" s="4">
        <f t="shared" si="191"/>
        <v>1.2071651090342694E-2</v>
      </c>
      <c r="BE375" s="4">
        <f t="shared" si="192"/>
        <v>2.3910528345545634E-2</v>
      </c>
      <c r="BF375" s="4">
        <f t="shared" si="193"/>
        <v>1.3750954927425507E-2</v>
      </c>
      <c r="BG375" s="4">
        <f t="shared" si="194"/>
        <v>3.8245219347581516E-2</v>
      </c>
      <c r="BH375" s="4">
        <f t="shared" si="195"/>
        <v>3.5945363048162093E-4</v>
      </c>
      <c r="BI375" s="4">
        <f t="shared" si="196"/>
        <v>1.1891891891891881E-2</v>
      </c>
      <c r="BJ375" s="4">
        <f t="shared" si="197"/>
        <v>6.5597667638483959E-3</v>
      </c>
      <c r="BK375" s="4">
        <f t="shared" si="198"/>
        <v>2.7036901717208628E-2</v>
      </c>
      <c r="BL375" s="4">
        <f t="shared" si="199"/>
        <v>4.8309178743961567E-3</v>
      </c>
      <c r="BM375" s="4">
        <f t="shared" si="209"/>
        <v>1.7609601475385823E-2</v>
      </c>
      <c r="BN375" s="14">
        <f t="shared" si="210"/>
        <v>13691.937187851318</v>
      </c>
      <c r="BO375" s="15">
        <f t="shared" si="211"/>
        <v>13090.352060340483</v>
      </c>
      <c r="BP375" s="16">
        <v>13395</v>
      </c>
      <c r="BQ375" s="16">
        <v>13395</v>
      </c>
      <c r="BR375" s="16">
        <v>13390</v>
      </c>
      <c r="BS375" s="16">
        <v>13390</v>
      </c>
      <c r="BT375" s="16">
        <v>10600</v>
      </c>
      <c r="BU375" s="15">
        <f t="shared" si="200"/>
        <v>13391.666666666666</v>
      </c>
      <c r="BV375" s="15">
        <f t="shared" si="201"/>
        <v>141951666.66666666</v>
      </c>
      <c r="BW375" s="15">
        <f>SUM($BV$3:BV375)</f>
        <v>274868726995</v>
      </c>
      <c r="BX375" s="15">
        <f>SUM($BT$3:BT375)</f>
        <v>20316421</v>
      </c>
      <c r="BY375" s="15">
        <f t="shared" si="202"/>
        <v>13529.387237791538</v>
      </c>
      <c r="BZ375" s="3">
        <v>373</v>
      </c>
      <c r="CA375" s="3">
        <f t="shared" si="203"/>
        <v>0</v>
      </c>
      <c r="CB375" s="3">
        <f t="shared" si="204"/>
        <v>0</v>
      </c>
      <c r="CC375" s="3">
        <f t="shared" si="205"/>
        <v>0</v>
      </c>
      <c r="CD375" s="3" t="str">
        <f t="shared" si="206"/>
        <v/>
      </c>
      <c r="CE375" s="3">
        <f t="shared" si="207"/>
        <v>0</v>
      </c>
    </row>
    <row r="376" spans="1:83" x14ac:dyDescent="0.3">
      <c r="A376" s="3" t="s">
        <v>416</v>
      </c>
      <c r="B376" s="3">
        <v>11705</v>
      </c>
      <c r="C376" s="3">
        <v>11710</v>
      </c>
      <c r="D376" s="3">
        <v>11560</v>
      </c>
      <c r="E376" s="3">
        <v>11560</v>
      </c>
      <c r="F376" s="3">
        <v>11665</v>
      </c>
      <c r="G376" s="3">
        <v>11675</v>
      </c>
      <c r="H376" s="3">
        <v>11490</v>
      </c>
      <c r="I376" s="3">
        <v>11495</v>
      </c>
      <c r="J376" s="3">
        <v>11970</v>
      </c>
      <c r="K376" s="3">
        <v>11965</v>
      </c>
      <c r="L376" s="3">
        <v>12120</v>
      </c>
      <c r="M376" s="3">
        <v>12120</v>
      </c>
      <c r="N376" s="3">
        <v>12700</v>
      </c>
      <c r="O376" s="3">
        <v>12710</v>
      </c>
      <c r="P376" s="3">
        <v>12570</v>
      </c>
      <c r="Q376" s="3">
        <v>12580</v>
      </c>
      <c r="R376" s="3">
        <v>12535</v>
      </c>
      <c r="S376" s="3">
        <v>12535</v>
      </c>
      <c r="T376" s="3">
        <v>12235</v>
      </c>
      <c r="U376" s="3">
        <v>12240</v>
      </c>
      <c r="V376" s="3">
        <v>12700</v>
      </c>
      <c r="W376" s="3">
        <v>12695</v>
      </c>
      <c r="X376" s="3">
        <v>12735</v>
      </c>
      <c r="Y376" s="3">
        <v>12745</v>
      </c>
      <c r="Z376" s="3">
        <v>12685</v>
      </c>
      <c r="AA376" s="3">
        <v>12685</v>
      </c>
      <c r="AB376" s="3">
        <v>13275</v>
      </c>
      <c r="AC376" s="3">
        <v>13270</v>
      </c>
      <c r="AD376" s="3">
        <v>13270</v>
      </c>
      <c r="AE376" s="3">
        <v>13280</v>
      </c>
      <c r="AF376" s="3">
        <v>13845</v>
      </c>
      <c r="AG376" s="3">
        <v>13840</v>
      </c>
      <c r="AH376" s="3">
        <v>13910</v>
      </c>
      <c r="AI376" s="3">
        <v>13910</v>
      </c>
      <c r="AJ376" s="3">
        <v>13710</v>
      </c>
      <c r="AK376" s="3">
        <v>13725</v>
      </c>
      <c r="AL376" s="3">
        <v>13635</v>
      </c>
      <c r="AM376" s="3">
        <v>13640</v>
      </c>
      <c r="AN376" s="3">
        <v>13315</v>
      </c>
      <c r="AO376" s="3">
        <v>13300</v>
      </c>
      <c r="AP376" s="3">
        <v>13390</v>
      </c>
      <c r="AQ376" s="3">
        <v>13390</v>
      </c>
      <c r="AR376" s="4">
        <f t="shared" si="208"/>
        <v>1.5611448395490113E-2</v>
      </c>
      <c r="AS376" s="4">
        <f t="shared" si="180"/>
        <v>8.658008658009031E-4</v>
      </c>
      <c r="AT376" s="4">
        <f t="shared" si="181"/>
        <v>2.7728873239436513E-2</v>
      </c>
      <c r="AU376" s="4">
        <f t="shared" si="182"/>
        <v>2.4193548387096753E-2</v>
      </c>
      <c r="AV376" s="4">
        <f t="shared" si="183"/>
        <v>2.3524379811804996E-2</v>
      </c>
      <c r="AW376" s="4">
        <f t="shared" si="184"/>
        <v>2.1922428330522825E-2</v>
      </c>
      <c r="AX376" s="4">
        <f t="shared" si="185"/>
        <v>4.9112670243499856E-2</v>
      </c>
      <c r="AY376" s="4">
        <f t="shared" si="186"/>
        <v>1.5649452269170583E-2</v>
      </c>
      <c r="AZ376" s="4">
        <f t="shared" si="187"/>
        <v>7.9713033080908158E-4</v>
      </c>
      <c r="BA376" s="4">
        <f t="shared" si="188"/>
        <v>1.0909090909090868E-2</v>
      </c>
      <c r="BB376" s="4">
        <f t="shared" si="189"/>
        <v>2.9185245237130175E-2</v>
      </c>
      <c r="BC376" s="4">
        <f t="shared" si="190"/>
        <v>8.7059754649783105E-3</v>
      </c>
      <c r="BD376" s="4">
        <f t="shared" si="191"/>
        <v>1.2071651090342694E-2</v>
      </c>
      <c r="BE376" s="4">
        <f t="shared" si="192"/>
        <v>2.352487466255293E-2</v>
      </c>
      <c r="BF376" s="4">
        <f t="shared" si="193"/>
        <v>1.4514896867838134E-2</v>
      </c>
      <c r="BG376" s="4">
        <f t="shared" si="194"/>
        <v>3.7870266216722959E-2</v>
      </c>
      <c r="BH376" s="4">
        <f t="shared" si="195"/>
        <v>0</v>
      </c>
      <c r="BI376" s="4">
        <f t="shared" si="196"/>
        <v>1.0810810810810811E-2</v>
      </c>
      <c r="BJ376" s="4">
        <f t="shared" si="197"/>
        <v>5.8309037900874383E-3</v>
      </c>
      <c r="BK376" s="4">
        <f t="shared" si="198"/>
        <v>2.8132992327365769E-2</v>
      </c>
      <c r="BL376" s="4">
        <f t="shared" si="199"/>
        <v>4.8309178743961567E-3</v>
      </c>
      <c r="BM376" s="4">
        <f t="shared" si="209"/>
        <v>1.765114001574283E-2</v>
      </c>
      <c r="BN376" s="14">
        <f t="shared" si="210"/>
        <v>13692.496088911821</v>
      </c>
      <c r="BO376" s="15">
        <f t="shared" si="211"/>
        <v>13089.798559290226</v>
      </c>
      <c r="BP376" s="16">
        <v>13390</v>
      </c>
      <c r="BQ376" s="16">
        <v>13395</v>
      </c>
      <c r="BR376" s="16">
        <v>13385</v>
      </c>
      <c r="BS376" s="16">
        <v>13390</v>
      </c>
      <c r="BT376" s="16">
        <v>15840</v>
      </c>
      <c r="BU376" s="15">
        <f t="shared" si="200"/>
        <v>13390</v>
      </c>
      <c r="BV376" s="15">
        <f t="shared" si="201"/>
        <v>212097600</v>
      </c>
      <c r="BW376" s="15">
        <f>SUM($BV$3:BV376)</f>
        <v>275080824595</v>
      </c>
      <c r="BX376" s="15">
        <f>SUM($BT$3:BT376)</f>
        <v>20332261</v>
      </c>
      <c r="BY376" s="15">
        <f t="shared" si="202"/>
        <v>13529.278647121439</v>
      </c>
      <c r="BZ376" s="3">
        <v>374</v>
      </c>
      <c r="CA376" s="3">
        <f t="shared" si="203"/>
        <v>0</v>
      </c>
      <c r="CB376" s="3">
        <f t="shared" si="204"/>
        <v>0</v>
      </c>
      <c r="CC376" s="3">
        <f t="shared" si="205"/>
        <v>0</v>
      </c>
      <c r="CD376" s="3" t="str">
        <f t="shared" si="206"/>
        <v/>
      </c>
      <c r="CE376" s="3">
        <f t="shared" si="207"/>
        <v>0</v>
      </c>
    </row>
    <row r="377" spans="1:83" x14ac:dyDescent="0.3">
      <c r="A377" s="3" t="s">
        <v>417</v>
      </c>
      <c r="B377" s="3">
        <v>11710</v>
      </c>
      <c r="C377" s="3">
        <v>11715</v>
      </c>
      <c r="D377" s="3">
        <v>11560</v>
      </c>
      <c r="E377" s="3">
        <v>11560</v>
      </c>
      <c r="F377" s="3">
        <v>11670</v>
      </c>
      <c r="G377" s="3">
        <v>11680</v>
      </c>
      <c r="H377" s="3">
        <v>11495</v>
      </c>
      <c r="I377" s="3">
        <v>11505</v>
      </c>
      <c r="J377" s="3">
        <v>11965</v>
      </c>
      <c r="K377" s="3">
        <v>11970</v>
      </c>
      <c r="L377" s="3">
        <v>12120</v>
      </c>
      <c r="M377" s="3">
        <v>12120</v>
      </c>
      <c r="N377" s="3">
        <v>12705</v>
      </c>
      <c r="O377" s="3">
        <v>12710</v>
      </c>
      <c r="P377" s="3">
        <v>12580</v>
      </c>
      <c r="Q377" s="3">
        <v>12590</v>
      </c>
      <c r="R377" s="3">
        <v>12535</v>
      </c>
      <c r="S377" s="3">
        <v>12535</v>
      </c>
      <c r="T377" s="3">
        <v>12240</v>
      </c>
      <c r="U377" s="3">
        <v>12250</v>
      </c>
      <c r="V377" s="3">
        <v>12695</v>
      </c>
      <c r="W377" s="3">
        <v>12695</v>
      </c>
      <c r="X377" s="3">
        <v>12745</v>
      </c>
      <c r="Y377" s="3">
        <v>12735</v>
      </c>
      <c r="Z377" s="3">
        <v>12685</v>
      </c>
      <c r="AA377" s="3">
        <v>12690</v>
      </c>
      <c r="AB377" s="3">
        <v>13270</v>
      </c>
      <c r="AC377" s="3">
        <v>13265</v>
      </c>
      <c r="AD377" s="3">
        <v>13275</v>
      </c>
      <c r="AE377" s="3">
        <v>13280</v>
      </c>
      <c r="AF377" s="3">
        <v>13845</v>
      </c>
      <c r="AG377" s="3">
        <v>13845</v>
      </c>
      <c r="AH377" s="3">
        <v>13910</v>
      </c>
      <c r="AI377" s="3">
        <v>13925</v>
      </c>
      <c r="AJ377" s="3">
        <v>13720</v>
      </c>
      <c r="AK377" s="3">
        <v>13715</v>
      </c>
      <c r="AL377" s="3">
        <v>13635</v>
      </c>
      <c r="AM377" s="3">
        <v>13625</v>
      </c>
      <c r="AN377" s="3">
        <v>13295</v>
      </c>
      <c r="AO377" s="3">
        <v>13290</v>
      </c>
      <c r="AP377" s="3">
        <v>13390</v>
      </c>
      <c r="AQ377" s="3">
        <v>13390</v>
      </c>
      <c r="AR377" s="4">
        <f t="shared" si="208"/>
        <v>1.6045099739809165E-2</v>
      </c>
      <c r="AS377" s="4">
        <f t="shared" si="180"/>
        <v>8.658008658009031E-4</v>
      </c>
      <c r="AT377" s="4">
        <f t="shared" si="181"/>
        <v>2.8169014084507005E-2</v>
      </c>
      <c r="AU377" s="4">
        <f t="shared" si="182"/>
        <v>2.3344651952461826E-2</v>
      </c>
      <c r="AV377" s="4">
        <f t="shared" si="183"/>
        <v>2.39520958083832E-2</v>
      </c>
      <c r="AW377" s="4">
        <f t="shared" si="184"/>
        <v>2.1922428330522825E-2</v>
      </c>
      <c r="AX377" s="4">
        <f t="shared" si="185"/>
        <v>4.9112670243499856E-2</v>
      </c>
      <c r="AY377" s="4">
        <f t="shared" si="186"/>
        <v>1.4866979655712043E-2</v>
      </c>
      <c r="AZ377" s="4">
        <f t="shared" si="187"/>
        <v>7.9713033080908158E-4</v>
      </c>
      <c r="BA377" s="4">
        <f t="shared" si="188"/>
        <v>1.0101010101010055E-2</v>
      </c>
      <c r="BB377" s="4">
        <f t="shared" si="189"/>
        <v>2.9185245237130175E-2</v>
      </c>
      <c r="BC377" s="4">
        <f t="shared" si="190"/>
        <v>7.9145231499802016E-3</v>
      </c>
      <c r="BD377" s="4">
        <f t="shared" si="191"/>
        <v>1.1682242990654235E-2</v>
      </c>
      <c r="BE377" s="4">
        <f t="shared" si="192"/>
        <v>2.3139220979560449E-2</v>
      </c>
      <c r="BF377" s="4">
        <f t="shared" si="193"/>
        <v>1.4514896867838134E-2</v>
      </c>
      <c r="BG377" s="4">
        <f t="shared" si="194"/>
        <v>3.8245219347581516E-2</v>
      </c>
      <c r="BH377" s="4">
        <f t="shared" si="195"/>
        <v>1.0783608914450848E-3</v>
      </c>
      <c r="BI377" s="4">
        <f t="shared" si="196"/>
        <v>1.1531531531531525E-2</v>
      </c>
      <c r="BJ377" s="4">
        <f t="shared" si="197"/>
        <v>6.9241982507288746E-3</v>
      </c>
      <c r="BK377" s="4">
        <f t="shared" si="198"/>
        <v>2.8863719400803789E-2</v>
      </c>
      <c r="BL377" s="4">
        <f t="shared" si="199"/>
        <v>4.8309178743961567E-3</v>
      </c>
      <c r="BM377" s="4">
        <f t="shared" si="209"/>
        <v>1.7711210641306072E-2</v>
      </c>
      <c r="BN377" s="14">
        <f t="shared" si="210"/>
        <v>13693.304339178772</v>
      </c>
      <c r="BO377" s="15">
        <f t="shared" si="211"/>
        <v>13088.998118204596</v>
      </c>
      <c r="BP377" s="16">
        <v>13390</v>
      </c>
      <c r="BQ377" s="16">
        <v>13395</v>
      </c>
      <c r="BR377" s="16">
        <v>13390</v>
      </c>
      <c r="BS377" s="16">
        <v>13390</v>
      </c>
      <c r="BT377" s="16">
        <v>21958</v>
      </c>
      <c r="BU377" s="15">
        <f t="shared" si="200"/>
        <v>13391.666666666666</v>
      </c>
      <c r="BV377" s="15">
        <f t="shared" si="201"/>
        <v>294054216.66666663</v>
      </c>
      <c r="BW377" s="15">
        <f>SUM($BV$3:BV377)</f>
        <v>275374878811.66669</v>
      </c>
      <c r="BX377" s="15">
        <f>SUM($BT$3:BT377)</f>
        <v>20354219</v>
      </c>
      <c r="BY377" s="15">
        <f t="shared" si="202"/>
        <v>13529.130192205688</v>
      </c>
      <c r="BZ377" s="3">
        <v>375</v>
      </c>
      <c r="CA377" s="3">
        <f t="shared" si="203"/>
        <v>0</v>
      </c>
      <c r="CB377" s="3">
        <f t="shared" si="204"/>
        <v>0</v>
      </c>
      <c r="CC377" s="3">
        <f t="shared" si="205"/>
        <v>0</v>
      </c>
      <c r="CD377" s="3">
        <f t="shared" si="206"/>
        <v>0</v>
      </c>
      <c r="CE377" s="3">
        <f t="shared" si="207"/>
        <v>0</v>
      </c>
    </row>
    <row r="378" spans="1:83" x14ac:dyDescent="0.3">
      <c r="A378" s="3" t="s">
        <v>418</v>
      </c>
      <c r="B378" s="3">
        <v>11710</v>
      </c>
      <c r="C378" s="3">
        <v>11720</v>
      </c>
      <c r="D378" s="3">
        <v>11565</v>
      </c>
      <c r="E378" s="3">
        <v>11570</v>
      </c>
      <c r="F378" s="3">
        <v>11680</v>
      </c>
      <c r="G378" s="3">
        <v>11675</v>
      </c>
      <c r="H378" s="3">
        <v>11505</v>
      </c>
      <c r="I378" s="3">
        <v>11510</v>
      </c>
      <c r="J378" s="3">
        <v>11975</v>
      </c>
      <c r="K378" s="3">
        <v>11980</v>
      </c>
      <c r="L378" s="3">
        <v>12125</v>
      </c>
      <c r="M378" s="3">
        <v>12135</v>
      </c>
      <c r="N378" s="3">
        <v>12705</v>
      </c>
      <c r="O378" s="3">
        <v>12705</v>
      </c>
      <c r="P378" s="3">
        <v>12585</v>
      </c>
      <c r="Q378" s="3">
        <v>12590</v>
      </c>
      <c r="R378" s="3">
        <v>12535</v>
      </c>
      <c r="S378" s="3">
        <v>12540</v>
      </c>
      <c r="T378" s="3">
        <v>12250</v>
      </c>
      <c r="U378" s="3">
        <v>12255</v>
      </c>
      <c r="V378" s="3">
        <v>12700</v>
      </c>
      <c r="W378" s="3">
        <v>12685</v>
      </c>
      <c r="X378" s="3">
        <v>12740</v>
      </c>
      <c r="Y378" s="3">
        <v>12745</v>
      </c>
      <c r="Z378" s="3">
        <v>12690</v>
      </c>
      <c r="AA378" s="3">
        <v>12690</v>
      </c>
      <c r="AB378" s="3">
        <v>13265</v>
      </c>
      <c r="AC378" s="3">
        <v>13255</v>
      </c>
      <c r="AD378" s="3">
        <v>13275</v>
      </c>
      <c r="AE378" s="3">
        <v>13280</v>
      </c>
      <c r="AF378" s="3">
        <v>13845</v>
      </c>
      <c r="AG378" s="3">
        <v>13845</v>
      </c>
      <c r="AH378" s="3">
        <v>13920</v>
      </c>
      <c r="AI378" s="3">
        <v>13935</v>
      </c>
      <c r="AJ378" s="3">
        <v>13710</v>
      </c>
      <c r="AK378" s="3">
        <v>13710</v>
      </c>
      <c r="AL378" s="3">
        <v>13625</v>
      </c>
      <c r="AM378" s="3">
        <v>13630</v>
      </c>
      <c r="AN378" s="3">
        <v>13290</v>
      </c>
      <c r="AO378" s="3">
        <v>13280</v>
      </c>
      <c r="AP378" s="3">
        <v>13390</v>
      </c>
      <c r="AQ378" s="3">
        <v>13395</v>
      </c>
      <c r="AR378" s="4">
        <f t="shared" si="208"/>
        <v>1.647875108412844E-2</v>
      </c>
      <c r="AS378" s="4">
        <f t="shared" si="180"/>
        <v>1.7316017316018062E-3</v>
      </c>
      <c r="AT378" s="4">
        <f t="shared" si="181"/>
        <v>2.7728873239436513E-2</v>
      </c>
      <c r="AU378" s="4">
        <f t="shared" si="182"/>
        <v>2.2920203735144362E-2</v>
      </c>
      <c r="AV378" s="4">
        <f t="shared" si="183"/>
        <v>2.480752780153983E-2</v>
      </c>
      <c r="AW378" s="4">
        <f t="shared" si="184"/>
        <v>2.3187183811129941E-2</v>
      </c>
      <c r="AX378" s="4">
        <f t="shared" si="185"/>
        <v>4.869995872884858E-2</v>
      </c>
      <c r="AY378" s="4">
        <f t="shared" si="186"/>
        <v>1.4866979655712043E-2</v>
      </c>
      <c r="AZ378" s="4">
        <f t="shared" si="187"/>
        <v>3.985651654045963E-4</v>
      </c>
      <c r="BA378" s="4">
        <f t="shared" si="188"/>
        <v>9.6969696969696484E-3</v>
      </c>
      <c r="BB378" s="4">
        <f t="shared" si="189"/>
        <v>2.8374543980543177E-2</v>
      </c>
      <c r="BC378" s="4">
        <f t="shared" si="190"/>
        <v>8.7059754649783105E-3</v>
      </c>
      <c r="BD378" s="4">
        <f t="shared" si="191"/>
        <v>1.1682242990654235E-2</v>
      </c>
      <c r="BE378" s="4">
        <f t="shared" si="192"/>
        <v>2.2367913613575041E-2</v>
      </c>
      <c r="BF378" s="4">
        <f t="shared" si="193"/>
        <v>1.4514896867838134E-2</v>
      </c>
      <c r="BG378" s="4">
        <f t="shared" si="194"/>
        <v>3.8245219347581516E-2</v>
      </c>
      <c r="BH378" s="4">
        <f t="shared" si="195"/>
        <v>1.7972681524083267E-3</v>
      </c>
      <c r="BI378" s="4">
        <f t="shared" si="196"/>
        <v>1.1891891891891881E-2</v>
      </c>
      <c r="BJ378" s="4">
        <f t="shared" si="197"/>
        <v>6.5597667638483959E-3</v>
      </c>
      <c r="BK378" s="4">
        <f t="shared" si="198"/>
        <v>2.959444647424192E-2</v>
      </c>
      <c r="BL378" s="4">
        <f t="shared" si="199"/>
        <v>4.4593088071348541E-3</v>
      </c>
      <c r="BM378" s="4">
        <f t="shared" si="209"/>
        <v>1.7671188485321128E-2</v>
      </c>
      <c r="BN378" s="14">
        <f t="shared" si="210"/>
        <v>13692.765841069995</v>
      </c>
      <c r="BO378" s="15">
        <f t="shared" si="211"/>
        <v>13089.531413433097</v>
      </c>
      <c r="BP378" s="16">
        <v>13390</v>
      </c>
      <c r="BQ378" s="16">
        <v>13395</v>
      </c>
      <c r="BR378" s="16">
        <v>13390</v>
      </c>
      <c r="BS378" s="16">
        <v>13395</v>
      </c>
      <c r="BT378" s="16">
        <v>14113</v>
      </c>
      <c r="BU378" s="15">
        <f t="shared" si="200"/>
        <v>13393.333333333334</v>
      </c>
      <c r="BV378" s="15">
        <f t="shared" si="201"/>
        <v>189020113.33333334</v>
      </c>
      <c r="BW378" s="15">
        <f>SUM($BV$3:BV378)</f>
        <v>275563898925</v>
      </c>
      <c r="BX378" s="15">
        <f>SUM($BT$3:BT378)</f>
        <v>20368332</v>
      </c>
      <c r="BY378" s="15">
        <f t="shared" si="202"/>
        <v>13529.036100010546</v>
      </c>
      <c r="BZ378" s="3">
        <v>376</v>
      </c>
      <c r="CA378" s="3">
        <f t="shared" si="203"/>
        <v>0</v>
      </c>
      <c r="CB378" s="3">
        <f t="shared" si="204"/>
        <v>0</v>
      </c>
      <c r="CC378" s="3">
        <f t="shared" si="205"/>
        <v>0</v>
      </c>
      <c r="CD378" s="3" t="str">
        <f t="shared" si="206"/>
        <v/>
      </c>
      <c r="CE378" s="3">
        <f t="shared" si="207"/>
        <v>0</v>
      </c>
    </row>
    <row r="379" spans="1:83" x14ac:dyDescent="0.3">
      <c r="A379" s="3" t="s">
        <v>419</v>
      </c>
      <c r="B379" s="3">
        <v>11720</v>
      </c>
      <c r="C379" s="3">
        <v>11725</v>
      </c>
      <c r="D379" s="3">
        <v>11570</v>
      </c>
      <c r="E379" s="3">
        <v>11575</v>
      </c>
      <c r="F379" s="3">
        <v>11675</v>
      </c>
      <c r="G379" s="3">
        <v>11675</v>
      </c>
      <c r="H379" s="3">
        <v>11510</v>
      </c>
      <c r="I379" s="3">
        <v>11490</v>
      </c>
      <c r="J379" s="3">
        <v>11980</v>
      </c>
      <c r="K379" s="3">
        <v>11980</v>
      </c>
      <c r="L379" s="3">
        <v>12125</v>
      </c>
      <c r="M379" s="3">
        <v>12130</v>
      </c>
      <c r="N379" s="3">
        <v>12705</v>
      </c>
      <c r="O379" s="3">
        <v>12690</v>
      </c>
      <c r="P379" s="3">
        <v>12585</v>
      </c>
      <c r="Q379" s="3">
        <v>12585</v>
      </c>
      <c r="R379" s="3">
        <v>12545</v>
      </c>
      <c r="S379" s="3">
        <v>12550</v>
      </c>
      <c r="T379" s="3">
        <v>12260</v>
      </c>
      <c r="U379" s="3">
        <v>12260</v>
      </c>
      <c r="V379" s="3">
        <v>12685</v>
      </c>
      <c r="W379" s="3">
        <v>12695</v>
      </c>
      <c r="X379" s="3">
        <v>12750</v>
      </c>
      <c r="Y379" s="3">
        <v>12745</v>
      </c>
      <c r="Z379" s="3">
        <v>12690</v>
      </c>
      <c r="AA379" s="3">
        <v>12690</v>
      </c>
      <c r="AB379" s="3">
        <v>13255</v>
      </c>
      <c r="AC379" s="3">
        <v>13245</v>
      </c>
      <c r="AD379" s="3">
        <v>13280</v>
      </c>
      <c r="AE379" s="3">
        <v>13285</v>
      </c>
      <c r="AF379" s="3">
        <v>13845</v>
      </c>
      <c r="AG379" s="3">
        <v>13840</v>
      </c>
      <c r="AH379" s="3">
        <v>13935</v>
      </c>
      <c r="AI379" s="3">
        <v>13935</v>
      </c>
      <c r="AJ379" s="3">
        <v>13715</v>
      </c>
      <c r="AK379" s="3">
        <v>13725</v>
      </c>
      <c r="AL379" s="3">
        <v>13635</v>
      </c>
      <c r="AM379" s="3">
        <v>13630</v>
      </c>
      <c r="AN379" s="3">
        <v>13290</v>
      </c>
      <c r="AO379" s="3">
        <v>13290</v>
      </c>
      <c r="AP379" s="3">
        <v>13390</v>
      </c>
      <c r="AQ379" s="3">
        <v>13395</v>
      </c>
      <c r="AR379" s="4">
        <f t="shared" si="208"/>
        <v>1.6912402428447493E-2</v>
      </c>
      <c r="AS379" s="4">
        <f t="shared" si="180"/>
        <v>2.1645021645022577E-3</v>
      </c>
      <c r="AT379" s="4">
        <f t="shared" si="181"/>
        <v>2.7728873239436513E-2</v>
      </c>
      <c r="AU379" s="4">
        <f t="shared" si="182"/>
        <v>2.4617996604414216E-2</v>
      </c>
      <c r="AV379" s="4">
        <f t="shared" si="183"/>
        <v>2.480752780153983E-2</v>
      </c>
      <c r="AW379" s="4">
        <f t="shared" si="184"/>
        <v>2.2765598650927421E-2</v>
      </c>
      <c r="AX379" s="4">
        <f t="shared" si="185"/>
        <v>4.7461824184894752E-2</v>
      </c>
      <c r="AY379" s="4">
        <f t="shared" si="186"/>
        <v>1.5258215962441368E-2</v>
      </c>
      <c r="AZ379" s="4">
        <f t="shared" si="187"/>
        <v>3.985651654045963E-4</v>
      </c>
      <c r="BA379" s="4">
        <f t="shared" si="188"/>
        <v>9.2929292929292417E-3</v>
      </c>
      <c r="BB379" s="4">
        <f t="shared" si="189"/>
        <v>2.9185245237130175E-2</v>
      </c>
      <c r="BC379" s="4">
        <f t="shared" si="190"/>
        <v>8.7059754649783105E-3</v>
      </c>
      <c r="BD379" s="4">
        <f t="shared" si="191"/>
        <v>1.1682242990654235E-2</v>
      </c>
      <c r="BE379" s="4">
        <f t="shared" si="192"/>
        <v>2.1596606247589634E-2</v>
      </c>
      <c r="BF379" s="4">
        <f t="shared" si="193"/>
        <v>1.4896867838044336E-2</v>
      </c>
      <c r="BG379" s="4">
        <f t="shared" si="194"/>
        <v>3.7870266216722959E-2</v>
      </c>
      <c r="BH379" s="4">
        <f t="shared" si="195"/>
        <v>1.7972681524083267E-3</v>
      </c>
      <c r="BI379" s="4">
        <f t="shared" si="196"/>
        <v>1.0810810810810811E-2</v>
      </c>
      <c r="BJ379" s="4">
        <f t="shared" si="197"/>
        <v>6.5597667638483959E-3</v>
      </c>
      <c r="BK379" s="4">
        <f t="shared" si="198"/>
        <v>2.8863719400803789E-2</v>
      </c>
      <c r="BL379" s="4">
        <f t="shared" si="199"/>
        <v>4.4593088071348541E-3</v>
      </c>
      <c r="BM379" s="4">
        <f t="shared" si="209"/>
        <v>1.7455735980618638E-2</v>
      </c>
      <c r="BN379" s="14">
        <f t="shared" si="210"/>
        <v>13689.866927619225</v>
      </c>
      <c r="BO379" s="15">
        <f t="shared" si="211"/>
        <v>13092.402318058255</v>
      </c>
      <c r="BP379" s="16">
        <v>13390</v>
      </c>
      <c r="BQ379" s="16">
        <v>13395</v>
      </c>
      <c r="BR379" s="16">
        <v>13390</v>
      </c>
      <c r="BS379" s="16">
        <v>13395</v>
      </c>
      <c r="BT379" s="16">
        <v>19772</v>
      </c>
      <c r="BU379" s="15">
        <f t="shared" si="200"/>
        <v>13393.333333333334</v>
      </c>
      <c r="BV379" s="15">
        <f t="shared" si="201"/>
        <v>264812986.66666669</v>
      </c>
      <c r="BW379" s="15">
        <f>SUM($BV$3:BV379)</f>
        <v>275828711911.66669</v>
      </c>
      <c r="BX379" s="15">
        <f>SUM($BT$3:BT379)</f>
        <v>20388104</v>
      </c>
      <c r="BY379" s="15">
        <f t="shared" si="202"/>
        <v>13528.904498018388</v>
      </c>
      <c r="BZ379" s="3">
        <v>377</v>
      </c>
      <c r="CA379" s="3">
        <f t="shared" si="203"/>
        <v>0</v>
      </c>
      <c r="CB379" s="3">
        <f t="shared" si="204"/>
        <v>0</v>
      </c>
      <c r="CC379" s="3">
        <f t="shared" si="205"/>
        <v>0</v>
      </c>
      <c r="CD379" s="3" t="str">
        <f t="shared" si="206"/>
        <v/>
      </c>
      <c r="CE379" s="3">
        <f t="shared" si="207"/>
        <v>0</v>
      </c>
    </row>
    <row r="380" spans="1:83" x14ac:dyDescent="0.3">
      <c r="A380" s="3" t="s">
        <v>420</v>
      </c>
      <c r="B380" s="3">
        <v>11725</v>
      </c>
      <c r="C380" s="3">
        <v>11730</v>
      </c>
      <c r="D380" s="3">
        <v>11575</v>
      </c>
      <c r="E380" s="3">
        <v>11565</v>
      </c>
      <c r="F380" s="3">
        <v>11670</v>
      </c>
      <c r="G380" s="3">
        <v>11675</v>
      </c>
      <c r="H380" s="3">
        <v>11495</v>
      </c>
      <c r="I380" s="3">
        <v>11480</v>
      </c>
      <c r="J380" s="3">
        <v>11980</v>
      </c>
      <c r="K380" s="3">
        <v>11975</v>
      </c>
      <c r="L380" s="3">
        <v>12125</v>
      </c>
      <c r="M380" s="3">
        <v>12125</v>
      </c>
      <c r="N380" s="3">
        <v>12700</v>
      </c>
      <c r="O380" s="3">
        <v>12690</v>
      </c>
      <c r="P380" s="3">
        <v>12590</v>
      </c>
      <c r="Q380" s="3">
        <v>12595</v>
      </c>
      <c r="R380" s="3">
        <v>12550</v>
      </c>
      <c r="S380" s="3">
        <v>12545</v>
      </c>
      <c r="T380" s="3">
        <v>12260</v>
      </c>
      <c r="U380" s="3">
        <v>12275</v>
      </c>
      <c r="V380" s="3">
        <v>12695</v>
      </c>
      <c r="W380" s="3">
        <v>12705</v>
      </c>
      <c r="X380" s="3">
        <v>12750</v>
      </c>
      <c r="Y380" s="3">
        <v>12745</v>
      </c>
      <c r="Z380" s="3">
        <v>12690</v>
      </c>
      <c r="AA380" s="3">
        <v>12690</v>
      </c>
      <c r="AB380" s="3">
        <v>13250</v>
      </c>
      <c r="AC380" s="3">
        <v>13245</v>
      </c>
      <c r="AD380" s="3">
        <v>13285</v>
      </c>
      <c r="AE380" s="3">
        <v>13275</v>
      </c>
      <c r="AF380" s="3">
        <v>13845</v>
      </c>
      <c r="AG380" s="3">
        <v>13825</v>
      </c>
      <c r="AH380" s="3">
        <v>13930</v>
      </c>
      <c r="AI380" s="3">
        <v>13935</v>
      </c>
      <c r="AJ380" s="3">
        <v>13725</v>
      </c>
      <c r="AK380" s="3">
        <v>13710</v>
      </c>
      <c r="AL380" s="3">
        <v>13625</v>
      </c>
      <c r="AM380" s="3">
        <v>13630</v>
      </c>
      <c r="AN380" s="3">
        <v>13290</v>
      </c>
      <c r="AO380" s="3">
        <v>13290</v>
      </c>
      <c r="AP380" s="3">
        <v>13395</v>
      </c>
      <c r="AQ380" s="3">
        <v>13395</v>
      </c>
      <c r="AR380" s="4">
        <f t="shared" si="208"/>
        <v>1.7346053772766767E-2</v>
      </c>
      <c r="AS380" s="4">
        <f t="shared" si="180"/>
        <v>1.2987012987013546E-3</v>
      </c>
      <c r="AT380" s="4">
        <f t="shared" si="181"/>
        <v>2.7728873239436513E-2</v>
      </c>
      <c r="AU380" s="4">
        <f t="shared" si="182"/>
        <v>2.5466893039049254E-2</v>
      </c>
      <c r="AV380" s="4">
        <f t="shared" si="183"/>
        <v>2.4379811804961404E-2</v>
      </c>
      <c r="AW380" s="4">
        <f t="shared" si="184"/>
        <v>2.2344013490725123E-2</v>
      </c>
      <c r="AX380" s="4">
        <f t="shared" si="185"/>
        <v>4.7461824184894752E-2</v>
      </c>
      <c r="AY380" s="4">
        <f t="shared" si="186"/>
        <v>1.4475743348982828E-2</v>
      </c>
      <c r="AZ380" s="4">
        <f t="shared" si="187"/>
        <v>0</v>
      </c>
      <c r="BA380" s="4">
        <f t="shared" si="188"/>
        <v>8.0808080808081328E-3</v>
      </c>
      <c r="BB380" s="4">
        <f t="shared" si="189"/>
        <v>2.9995946493717174E-2</v>
      </c>
      <c r="BC380" s="4">
        <f t="shared" si="190"/>
        <v>8.7059754649783105E-3</v>
      </c>
      <c r="BD380" s="4">
        <f t="shared" si="191"/>
        <v>1.1682242990654235E-2</v>
      </c>
      <c r="BE380" s="4">
        <f t="shared" si="192"/>
        <v>2.1596606247589634E-2</v>
      </c>
      <c r="BF380" s="4">
        <f t="shared" si="193"/>
        <v>1.413292589763171E-2</v>
      </c>
      <c r="BG380" s="4">
        <f t="shared" si="194"/>
        <v>3.6745406824147064E-2</v>
      </c>
      <c r="BH380" s="4">
        <f t="shared" si="195"/>
        <v>1.7972681524083267E-3</v>
      </c>
      <c r="BI380" s="4">
        <f t="shared" si="196"/>
        <v>1.1891891891891881E-2</v>
      </c>
      <c r="BJ380" s="4">
        <f t="shared" si="197"/>
        <v>6.5597667638483959E-3</v>
      </c>
      <c r="BK380" s="4">
        <f t="shared" si="198"/>
        <v>2.8863719400803789E-2</v>
      </c>
      <c r="BL380" s="4">
        <f t="shared" si="199"/>
        <v>4.4593088071348541E-3</v>
      </c>
      <c r="BM380" s="4">
        <f t="shared" si="209"/>
        <v>1.7285008981596874E-2</v>
      </c>
      <c r="BN380" s="14">
        <f t="shared" si="210"/>
        <v>13687.569795847385</v>
      </c>
      <c r="BO380" s="15">
        <f t="shared" si="211"/>
        <v>13094.677255320221</v>
      </c>
      <c r="BP380" s="16">
        <v>13395</v>
      </c>
      <c r="BQ380" s="16">
        <v>13400</v>
      </c>
      <c r="BR380" s="16">
        <v>13390</v>
      </c>
      <c r="BS380" s="16">
        <v>13395</v>
      </c>
      <c r="BT380" s="16">
        <v>44600</v>
      </c>
      <c r="BU380" s="15">
        <f t="shared" si="200"/>
        <v>13395</v>
      </c>
      <c r="BV380" s="15">
        <f t="shared" si="201"/>
        <v>597417000</v>
      </c>
      <c r="BW380" s="15">
        <f>SUM($BV$3:BV380)</f>
        <v>276426128911.66669</v>
      </c>
      <c r="BX380" s="15">
        <f>SUM($BT$3:BT380)</f>
        <v>20432704</v>
      </c>
      <c r="BY380" s="15">
        <f t="shared" si="202"/>
        <v>13528.612214598063</v>
      </c>
      <c r="BZ380" s="3">
        <v>378</v>
      </c>
      <c r="CA380" s="3">
        <f t="shared" si="203"/>
        <v>0</v>
      </c>
      <c r="CB380" s="3">
        <f t="shared" si="204"/>
        <v>0</v>
      </c>
      <c r="CC380" s="3">
        <f t="shared" si="205"/>
        <v>0</v>
      </c>
      <c r="CD380" s="3" t="str">
        <f t="shared" si="206"/>
        <v/>
      </c>
      <c r="CE380" s="3">
        <f t="shared" si="207"/>
        <v>0</v>
      </c>
    </row>
    <row r="381" spans="1:83" x14ac:dyDescent="0.3">
      <c r="A381" s="3" t="s">
        <v>421</v>
      </c>
      <c r="B381" s="3">
        <v>11730</v>
      </c>
      <c r="C381" s="3">
        <v>11730</v>
      </c>
      <c r="D381" s="3">
        <v>11565</v>
      </c>
      <c r="E381" s="3">
        <v>11555</v>
      </c>
      <c r="F381" s="3">
        <v>11675</v>
      </c>
      <c r="G381" s="3">
        <v>11690</v>
      </c>
      <c r="H381" s="3">
        <v>11480</v>
      </c>
      <c r="I381" s="3">
        <v>11490</v>
      </c>
      <c r="J381" s="3">
        <v>11980</v>
      </c>
      <c r="K381" s="3">
        <v>11980</v>
      </c>
      <c r="L381" s="3">
        <v>12125</v>
      </c>
      <c r="M381" s="3">
        <v>12130</v>
      </c>
      <c r="N381" s="3">
        <v>12690</v>
      </c>
      <c r="O381" s="3">
        <v>12685</v>
      </c>
      <c r="P381" s="3">
        <v>12600</v>
      </c>
      <c r="Q381" s="3">
        <v>12600</v>
      </c>
      <c r="R381" s="3">
        <v>12550</v>
      </c>
      <c r="S381" s="3">
        <v>12550</v>
      </c>
      <c r="T381" s="3">
        <v>12280</v>
      </c>
      <c r="U381" s="3">
        <v>12285</v>
      </c>
      <c r="V381" s="3">
        <v>12705</v>
      </c>
      <c r="W381" s="3">
        <v>12710</v>
      </c>
      <c r="X381" s="3">
        <v>12740</v>
      </c>
      <c r="Y381" s="3">
        <v>12745</v>
      </c>
      <c r="Z381" s="3">
        <v>12690</v>
      </c>
      <c r="AA381" s="3">
        <v>12685</v>
      </c>
      <c r="AB381" s="3">
        <v>13245</v>
      </c>
      <c r="AC381" s="3">
        <v>13245</v>
      </c>
      <c r="AD381" s="3">
        <v>13280</v>
      </c>
      <c r="AE381" s="3">
        <v>13280</v>
      </c>
      <c r="AF381" s="3">
        <v>13825</v>
      </c>
      <c r="AG381" s="3">
        <v>13830</v>
      </c>
      <c r="AH381" s="3">
        <v>13930</v>
      </c>
      <c r="AI381" s="3">
        <v>13950</v>
      </c>
      <c r="AJ381" s="3">
        <v>13715</v>
      </c>
      <c r="AK381" s="3">
        <v>13715</v>
      </c>
      <c r="AL381" s="3">
        <v>13630</v>
      </c>
      <c r="AM381" s="3">
        <v>13625</v>
      </c>
      <c r="AN381" s="3">
        <v>13290</v>
      </c>
      <c r="AO381" s="3">
        <v>13295</v>
      </c>
      <c r="AP381" s="3">
        <v>13400</v>
      </c>
      <c r="AQ381" s="3">
        <v>13400</v>
      </c>
      <c r="AR381" s="4">
        <f t="shared" si="208"/>
        <v>1.7346053772766767E-2</v>
      </c>
      <c r="AS381" s="4">
        <f t="shared" si="180"/>
        <v>4.3290043290045155E-4</v>
      </c>
      <c r="AT381" s="4">
        <f t="shared" si="181"/>
        <v>2.9049295774647987E-2</v>
      </c>
      <c r="AU381" s="4">
        <f t="shared" si="182"/>
        <v>2.4617996604414216E-2</v>
      </c>
      <c r="AV381" s="4">
        <f t="shared" si="183"/>
        <v>2.480752780153983E-2</v>
      </c>
      <c r="AW381" s="4">
        <f t="shared" si="184"/>
        <v>2.2765598650927421E-2</v>
      </c>
      <c r="AX381" s="4">
        <f t="shared" si="185"/>
        <v>4.7049112670243476E-2</v>
      </c>
      <c r="AY381" s="4">
        <f t="shared" si="186"/>
        <v>1.4084507042253502E-2</v>
      </c>
      <c r="AZ381" s="4">
        <f t="shared" si="187"/>
        <v>3.985651654045963E-4</v>
      </c>
      <c r="BA381" s="4">
        <f t="shared" si="188"/>
        <v>7.2727272727273196E-3</v>
      </c>
      <c r="BB381" s="4">
        <f t="shared" si="189"/>
        <v>3.0401297122010451E-2</v>
      </c>
      <c r="BC381" s="4">
        <f t="shared" si="190"/>
        <v>8.7059754649783105E-3</v>
      </c>
      <c r="BD381" s="4">
        <f t="shared" si="191"/>
        <v>1.2071651090342694E-2</v>
      </c>
      <c r="BE381" s="4">
        <f t="shared" si="192"/>
        <v>2.1596606247589634E-2</v>
      </c>
      <c r="BF381" s="4">
        <f t="shared" si="193"/>
        <v>1.4514896867838134E-2</v>
      </c>
      <c r="BG381" s="4">
        <f t="shared" si="194"/>
        <v>3.7120359955005622E-2</v>
      </c>
      <c r="BH381" s="4">
        <f t="shared" si="195"/>
        <v>2.8756290438534116E-3</v>
      </c>
      <c r="BI381" s="4">
        <f t="shared" si="196"/>
        <v>1.1531531531531525E-2</v>
      </c>
      <c r="BJ381" s="4">
        <f t="shared" si="197"/>
        <v>6.9241982507288746E-3</v>
      </c>
      <c r="BK381" s="4">
        <f t="shared" si="198"/>
        <v>2.8498355864084779E-2</v>
      </c>
      <c r="BL381" s="4">
        <f t="shared" si="199"/>
        <v>4.0876997398736625E-3</v>
      </c>
      <c r="BM381" s="4">
        <f t="shared" si="209"/>
        <v>1.7360386684899452E-2</v>
      </c>
      <c r="BN381" s="14">
        <f t="shared" si="210"/>
        <v>13688.584002845322</v>
      </c>
      <c r="BO381" s="15">
        <f t="shared" si="211"/>
        <v>13093.672847423715</v>
      </c>
      <c r="BP381" s="16">
        <v>13400</v>
      </c>
      <c r="BQ381" s="16">
        <v>13405</v>
      </c>
      <c r="BR381" s="16">
        <v>13395</v>
      </c>
      <c r="BS381" s="16">
        <v>13400</v>
      </c>
      <c r="BT381" s="16">
        <v>35948</v>
      </c>
      <c r="BU381" s="15">
        <f t="shared" si="200"/>
        <v>13400</v>
      </c>
      <c r="BV381" s="15">
        <f t="shared" si="201"/>
        <v>481703200</v>
      </c>
      <c r="BW381" s="15">
        <f>SUM($BV$3:BV381)</f>
        <v>276907832111.66669</v>
      </c>
      <c r="BX381" s="15">
        <f>SUM($BT$3:BT381)</f>
        <v>20468652</v>
      </c>
      <c r="BY381" s="15">
        <f t="shared" si="202"/>
        <v>13528.386339836483</v>
      </c>
      <c r="BZ381" s="3">
        <v>379</v>
      </c>
      <c r="CA381" s="3">
        <f t="shared" si="203"/>
        <v>0</v>
      </c>
      <c r="CB381" s="3">
        <f t="shared" si="204"/>
        <v>0</v>
      </c>
      <c r="CC381" s="3">
        <f t="shared" si="205"/>
        <v>0</v>
      </c>
      <c r="CD381" s="3" t="str">
        <f t="shared" si="206"/>
        <v/>
      </c>
      <c r="CE381" s="3">
        <f t="shared" si="207"/>
        <v>0</v>
      </c>
    </row>
    <row r="382" spans="1:83" x14ac:dyDescent="0.3">
      <c r="A382" s="3" t="s">
        <v>422</v>
      </c>
      <c r="B382" s="3">
        <v>11735</v>
      </c>
      <c r="C382" s="3">
        <v>11735</v>
      </c>
      <c r="D382" s="3">
        <v>11555</v>
      </c>
      <c r="E382" s="3">
        <v>11555</v>
      </c>
      <c r="F382" s="3">
        <v>11690</v>
      </c>
      <c r="G382" s="3">
        <v>11685</v>
      </c>
      <c r="H382" s="3">
        <v>11490</v>
      </c>
      <c r="I382" s="3">
        <v>11480</v>
      </c>
      <c r="J382" s="3">
        <v>11980</v>
      </c>
      <c r="K382" s="3">
        <v>11985</v>
      </c>
      <c r="L382" s="3">
        <v>12130</v>
      </c>
      <c r="M382" s="3">
        <v>12130</v>
      </c>
      <c r="N382" s="3">
        <v>12685</v>
      </c>
      <c r="O382" s="3">
        <v>12680</v>
      </c>
      <c r="P382" s="3">
        <v>12600</v>
      </c>
      <c r="Q382" s="3">
        <v>12585</v>
      </c>
      <c r="R382" s="3">
        <v>12550</v>
      </c>
      <c r="S382" s="3">
        <v>12550</v>
      </c>
      <c r="T382" s="3">
        <v>12290</v>
      </c>
      <c r="U382" s="3">
        <v>12290</v>
      </c>
      <c r="V382" s="3">
        <v>12705</v>
      </c>
      <c r="W382" s="3">
        <v>12700</v>
      </c>
      <c r="X382" s="3">
        <v>12745</v>
      </c>
      <c r="Y382" s="3">
        <v>12750</v>
      </c>
      <c r="Z382" s="3">
        <v>12685</v>
      </c>
      <c r="AA382" s="3">
        <v>12685</v>
      </c>
      <c r="AB382" s="3">
        <v>13245</v>
      </c>
      <c r="AC382" s="3">
        <v>13255</v>
      </c>
      <c r="AD382" s="3">
        <v>13280</v>
      </c>
      <c r="AE382" s="3">
        <v>13265</v>
      </c>
      <c r="AF382" s="3">
        <v>13830</v>
      </c>
      <c r="AG382" s="3">
        <v>13825</v>
      </c>
      <c r="AH382" s="3">
        <v>13945</v>
      </c>
      <c r="AI382" s="3">
        <v>13935</v>
      </c>
      <c r="AJ382" s="3">
        <v>13720</v>
      </c>
      <c r="AK382" s="3">
        <v>13700</v>
      </c>
      <c r="AL382" s="3">
        <v>13635</v>
      </c>
      <c r="AM382" s="3">
        <v>13625</v>
      </c>
      <c r="AN382" s="3">
        <v>13295</v>
      </c>
      <c r="AO382" s="3">
        <v>13300</v>
      </c>
      <c r="AP382" s="3">
        <v>13400</v>
      </c>
      <c r="AQ382" s="3">
        <v>13410</v>
      </c>
      <c r="AR382" s="4">
        <f t="shared" si="208"/>
        <v>1.777970511708582E-2</v>
      </c>
      <c r="AS382" s="4">
        <f t="shared" si="180"/>
        <v>4.3290043290045155E-4</v>
      </c>
      <c r="AT382" s="4">
        <f t="shared" si="181"/>
        <v>2.8609154929577496E-2</v>
      </c>
      <c r="AU382" s="4">
        <f t="shared" si="182"/>
        <v>2.5466893039049254E-2</v>
      </c>
      <c r="AV382" s="4">
        <f t="shared" si="183"/>
        <v>2.5235243798118034E-2</v>
      </c>
      <c r="AW382" s="4">
        <f t="shared" si="184"/>
        <v>2.2765598650927421E-2</v>
      </c>
      <c r="AX382" s="4">
        <f t="shared" si="185"/>
        <v>4.66364011555922E-2</v>
      </c>
      <c r="AY382" s="4">
        <f t="shared" si="186"/>
        <v>1.5258215962441368E-2</v>
      </c>
      <c r="AZ382" s="4">
        <f t="shared" si="187"/>
        <v>3.985651654045963E-4</v>
      </c>
      <c r="BA382" s="4">
        <f t="shared" si="188"/>
        <v>6.8686868686869129E-3</v>
      </c>
      <c r="BB382" s="4">
        <f t="shared" si="189"/>
        <v>2.9590595865423674E-2</v>
      </c>
      <c r="BC382" s="4">
        <f t="shared" si="190"/>
        <v>9.101701622477254E-3</v>
      </c>
      <c r="BD382" s="4">
        <f t="shared" si="191"/>
        <v>1.2071651090342694E-2</v>
      </c>
      <c r="BE382" s="4">
        <f t="shared" si="192"/>
        <v>2.2367913613575041E-2</v>
      </c>
      <c r="BF382" s="4">
        <f t="shared" si="193"/>
        <v>1.3368983957219305E-2</v>
      </c>
      <c r="BG382" s="4">
        <f t="shared" si="194"/>
        <v>3.6745406824147064E-2</v>
      </c>
      <c r="BH382" s="4">
        <f t="shared" si="195"/>
        <v>1.7972681524083267E-3</v>
      </c>
      <c r="BI382" s="4">
        <f t="shared" si="196"/>
        <v>1.2612612612612595E-2</v>
      </c>
      <c r="BJ382" s="4">
        <f t="shared" si="197"/>
        <v>6.9241982507288746E-3</v>
      </c>
      <c r="BK382" s="4">
        <f t="shared" si="198"/>
        <v>2.8132992327365769E-2</v>
      </c>
      <c r="BL382" s="4">
        <f t="shared" si="199"/>
        <v>3.3444816053511683E-3</v>
      </c>
      <c r="BM382" s="4">
        <f t="shared" si="209"/>
        <v>1.7276799533458977E-2</v>
      </c>
      <c r="BN382" s="14">
        <f t="shared" si="210"/>
        <v>13687.459337722692</v>
      </c>
      <c r="BO382" s="15">
        <f t="shared" si="211"/>
        <v>13094.78664621666</v>
      </c>
      <c r="BP382" s="16">
        <v>13400</v>
      </c>
      <c r="BQ382" s="16">
        <v>13410</v>
      </c>
      <c r="BR382" s="16">
        <v>13400</v>
      </c>
      <c r="BS382" s="16">
        <v>13410</v>
      </c>
      <c r="BT382" s="16">
        <v>50899</v>
      </c>
      <c r="BU382" s="15">
        <f t="shared" si="200"/>
        <v>13406.666666666666</v>
      </c>
      <c r="BV382" s="15">
        <f t="shared" si="201"/>
        <v>682385926.66666663</v>
      </c>
      <c r="BW382" s="15">
        <f>SUM($BV$3:BV382)</f>
        <v>277590218038.33337</v>
      </c>
      <c r="BX382" s="15">
        <f>SUM($BT$3:BT382)</f>
        <v>20519551</v>
      </c>
      <c r="BY382" s="15">
        <f t="shared" si="202"/>
        <v>13528.084412682001</v>
      </c>
      <c r="BZ382" s="3">
        <v>380</v>
      </c>
      <c r="CA382" s="3">
        <f t="shared" si="203"/>
        <v>0</v>
      </c>
      <c r="CB382" s="3">
        <f t="shared" si="204"/>
        <v>0</v>
      </c>
      <c r="CC382" s="3">
        <f t="shared" si="205"/>
        <v>0</v>
      </c>
      <c r="CD382" s="3" t="str">
        <f t="shared" si="206"/>
        <v/>
      </c>
      <c r="CE382" s="3">
        <f t="shared" si="207"/>
        <v>0</v>
      </c>
    </row>
    <row r="383" spans="1:83" x14ac:dyDescent="0.3">
      <c r="A383" s="3" t="s">
        <v>423</v>
      </c>
      <c r="B383" s="3">
        <v>11705</v>
      </c>
      <c r="C383" s="3">
        <v>11705</v>
      </c>
      <c r="D383" s="3">
        <v>11595</v>
      </c>
      <c r="E383" s="3">
        <v>11595</v>
      </c>
      <c r="F383" s="3">
        <v>11700</v>
      </c>
      <c r="G383" s="3">
        <v>11700</v>
      </c>
      <c r="H383" s="3">
        <v>11525</v>
      </c>
      <c r="I383" s="3">
        <v>11525</v>
      </c>
      <c r="J383" s="3">
        <v>12000</v>
      </c>
      <c r="K383" s="3">
        <v>12000</v>
      </c>
      <c r="L383" s="3">
        <v>12115</v>
      </c>
      <c r="M383" s="3">
        <v>12115</v>
      </c>
      <c r="N383" s="3">
        <v>12690</v>
      </c>
      <c r="O383" s="3">
        <v>12690</v>
      </c>
      <c r="P383" s="3">
        <v>12610</v>
      </c>
      <c r="Q383" s="3">
        <v>12610</v>
      </c>
      <c r="R383" s="3">
        <v>12625</v>
      </c>
      <c r="S383" s="3">
        <v>12625</v>
      </c>
      <c r="T383" s="3">
        <v>12290</v>
      </c>
      <c r="U383" s="3">
        <v>12290</v>
      </c>
      <c r="V383" s="3">
        <v>12725</v>
      </c>
      <c r="W383" s="3">
        <v>12725</v>
      </c>
      <c r="X383" s="3">
        <v>12750</v>
      </c>
      <c r="Y383" s="3">
        <v>12750</v>
      </c>
      <c r="Z383" s="3">
        <v>12690</v>
      </c>
      <c r="AA383" s="3">
        <v>12690</v>
      </c>
      <c r="AB383" s="3">
        <v>13240</v>
      </c>
      <c r="AC383" s="3">
        <v>13240</v>
      </c>
      <c r="AD383" s="3">
        <v>13270</v>
      </c>
      <c r="AE383" s="3">
        <v>13270</v>
      </c>
      <c r="AF383" s="3">
        <v>13800</v>
      </c>
      <c r="AG383" s="3">
        <v>13800</v>
      </c>
      <c r="AH383" s="3">
        <v>13970</v>
      </c>
      <c r="AI383" s="3">
        <v>13970</v>
      </c>
      <c r="AJ383" s="3">
        <v>13730</v>
      </c>
      <c r="AK383" s="3">
        <v>13730</v>
      </c>
      <c r="AL383" s="3">
        <v>13630</v>
      </c>
      <c r="AM383" s="3">
        <v>13630</v>
      </c>
      <c r="AN383" s="3">
        <v>13325</v>
      </c>
      <c r="AO383" s="3">
        <v>13325</v>
      </c>
      <c r="AP383" s="3">
        <v>13410</v>
      </c>
      <c r="AQ383" s="3">
        <v>13410</v>
      </c>
      <c r="AR383" s="4">
        <f t="shared" si="208"/>
        <v>1.5177797051170838E-2</v>
      </c>
      <c r="AS383" s="4">
        <f t="shared" si="180"/>
        <v>3.8961038961038419E-3</v>
      </c>
      <c r="AT383" s="4">
        <f t="shared" si="181"/>
        <v>2.9929577464788748E-2</v>
      </c>
      <c r="AU383" s="4">
        <f t="shared" si="182"/>
        <v>2.1646859083191861E-2</v>
      </c>
      <c r="AV383" s="4">
        <f t="shared" si="183"/>
        <v>2.6518391787852869E-2</v>
      </c>
      <c r="AW383" s="4">
        <f t="shared" si="184"/>
        <v>2.1500843170320305E-2</v>
      </c>
      <c r="AX383" s="4">
        <f t="shared" si="185"/>
        <v>4.7461824184894752E-2</v>
      </c>
      <c r="AY383" s="4">
        <f t="shared" si="186"/>
        <v>1.3302034428794962E-2</v>
      </c>
      <c r="AZ383" s="4">
        <f t="shared" si="187"/>
        <v>6.3770426464726526E-3</v>
      </c>
      <c r="BA383" s="4">
        <f t="shared" si="188"/>
        <v>6.8686868686869129E-3</v>
      </c>
      <c r="BB383" s="4">
        <f t="shared" si="189"/>
        <v>3.1617349006890949E-2</v>
      </c>
      <c r="BC383" s="4">
        <f t="shared" si="190"/>
        <v>9.101701622477254E-3</v>
      </c>
      <c r="BD383" s="4">
        <f t="shared" si="191"/>
        <v>1.1682242990654235E-2</v>
      </c>
      <c r="BE383" s="4">
        <f t="shared" si="192"/>
        <v>2.121095256459693E-2</v>
      </c>
      <c r="BF383" s="4">
        <f t="shared" si="193"/>
        <v>1.3750954927425507E-2</v>
      </c>
      <c r="BG383" s="4">
        <f t="shared" si="194"/>
        <v>3.4870641169853833E-2</v>
      </c>
      <c r="BH383" s="4">
        <f t="shared" si="195"/>
        <v>4.3134435657801173E-3</v>
      </c>
      <c r="BI383" s="4">
        <f t="shared" si="196"/>
        <v>1.0450450450450455E-2</v>
      </c>
      <c r="BJ383" s="4">
        <f t="shared" si="197"/>
        <v>6.5597667638483959E-3</v>
      </c>
      <c r="BK383" s="4">
        <f t="shared" si="198"/>
        <v>2.6306174643770497E-2</v>
      </c>
      <c r="BL383" s="4">
        <f t="shared" si="199"/>
        <v>3.3444816053511683E-3</v>
      </c>
      <c r="BM383" s="4">
        <f t="shared" si="209"/>
        <v>1.7419518988185532E-2</v>
      </c>
      <c r="BN383" s="14">
        <f t="shared" si="210"/>
        <v>13689.379627986038</v>
      </c>
      <c r="BO383" s="15">
        <f t="shared" si="211"/>
        <v>13092.884909482429</v>
      </c>
      <c r="BP383" s="16">
        <v>13410</v>
      </c>
      <c r="BQ383" s="16">
        <v>13410</v>
      </c>
      <c r="BR383" s="16">
        <v>13410</v>
      </c>
      <c r="BS383" s="16">
        <v>13410</v>
      </c>
      <c r="BT383" s="16">
        <v>130009</v>
      </c>
      <c r="BU383" s="15">
        <f t="shared" si="200"/>
        <v>13410</v>
      </c>
      <c r="BV383" s="15">
        <f t="shared" si="201"/>
        <v>1743420690</v>
      </c>
      <c r="BW383" s="15">
        <f>SUM($BV$3:BV383)</f>
        <v>279333638728.33337</v>
      </c>
      <c r="BX383" s="15">
        <f>SUM($BT$3:BT383)</f>
        <v>20649560</v>
      </c>
      <c r="BY383" s="15">
        <f t="shared" si="202"/>
        <v>13527.340956821035</v>
      </c>
      <c r="BZ383" s="3">
        <v>390</v>
      </c>
      <c r="CA383" s="3">
        <f t="shared" si="203"/>
        <v>0</v>
      </c>
      <c r="CB383" s="3">
        <f t="shared" si="204"/>
        <v>0</v>
      </c>
      <c r="CC383" s="3">
        <f t="shared" si="205"/>
        <v>0</v>
      </c>
      <c r="CD383" s="3">
        <f t="shared" si="206"/>
        <v>0</v>
      </c>
      <c r="CE383" s="3">
        <f t="shared" si="207"/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85" zoomScaleNormal="85" workbookViewId="0">
      <selection activeCell="Z18" sqref="Z18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data</vt:lpstr>
      <vt:lpstr>data2</vt:lpstr>
      <vt:lpstr>20240325_example</vt:lpstr>
      <vt:lpstr>20240401_example</vt:lpstr>
      <vt:lpstr>Graph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MP</cp:lastModifiedBy>
  <dcterms:created xsi:type="dcterms:W3CDTF">2024-08-27T01:32:36Z</dcterms:created>
  <dcterms:modified xsi:type="dcterms:W3CDTF">2024-09-05T07:29:01Z</dcterms:modified>
</cp:coreProperties>
</file>